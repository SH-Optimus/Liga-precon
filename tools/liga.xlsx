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 ANUAL JOGADORES" sheetId="1" r:id="rId5"/>
    <sheet state="visible" name="RANKING DECKS" sheetId="2" r:id="rId6"/>
    <sheet state="hidden" name="tab_registrojogos" sheetId="3" r:id="rId7"/>
    <sheet state="visible" name="PERFORMANCE JOGADORES X DECKS" sheetId="4" r:id="rId8"/>
    <sheet state="visible" name="PERFORMANCE DECKS X JOGADORES" sheetId="5" r:id="rId9"/>
    <sheet state="visible" name="CONFRONTO DECKS" sheetId="6" r:id="rId10"/>
    <sheet state="visible" name="RESUMO CONFRONTO DECKS" sheetId="7" r:id="rId11"/>
  </sheets>
  <definedNames>
    <definedName hidden="1" localSheetId="2" name="_xlnm._FilterDatabase">tab_registrojogos!$A$1:$P$154</definedName>
    <definedName hidden="1" localSheetId="6" name="_xlnm._FilterDatabase">'RESUMO CONFRONTO DECKS'!$A$1:$E$3417</definedName>
  </definedNames>
  <calcPr/>
  <pivotCaches>
    <pivotCache cacheId="0" r:id="rId1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TB1: 1º Tie-Braker do EMP com o cálculo de qualidade de vitórias por Vitórias/Empates consecutivos</t>
      </text>
    </comment>
    <comment authorId="0" ref="F3">
      <text>
        <t xml:space="preserve">TB2: 2º Tie-Braker 2 do EMP com a Média de Pontos dos Oponentes Enfrentados</t>
      </text>
    </comment>
    <comment authorId="0" ref="G3">
      <text>
        <t xml:space="preserve">TB3: 3º Tie-Braker do EMP com a Média dos TB1 dos Oponentes enfrentados</t>
      </text>
    </comment>
  </commentList>
</comments>
</file>

<file path=xl/sharedStrings.xml><?xml version="1.0" encoding="utf-8"?>
<sst xmlns="http://schemas.openxmlformats.org/spreadsheetml/2006/main" count="467" uniqueCount="234">
  <si>
    <t>↩️ Voltar para o MENU</t>
  </si>
  <si>
    <t>Premiação do Ranking Anual: TOP 10 (vide Documento de Regras, item 7)</t>
  </si>
  <si>
    <t>Critérios para Banimento por Performance:</t>
  </si>
  <si>
    <t>33,33% ou mais de % Winrate</t>
  </si>
  <si>
    <t>Em um mínimo de 24 Partidas Jogadas</t>
  </si>
  <si>
    <t>OBS: byes não são contabilizados</t>
  </si>
  <si>
    <t>JOGADOR</t>
  </si>
  <si>
    <t>DECK UTILIZADO</t>
  </si>
  <si>
    <t>Nº VITÓRIAS</t>
  </si>
  <si>
    <t>Nº EMPATES</t>
  </si>
  <si>
    <t>Nº DERROTAS</t>
  </si>
  <si>
    <t>% WR</t>
  </si>
  <si>
    <t>% WR = nº vitórias pelo total de partidas
Byes não são contabilizados nessas estatísticas</t>
  </si>
  <si>
    <t>Andre rezende</t>
  </si>
  <si>
    <t>Counter Blitz</t>
  </si>
  <si>
    <t>Andre rezende Total</t>
  </si>
  <si>
    <t>Andrerusso</t>
  </si>
  <si>
    <t>World Shaper</t>
  </si>
  <si>
    <t>Andrerusso Total</t>
  </si>
  <si>
    <t>AndreVL</t>
  </si>
  <si>
    <t>Temur Roar</t>
  </si>
  <si>
    <t>Witherbloom Pestilence</t>
  </si>
  <si>
    <t>Timey-Wimey</t>
  </si>
  <si>
    <t>Buckle Up</t>
  </si>
  <si>
    <t>AndreVL Total</t>
  </si>
  <si>
    <t>Arthur Cyrillo</t>
  </si>
  <si>
    <t>Arthur Cyrillo Total</t>
  </si>
  <si>
    <t>Bernardo hs</t>
  </si>
  <si>
    <t>The Hosts of Mordor</t>
  </si>
  <si>
    <t>Bernardo hs Total</t>
  </si>
  <si>
    <t>Bife</t>
  </si>
  <si>
    <t>Mutant Menace</t>
  </si>
  <si>
    <t>Endless Punishment</t>
  </si>
  <si>
    <t>Bife Total</t>
  </si>
  <si>
    <t>BrunoDala-Paula</t>
  </si>
  <si>
    <t>Blight Curse</t>
  </si>
  <si>
    <t>BrunoDala-Paula Total</t>
  </si>
  <si>
    <t>Bydo</t>
  </si>
  <si>
    <t>Lorehold Spirit</t>
  </si>
  <si>
    <t>Virtue and Valor</t>
  </si>
  <si>
    <t>Bydo Total</t>
  </si>
  <si>
    <t>caiobmbh</t>
  </si>
  <si>
    <t>Creative Energy</t>
  </si>
  <si>
    <t>Counter Intelligence</t>
  </si>
  <si>
    <t>caiobmbh Total</t>
  </si>
  <si>
    <t>Campera</t>
  </si>
  <si>
    <t>Jeskai Striker</t>
  </si>
  <si>
    <t>Quandrix Unlimited</t>
  </si>
  <si>
    <t>Squirreled Away</t>
  </si>
  <si>
    <t>Blame Game</t>
  </si>
  <si>
    <t>Campera Total</t>
  </si>
  <si>
    <t>capitu</t>
  </si>
  <si>
    <t>capitu Total</t>
  </si>
  <si>
    <t>Carlinhos</t>
  </si>
  <si>
    <t>Turtle Power!</t>
  </si>
  <si>
    <t>Carlinhos Total</t>
  </si>
  <si>
    <t>Champinon</t>
  </si>
  <si>
    <t>Scrappy Survivors</t>
  </si>
  <si>
    <t>Champinon Total</t>
  </si>
  <si>
    <t>CLAUDIO</t>
  </si>
  <si>
    <t>Prismari Artistry</t>
  </si>
  <si>
    <t>Dance of the Elements</t>
  </si>
  <si>
    <t>CLAUDIO Total</t>
  </si>
  <si>
    <t>Crothen</t>
  </si>
  <si>
    <t>Corrupting Influence</t>
  </si>
  <si>
    <t>Eldrazi Unbound</t>
  </si>
  <si>
    <t>Eldrazi Incursion</t>
  </si>
  <si>
    <t>Crothen Total</t>
  </si>
  <si>
    <t>Da mata</t>
  </si>
  <si>
    <t>Explorers of the Deep</t>
  </si>
  <si>
    <t>Cavalry Charge</t>
  </si>
  <si>
    <t>Da mata Total</t>
  </si>
  <si>
    <t>Dreifão</t>
  </si>
  <si>
    <t>Dreifão Total</t>
  </si>
  <si>
    <t>Dudutra</t>
  </si>
  <si>
    <t>Arcane Maelstrom</t>
  </si>
  <si>
    <t>Dudutra Total</t>
  </si>
  <si>
    <t>Eduardo Bachman</t>
  </si>
  <si>
    <t>Eduardo Bachman Total</t>
  </si>
  <si>
    <t>Eric Torres</t>
  </si>
  <si>
    <t>Riders of Rohan</t>
  </si>
  <si>
    <t>Eric Torres Total</t>
  </si>
  <si>
    <t>Erickpd</t>
  </si>
  <si>
    <t>Rebellion Rising</t>
  </si>
  <si>
    <t>Limit Break</t>
  </si>
  <si>
    <t>Erickpd Total</t>
  </si>
  <si>
    <t>Euclides</t>
  </si>
  <si>
    <t>Euclides Total</t>
  </si>
  <si>
    <t>Fabio C</t>
  </si>
  <si>
    <t>Veloci-ramp-tor</t>
  </si>
  <si>
    <t>The Ruinous Powers</t>
  </si>
  <si>
    <t>Fabio C Total</t>
  </si>
  <si>
    <t>Felipe</t>
  </si>
  <si>
    <t>Felipe Total</t>
  </si>
  <si>
    <t>Flegons</t>
  </si>
  <si>
    <t>Blood Rites</t>
  </si>
  <si>
    <t>Flegons Total</t>
  </si>
  <si>
    <t>FlorCarnivora</t>
  </si>
  <si>
    <t>Prismari Performance</t>
  </si>
  <si>
    <t>FlorCarnivora Total</t>
  </si>
  <si>
    <t>França</t>
  </si>
  <si>
    <t>Tinker Time</t>
  </si>
  <si>
    <t>França Total</t>
  </si>
  <si>
    <t>Gabriel P.</t>
  </si>
  <si>
    <t>Quick Draw</t>
  </si>
  <si>
    <t>Gabriel P. Total</t>
  </si>
  <si>
    <t>Henrique</t>
  </si>
  <si>
    <t>Henrique Total</t>
  </si>
  <si>
    <t>jtRipper</t>
  </si>
  <si>
    <t>Power Hungry</t>
  </si>
  <si>
    <t>jtRipper Total</t>
  </si>
  <si>
    <t>Karyum</t>
  </si>
  <si>
    <t>Revival Trance</t>
  </si>
  <si>
    <t>Karyum Total</t>
  </si>
  <si>
    <t>Ladslaw</t>
  </si>
  <si>
    <t>Ladslaw Total</t>
  </si>
  <si>
    <t>Lanna</t>
  </si>
  <si>
    <t>Silverquill Influence</t>
  </si>
  <si>
    <t>Lanna Total</t>
  </si>
  <si>
    <t>lmendes</t>
  </si>
  <si>
    <t>lmendes Total</t>
  </si>
  <si>
    <t>Luiz Felipe Barroso</t>
  </si>
  <si>
    <t>Luiz Felipe Barroso Total</t>
  </si>
  <si>
    <t>LuizSD</t>
  </si>
  <si>
    <t>Scions &amp; Spellcraft</t>
  </si>
  <si>
    <t>LuizSD Total</t>
  </si>
  <si>
    <t>Manel</t>
  </si>
  <si>
    <t>Manel Total</t>
  </si>
  <si>
    <t>Matheus h</t>
  </si>
  <si>
    <t>Family Matters</t>
  </si>
  <si>
    <t>Cabaretti Cacophony</t>
  </si>
  <si>
    <t>Matheus h Total</t>
  </si>
  <si>
    <t>Matheus Pereira</t>
  </si>
  <si>
    <t>Matheus Pereira Total</t>
  </si>
  <si>
    <t>Montezuma</t>
  </si>
  <si>
    <t>Reap the Tides</t>
  </si>
  <si>
    <t>Party Time</t>
  </si>
  <si>
    <t>Sultai Arisen</t>
  </si>
  <si>
    <t>Montezuma Total</t>
  </si>
  <si>
    <t>Morkan</t>
  </si>
  <si>
    <t>Doom Prevails</t>
  </si>
  <si>
    <t>Morkan Total</t>
  </si>
  <si>
    <t>Obake</t>
  </si>
  <si>
    <t>Obake Total</t>
  </si>
  <si>
    <t>Optimus</t>
  </si>
  <si>
    <t>Optimus Total</t>
  </si>
  <si>
    <t>Pagliatti</t>
  </si>
  <si>
    <t>Pagliatti Total</t>
  </si>
  <si>
    <t>PaiDoArtur</t>
  </si>
  <si>
    <t>PaiDoArtur Total</t>
  </si>
  <si>
    <t>Pedro Jawa</t>
  </si>
  <si>
    <t>Science!</t>
  </si>
  <si>
    <t>Pedro Jawa Total</t>
  </si>
  <si>
    <t>Pexe</t>
  </si>
  <si>
    <t>Spirit Squadron</t>
  </si>
  <si>
    <t>Pexe Total</t>
  </si>
  <si>
    <t>S1LVEIRA</t>
  </si>
  <si>
    <t>S1LVEIRA Total</t>
  </si>
  <si>
    <t>Shandryll</t>
  </si>
  <si>
    <t>Shandryll Total</t>
  </si>
  <si>
    <t>TendiNietzsche</t>
  </si>
  <si>
    <t>Deep Clue Sea</t>
  </si>
  <si>
    <t>Peace Offering</t>
  </si>
  <si>
    <t>TendiNietzsche Total</t>
  </si>
  <si>
    <t>Theus Tech</t>
  </si>
  <si>
    <t>Theus Tech Total</t>
  </si>
  <si>
    <t>VentiladorDeTeto</t>
  </si>
  <si>
    <t>Food and Fellowship</t>
  </si>
  <si>
    <t>VentiladorDeTeto Total</t>
  </si>
  <si>
    <t>ViniCVR</t>
  </si>
  <si>
    <t>ViniCVR Total</t>
  </si>
  <si>
    <t>Vinison</t>
  </si>
  <si>
    <t>Vinison Total</t>
  </si>
  <si>
    <t>Yasmin</t>
  </si>
  <si>
    <t>Legends' Legacy</t>
  </si>
  <si>
    <t>Yasmin Total</t>
  </si>
  <si>
    <t>Yrving</t>
  </si>
  <si>
    <t>Primal Genesis</t>
  </si>
  <si>
    <t>Yrving Total</t>
  </si>
  <si>
    <t>Lorehold Spirit Total</t>
  </si>
  <si>
    <t>Quick Draw Total</t>
  </si>
  <si>
    <t>Endless Punishment Total</t>
  </si>
  <si>
    <t>Quandrix Unlimited Total</t>
  </si>
  <si>
    <t>Corrupting Influence Total</t>
  </si>
  <si>
    <t>Squirreled Away Total</t>
  </si>
  <si>
    <t>Dance of the Elements Total</t>
  </si>
  <si>
    <t>Creative Energy Total</t>
  </si>
  <si>
    <t>Cavalry Charge Total</t>
  </si>
  <si>
    <t>Reap the Tides Total</t>
  </si>
  <si>
    <t>World Shaper Total</t>
  </si>
  <si>
    <t>Riders of Rohan Total</t>
  </si>
  <si>
    <t>Party Time Total</t>
  </si>
  <si>
    <t>Jeskai Striker Total</t>
  </si>
  <si>
    <t>Explorers of the Deep Total</t>
  </si>
  <si>
    <t>Deep Clue Sea Total</t>
  </si>
  <si>
    <t>Tinker Time Total</t>
  </si>
  <si>
    <t>Temur Roar Total</t>
  </si>
  <si>
    <t>Sultai Arisen Total</t>
  </si>
  <si>
    <t>Silverquill Influence Total</t>
  </si>
  <si>
    <t>Scrappy Survivors Total</t>
  </si>
  <si>
    <t>Scions &amp; Spellcraft Total</t>
  </si>
  <si>
    <t>Revival Trance Total</t>
  </si>
  <si>
    <t>Rebellion Rising Total</t>
  </si>
  <si>
    <t>Claudio</t>
  </si>
  <si>
    <t>Prismari Artistry Total</t>
  </si>
  <si>
    <t>Family Matters Total</t>
  </si>
  <si>
    <t>Doom Prevails Total</t>
  </si>
  <si>
    <t>Counter Blitz Total</t>
  </si>
  <si>
    <t>Cabaretti Cacophony Total</t>
  </si>
  <si>
    <t>Blight Curse Total</t>
  </si>
  <si>
    <t>Witherbloom Pestilence Total</t>
  </si>
  <si>
    <t>Virtue and Valor Total</t>
  </si>
  <si>
    <t>Veloci-ramp-tor Total</t>
  </si>
  <si>
    <t>Turtle Power! Total</t>
  </si>
  <si>
    <t>Timey-Wimey Total</t>
  </si>
  <si>
    <t>The Ruinous Powers Total</t>
  </si>
  <si>
    <t>The Hosts of Mordor Total</t>
  </si>
  <si>
    <t>Spirit Squadron Total</t>
  </si>
  <si>
    <t>Science! Total</t>
  </si>
  <si>
    <t>Prismari Performance Total</t>
  </si>
  <si>
    <t>Primal Genesis Total</t>
  </si>
  <si>
    <t>Power Hungry Total</t>
  </si>
  <si>
    <t>Peace Offering Total</t>
  </si>
  <si>
    <t>Mutant Menace Total</t>
  </si>
  <si>
    <t>Limit Break Total</t>
  </si>
  <si>
    <t>Legends' Legacy Total</t>
  </si>
  <si>
    <t>Food and Fellowship Total</t>
  </si>
  <si>
    <t>Eldrazi Unbound Total</t>
  </si>
  <si>
    <t>Eldrazi Incursion Total</t>
  </si>
  <si>
    <t>Counter Intelligence Total</t>
  </si>
  <si>
    <t>Buckle Up Total</t>
  </si>
  <si>
    <t>Blood Rites Total</t>
  </si>
  <si>
    <t>Blame Game Total</t>
  </si>
  <si>
    <t>Arcane Maelstrom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</si>
</sst>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"/>
    <numFmt numFmtId="165" formatCode="0.00000000"/>
    <numFmt numFmtId="166" formatCode="0.000000"/>
    <numFmt numFmtId="167" formatCode="0.00000000000"/>
  </numFmts>
  <fonts count="13">
    <font>
      <sz val="10.0"/>
      <color rgb="FF000000"/>
      <name val="Arial"/>
      <scheme val="minor"/>
    </font>
    <font>
      <i/>
      <u/>
      <sz val="12.0"/>
      <color rgb="FF0000FF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rgb="FFFFFFFF"/>
      <name val="Arial"/>
      <scheme val="minor"/>
    </font>
    <font/>
    <font>
      <b/>
      <i/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FFFFFF"/>
      <name val="Arial"/>
      <scheme val="minor"/>
    </font>
    <font>
      <b/>
      <color rgb="FF000000"/>
      <name val="Arial"/>
      <scheme val="minor"/>
    </font>
    <font>
      <b/>
      <sz val="15.0"/>
      <color rgb="FFFFFFFF"/>
      <name val="Arial"/>
      <scheme val="minor"/>
    </font>
    <font>
      <sz val="15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CC0000"/>
        <bgColor rgb="FFCC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</fills>
  <borders count="9">
    <border/>
    <border>
      <top style="medium">
        <color rgb="FF000000"/>
      </top>
    </border>
    <border>
      <bottom style="medium">
        <color rgb="FF000000"/>
      </bottom>
    </border>
    <border>
      <bottom style="dotted">
        <color rgb="FF000000"/>
      </bottom>
    </border>
    <border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167" xfId="0" applyAlignment="1" applyFill="1" applyFont="1" applyNumberForma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0"/>
    </xf>
    <xf borderId="0" fillId="2" fontId="2" numFmtId="0" xfId="0" applyAlignment="1" applyFill="1" applyFont="1">
      <alignment horizontal="left" shrinkToFit="0" vertical="center" wrapText="1"/>
    </xf>
    <xf borderId="0" fillId="2" fontId="4" numFmtId="0" xfId="0" applyAlignment="1" applyFill="1" applyFont="1">
      <alignment horizontal="left" readingOrder="0" shrinkToFit="0" vertical="center" wrapText="0"/>
    </xf>
    <xf borderId="0" fillId="4" fontId="5" numFmtId="0" xfId="0" applyAlignment="1" applyFill="1" applyFont="1">
      <alignment horizontal="center" shrinkToFit="0" vertical="center" wrapText="1"/>
    </xf>
    <xf borderId="0" fillId="4" fontId="5" numFmtId="167" xfId="0" applyAlignment="1" applyFill="1" applyFont="1" applyNumberFormat="1">
      <alignment horizontal="center" shrinkToFit="0" vertical="center" wrapText="1"/>
    </xf>
    <xf borderId="0" fillId="4" fontId="5" numFmtId="4" xfId="0" applyAlignment="1" applyFill="1" applyFont="1" applyNumberFormat="1">
      <alignment horizontal="center" shrinkToFit="0" vertical="center" wrapText="1"/>
    </xf>
    <xf borderId="0" fillId="4" fontId="5" numFmtId="3" xfId="0" applyAlignment="1" applyFill="1" applyFont="1" applyNumberForma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2" fontId="3" numFmtId="0" xfId="0" applyAlignment="1" applyFill="1" applyFont="1">
      <alignment horizontal="left" shrinkToFit="0" vertical="center" wrapText="1"/>
    </xf>
    <xf borderId="0" fillId="2" fontId="2" numFmtId="167" xfId="0" applyAlignment="1" applyFill="1" applyFont="1" applyNumberFormat="1">
      <alignment horizontal="right" shrinkToFit="0" vertical="center" wrapText="1"/>
    </xf>
    <xf borderId="0" fillId="2" fontId="2" numFmtId="4" xfId="0" applyAlignment="1" applyFill="1" applyFont="1" applyNumberFormat="1">
      <alignment horizontal="center" shrinkToFit="0" vertical="center" wrapText="1"/>
    </xf>
    <xf borderId="0" fillId="2" fontId="2" numFmtId="3" xfId="0" applyAlignment="1" applyFill="1" applyFont="1" applyNumberFormat="1">
      <alignment horizontal="center" shrinkToFit="0" vertical="center" wrapText="1"/>
    </xf>
    <xf borderId="0" fillId="2" fontId="2" numFmtId="10" xfId="0" applyAlignment="1" applyFill="1" applyFont="1" applyNumberForma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left" shrinkToFit="0" vertical="center" wrapText="1"/>
    </xf>
    <xf borderId="1" fillId="5" fontId="2" numFmtId="167" xfId="0" applyAlignment="1" applyBorder="1" applyFill="1" applyFont="1" applyNumberFormat="1">
      <alignment horizontal="right" shrinkToFit="0" vertical="center" wrapText="1"/>
    </xf>
    <xf borderId="1" fillId="5" fontId="2" numFmtId="4" xfId="0" applyAlignment="1" applyBorder="1" applyFill="1" applyFont="1" applyNumberFormat="1">
      <alignment horizontal="center" shrinkToFit="0" vertical="center" wrapText="1"/>
    </xf>
    <xf borderId="1" fillId="5" fontId="2" numFmtId="3" xfId="0" applyAlignment="1" applyBorder="1" applyFill="1" applyFont="1" applyNumberFormat="1">
      <alignment horizontal="center" shrinkToFit="0" vertical="center" wrapText="1"/>
    </xf>
    <xf borderId="1" fillId="5" fontId="2" numFmtId="10" xfId="0" applyAlignment="1" applyBorder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left" shrinkToFit="0" vertical="center" wrapText="1"/>
    </xf>
    <xf borderId="0" fillId="5" fontId="2" numFmtId="167" xfId="0" applyAlignment="1" applyFill="1" applyFont="1" applyNumberFormat="1">
      <alignment horizontal="right" shrinkToFit="0" vertical="center" wrapText="1"/>
    </xf>
    <xf borderId="0" fillId="5" fontId="2" numFmtId="4" xfId="0" applyAlignment="1" applyFill="1" applyFont="1" applyNumberFormat="1">
      <alignment horizontal="center" shrinkToFit="0" vertical="center" wrapText="1"/>
    </xf>
    <xf borderId="0" fillId="5" fontId="2" numFmtId="3" xfId="0" applyAlignment="1" applyFill="1" applyFont="1" applyNumberFormat="1">
      <alignment horizontal="center" shrinkToFit="0" vertical="center" wrapText="1"/>
    </xf>
    <xf borderId="0" fillId="5" fontId="2" numFmtId="10" xfId="0" applyAlignment="1" applyFill="1" applyFont="1" applyNumberFormat="1">
      <alignment horizontal="center" shrinkToFit="0" vertical="center" wrapText="1"/>
    </xf>
    <xf borderId="0" fillId="5" fontId="2" numFmtId="167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left" shrinkToFit="0" vertical="center" wrapText="1"/>
    </xf>
    <xf borderId="0" fillId="5" fontId="2" numFmtId="167" xfId="0" applyAlignment="1" applyFill="1" applyFont="1" applyNumberFormat="1">
      <alignment horizontal="center" shrinkToFit="0" vertical="center" wrapText="1"/>
    </xf>
    <xf borderId="0" fillId="5" fontId="2" numFmtId="4" xfId="0" applyAlignment="1" applyFill="1" applyFont="1" applyNumberFormat="1">
      <alignment horizontal="center" shrinkToFit="0" vertical="center" wrapText="1"/>
    </xf>
    <xf borderId="0" fillId="5" fontId="2" numFmtId="3" xfId="0" applyAlignment="1" applyFill="1" applyFont="1" applyNumberFormat="1">
      <alignment horizontal="center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0"/>
    </xf>
    <xf borderId="2" fillId="0" fontId="6" numFmtId="0" xfId="0" applyBorder="1" applyFont="1"/>
    <xf borderId="3" fillId="6" fontId="2" numFmtId="0" xfId="0" applyAlignment="1" applyBorder="1" applyFill="1" applyFont="1">
      <alignment horizontal="center" readingOrder="0" shrinkToFit="0" vertical="center" wrapText="1"/>
    </xf>
    <xf borderId="3" fillId="0" fontId="6" numFmtId="0" xfId="0" applyBorder="1" applyFont="1"/>
    <xf borderId="4" fillId="6" fontId="2" numFmtId="0" xfId="0" applyAlignment="1" applyBorder="1" applyFill="1" applyFont="1">
      <alignment horizontal="center" readingOrder="0" shrinkToFit="0" vertical="center" wrapText="1"/>
    </xf>
    <xf borderId="4" fillId="0" fontId="6" numFmtId="0" xfId="0" applyBorder="1" applyFont="1"/>
    <xf borderId="0" fillId="3" fontId="7" numFmtId="0" xfId="0" applyAlignment="1" applyFill="1" applyFont="1">
      <alignment horizontal="center" readingOrder="0" shrinkToFit="0" vertical="center" wrapText="0"/>
    </xf>
    <xf borderId="0" fillId="4" fontId="5" numFmtId="49" xfId="0" applyAlignment="1" applyFill="1" applyFont="1" applyNumberFormat="1">
      <alignment horizontal="center" shrinkToFit="0" vertical="center" wrapText="1"/>
    </xf>
    <xf borderId="0" fillId="4" fontId="5" numFmtId="0" xfId="0" applyAlignment="1" applyFill="1" applyFont="1">
      <alignment horizontal="center" shrinkToFit="0" vertical="center" wrapText="1"/>
    </xf>
    <xf borderId="0" fillId="4" fontId="5" numFmtId="10" xfId="0" applyAlignment="1" applyFill="1" applyFont="1" applyNumberFormat="1">
      <alignment horizontal="center" shrinkToFit="0" vertical="center" wrapText="1"/>
    </xf>
    <xf borderId="0" fillId="5" fontId="3" numFmtId="0" xfId="0" applyAlignment="1" applyFill="1" applyFont="1">
      <alignment horizontal="left" shrinkToFit="0" vertical="center" wrapText="1"/>
    </xf>
    <xf borderId="0" fillId="0" fontId="8" numFmtId="0" xfId="0" applyFont="1"/>
    <xf borderId="0" fillId="0" fontId="8" numFmtId="49" xfId="0" applyFont="1" applyNumberFormat="1"/>
    <xf borderId="0" fillId="0" fontId="8" numFmtId="0" xfId="0" applyFont="1"/>
    <xf borderId="0" fillId="0" fontId="8" numFmtId="164" xfId="0" applyFont="1" applyNumberFormat="1"/>
    <xf borderId="0" fillId="0" fontId="8" numFmtId="2" xfId="0" applyFont="1" applyNumberFormat="1"/>
    <xf borderId="0" fillId="0" fontId="8" numFmtId="165" xfId="0" applyFont="1" applyNumberFormat="1"/>
    <xf borderId="0" fillId="0" fontId="8" numFmtId="166" xfId="0" applyFont="1" applyNumberFormat="1"/>
    <xf borderId="5" fillId="0" fontId="9" numFmtId="0" xfId="0" applyAlignment="1" applyBorder="1" applyFont="1">
      <alignment horizontal="center" shrinkToFit="0" vertical="center" wrapText="1"/>
    </xf>
    <xf borderId="6" fillId="0" fontId="9" numFmtId="10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10" xfId="0" applyAlignment="1" applyBorder="1" applyFont="1" applyNumberFormat="1">
      <alignment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10" xfId="0" applyAlignment="1" applyBorder="1" applyFont="1" applyNumberFormat="1">
      <alignment shrinkToFit="0" vertical="center" wrapText="1"/>
    </xf>
    <xf borderId="7" fillId="7" fontId="9" numFmtId="0" xfId="0" applyAlignment="1" applyBorder="1" applyFill="1" applyFont="1">
      <alignment horizontal="center" shrinkToFit="0" vertical="center" wrapText="1"/>
    </xf>
    <xf borderId="8" fillId="7" fontId="9" numFmtId="0" xfId="0" applyAlignment="1" applyBorder="1" applyFill="1" applyFont="1">
      <alignment horizontal="center" shrinkToFit="0" vertical="center" wrapText="1"/>
    </xf>
    <xf borderId="0" fillId="8" fontId="10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9" fontId="10" numFmtId="0" xfId="0" applyAlignment="1" applyFill="1" applyFont="1">
      <alignment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5" fillId="4" fontId="11" numFmtId="0" xfId="0" applyAlignment="1" applyBorder="1" applyFill="1" applyFont="1">
      <alignment horizontal="center" shrinkToFit="0" vertical="center" wrapText="1"/>
    </xf>
    <xf borderId="5" fillId="10" fontId="11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5" fillId="0" fontId="8" numFmtId="0" xfId="0" applyBorder="1" applyFont="1"/>
    <xf borderId="5" fillId="0" fontId="8" numFmtId="0" xfId="0" applyAlignment="1" applyBorder="1" applyFont="1">
      <alignment horizontal="center"/>
    </xf>
    <xf borderId="5" fillId="0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">
    <tableStyle count="3" pivot="0" name="RANKING ANUAL JOGADORES-style">
      <tableStyleElement dxfId="1" type="headerRow"/>
      <tableStyleElement dxfId="2" type="firstRowStripe"/>
      <tableStyleElement dxfId="3" type="secondRowStripe"/>
    </tableStyle>
    <tableStyle count="3" pivot="0" name="RANKING DECKS-style">
      <tableStyleElement dxfId="1" type="headerRow"/>
      <tableStyleElement dxfId="2" type="firstRowStripe"/>
      <tableStyleElement dxfId="3" type="secondRowStripe"/>
    </tableStyle>
    <tableStyle count="3" pivot="0" name="PERFORMANCE JOGADORES X DECKS-style">
      <tableStyleElement dxfId="1" type="headerRow"/>
      <tableStyleElement dxfId="2" type="firstRowStripe"/>
      <tableStyleElement dxfId="3" type="secondRowStripe"/>
    </tableStyle>
    <tableStyle count="3" pivot="0" name="PERFORMANCE DECKS X JOGADOR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54" sheet="tab_registrojogos"/>
  </cacheSource>
  <cacheFields>
    <cacheField name="Chave Mes Jogador" numFmtId="0">
      <sharedItems>
        <s v="janeiro_Erickpd"/>
        <s v="janeiro_Morkan"/>
        <s v="janeiro_Karyum"/>
        <s v="janeiro_TendiNietzsche"/>
        <s v="janeiro_Da mata"/>
        <s v="janeiro_Campera"/>
        <s v="janeiro_Yrving"/>
        <s v="janeiro_Arthur Cyrillo"/>
        <s v="janeiro_AndreVL"/>
        <s v="janeiro_Yasmin"/>
        <s v="janeiro_Crothen"/>
        <s v="janeiro_Ladslaw"/>
        <s v="janeiro_capitu"/>
        <s v="janeiro_CLAUDIO"/>
        <s v="janeiro_Matheus h"/>
        <s v="janeiro_Montezuma"/>
        <s v="janeiro_Lanna"/>
        <s v="janeiro_Fabio C"/>
        <s v="fevereiro_Gabriel P."/>
        <s v="fevereiro_Henrique"/>
        <s v="fevereiro_Lanna"/>
        <s v="fevereiro_Da mata"/>
        <s v="fevereiro_AndreVL"/>
        <s v="fevereiro_Morkan"/>
        <s v="fevereiro_Champinon"/>
        <s v="fevereiro_Yasmin"/>
        <s v="fevereiro_Crothen"/>
        <s v="fevereiro_Erickpd"/>
        <s v="fevereiro_CLAUDIO"/>
        <s v="fevereiro_Fabio C"/>
        <s v="fevereiro_Pedro Jawa"/>
        <s v="fevereiro_Dudutra"/>
        <s v="março_Crothen"/>
        <s v="março_Fabio C"/>
        <s v="março_França"/>
        <s v="março_ViniCVR"/>
        <s v="março_Erickpd"/>
        <s v="março_Euclides"/>
        <s v="março_Campera"/>
        <s v="março_Yasmin"/>
        <s v="março_Morkan"/>
        <s v="março_TendiNietzsche"/>
        <s v="março_Luiz Felipe Barroso"/>
        <s v="março_Montezuma"/>
        <s v="março_Lanna"/>
        <s v="março_Andrerusso"/>
        <s v="abril_Bydo"/>
        <s v="abril_Montezuma"/>
        <s v="abril_ViniCVR"/>
        <s v="abril_Morkan"/>
        <s v="abril_Lanna"/>
        <s v="abril_Crothen"/>
        <s v="abril_AndreVL"/>
        <s v="abril_Yasmin"/>
        <s v="abril_Gabriel P."/>
        <s v="abril_TendiNietzsche"/>
        <s v="abril_Matheus Pereira"/>
        <s v="abril_França"/>
        <s v="abril_Pexe"/>
        <s v="abril_jtRipper"/>
        <s v="abril_Matheus h"/>
        <s v="abril_Fabio C"/>
        <s v="abril_Campera"/>
        <s v="abril_FlorCarnivora"/>
        <s v="abril_Erickpd"/>
        <s v="abril_Bernardo hs"/>
        <s v="abril_caiobmbh"/>
        <s v="abril_Bife"/>
        <s v="abril_Flegons"/>
        <s v="maio_Theus Tech"/>
        <s v="maio_Campera"/>
        <s v="maio_Henrique"/>
        <s v="maio_TendiNietzsche"/>
        <s v="maio_Fabio C"/>
        <s v="maio_caiobmbh"/>
        <s v="maio_AndreVL"/>
        <s v="maio_Eric Torres"/>
        <s v="maio_Gabriel P."/>
        <s v="maio_Matheus h"/>
        <s v="maio_França"/>
        <s v="maio_Lanna"/>
        <s v="maio_Optimus"/>
        <s v="maio_ViniCVR"/>
        <s v="maio_Morkan"/>
        <s v="maio_Felipe"/>
        <s v="maio_Claudio"/>
        <s v="maio_Yasmin"/>
        <s v="maio_Crothen"/>
        <s v="junho_Yasmin"/>
        <s v="junho_Fabio C"/>
        <s v="junho_Bydo"/>
        <s v="junho_Gabriel P."/>
        <s v="junho_Lanna"/>
        <s v="junho_Optimus"/>
        <s v="junho_Pagliatti"/>
        <s v="junho_Morkan"/>
        <s v="junho_Erickpd"/>
        <s v="junho_Crothen"/>
        <s v="junho_VentiladorDeTeto"/>
        <s v="junho_TendiNietzsche"/>
        <s v="junho_AndreVL"/>
        <s v="junho_LuizSD"/>
        <s v="junho_Theus Tech"/>
        <s v="junho_Bife"/>
        <s v="junho_caiobmbh"/>
        <s v="junho_ViniCVR"/>
        <s v="junho_Campera"/>
        <s v="junho_Eduardo Bachman"/>
        <s v="junho_Obake"/>
        <s v="julho_Montezuma"/>
        <s v="julho_Crothen"/>
        <s v="julho_Theus Tech"/>
        <s v="julho_Campera"/>
        <s v="julho_Euclides"/>
        <s v="julho_Morkan"/>
        <s v="julho_lmendes"/>
        <s v="julho_Bydo"/>
        <s v="julho_Fabio C"/>
        <s v="julho_Shandryll"/>
        <s v="julho_Erickpd"/>
        <s v="julho_Karyum"/>
        <s v="julho_BrunoDala-Paula"/>
        <s v="julho_caiobmbh"/>
        <s v="julho_Lanna"/>
        <s v="julho_VentiladorDeTeto"/>
        <s v="julho_ViniCVR"/>
        <s v="julho_TendiNietzsche"/>
        <s v="julho_Yasmin"/>
        <s v="julho_Andre rezende"/>
        <s v="julho_Pexe"/>
        <s v="agosto_Fabio C"/>
        <s v="agosto_Erickpd"/>
        <s v="agosto_Da mata"/>
        <s v="agosto_TendiNietzsche"/>
        <s v="agosto_Bydo"/>
        <s v="agosto_Morkan"/>
        <s v="agosto_ViniCVR"/>
        <s v="agosto_Crothen"/>
        <s v="agosto_PaiDoArtur"/>
        <s v="agosto_Yasmin"/>
        <s v="agosto_Shandryll"/>
        <s v="agosto_caiobmbh"/>
        <s v="agosto_Gabriel P."/>
        <s v="agosto_S1LVEIRA"/>
        <s v="agosto_Vinison"/>
        <s v="agosto_Carlinhos"/>
        <s v="agosto_VentiladorDeTeto"/>
        <s v="agosto_Campera"/>
        <s v="agosto_Pexe"/>
        <s v="agosto_Dreifão"/>
        <s v="agosto_Lmendes"/>
        <s v="agosto_Manel"/>
        <s v="agosto_França"/>
      </sharedItems>
    </cacheField>
    <cacheField name="Liga Ano" numFmtId="0">
      <sharedItems containsSemiMixedTypes="0" containsString="0" containsNumber="1" containsInteger="1">
        <n v="2026.0"/>
      </sharedItems>
    </cacheField>
    <cacheField name="Etapa Liga" numFmtId="164">
      <sharedItems containsSemiMixedTypes="0" containsDate="1" containsString="0">
        <d v="2026-01-31T00:00:00Z"/>
        <d v="2026-02-21T00:00:00Z"/>
        <d v="2026-03-21T00:00:00Z"/>
        <d v="2026-04-26T00:00:00Z"/>
        <d v="2026-05-16T00:00:00Z"/>
        <d v="2026-06-21T00:00:00Z"/>
        <d v="2026-07-18T00:00:00Z"/>
        <d v="2026-08-15T00:00:00Z"/>
      </sharedItems>
    </cacheField>
    <cacheField name="Colocação EMP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</sharedItems>
    </cacheField>
    <cacheField name="Jogador" numFmtId="0">
      <sharedItems>
        <s v="Erickpd"/>
        <s v="Morkan"/>
        <s v="Karyum"/>
        <s v="TendiNietzsche"/>
        <s v="Da mata"/>
        <s v="Campera"/>
        <s v="Yrving"/>
        <s v="Arthur Cyrillo"/>
        <s v="AndreVL"/>
        <s v="Yasmin"/>
        <s v="Crothen"/>
        <s v="Ladslaw"/>
        <s v="capitu"/>
        <s v="CLAUDIO"/>
        <s v="Matheus h"/>
        <s v="Montezuma"/>
        <s v="Lanna"/>
        <s v="Fabio C"/>
        <s v="Gabriel P."/>
        <s v="Henrique"/>
        <s v="Champinon"/>
        <s v="Pedro Jawa"/>
        <s v="Dudutra"/>
        <s v="França"/>
        <s v="ViniCVR"/>
        <s v="Euclides"/>
        <s v="Luiz Felipe Barroso"/>
        <s v="Andrerusso"/>
        <s v="Bydo"/>
        <s v="Matheus Pereira"/>
        <s v="Pexe"/>
        <s v="jtRipper"/>
        <s v="FlorCarnivora"/>
        <s v="Bernardo hs"/>
        <s v="caiobmbh"/>
        <s v="Bife"/>
        <s v="Flegons"/>
        <s v="Theus Tech"/>
        <s v="Eric Torres"/>
        <s v="Optimus"/>
        <s v="Felipe"/>
        <s v="Pagliatti"/>
        <s v="VentiladorDeTeto"/>
        <s v="LuizSD"/>
        <s v="Eduardo Bachman"/>
        <s v="Obake"/>
        <s v="lmendes"/>
        <s v="Shandryll"/>
        <s v="BrunoDala-Paula"/>
        <s v="Andre rezende"/>
        <s v="PaiDoArtur"/>
        <s v="S1LVEIRA"/>
        <s v="Vinison"/>
        <s v="Carlinhos"/>
        <s v="Dreifão"/>
        <s v="Manel"/>
      </sharedItems>
    </cacheField>
    <cacheField name="Deck" numFmtId="0">
      <sharedItems>
        <s v="Dance of the Elements"/>
        <s v="Creative Energy"/>
        <s v="Revival Trance"/>
        <s v="Scions &amp; Spellcraft"/>
        <s v="Explorers of the Deep"/>
        <s v="Blight Curse"/>
        <s v="Primal Genesis"/>
        <s v="World Shaper"/>
        <s v="Timey-Wimey"/>
        <s v="Legends' Legacy"/>
        <s v="Eldrazi Incursion"/>
        <s v="Tinker Time"/>
        <s v="Jeskai Striker"/>
        <s v="Family Matters"/>
        <s v="Sultai Arisen"/>
        <s v="Veloci-ramp-tor"/>
        <s v="Quick Draw"/>
        <s v="Squirreled Away"/>
        <s v="Cavalry Charge"/>
        <s v="Temur Roar"/>
        <s v="Blood Rites"/>
        <s v="Scrappy Survivors"/>
        <s v="Corrupting Influence"/>
        <s v="Endless Punishment"/>
        <s v="Counter Blitz"/>
        <s v="Science!"/>
        <s v="Arcane Maelstrom"/>
        <s v="Rebellion Rising"/>
        <s v="Blame Game"/>
        <s v="Reap the Tides"/>
        <s v="Lorehold Spirit"/>
        <s v="Party Time"/>
        <s v="Witherbloom Pestilence"/>
        <s v="Quandrix Unlimited"/>
        <s v="Power Hungry"/>
        <s v="Turtle Power!"/>
        <s v="Prismari Performance"/>
        <s v="Limit Break"/>
        <s v="The Hosts of Mordor"/>
        <s v="Riders of Rohan"/>
        <s v="Deep Clue Sea"/>
        <s v="The Ruinous Powers"/>
        <s v="Buckle Up"/>
        <s v="Cabaretti Cacophony"/>
        <s v="Silverquill Influence"/>
        <s v="Prismari Artistry"/>
        <s v="Counter Intelligence"/>
        <s v="Food and Fellowship"/>
        <s v="Mutant Menace"/>
        <s v="Virtue and Valor"/>
        <s v="Peace Offering"/>
        <s v="Doom Prevails"/>
        <s v="Eldrazi Unbound"/>
        <s v="Spirit Squadron"/>
      </sharedItems>
    </cacheField>
    <cacheField name="EMP Pontos" numFmtId="0">
      <sharedItems containsSemiMixedTypes="0" containsString="0" containsNumber="1" containsInteger="1">
        <n v="5.0"/>
        <n v="7.0"/>
        <n v="4.0"/>
        <n v="3.0"/>
        <n v="2.0"/>
        <n v="1.0"/>
        <n v="9.0"/>
        <n v="6.0"/>
        <n v="0.0"/>
      </sharedItems>
    </cacheField>
    <cacheField name="EMP &#10;TB1" numFmtId="0">
      <sharedItems containsSemiMixedTypes="0" containsString="0" containsNumber="1" containsInteger="1">
        <n v="6.0"/>
        <n v="4.0"/>
        <n v="3.0"/>
        <n v="1.0"/>
        <n v="0.0"/>
        <n v="2.0"/>
        <n v="8.0"/>
        <n v="5.0"/>
      </sharedItems>
    </cacheField>
    <cacheField name="EMP &#10;TB2" numFmtId="2">
      <sharedItems containsSemiMixedTypes="0" containsString="0" containsNumber="1">
        <n v="2.75"/>
        <n v="2.11"/>
        <n v="2.67"/>
        <n v="3.33"/>
        <n v="2.43"/>
        <n v="3.5"/>
        <n v="3.0"/>
        <n v="4.0"/>
        <n v="3.71"/>
        <n v="3.14"/>
        <n v="2.71"/>
        <n v="2.5"/>
        <n v="2.63"/>
        <n v="1.67"/>
        <n v="2.86"/>
        <n v="3.63"/>
        <n v="4.29"/>
        <n v="4.13"/>
        <n v="3.75"/>
        <n v="4.6"/>
        <n v="4.17"/>
        <n v="3.2"/>
        <n v="2.6"/>
        <n v="3.67"/>
        <n v="3.29"/>
        <n v="3.6"/>
        <n v="2.38"/>
        <n v="3.83"/>
        <n v="2.0"/>
        <n v="3.13"/>
        <n v="3.56"/>
        <n v="3.88"/>
        <n v="2.89"/>
        <n v="2.57"/>
        <n v="3.44"/>
        <n v="3.17"/>
        <n v="3.4"/>
        <n v="3.57"/>
        <n v="4.33"/>
        <n v="2.29"/>
        <n v="4.67"/>
        <n v="4.5"/>
        <n v="3.38"/>
        <n v="1.88"/>
        <n v="2.56"/>
        <n v="3.86"/>
        <n v="2.13"/>
        <n v="1.89"/>
        <n v="1.29"/>
        <n v="0.0"/>
        <n v="2.78"/>
        <n v="1.38"/>
        <n v="2.14"/>
        <n v="2.88"/>
        <n v="3.22"/>
        <n v="1.75"/>
        <n v="2.17"/>
        <n v="2.33"/>
        <n v="4.57"/>
        <n v="3.25"/>
        <n v="2.44"/>
        <n v="4.11"/>
      </sharedItems>
    </cacheField>
    <cacheField name="EMP &#10;TB3" numFmtId="2">
      <sharedItems containsSemiMixedTypes="0" containsString="0" containsNumber="1">
        <n v="3.63"/>
        <n v="3.11"/>
        <n v="2.78"/>
        <n v="3.22"/>
        <n v="2.71"/>
        <n v="4.0"/>
        <n v="3.17"/>
        <n v="3.33"/>
        <n v="4.17"/>
        <n v="4.29"/>
        <n v="4.5"/>
        <n v="4.57"/>
        <n v="3.71"/>
        <n v="2.88"/>
        <n v="3.5"/>
        <n v="2.75"/>
        <n v="3.0"/>
        <n v="2.33"/>
        <n v="2.63"/>
        <n v="3.29"/>
        <n v="2.5"/>
        <n v="2.29"/>
        <n v="2.6"/>
        <n v="2.0"/>
        <n v="2.4"/>
        <n v="2.2"/>
        <n v="2.67"/>
        <n v="2.14"/>
        <n v="1.25"/>
        <n v="1.5"/>
        <n v="1.0"/>
        <n v="2.43"/>
        <n v="1.67"/>
        <n v="3.25"/>
        <n v="2.44"/>
        <n v="3.14"/>
        <n v="3.2"/>
        <n v="1.33"/>
        <n v="1.83"/>
        <n v="1.8"/>
        <n v="2.83"/>
        <n v="1.57"/>
        <n v="4.86"/>
        <n v="2.25"/>
        <n v="1.88"/>
        <n v="2.13"/>
        <n v="1.17"/>
        <n v="0.83"/>
        <n v="0.71"/>
        <n v="0.5"/>
        <n v="0.8"/>
        <n v="1.56"/>
        <n v="2.57"/>
        <n v="2.38"/>
        <n v="1.38"/>
        <n v="1.13"/>
        <n v="1.44"/>
        <n v="0.43"/>
        <n v="0.0"/>
        <n v="2.89"/>
        <n v="2.56"/>
        <n v="4.43"/>
        <n v="4.71"/>
        <n v="1.29"/>
        <n v="3.75"/>
        <n v="0.86"/>
        <n v="3.44"/>
        <n v="3.83"/>
        <n v="0.67"/>
        <n v="3.38"/>
        <n v="2.11"/>
        <n v="4.4"/>
        <n v="3.86"/>
        <n v="1.78"/>
        <n v="0.6"/>
        <n v="1.89"/>
        <n v="5.0"/>
        <n v="0.75"/>
        <n v="1.43"/>
      </sharedItems>
    </cacheField>
    <cacheField name="Desempate TB" numFmtId="165">
      <sharedItems containsSemiMixedTypes="0" containsString="0" containsNumber="1">
        <n v="0.26275362999999996"/>
        <n v="0.26211311"/>
        <n v="0.16267278000000002"/>
        <n v="0.14333322"/>
        <n v="0.13243270999999998"/>
        <n v="0.013504"/>
        <n v="0.00333317"/>
        <n v="0.0030033300000000002"/>
        <n v="0.044004169999999995"/>
        <n v="0.043714289999999996"/>
        <n v="0.0435045"/>
        <n v="0.04314457"/>
        <n v="0.042713709999999995"/>
        <n v="0.04250288"/>
        <n v="0.0235035"/>
        <n v="0.02263275"/>
        <n v="0.02167333"/>
        <n v="0.012863"/>
        <n v="0.38333233"/>
        <n v="0.25363263"/>
        <n v="0.11429329"/>
        <n v="0.164133"/>
        <n v="0.163753"/>
        <n v="0.0235025"/>
        <n v="0.11286229"/>
        <n v="0.0046026"/>
        <n v="0.004172"/>
        <n v="0.0032024"/>
        <n v="0.0026022"/>
        <n v="0.02367267"/>
        <n v="0.00363275"/>
        <n v="0.002862"/>
        <n v="0.24329229"/>
        <n v="0.23333233"/>
        <n v="0.10360200000000001"/>
        <n v="0.14329214"/>
        <n v="0.11238125"/>
        <n v="0.0038315000000000003"/>
        <n v="0.002601"/>
        <n v="0.002001"/>
        <n v="0.04350317"/>
        <n v="0.04300243"/>
        <n v="0.023712"/>
        <n v="0.00333167"/>
        <n v="0.0032010000000000003"/>
        <n v="0.26313325000000004"/>
        <n v="0.26356244"/>
        <n v="0.10300200000000001"/>
        <n v="0.16388363"/>
        <n v="0.16289333"/>
        <n v="0.16257314"/>
        <n v="0.034003200000000004"/>
        <n v="0.13344133"/>
        <n v="0.0031725"/>
        <n v="0.00383133"/>
        <n v="0.00367183"/>
        <n v="0.0034018"/>
        <n v="0.00300283"/>
        <n v="0.10257157000000001"/>
        <n v="0.04357486"/>
        <n v="0.043573999999999995"/>
        <n v="0.04300429"/>
        <n v="0.02367333"/>
        <n v="0.02363275"/>
        <n v="0.02238225"/>
        <n v="0.003002"/>
        <n v="0.00286157"/>
        <n v="0.36363188"/>
        <n v="0.24363225000000002"/>
        <n v="0.2326315"/>
        <n v="0.14314243000000001"/>
        <n v="0.02350213"/>
        <n v="0.004331499999999999"/>
        <n v="0.00317117"/>
        <n v="0.00267083"/>
        <n v="0.12400250000000002"/>
        <n v="0.11229071"/>
        <n v="0.004672"/>
        <n v="0.004502"/>
        <n v="0.00300133"/>
        <n v="0.00250167"/>
        <n v="0.0016705000000000001"/>
        <n v="0.03433233"/>
        <n v="0.00317083"/>
        <n v="0.0030008"/>
        <n v="0.24338300000000002"/>
        <n v="0.2623825"/>
        <n v="0.24363263000000002"/>
        <n v="0.23167156000000003"/>
        <n v="0.13229257"/>
        <n v="0.131881"/>
        <n v="0.12275238000000001"/>
        <n v="0.11256200000000001"/>
        <n v="0.10238138"/>
        <n v="0.043863290000000006"/>
        <n v="0.02271271"/>
        <n v="0.01257229"/>
        <n v="0.0120015"/>
        <n v="0.0021311299999999997"/>
        <n v="0.00200083"/>
        <n v="0.0018914399999999999"/>
        <n v="0.00129043"/>
        <n v="0.0"/>
        <n v="0.36267288999999997"/>
        <n v="0.23278256000000003"/>
        <n v="0.23138125"/>
        <n v="0.131671"/>
        <n v="0.0130045"/>
        <n v="0.06329443"/>
        <n v="0.06329429"/>
        <n v="0.06300471"/>
        <n v="0.12313288"/>
        <n v="0.10214129000000001"/>
        <n v="0.043143999999999995"/>
        <n v="0.04313375"/>
        <n v="0.042884"/>
        <n v="0.03333333"/>
        <n v="0.0027515"/>
        <n v="0.0021315"/>
        <n v="0.00300167"/>
        <n v="0.00257129"/>
        <n v="0.00214086"/>
        <n v="0.002131"/>
        <n v="0.26322344000000003"/>
        <n v="0.13317383000000002"/>
        <n v="0.23175113"/>
        <n v="0.10217067"/>
        <n v="0.16288338"/>
        <n v="0.13233211"/>
        <n v="0.0134044"/>
        <n v="0.06457386"/>
        <n v="0.1236325"/>
        <n v="0.12333178000000002"/>
        <n v="0.12325225000000001"/>
        <n v="0.112441"/>
        <n v="0.00367167"/>
        <n v="0.0030006"/>
        <n v="0.002501"/>
        <n v="0.024112889999999998"/>
        <n v="0.023221890000000002"/>
        <n v="0.013335"/>
        <n v="0.0027507499999999997"/>
        <n v="0.00250138"/>
        <n v="0.00243143"/>
      </sharedItems>
    </cacheField>
    <cacheField name="Vitórias" numFmtId="0">
      <sharedItems containsSemiMixedTypes="0" containsString="0" containsNumber="1" containsInteger="1">
        <n v="2.0"/>
        <n v="1.0"/>
        <n v="0.0"/>
        <n v="3.0"/>
      </sharedItems>
    </cacheField>
    <cacheField name="Empates" numFmtId="0">
      <sharedItems containsSemiMixedTypes="0" containsString="0" containsNumber="1" containsInteger="1">
        <n v="2.0"/>
        <n v="1.0"/>
        <n v="0.0"/>
        <n v="3.0"/>
      </sharedItems>
    </cacheField>
    <cacheField name="Derrotas" numFmtId="0">
      <sharedItems containsSemiMixedTypes="0" containsString="0" containsNumber="1" containsInteger="1">
        <n v="0.0"/>
        <n v="1.0"/>
        <n v="2.0"/>
        <n v="3.0"/>
      </sharedItems>
    </cacheField>
    <cacheField name="De/Para Pontuação Anual" numFmtId="0">
      <sharedItems containsSemiMixedTypes="0" containsString="0" containsNumber="1" containsInteger="1">
        <n v="3.0"/>
        <n v="2.0"/>
        <n v="1.0"/>
      </sharedItems>
    </cacheField>
    <cacheField name="Pontuação Anual Final" numFmtId="166">
      <sharedItems containsSemiMixedTypes="0" containsString="0" containsNumber="1">
        <n v="3.2627536299999997"/>
        <n v="2.26211311"/>
        <n v="2.16267278"/>
        <n v="2.14333322"/>
        <n v="2.13243271"/>
        <n v="2.013504"/>
        <n v="2.00333317"/>
        <n v="2.00300333"/>
        <n v="1.04400417"/>
        <n v="1.04371429"/>
        <n v="1.0435045"/>
        <n v="1.04314457"/>
        <n v="1.04271371"/>
        <n v="1.04250288"/>
        <n v="1.0235035"/>
        <n v="1.02263275"/>
        <n v="1.02167333"/>
        <n v="1.012863"/>
        <n v="3.38333233"/>
        <n v="2.2536326300000002"/>
        <n v="2.11429329"/>
        <n v="2.164133"/>
        <n v="2.163753"/>
        <n v="2.0235025"/>
        <n v="2.11286229"/>
        <n v="2.0046026"/>
        <n v="1.004172"/>
        <n v="1.0032024"/>
        <n v="1.0026022"/>
        <n v="1.02367267"/>
        <n v="1.00363275"/>
        <n v="1.002862"/>
        <n v="3.24329229"/>
        <n v="2.23333233"/>
        <n v="2.103602"/>
        <n v="2.14329214"/>
        <n v="2.11238125"/>
        <n v="2.0038315"/>
        <n v="2.002601"/>
        <n v="2.002001"/>
        <n v="1.04350317"/>
        <n v="1.04300243"/>
        <n v="1.023712"/>
        <n v="1.00333167"/>
        <n v="1.003201"/>
        <n v="3.26313325"/>
        <n v="2.26356244"/>
        <n v="2.103002"/>
        <n v="2.16388363"/>
        <n v="2.16289333"/>
        <n v="2.16257314"/>
        <n v="2.0340032"/>
        <n v="1.13344133"/>
        <n v="1.0031725"/>
        <n v="1.00383133"/>
        <n v="1.00367183"/>
        <n v="1.0034018"/>
        <n v="1.00300283"/>
        <n v="1.10257157"/>
        <n v="1.04357486"/>
        <n v="1.043574"/>
        <n v="1.04300429"/>
        <n v="1.02367333"/>
        <n v="1.02363275"/>
        <n v="1.02238225"/>
        <n v="1.003002"/>
        <n v="1.00286157"/>
        <n v="3.36363188"/>
        <n v="2.24363225"/>
        <n v="2.2326315"/>
        <n v="2.14314243"/>
        <n v="2.02350213"/>
        <n v="2.0043315"/>
        <n v="2.00317117"/>
        <n v="2.00267083"/>
        <n v="1.1240025"/>
        <n v="1.11229071"/>
        <n v="1.004672"/>
        <n v="1.004502"/>
        <n v="1.00300133"/>
        <n v="1.00250167"/>
        <n v="1.0016705"/>
        <n v="1.03433233"/>
        <n v="1.00317083"/>
        <n v="1.0030008"/>
        <n v="3.243383"/>
        <n v="2.2623825"/>
        <n v="2.24363263"/>
        <n v="2.23167156"/>
        <n v="2.13229257"/>
        <n v="2.131881"/>
        <n v="2.12275238"/>
        <n v="2.112562"/>
        <n v="1.10238138"/>
        <n v="1.04386329"/>
        <n v="1.02271271"/>
        <n v="1.01257229"/>
        <n v="1.0120015"/>
        <n v="1.00213113"/>
        <n v="1.00200083"/>
        <n v="1.00189144"/>
        <n v="1.00129043"/>
        <n v="1.0"/>
        <n v="3.36267289"/>
        <n v="2.23278256"/>
        <n v="2.23138125"/>
        <n v="2.131671"/>
        <n v="2.0130045"/>
        <n v="2.06329443"/>
        <n v="2.06329429"/>
        <n v="2.06300471"/>
        <n v="1.12313288"/>
        <n v="1.10214129"/>
        <n v="1.043144"/>
        <n v="1.04313375"/>
        <n v="1.042884"/>
        <n v="1.03333333"/>
        <n v="1.0027515"/>
        <n v="1.0021315"/>
        <n v="1.00300167"/>
        <n v="1.00257129"/>
        <n v="1.00214086"/>
        <n v="1.002131"/>
        <n v="3.26322344"/>
        <n v="2.13317383"/>
        <n v="2.23175113"/>
        <n v="2.10217067"/>
        <n v="2.16288338"/>
        <n v="2.13233211"/>
        <n v="2.0134044"/>
        <n v="2.06457386"/>
        <n v="1.06457386"/>
        <n v="1.1236325"/>
        <n v="1.12333178"/>
        <n v="1.12325225"/>
        <n v="1.112441"/>
        <n v="1.00367167"/>
        <n v="1.0030006"/>
        <n v="1.00267083"/>
        <n v="1.002501"/>
        <n v="1.02411289"/>
        <n v="1.02322189"/>
        <n v="1.013335"/>
        <n v="1.00275075"/>
        <n v="1.00250138"/>
        <n v="1.0024314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ERFORMANCE JOGADORES X DECKS" cacheId="0" dataCaption="" rowGrandTotals="0" compact="0" compactData="0">
  <location ref="A1:E170" firstHeaderRow="0" firstDataRow="3" firstDataCol="0"/>
  <pivotFields>
    <pivotField name="Chave Mes Jog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Liga Ano" compact="0" outline="0" multipleItemSelectionAllowed="1" showAll="0">
      <items>
        <item x="0"/>
        <item t="default"/>
      </items>
    </pivotField>
    <pivotField name="Etapa Li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locação 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JOGADOR" axis="axisRow" compact="0" outline="0" multipleItemSelectionAllowed="1" showAll="0" sortType="ascending">
      <items>
        <item x="49"/>
        <item x="27"/>
        <item x="8"/>
        <item x="7"/>
        <item x="33"/>
        <item x="35"/>
        <item x="48"/>
        <item x="28"/>
        <item x="34"/>
        <item x="5"/>
        <item x="12"/>
        <item x="53"/>
        <item x="20"/>
        <item x="13"/>
        <item x="10"/>
        <item x="4"/>
        <item x="54"/>
        <item x="22"/>
        <item x="44"/>
        <item x="38"/>
        <item x="0"/>
        <item x="25"/>
        <item x="17"/>
        <item x="40"/>
        <item x="36"/>
        <item x="32"/>
        <item x="23"/>
        <item x="18"/>
        <item x="19"/>
        <item x="31"/>
        <item x="2"/>
        <item x="11"/>
        <item x="16"/>
        <item x="46"/>
        <item x="26"/>
        <item x="43"/>
        <item x="55"/>
        <item x="14"/>
        <item x="29"/>
        <item x="15"/>
        <item x="1"/>
        <item x="45"/>
        <item x="39"/>
        <item x="41"/>
        <item x="50"/>
        <item x="21"/>
        <item x="30"/>
        <item x="51"/>
        <item x="47"/>
        <item x="3"/>
        <item x="37"/>
        <item x="42"/>
        <item x="24"/>
        <item x="52"/>
        <item x="9"/>
        <item x="6"/>
        <item t="default"/>
      </items>
    </pivotField>
    <pivotField name="DECK UTILIZAD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EMP Pont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MP &#10;TB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P &#10;TB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EMP &#10;TB3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esempate TB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Vitórias" dataField="1" compact="0" outline="0" multipleItemSelectionAllowed="1" showAll="0">
      <items>
        <item x="0"/>
        <item x="1"/>
        <item x="2"/>
        <item x="3"/>
        <item t="default"/>
      </items>
    </pivotField>
    <pivotField name="Empates" dataField="1" compact="0" outline="0" multipleItemSelectionAllowed="1" showAll="0">
      <items>
        <item x="0"/>
        <item x="1"/>
        <item x="2"/>
        <item x="3"/>
        <item t="default"/>
      </items>
    </pivotField>
    <pivotField name="Derrotas" dataField="1" compact="0" outline="0" multipleItemSelectionAllowed="1" showAll="0">
      <items>
        <item x="0"/>
        <item x="1"/>
        <item x="2"/>
        <item x="3"/>
        <item t="default"/>
      </items>
    </pivotField>
    <pivotField name="De/Para Pontuação Anual" compact="0" outline="0" multipleItemSelectionAllowed="1" showAll="0">
      <items>
        <item x="0"/>
        <item x="1"/>
        <item x="2"/>
        <item t="default"/>
      </items>
    </pivotField>
    <pivotField name="Pontuação Anual Fin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</pivotFields>
  <rowFields>
    <field x="4"/>
    <field x="5"/>
  </rowFields>
  <colFields>
    <field x="-2"/>
  </colFields>
  <dataFields>
    <dataField name="Nº VITÓRIAS" fld="11" baseField="0"/>
    <dataField name="Nº EMPATES" fld="12" baseField="0"/>
    <dataField name="Nº DERROTAS" fld="13" baseField="0"/>
  </dataFields>
</pivotTableDefinition>
</file>

<file path=xl/pivotTables/pivotTable2.xml><?xml version="1.0" encoding="utf-8"?>
<pivotTableDefinition xmlns="http://schemas.openxmlformats.org/spreadsheetml/2006/main" name="PERFORMANCE DECKS X JOGADORES" cacheId="0" dataCaption="" rowGrandTotals="0" compact="0" compactData="0">
  <location ref="A1:E168" firstHeaderRow="0" firstDataRow="3" firstDataCol="0"/>
  <pivotFields>
    <pivotField name="Chave Mes Jog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Liga Ano" compact="0" outline="0" multipleItemSelectionAllowed="1" showAll="0">
      <items>
        <item x="0"/>
        <item t="default"/>
      </items>
    </pivotField>
    <pivotField name="Etapa Li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locação E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JOGADOR" axis="axisRow" compact="0" outline="0" multipleItemSelectionAllowed="1" showAll="0" sortType="ascending">
      <items>
        <item x="49"/>
        <item x="27"/>
        <item x="8"/>
        <item x="7"/>
        <item x="33"/>
        <item x="35"/>
        <item x="48"/>
        <item x="28"/>
        <item x="34"/>
        <item x="5"/>
        <item x="12"/>
        <item x="53"/>
        <item x="20"/>
        <item x="13"/>
        <item x="10"/>
        <item x="4"/>
        <item x="54"/>
        <item x="22"/>
        <item x="44"/>
        <item x="38"/>
        <item x="0"/>
        <item x="25"/>
        <item x="17"/>
        <item x="40"/>
        <item x="36"/>
        <item x="32"/>
        <item x="23"/>
        <item x="18"/>
        <item x="19"/>
        <item x="31"/>
        <item x="2"/>
        <item x="11"/>
        <item x="16"/>
        <item x="46"/>
        <item x="26"/>
        <item x="43"/>
        <item x="55"/>
        <item x="14"/>
        <item x="29"/>
        <item x="15"/>
        <item x="1"/>
        <item x="45"/>
        <item x="39"/>
        <item x="41"/>
        <item x="50"/>
        <item x="21"/>
        <item x="30"/>
        <item x="51"/>
        <item x="47"/>
        <item x="3"/>
        <item x="37"/>
        <item x="42"/>
        <item x="24"/>
        <item x="52"/>
        <item x="9"/>
        <item x="6"/>
        <item t="default"/>
      </items>
    </pivotField>
    <pivotField name="DECK UTILIZAD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EMP Pont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MP &#10;TB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MP &#10;TB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EMP &#10;TB3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Desempate TB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Vitórias" dataField="1" compact="0" outline="0" multipleItemSelectionAllowed="1" showAll="0">
      <items>
        <item x="0"/>
        <item x="1"/>
        <item x="2"/>
        <item x="3"/>
        <item t="default"/>
      </items>
    </pivotField>
    <pivotField name="Empates" dataField="1" compact="0" outline="0" multipleItemSelectionAllowed="1" showAll="0">
      <items>
        <item x="0"/>
        <item x="1"/>
        <item x="2"/>
        <item x="3"/>
        <item t="default"/>
      </items>
    </pivotField>
    <pivotField name="Derrotas" dataField="1" compact="0" outline="0" multipleItemSelectionAllowed="1" showAll="0">
      <items>
        <item x="0"/>
        <item x="1"/>
        <item x="2"/>
        <item x="3"/>
        <item t="default"/>
      </items>
    </pivotField>
    <pivotField name="De/Para Pontuação Anual" compact="0" outline="0" multipleItemSelectionAllowed="1" showAll="0">
      <items>
        <item x="0"/>
        <item x="1"/>
        <item x="2"/>
        <item t="default"/>
      </items>
    </pivotField>
    <pivotField name="Pontuação Anual Fin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</pivotFields>
  <rowFields>
    <field x="5"/>
    <field x="4"/>
  </rowFields>
  <colFields>
    <field x="-2"/>
  </colFields>
  <dataFields>
    <dataField name="Nº VITÓRIAS" fld="11" baseField="0"/>
    <dataField name="Nº EMPATES" fld="12" baseField="0"/>
    <dataField name="Nº DERROTAS" fld="13" baseField="0"/>
  </dataFields>
</pivotTableDefinition>
</file>

<file path=xl/tables/table1.xml><?xml version="1.0" encoding="utf-8"?>
<table xmlns="http://schemas.openxmlformats.org/spreadsheetml/2006/main" ref="A3:K237" displayName="Table_1" name="Table_1" id="1">
  <tableColumns count="11">
    <tableColumn name="Ranking" id="1"/>
    <tableColumn name="Jogador" id="2"/>
    <tableColumn name="Pontuação Total Final" id="3"/>
    <tableColumn name="Pontuação Eventos" id="4"/>
    <tableColumn name="TB1 Médio" id="5"/>
    <tableColumn name="TB2 Médio" id="6"/>
    <tableColumn name="TB3 Médio" id="7"/>
    <tableColumn name="Vitórias" id="8"/>
    <tableColumn name="Empates" id="9"/>
    <tableColumn name="Derrotas" id="10"/>
    <tableColumn name="% Win Rate" id="11"/>
  </tableColumns>
  <tableStyleInfo name="RANKING ANUAL JOGADORES-style" showColumnStripes="0" showFirstColumn="1" showLastColumn="1" showRowStripes="1"/>
</table>
</file>

<file path=xl/tables/table2.xml><?xml version="1.0" encoding="utf-8"?>
<table xmlns="http://schemas.openxmlformats.org/spreadsheetml/2006/main" ref="A5:H999" displayName="Table_2" name="Table_2" id="2">
  <tableColumns count="8">
    <tableColumn name="Nome Deck" id="1"/>
    <tableColumn name="Partidas Jogadas" id="2"/>
    <tableColumn name="Pontos Alcançados" id="3"/>
    <tableColumn name="Vitórias" id="4"/>
    <tableColumn name="Empates" id="5"/>
    <tableColumn name="Derrotas" id="6"/>
    <tableColumn name="% Win Rate" id="7"/>
    <tableColumn name="Risco de Banimento" id="8"/>
  </tableColumns>
  <tableStyleInfo name="RANKING DECKS-style" showColumnStripes="0" showFirstColumn="1" showLastColumn="1" showRowStripes="1"/>
</table>
</file>

<file path=xl/tables/table3.xml><?xml version="1.0" encoding="utf-8"?>
<table xmlns="http://schemas.openxmlformats.org/spreadsheetml/2006/main" ref="A1:F170" displayName="Table_3" name="Table_3" id="3">
  <tableColumns count="6">
    <tableColumn name="JOGADOR" id="1"/>
    <tableColumn name="DECK UTILIZADO" id="2"/>
    <tableColumn name="Nº VITÓRIAS" id="3"/>
    <tableColumn name="Nº EMPATES" id="4"/>
    <tableColumn name="Nº DERROTAS" id="5"/>
    <tableColumn name="% WR" id="6"/>
  </tableColumns>
  <tableStyleInfo name="PERFORMANCE JOGADORES X DECKS-style" showColumnStripes="0" showFirstColumn="1" showLastColumn="1" showRowStripes="1"/>
</table>
</file>

<file path=xl/tables/table4.xml><?xml version="1.0" encoding="utf-8"?>
<table xmlns="http://schemas.openxmlformats.org/spreadsheetml/2006/main" ref="A1:F170" displayName="Table_4" name="Table_4" id="4">
  <tableColumns count="6">
    <tableColumn name="DECK UTILIZADO" id="1"/>
    <tableColumn name="JOGADOR" id="2"/>
    <tableColumn name="Nº VITÓRIAS" id="3"/>
    <tableColumn name="Nº EMPATES" id="4"/>
    <tableColumn name="Nº DERROTAS" id="5"/>
    <tableColumn name="% WR" id="6"/>
  </tableColumns>
  <tableStyleInfo name="PERFORMANCE DECKS X JOGA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ufQoz035dY_SW5eAxKyK9jDvO6BcTIhZFShmtaw4mbo/edit?gid=0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fQoz035dY_SW5eAxKyK9jDvO6BcTIhZFShmtaw4mbo/edit?gid=0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Relationship Id="rId4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Relationship Id="rId4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38"/>
    <col customWidth="1" min="2" max="2" width="19.38"/>
    <col customWidth="1" min="3" max="3" width="16.0"/>
    <col customWidth="1" min="4" max="4" width="14.5"/>
    <col customWidth="1" min="5" max="9" width="10.88"/>
    <col customWidth="1" min="10" max="11" width="13.63"/>
  </cols>
  <sheetData>
    <row r="1">
      <c r="A1" s="1" t="s">
        <v>0</v>
      </c>
      <c r="C1" s="2"/>
      <c r="D1" s="3"/>
      <c r="E1" s="4" t="s">
        <v>1</v>
      </c>
    </row>
    <row r="2">
      <c r="A2" s="3"/>
      <c r="B2" s="5"/>
      <c r="C2" s="2"/>
      <c r="D2" s="6"/>
      <c r="E2" s="6"/>
      <c r="F2" s="6"/>
      <c r="G2" s="6"/>
      <c r="H2" s="6"/>
      <c r="I2" s="6"/>
      <c r="J2" s="6"/>
      <c r="K2" s="6"/>
    </row>
    <row r="3" ht="67.5" customHeight="1">
      <c r="A3" s="7" t="str">
        <f>IFERROR(__xludf.DUMMYFUNCTION("IMPORTRANGE(""https://docs.google.com/spreadsheets/d/1a0LQVvC7fbgDeBJKsHxrCV4h_m3RijC2QSYwdDga1WU/edit?gid=388049081#gid=388049081"",""Ranking Anual!B:L"")"),"Ranking")</f>
        <v>Ranking</v>
      </c>
      <c r="B3" s="7" t="str">
        <f>IFERROR(__xludf.DUMMYFUNCTION("""COMPUTED_VALUE"""),"Jogador")</f>
        <v>Jogador</v>
      </c>
      <c r="C3" s="8" t="str">
        <f>IFERROR(__xludf.DUMMYFUNCTION("""COMPUTED_VALUE"""),"Pontuação Total Final")</f>
        <v>Pontuação Total Final</v>
      </c>
      <c r="D3" s="9" t="str">
        <f>IFERROR(__xludf.DUMMYFUNCTION("""COMPUTED_VALUE"""),"Pontuação Eventos")</f>
        <v>Pontuação Eventos</v>
      </c>
      <c r="E3" s="9" t="str">
        <f>IFERROR(__xludf.DUMMYFUNCTION("""COMPUTED_VALUE"""),"TB1 Médio")</f>
        <v>TB1 Médio</v>
      </c>
      <c r="F3" s="9" t="str">
        <f>IFERROR(__xludf.DUMMYFUNCTION("""COMPUTED_VALUE"""),"TB2 Médio")</f>
        <v>TB2 Médio</v>
      </c>
      <c r="G3" s="9" t="str">
        <f>IFERROR(__xludf.DUMMYFUNCTION("""COMPUTED_VALUE"""),"TB3 Médio")</f>
        <v>TB3 Médio</v>
      </c>
      <c r="H3" s="10" t="str">
        <f>IFERROR(__xludf.DUMMYFUNCTION("""COMPUTED_VALUE"""),"Vitórias")</f>
        <v>Vitórias</v>
      </c>
      <c r="I3" s="10" t="str">
        <f>IFERROR(__xludf.DUMMYFUNCTION("""COMPUTED_VALUE"""),"Empates")</f>
        <v>Empates</v>
      </c>
      <c r="J3" s="10" t="str">
        <f>IFERROR(__xludf.DUMMYFUNCTION("""COMPUTED_VALUE"""),"Derrotas")</f>
        <v>Derrotas</v>
      </c>
      <c r="K3" s="7" t="str">
        <f>IFERROR(__xludf.DUMMYFUNCTION("""COMPUTED_VALUE"""),"% Win Rate")</f>
        <v>% Win Rate</v>
      </c>
    </row>
    <row r="4">
      <c r="A4" s="11" t="str">
        <f>IFERROR(__xludf.DUMMYFUNCTION("""COMPUTED_VALUE"""),"1º")</f>
        <v>1º</v>
      </c>
      <c r="B4" s="12" t="str">
        <f>IFERROR(__xludf.DUMMYFUNCTION("""COMPUTED_VALUE"""),"Morkan")</f>
        <v>Morkan</v>
      </c>
      <c r="C4" s="13">
        <f>IFERROR(__xludf.DUMMYFUNCTION("""COMPUTED_VALUE"""),14.053782902930001)</f>
        <v>14.0537829</v>
      </c>
      <c r="D4" s="14">
        <f>IFERROR(__xludf.DUMMYFUNCTION("""COMPUTED_VALUE"""),14.0)</f>
        <v>14</v>
      </c>
      <c r="E4" s="14">
        <f>IFERROR(__xludf.DUMMYFUNCTION("""COMPUTED_VALUE"""),3.78)</f>
        <v>3.78</v>
      </c>
      <c r="F4" s="14">
        <f>IFERROR(__xludf.DUMMYFUNCTION("""COMPUTED_VALUE"""),2.9)</f>
        <v>2.9</v>
      </c>
      <c r="G4" s="14">
        <f>IFERROR(__xludf.DUMMYFUNCTION("""COMPUTED_VALUE"""),2.93)</f>
        <v>2.93</v>
      </c>
      <c r="H4" s="15">
        <f>IFERROR(__xludf.DUMMYFUNCTION("""COMPUTED_VALUE"""),5.0)</f>
        <v>5</v>
      </c>
      <c r="I4" s="15">
        <f>IFERROR(__xludf.DUMMYFUNCTION("""COMPUTED_VALUE"""),13.0)</f>
        <v>13</v>
      </c>
      <c r="J4" s="15">
        <f>IFERROR(__xludf.DUMMYFUNCTION("""COMPUTED_VALUE"""),9.0)</f>
        <v>9</v>
      </c>
      <c r="K4" s="16">
        <f>IFERROR(__xludf.DUMMYFUNCTION("""COMPUTED_VALUE"""),0.18518518518518517)</f>
        <v>0.1851851852</v>
      </c>
    </row>
    <row r="5">
      <c r="A5" s="11" t="str">
        <f>IFERROR(__xludf.DUMMYFUNCTION("""COMPUTED_VALUE"""),"2º")</f>
        <v>2º</v>
      </c>
      <c r="B5" s="12" t="str">
        <f>IFERROR(__xludf.DUMMYFUNCTION("""COMPUTED_VALUE"""),"Fabio C")</f>
        <v>Fabio C</v>
      </c>
      <c r="C5" s="13">
        <f>IFERROR(__xludf.DUMMYFUNCTION("""COMPUTED_VALUE"""),13.083333233080001)</f>
        <v>13.08333323</v>
      </c>
      <c r="D5" s="14">
        <f>IFERROR(__xludf.DUMMYFUNCTION("""COMPUTED_VALUE"""),13.0)</f>
        <v>13</v>
      </c>
      <c r="E5" s="14">
        <f>IFERROR(__xludf.DUMMYFUNCTION("""COMPUTED_VALUE"""),3.33)</f>
        <v>3.33</v>
      </c>
      <c r="F5" s="14">
        <f>IFERROR(__xludf.DUMMYFUNCTION("""COMPUTED_VALUE"""),3.23)</f>
        <v>3.23</v>
      </c>
      <c r="G5" s="14">
        <f>IFERROR(__xludf.DUMMYFUNCTION("""COMPUTED_VALUE"""),3.08)</f>
        <v>3.08</v>
      </c>
      <c r="H5" s="15">
        <f>IFERROR(__xludf.DUMMYFUNCTION("""COMPUTED_VALUE"""),8.0)</f>
        <v>8</v>
      </c>
      <c r="I5" s="15">
        <f>IFERROR(__xludf.DUMMYFUNCTION("""COMPUTED_VALUE"""),9.0)</f>
        <v>9</v>
      </c>
      <c r="J5" s="15">
        <f>IFERROR(__xludf.DUMMYFUNCTION("""COMPUTED_VALUE"""),11.0)</f>
        <v>11</v>
      </c>
      <c r="K5" s="16">
        <f>IFERROR(__xludf.DUMMYFUNCTION("""COMPUTED_VALUE"""),0.2857142857142857)</f>
        <v>0.2857142857</v>
      </c>
    </row>
    <row r="6">
      <c r="A6" s="11" t="str">
        <f>IFERROR(__xludf.DUMMYFUNCTION("""COMPUTED_VALUE"""),"3º")</f>
        <v>3º</v>
      </c>
      <c r="B6" s="12" t="str">
        <f>IFERROR(__xludf.DUMMYFUNCTION("""COMPUTED_VALUE"""),"Crothen")</f>
        <v>Crothen</v>
      </c>
      <c r="C6" s="13">
        <f>IFERROR(__xludf.DUMMYFUNCTION("""COMPUTED_VALUE"""),13.053003422780002)</f>
        <v>13.05300342</v>
      </c>
      <c r="D6" s="14">
        <f>IFERROR(__xludf.DUMMYFUNCTION("""COMPUTED_VALUE"""),13.0)</f>
        <v>13</v>
      </c>
      <c r="E6" s="14">
        <f>IFERROR(__xludf.DUMMYFUNCTION("""COMPUTED_VALUE"""),3.0)</f>
        <v>3</v>
      </c>
      <c r="F6" s="14">
        <f>IFERROR(__xludf.DUMMYFUNCTION("""COMPUTED_VALUE"""),3.42)</f>
        <v>3.42</v>
      </c>
      <c r="G6" s="14">
        <f>IFERROR(__xludf.DUMMYFUNCTION("""COMPUTED_VALUE"""),2.78)</f>
        <v>2.78</v>
      </c>
      <c r="H6" s="15">
        <f>IFERROR(__xludf.DUMMYFUNCTION("""COMPUTED_VALUE"""),5.0)</f>
        <v>5</v>
      </c>
      <c r="I6" s="15">
        <f>IFERROR(__xludf.DUMMYFUNCTION("""COMPUTED_VALUE"""),11.0)</f>
        <v>11</v>
      </c>
      <c r="J6" s="15">
        <f>IFERROR(__xludf.DUMMYFUNCTION("""COMPUTED_VALUE"""),11.0)</f>
        <v>11</v>
      </c>
      <c r="K6" s="16">
        <f>IFERROR(__xludf.DUMMYFUNCTION("""COMPUTED_VALUE"""),0.18518518518518517)</f>
        <v>0.1851851852</v>
      </c>
    </row>
    <row r="7">
      <c r="A7" s="11" t="str">
        <f>IFERROR(__xludf.DUMMYFUNCTION("""COMPUTED_VALUE"""),"4º")</f>
        <v>4º</v>
      </c>
      <c r="B7" s="12" t="str">
        <f>IFERROR(__xludf.DUMMYFUNCTION("""COMPUTED_VALUE"""),"Yasmin")</f>
        <v>Yasmin</v>
      </c>
      <c r="C7" s="13">
        <f>IFERROR(__xludf.DUMMYFUNCTION("""COMPUTED_VALUE"""),13.03167335259)</f>
        <v>13.03167335</v>
      </c>
      <c r="D7" s="14">
        <f>IFERROR(__xludf.DUMMYFUNCTION("""COMPUTED_VALUE"""),13.0)</f>
        <v>13</v>
      </c>
      <c r="E7" s="14">
        <f>IFERROR(__xludf.DUMMYFUNCTION("""COMPUTED_VALUE"""),1.67)</f>
        <v>1.67</v>
      </c>
      <c r="F7" s="14">
        <f>IFERROR(__xludf.DUMMYFUNCTION("""COMPUTED_VALUE"""),3.35)</f>
        <v>3.35</v>
      </c>
      <c r="G7" s="14">
        <f>IFERROR(__xludf.DUMMYFUNCTION("""COMPUTED_VALUE"""),2.59)</f>
        <v>2.59</v>
      </c>
      <c r="H7" s="15">
        <f>IFERROR(__xludf.DUMMYFUNCTION("""COMPUTED_VALUE"""),3.0)</f>
        <v>3</v>
      </c>
      <c r="I7" s="15">
        <f>IFERROR(__xludf.DUMMYFUNCTION("""COMPUTED_VALUE"""),6.0)</f>
        <v>6</v>
      </c>
      <c r="J7" s="15">
        <f>IFERROR(__xludf.DUMMYFUNCTION("""COMPUTED_VALUE"""),15.0)</f>
        <v>15</v>
      </c>
      <c r="K7" s="16">
        <f>IFERROR(__xludf.DUMMYFUNCTION("""COMPUTED_VALUE"""),0.125)</f>
        <v>0.125</v>
      </c>
    </row>
    <row r="8">
      <c r="A8" s="11" t="str">
        <f>IFERROR(__xludf.DUMMYFUNCTION("""COMPUTED_VALUE"""),"5º")</f>
        <v>5º</v>
      </c>
      <c r="B8" s="12" t="str">
        <f>IFERROR(__xludf.DUMMYFUNCTION("""COMPUTED_VALUE"""),"Erickpd")</f>
        <v>Erickpd</v>
      </c>
      <c r="C8" s="13">
        <f>IFERROR(__xludf.DUMMYFUNCTION("""COMPUTED_VALUE"""),11.07275292289)</f>
        <v>11.07275292</v>
      </c>
      <c r="D8" s="14">
        <f>IFERROR(__xludf.DUMMYFUNCTION("""COMPUTED_VALUE"""),11.0)</f>
        <v>11</v>
      </c>
      <c r="E8" s="14">
        <f>IFERROR(__xludf.DUMMYFUNCTION("""COMPUTED_VALUE"""),2.75)</f>
        <v>2.75</v>
      </c>
      <c r="F8" s="14">
        <f>IFERROR(__xludf.DUMMYFUNCTION("""COMPUTED_VALUE"""),2.92)</f>
        <v>2.92</v>
      </c>
      <c r="G8" s="14">
        <f>IFERROR(__xludf.DUMMYFUNCTION("""COMPUTED_VALUE"""),2.89)</f>
        <v>2.89</v>
      </c>
      <c r="H8" s="15">
        <f>IFERROR(__xludf.DUMMYFUNCTION("""COMPUTED_VALUE"""),7.0)</f>
        <v>7</v>
      </c>
      <c r="I8" s="15">
        <f>IFERROR(__xludf.DUMMYFUNCTION("""COMPUTED_VALUE"""),7.0)</f>
        <v>7</v>
      </c>
      <c r="J8" s="15">
        <f>IFERROR(__xludf.DUMMYFUNCTION("""COMPUTED_VALUE"""),9.0)</f>
        <v>9</v>
      </c>
      <c r="K8" s="16">
        <f>IFERROR(__xludf.DUMMYFUNCTION("""COMPUTED_VALUE"""),0.30434782608695654)</f>
        <v>0.3043478261</v>
      </c>
    </row>
    <row r="9">
      <c r="A9" s="11" t="str">
        <f>IFERROR(__xludf.DUMMYFUNCTION("""COMPUTED_VALUE"""),"6º")</f>
        <v>6º</v>
      </c>
      <c r="B9" s="12" t="str">
        <f>IFERROR(__xludf.DUMMYFUNCTION("""COMPUTED_VALUE"""),"Campera")</f>
        <v>Campera</v>
      </c>
      <c r="C9" s="13">
        <f>IFERROR(__xludf.DUMMYFUNCTION("""COMPUTED_VALUE"""),11.032503092719999)</f>
        <v>11.03250309</v>
      </c>
      <c r="D9" s="14">
        <f>IFERROR(__xludf.DUMMYFUNCTION("""COMPUTED_VALUE"""),11.0)</f>
        <v>11</v>
      </c>
      <c r="E9" s="14">
        <f>IFERROR(__xludf.DUMMYFUNCTION("""COMPUTED_VALUE"""),2.5)</f>
        <v>2.5</v>
      </c>
      <c r="F9" s="14">
        <f>IFERROR(__xludf.DUMMYFUNCTION("""COMPUTED_VALUE"""),3.09)</f>
        <v>3.09</v>
      </c>
      <c r="G9" s="14">
        <f>IFERROR(__xludf.DUMMYFUNCTION("""COMPUTED_VALUE"""),2.72)</f>
        <v>2.72</v>
      </c>
      <c r="H9" s="15">
        <f>IFERROR(__xludf.DUMMYFUNCTION("""COMPUTED_VALUE"""),3.0)</f>
        <v>3</v>
      </c>
      <c r="I9" s="15">
        <f>IFERROR(__xludf.DUMMYFUNCTION("""COMPUTED_VALUE"""),8.0)</f>
        <v>8</v>
      </c>
      <c r="J9" s="15">
        <f>IFERROR(__xludf.DUMMYFUNCTION("""COMPUTED_VALUE"""),13.0)</f>
        <v>13</v>
      </c>
      <c r="K9" s="16">
        <f>IFERROR(__xludf.DUMMYFUNCTION("""COMPUTED_VALUE"""),0.125)</f>
        <v>0.125</v>
      </c>
    </row>
    <row r="10">
      <c r="A10" s="11" t="str">
        <f>IFERROR(__xludf.DUMMYFUNCTION("""COMPUTED_VALUE"""),"7º")</f>
        <v>7º</v>
      </c>
      <c r="B10" s="12" t="str">
        <f>IFERROR(__xludf.DUMMYFUNCTION("""COMPUTED_VALUE"""),"Lanna")</f>
        <v>Lanna</v>
      </c>
      <c r="C10" s="13">
        <f>IFERROR(__xludf.DUMMYFUNCTION("""COMPUTED_VALUE"""),10.032143192789999)</f>
        <v>10.03214319</v>
      </c>
      <c r="D10" s="14">
        <f>IFERROR(__xludf.DUMMYFUNCTION("""COMPUTED_VALUE"""),10.0)</f>
        <v>10</v>
      </c>
      <c r="E10" s="14">
        <f>IFERROR(__xludf.DUMMYFUNCTION("""COMPUTED_VALUE"""),2.14)</f>
        <v>2.14</v>
      </c>
      <c r="F10" s="14">
        <f>IFERROR(__xludf.DUMMYFUNCTION("""COMPUTED_VALUE"""),3.19)</f>
        <v>3.19</v>
      </c>
      <c r="G10" s="14">
        <f>IFERROR(__xludf.DUMMYFUNCTION("""COMPUTED_VALUE"""),2.79)</f>
        <v>2.79</v>
      </c>
      <c r="H10" s="15">
        <f>IFERROR(__xludf.DUMMYFUNCTION("""COMPUTED_VALUE"""),3.0)</f>
        <v>3</v>
      </c>
      <c r="I10" s="15">
        <f>IFERROR(__xludf.DUMMYFUNCTION("""COMPUTED_VALUE"""),6.0)</f>
        <v>6</v>
      </c>
      <c r="J10" s="15">
        <f>IFERROR(__xludf.DUMMYFUNCTION("""COMPUTED_VALUE"""),7.0)</f>
        <v>7</v>
      </c>
      <c r="K10" s="16">
        <f>IFERROR(__xludf.DUMMYFUNCTION("""COMPUTED_VALUE"""),0.1875)</f>
        <v>0.1875</v>
      </c>
    </row>
    <row r="11">
      <c r="A11" s="11" t="str">
        <f>IFERROR(__xludf.DUMMYFUNCTION("""COMPUTED_VALUE"""),"8º")</f>
        <v>8º</v>
      </c>
      <c r="B11" s="12" t="str">
        <f>IFERROR(__xludf.DUMMYFUNCTION("""COMPUTED_VALUE"""),"TendiNietzsche")</f>
        <v>TendiNietzsche</v>
      </c>
      <c r="C11" s="13">
        <f>IFERROR(__xludf.DUMMYFUNCTION("""COMPUTED_VALUE"""),10.0320028625)</f>
        <v>10.03200286</v>
      </c>
      <c r="D11" s="14">
        <f>IFERROR(__xludf.DUMMYFUNCTION("""COMPUTED_VALUE"""),10.0)</f>
        <v>10</v>
      </c>
      <c r="E11" s="14">
        <f>IFERROR(__xludf.DUMMYFUNCTION("""COMPUTED_VALUE"""),2.0)</f>
        <v>2</v>
      </c>
      <c r="F11" s="14">
        <f>IFERROR(__xludf.DUMMYFUNCTION("""COMPUTED_VALUE"""),2.86)</f>
        <v>2.86</v>
      </c>
      <c r="G11" s="14">
        <f>IFERROR(__xludf.DUMMYFUNCTION("""COMPUTED_VALUE"""),2.5)</f>
        <v>2.5</v>
      </c>
      <c r="H11" s="15">
        <f>IFERROR(__xludf.DUMMYFUNCTION("""COMPUTED_VALUE"""),3.0)</f>
        <v>3</v>
      </c>
      <c r="I11" s="15">
        <f>IFERROR(__xludf.DUMMYFUNCTION("""COMPUTED_VALUE"""),7.0)</f>
        <v>7</v>
      </c>
      <c r="J11" s="15">
        <f>IFERROR(__xludf.DUMMYFUNCTION("""COMPUTED_VALUE"""),11.0)</f>
        <v>11</v>
      </c>
      <c r="K11" s="16">
        <f>IFERROR(__xludf.DUMMYFUNCTION("""COMPUTED_VALUE"""),0.14285714285714285)</f>
        <v>0.1428571429</v>
      </c>
    </row>
    <row r="12">
      <c r="A12" s="11" t="str">
        <f>IFERROR(__xludf.DUMMYFUNCTION("""COMPUTED_VALUE"""),"9º")</f>
        <v>9º</v>
      </c>
      <c r="B12" s="12" t="str">
        <f>IFERROR(__xludf.DUMMYFUNCTION("""COMPUTED_VALUE"""),"Bydo")</f>
        <v>Bydo</v>
      </c>
      <c r="C12" s="13">
        <f>IFERROR(__xludf.DUMMYFUNCTION("""COMPUTED_VALUE"""),9.05560316382)</f>
        <v>9.055603164</v>
      </c>
      <c r="D12" s="14">
        <f>IFERROR(__xludf.DUMMYFUNCTION("""COMPUTED_VALUE"""),9.0)</f>
        <v>9</v>
      </c>
      <c r="E12" s="14">
        <f>IFERROR(__xludf.DUMMYFUNCTION("""COMPUTED_VALUE"""),5.6)</f>
        <v>5.6</v>
      </c>
      <c r="F12" s="14">
        <f>IFERROR(__xludf.DUMMYFUNCTION("""COMPUTED_VALUE"""),3.16)</f>
        <v>3.16</v>
      </c>
      <c r="G12" s="14">
        <f>IFERROR(__xludf.DUMMYFUNCTION("""COMPUTED_VALUE"""),3.82)</f>
        <v>3.82</v>
      </c>
      <c r="H12" s="15">
        <f>IFERROR(__xludf.DUMMYFUNCTION("""COMPUTED_VALUE"""),5.0)</f>
        <v>5</v>
      </c>
      <c r="I12" s="15">
        <f>IFERROR(__xludf.DUMMYFUNCTION("""COMPUTED_VALUE"""),10.0)</f>
        <v>10</v>
      </c>
      <c r="J12" s="15">
        <f>IFERROR(__xludf.DUMMYFUNCTION("""COMPUTED_VALUE"""),2.0)</f>
        <v>2</v>
      </c>
      <c r="K12" s="16">
        <f>IFERROR(__xludf.DUMMYFUNCTION("""COMPUTED_VALUE"""),0.29411764705882354)</f>
        <v>0.2941176471</v>
      </c>
    </row>
    <row r="13">
      <c r="A13" s="11" t="str">
        <f>IFERROR(__xludf.DUMMYFUNCTION("""COMPUTED_VALUE"""),"10º")</f>
        <v>10º</v>
      </c>
      <c r="B13" s="12" t="str">
        <f>IFERROR(__xludf.DUMMYFUNCTION("""COMPUTED_VALUE"""),"ViniCVR")</f>
        <v>ViniCVR</v>
      </c>
      <c r="C13" s="13">
        <f>IFERROR(__xludf.DUMMYFUNCTION("""COMPUTED_VALUE"""),9.020832722089999)</f>
        <v>9.020832722</v>
      </c>
      <c r="D13" s="14">
        <f>IFERROR(__xludf.DUMMYFUNCTION("""COMPUTED_VALUE"""),9.0)</f>
        <v>9</v>
      </c>
      <c r="E13" s="14">
        <f>IFERROR(__xludf.DUMMYFUNCTION("""COMPUTED_VALUE"""),0.83)</f>
        <v>0.83</v>
      </c>
      <c r="F13" s="14">
        <f>IFERROR(__xludf.DUMMYFUNCTION("""COMPUTED_VALUE"""),2.72)</f>
        <v>2.72</v>
      </c>
      <c r="G13" s="14">
        <f>IFERROR(__xludf.DUMMYFUNCTION("""COMPUTED_VALUE"""),2.09)</f>
        <v>2.09</v>
      </c>
      <c r="H13" s="15">
        <f>IFERROR(__xludf.DUMMYFUNCTION("""COMPUTED_VALUE"""),2.0)</f>
        <v>2</v>
      </c>
      <c r="I13" s="15">
        <f>IFERROR(__xludf.DUMMYFUNCTION("""COMPUTED_VALUE"""),3.0)</f>
        <v>3</v>
      </c>
      <c r="J13" s="15">
        <f>IFERROR(__xludf.DUMMYFUNCTION("""COMPUTED_VALUE"""),12.0)</f>
        <v>12</v>
      </c>
      <c r="K13" s="16">
        <f>IFERROR(__xludf.DUMMYFUNCTION("""COMPUTED_VALUE"""),0.11764705882352941)</f>
        <v>0.1176470588</v>
      </c>
    </row>
    <row r="14">
      <c r="A14" s="17" t="str">
        <f>IFERROR(__xludf.DUMMYFUNCTION("""COMPUTED_VALUE"""),"11º")</f>
        <v>11º</v>
      </c>
      <c r="B14" s="18" t="str">
        <f>IFERROR(__xludf.DUMMYFUNCTION("""COMPUTED_VALUE"""),"Gabriel P.")</f>
        <v>Gabriel P.</v>
      </c>
      <c r="C14" s="19">
        <f>IFERROR(__xludf.DUMMYFUNCTION("""COMPUTED_VALUE"""),8.093502911969999)</f>
        <v>8.093502912</v>
      </c>
      <c r="D14" s="20">
        <f>IFERROR(__xludf.DUMMYFUNCTION("""COMPUTED_VALUE"""),8.0)</f>
        <v>8</v>
      </c>
      <c r="E14" s="20">
        <f>IFERROR(__xludf.DUMMYFUNCTION("""COMPUTED_VALUE"""),3.5)</f>
        <v>3.5</v>
      </c>
      <c r="F14" s="20">
        <f>IFERROR(__xludf.DUMMYFUNCTION("""COMPUTED_VALUE"""),2.91)</f>
        <v>2.91</v>
      </c>
      <c r="G14" s="20">
        <f>IFERROR(__xludf.DUMMYFUNCTION("""COMPUTED_VALUE"""),1.97)</f>
        <v>1.97</v>
      </c>
      <c r="H14" s="21">
        <f>IFERROR(__xludf.DUMMYFUNCTION("""COMPUTED_VALUE"""),9.0)</f>
        <v>9</v>
      </c>
      <c r="I14" s="21">
        <f>IFERROR(__xludf.DUMMYFUNCTION("""COMPUTED_VALUE"""),2.0)</f>
        <v>2</v>
      </c>
      <c r="J14" s="21">
        <f>IFERROR(__xludf.DUMMYFUNCTION("""COMPUTED_VALUE"""),9.0)</f>
        <v>9</v>
      </c>
      <c r="K14" s="22">
        <f>IFERROR(__xludf.DUMMYFUNCTION("""COMPUTED_VALUE"""),0.45)</f>
        <v>0.45</v>
      </c>
    </row>
    <row r="15">
      <c r="A15" s="23" t="str">
        <f>IFERROR(__xludf.DUMMYFUNCTION("""COMPUTED_VALUE"""),"12º")</f>
        <v>12º</v>
      </c>
      <c r="B15" s="24" t="str">
        <f>IFERROR(__xludf.DUMMYFUNCTION("""COMPUTED_VALUE"""),"AndreVL")</f>
        <v>AndreVL</v>
      </c>
      <c r="C15" s="25">
        <f>IFERROR(__xludf.DUMMYFUNCTION("""COMPUTED_VALUE"""),8.01280350277)</f>
        <v>8.012803503</v>
      </c>
      <c r="D15" s="26">
        <f>IFERROR(__xludf.DUMMYFUNCTION("""COMPUTED_VALUE"""),8.0)</f>
        <v>8</v>
      </c>
      <c r="E15" s="26">
        <f>IFERROR(__xludf.DUMMYFUNCTION("""COMPUTED_VALUE"""),2.8)</f>
        <v>2.8</v>
      </c>
      <c r="F15" s="26">
        <f>IFERROR(__xludf.DUMMYFUNCTION("""COMPUTED_VALUE"""),3.5)</f>
        <v>3.5</v>
      </c>
      <c r="G15" s="26">
        <f>IFERROR(__xludf.DUMMYFUNCTION("""COMPUTED_VALUE"""),2.77)</f>
        <v>2.77</v>
      </c>
      <c r="H15" s="27">
        <f>IFERROR(__xludf.DUMMYFUNCTION("""COMPUTED_VALUE"""),1.0)</f>
        <v>1</v>
      </c>
      <c r="I15" s="27">
        <f>IFERROR(__xludf.DUMMYFUNCTION("""COMPUTED_VALUE"""),7.0)</f>
        <v>7</v>
      </c>
      <c r="J15" s="27">
        <f>IFERROR(__xludf.DUMMYFUNCTION("""COMPUTED_VALUE"""),5.0)</f>
        <v>5</v>
      </c>
      <c r="K15" s="28">
        <f>IFERROR(__xludf.DUMMYFUNCTION("""COMPUTED_VALUE"""),0.07692307692307693)</f>
        <v>0.07692307692</v>
      </c>
    </row>
    <row r="16">
      <c r="A16" s="23" t="str">
        <f>IFERROR(__xludf.DUMMYFUNCTION("""COMPUTED_VALUE"""),"13º")</f>
        <v>13º</v>
      </c>
      <c r="B16" s="24" t="str">
        <f>IFERROR(__xludf.DUMMYFUNCTION("""COMPUTED_VALUE"""),"Montezuma")</f>
        <v>Montezuma</v>
      </c>
      <c r="C16" s="25">
        <f>IFERROR(__xludf.DUMMYFUNCTION("""COMPUTED_VALUE"""),7.05400263285)</f>
        <v>7.054002633</v>
      </c>
      <c r="D16" s="26">
        <f>IFERROR(__xludf.DUMMYFUNCTION("""COMPUTED_VALUE"""),7.0)</f>
        <v>7</v>
      </c>
      <c r="E16" s="26">
        <f>IFERROR(__xludf.DUMMYFUNCTION("""COMPUTED_VALUE"""),4.0)</f>
        <v>4</v>
      </c>
      <c r="F16" s="26">
        <f>IFERROR(__xludf.DUMMYFUNCTION("""COMPUTED_VALUE"""),2.63)</f>
        <v>2.63</v>
      </c>
      <c r="G16" s="26">
        <f>IFERROR(__xludf.DUMMYFUNCTION("""COMPUTED_VALUE"""),2.85)</f>
        <v>2.85</v>
      </c>
      <c r="H16" s="27">
        <f>IFERROR(__xludf.DUMMYFUNCTION("""COMPUTED_VALUE"""),5.0)</f>
        <v>5</v>
      </c>
      <c r="I16" s="27">
        <f>IFERROR(__xludf.DUMMYFUNCTION("""COMPUTED_VALUE"""),4.0)</f>
        <v>4</v>
      </c>
      <c r="J16" s="27">
        <f>IFERROR(__xludf.DUMMYFUNCTION("""COMPUTED_VALUE"""),3.0)</f>
        <v>3</v>
      </c>
      <c r="K16" s="28">
        <f>IFERROR(__xludf.DUMMYFUNCTION("""COMPUTED_VALUE"""),0.4166666666666667)</f>
        <v>0.4166666667</v>
      </c>
    </row>
    <row r="17">
      <c r="A17" s="23" t="str">
        <f>IFERROR(__xludf.DUMMYFUNCTION("""COMPUTED_VALUE"""),"14º")</f>
        <v>14º</v>
      </c>
      <c r="B17" s="24" t="str">
        <f>IFERROR(__xludf.DUMMYFUNCTION("""COMPUTED_VALUE"""),"Theus Tech")</f>
        <v>Theus Tech</v>
      </c>
      <c r="C17" s="25">
        <f>IFERROR(__xludf.DUMMYFUNCTION("""COMPUTED_VALUE"""),6.05333234154)</f>
        <v>6.053332342</v>
      </c>
      <c r="D17" s="26">
        <f>IFERROR(__xludf.DUMMYFUNCTION("""COMPUTED_VALUE"""),6.0)</f>
        <v>6</v>
      </c>
      <c r="E17" s="26">
        <f>IFERROR(__xludf.DUMMYFUNCTION("""COMPUTED_VALUE"""),3.33)</f>
        <v>3.33</v>
      </c>
      <c r="F17" s="26">
        <f>IFERROR(__xludf.DUMMYFUNCTION("""COMPUTED_VALUE"""),2.34)</f>
        <v>2.34</v>
      </c>
      <c r="G17" s="26">
        <f>IFERROR(__xludf.DUMMYFUNCTION("""COMPUTED_VALUE"""),1.54)</f>
        <v>1.54</v>
      </c>
      <c r="H17" s="27">
        <f>IFERROR(__xludf.DUMMYFUNCTION("""COMPUTED_VALUE"""),5.0)</f>
        <v>5</v>
      </c>
      <c r="I17" s="27">
        <f>IFERROR(__xludf.DUMMYFUNCTION("""COMPUTED_VALUE"""),2.0)</f>
        <v>2</v>
      </c>
      <c r="J17" s="27">
        <f>IFERROR(__xludf.DUMMYFUNCTION("""COMPUTED_VALUE"""),4.0)</f>
        <v>4</v>
      </c>
      <c r="K17" s="28">
        <f>IFERROR(__xludf.DUMMYFUNCTION("""COMPUTED_VALUE"""),0.45454545454545453)</f>
        <v>0.4545454545</v>
      </c>
    </row>
    <row r="18">
      <c r="A18" s="23" t="str">
        <f>IFERROR(__xludf.DUMMYFUNCTION("""COMPUTED_VALUE"""),"15º")</f>
        <v>15º</v>
      </c>
      <c r="B18" s="24" t="str">
        <f>IFERROR(__xludf.DUMMYFUNCTION("""COMPUTED_VALUE"""),"Da mata")</f>
        <v>Da mata</v>
      </c>
      <c r="C18" s="25">
        <f>IFERROR(__xludf.DUMMYFUNCTION("""COMPUTED_VALUE"""),6.04400277228)</f>
        <v>6.044002772</v>
      </c>
      <c r="D18" s="26">
        <f>IFERROR(__xludf.DUMMYFUNCTION("""COMPUTED_VALUE"""),6.0)</f>
        <v>6</v>
      </c>
      <c r="E18" s="26">
        <f>IFERROR(__xludf.DUMMYFUNCTION("""COMPUTED_VALUE"""),4.0)</f>
        <v>4</v>
      </c>
      <c r="F18" s="26">
        <f>IFERROR(__xludf.DUMMYFUNCTION("""COMPUTED_VALUE"""),2.77)</f>
        <v>2.77</v>
      </c>
      <c r="G18" s="26">
        <f>IFERROR(__xludf.DUMMYFUNCTION("""COMPUTED_VALUE"""),2.28)</f>
        <v>2.28</v>
      </c>
      <c r="H18" s="27">
        <f>IFERROR(__xludf.DUMMYFUNCTION("""COMPUTED_VALUE"""),4.0)</f>
        <v>4</v>
      </c>
      <c r="I18" s="27">
        <f>IFERROR(__xludf.DUMMYFUNCTION("""COMPUTED_VALUE"""),2.0)</f>
        <v>2</v>
      </c>
      <c r="J18" s="27">
        <f>IFERROR(__xludf.DUMMYFUNCTION("""COMPUTED_VALUE"""),5.0)</f>
        <v>5</v>
      </c>
      <c r="K18" s="28">
        <f>IFERROR(__xludf.DUMMYFUNCTION("""COMPUTED_VALUE"""),0.36363636363636365)</f>
        <v>0.3636363636</v>
      </c>
    </row>
    <row r="19">
      <c r="A19" s="23" t="str">
        <f>IFERROR(__xludf.DUMMYFUNCTION("""COMPUTED_VALUE"""),"16º")</f>
        <v>16º</v>
      </c>
      <c r="B19" s="24" t="str">
        <f>IFERROR(__xludf.DUMMYFUNCTION("""COMPUTED_VALUE"""),"caiobmbh")</f>
        <v>caiobmbh</v>
      </c>
      <c r="C19" s="25">
        <f>IFERROR(__xludf.DUMMYFUNCTION("""COMPUTED_VALUE"""),6.02233301256)</f>
        <v>6.022333013</v>
      </c>
      <c r="D19" s="26">
        <f>IFERROR(__xludf.DUMMYFUNCTION("""COMPUTED_VALUE"""),6.0)</f>
        <v>6</v>
      </c>
      <c r="E19" s="26">
        <f>IFERROR(__xludf.DUMMYFUNCTION("""COMPUTED_VALUE"""),2.33)</f>
        <v>2.33</v>
      </c>
      <c r="F19" s="26">
        <f>IFERROR(__xludf.DUMMYFUNCTION("""COMPUTED_VALUE"""),3.01)</f>
        <v>3.01</v>
      </c>
      <c r="G19" s="26">
        <f>IFERROR(__xludf.DUMMYFUNCTION("""COMPUTED_VALUE"""),2.56)</f>
        <v>2.56</v>
      </c>
      <c r="H19" s="27">
        <f>IFERROR(__xludf.DUMMYFUNCTION("""COMPUTED_VALUE"""),2.0)</f>
        <v>2</v>
      </c>
      <c r="I19" s="27">
        <f>IFERROR(__xludf.DUMMYFUNCTION("""COMPUTED_VALUE"""),6.0)</f>
        <v>6</v>
      </c>
      <c r="J19" s="27">
        <f>IFERROR(__xludf.DUMMYFUNCTION("""COMPUTED_VALUE"""),9.0)</f>
        <v>9</v>
      </c>
      <c r="K19" s="28">
        <f>IFERROR(__xludf.DUMMYFUNCTION("""COMPUTED_VALUE"""),0.11764705882352941)</f>
        <v>0.1176470588</v>
      </c>
    </row>
    <row r="20">
      <c r="A20" s="23" t="str">
        <f>IFERROR(__xludf.DUMMYFUNCTION("""COMPUTED_VALUE"""),"17º")</f>
        <v>17º</v>
      </c>
      <c r="B20" s="24" t="str">
        <f>IFERROR(__xludf.DUMMYFUNCTION("""COMPUTED_VALUE"""),"França")</f>
        <v>França</v>
      </c>
      <c r="C20" s="25">
        <f>IFERROR(__xludf.DUMMYFUNCTION("""COMPUTED_VALUE"""),5.01000359182)</f>
        <v>5.010003592</v>
      </c>
      <c r="D20" s="26">
        <f>IFERROR(__xludf.DUMMYFUNCTION("""COMPUTED_VALUE"""),5.0)</f>
        <v>5</v>
      </c>
      <c r="E20" s="26">
        <f>IFERROR(__xludf.DUMMYFUNCTION("""COMPUTED_VALUE"""),0.0)</f>
        <v>0</v>
      </c>
      <c r="F20" s="26">
        <f>IFERROR(__xludf.DUMMYFUNCTION("""COMPUTED_VALUE"""),3.59)</f>
        <v>3.59</v>
      </c>
      <c r="G20" s="26">
        <f>IFERROR(__xludf.DUMMYFUNCTION("""COMPUTED_VALUE"""),1.82)</f>
        <v>1.82</v>
      </c>
      <c r="H20" s="27">
        <f>IFERROR(__xludf.DUMMYFUNCTION("""COMPUTED_VALUE"""),1.0)</f>
        <v>1</v>
      </c>
      <c r="I20" s="27">
        <f>IFERROR(__xludf.DUMMYFUNCTION("""COMPUTED_VALUE"""),0.0)</f>
        <v>0</v>
      </c>
      <c r="J20" s="27">
        <f>IFERROR(__xludf.DUMMYFUNCTION("""COMPUTED_VALUE"""),9.0)</f>
        <v>9</v>
      </c>
      <c r="K20" s="28">
        <f>IFERROR(__xludf.DUMMYFUNCTION("""COMPUTED_VALUE"""),0.1)</f>
        <v>0.1</v>
      </c>
    </row>
    <row r="21">
      <c r="A21" s="23" t="str">
        <f>IFERROR(__xludf.DUMMYFUNCTION("""COMPUTED_VALUE"""),"18º")</f>
        <v>18º</v>
      </c>
      <c r="B21" s="24" t="str">
        <f>IFERROR(__xludf.DUMMYFUNCTION("""COMPUTED_VALUE"""),"Henrique")</f>
        <v>Henrique</v>
      </c>
      <c r="C21" s="25">
        <f>IFERROR(__xludf.DUMMYFUNCTION("""COMPUTED_VALUE"""),4.04267309224)</f>
        <v>4.042673092</v>
      </c>
      <c r="D21" s="26">
        <f>IFERROR(__xludf.DUMMYFUNCTION("""COMPUTED_VALUE"""),4.0)</f>
        <v>4</v>
      </c>
      <c r="E21" s="26">
        <f>IFERROR(__xludf.DUMMYFUNCTION("""COMPUTED_VALUE"""),2.67)</f>
        <v>2.67</v>
      </c>
      <c r="F21" s="26">
        <f>IFERROR(__xludf.DUMMYFUNCTION("""COMPUTED_VALUE"""),3.09)</f>
        <v>3.09</v>
      </c>
      <c r="G21" s="26">
        <f>IFERROR(__xludf.DUMMYFUNCTION("""COMPUTED_VALUE"""),2.24)</f>
        <v>2.24</v>
      </c>
      <c r="H21" s="27">
        <f>IFERROR(__xludf.DUMMYFUNCTION("""COMPUTED_VALUE"""),4.0)</f>
        <v>4</v>
      </c>
      <c r="I21" s="27">
        <f>IFERROR(__xludf.DUMMYFUNCTION("""COMPUTED_VALUE"""),1.0)</f>
        <v>1</v>
      </c>
      <c r="J21" s="27">
        <f>IFERROR(__xludf.DUMMYFUNCTION("""COMPUTED_VALUE"""),6.0)</f>
        <v>6</v>
      </c>
      <c r="K21" s="28">
        <f>IFERROR(__xludf.DUMMYFUNCTION("""COMPUTED_VALUE"""),0.36363636363636365)</f>
        <v>0.3636363636</v>
      </c>
    </row>
    <row r="22">
      <c r="A22" s="23" t="str">
        <f>IFERROR(__xludf.DUMMYFUNCTION("""COMPUTED_VALUE"""),"19º")</f>
        <v>19º</v>
      </c>
      <c r="B22" s="24" t="str">
        <f>IFERROR(__xludf.DUMMYFUNCTION("""COMPUTED_VALUE"""),"Euclides")</f>
        <v>Euclides</v>
      </c>
      <c r="C22" s="25">
        <f>IFERROR(__xludf.DUMMYFUNCTION("""COMPUTED_VALUE"""),4.000503423)</f>
        <v>4.000503423</v>
      </c>
      <c r="D22" s="26">
        <f>IFERROR(__xludf.DUMMYFUNCTION("""COMPUTED_VALUE"""),4.0)</f>
        <v>4</v>
      </c>
      <c r="E22" s="26">
        <f>IFERROR(__xludf.DUMMYFUNCTION("""COMPUTED_VALUE"""),0.5)</f>
        <v>0.5</v>
      </c>
      <c r="F22" s="26">
        <f>IFERROR(__xludf.DUMMYFUNCTION("""COMPUTED_VALUE"""),3.42)</f>
        <v>3.42</v>
      </c>
      <c r="G22" s="26">
        <f>IFERROR(__xludf.DUMMYFUNCTION("""COMPUTED_VALUE"""),3.0)</f>
        <v>3</v>
      </c>
      <c r="H22" s="27">
        <f>IFERROR(__xludf.DUMMYFUNCTION("""COMPUTED_VALUE"""),0.0)</f>
        <v>0</v>
      </c>
      <c r="I22" s="27">
        <f>IFERROR(__xludf.DUMMYFUNCTION("""COMPUTED_VALUE"""),1.0)</f>
        <v>1</v>
      </c>
      <c r="J22" s="27">
        <f>IFERROR(__xludf.DUMMYFUNCTION("""COMPUTED_VALUE"""),3.0)</f>
        <v>3</v>
      </c>
      <c r="K22" s="28">
        <f>IFERROR(__xludf.DUMMYFUNCTION("""COMPUTED_VALUE"""),0.0)</f>
        <v>0</v>
      </c>
    </row>
    <row r="23">
      <c r="A23" s="23" t="str">
        <f>IFERROR(__xludf.DUMMYFUNCTION("""COMPUTED_VALUE"""),"20º")</f>
        <v>20º</v>
      </c>
      <c r="B23" s="24" t="str">
        <f>IFERROR(__xludf.DUMMYFUNCTION("""COMPUTED_VALUE"""),"Matheus h")</f>
        <v>Matheus h</v>
      </c>
      <c r="C23" s="25">
        <f>IFERROR(__xludf.DUMMYFUNCTION("""COMPUTED_VALUE"""),3.0207528421000003)</f>
        <v>3.020752842</v>
      </c>
      <c r="D23" s="26">
        <f>IFERROR(__xludf.DUMMYFUNCTION("""COMPUTED_VALUE"""),3.0)</f>
        <v>3</v>
      </c>
      <c r="E23" s="26">
        <f>IFERROR(__xludf.DUMMYFUNCTION("""COMPUTED_VALUE"""),0.75)</f>
        <v>0.75</v>
      </c>
      <c r="F23" s="26">
        <f>IFERROR(__xludf.DUMMYFUNCTION("""COMPUTED_VALUE"""),2.84)</f>
        <v>2.84</v>
      </c>
      <c r="G23" s="26">
        <f>IFERROR(__xludf.DUMMYFUNCTION("""COMPUTED_VALUE"""),2.1)</f>
        <v>2.1</v>
      </c>
      <c r="H23" s="27">
        <f>IFERROR(__xludf.DUMMYFUNCTION("""COMPUTED_VALUE"""),2.0)</f>
        <v>2</v>
      </c>
      <c r="I23" s="27">
        <f>IFERROR(__xludf.DUMMYFUNCTION("""COMPUTED_VALUE"""),2.0)</f>
        <v>2</v>
      </c>
      <c r="J23" s="27">
        <f>IFERROR(__xludf.DUMMYFUNCTION("""COMPUTED_VALUE"""),8.0)</f>
        <v>8</v>
      </c>
      <c r="K23" s="28">
        <f>IFERROR(__xludf.DUMMYFUNCTION("""COMPUTED_VALUE"""),0.16666666666666666)</f>
        <v>0.1666666667</v>
      </c>
    </row>
    <row r="24">
      <c r="A24" s="23" t="str">
        <f>IFERROR(__xludf.DUMMYFUNCTION("""COMPUTED_VALUE"""),"21º")</f>
        <v>21º</v>
      </c>
      <c r="B24" s="24" t="str">
        <f>IFERROR(__xludf.DUMMYFUNCTION("""COMPUTED_VALUE"""),"Karyum")</f>
        <v>Karyum</v>
      </c>
      <c r="C24" s="25">
        <f>IFERROR(__xludf.DUMMYFUNCTION("""COMPUTED_VALUE"""),3.0143325729299995)</f>
        <v>3.014332573</v>
      </c>
      <c r="D24" s="26">
        <f>IFERROR(__xludf.DUMMYFUNCTION("""COMPUTED_VALUE"""),3.0)</f>
        <v>3</v>
      </c>
      <c r="E24" s="26">
        <f>IFERROR(__xludf.DUMMYFUNCTION("""COMPUTED_VALUE"""),4.33)</f>
        <v>4.33</v>
      </c>
      <c r="F24" s="26">
        <f>IFERROR(__xludf.DUMMYFUNCTION("""COMPUTED_VALUE"""),2.57)</f>
        <v>2.57</v>
      </c>
      <c r="G24" s="26">
        <f>IFERROR(__xludf.DUMMYFUNCTION("""COMPUTED_VALUE"""),2.93)</f>
        <v>2.93</v>
      </c>
      <c r="H24" s="27">
        <f>IFERROR(__xludf.DUMMYFUNCTION("""COMPUTED_VALUE"""),1.0)</f>
        <v>1</v>
      </c>
      <c r="I24" s="27">
        <f>IFERROR(__xludf.DUMMYFUNCTION("""COMPUTED_VALUE"""),6.0)</f>
        <v>6</v>
      </c>
      <c r="J24" s="27">
        <f>IFERROR(__xludf.DUMMYFUNCTION("""COMPUTED_VALUE"""),3.0)</f>
        <v>3</v>
      </c>
      <c r="K24" s="28">
        <f>IFERROR(__xludf.DUMMYFUNCTION("""COMPUTED_VALUE"""),0.1)</f>
        <v>0.1</v>
      </c>
    </row>
    <row r="25">
      <c r="A25" s="23" t="str">
        <f>IFERROR(__xludf.DUMMYFUNCTION("""COMPUTED_VALUE"""),"22º")</f>
        <v>22º</v>
      </c>
      <c r="B25" s="24" t="str">
        <f>IFERROR(__xludf.DUMMYFUNCTION("""COMPUTED_VALUE"""),"Optimus")</f>
        <v>Optimus</v>
      </c>
      <c r="C25" s="25">
        <f>IFERROR(__xludf.DUMMYFUNCTION("""COMPUTED_VALUE"""),3.0115024411699998)</f>
        <v>3.011502441</v>
      </c>
      <c r="D25" s="26">
        <f>IFERROR(__xludf.DUMMYFUNCTION("""COMPUTED_VALUE"""),3.0)</f>
        <v>3</v>
      </c>
      <c r="E25" s="26">
        <f>IFERROR(__xludf.DUMMYFUNCTION("""COMPUTED_VALUE"""),1.5)</f>
        <v>1.5</v>
      </c>
      <c r="F25" s="26">
        <f>IFERROR(__xludf.DUMMYFUNCTION("""COMPUTED_VALUE"""),2.44)</f>
        <v>2.44</v>
      </c>
      <c r="G25" s="26">
        <f>IFERROR(__xludf.DUMMYFUNCTION("""COMPUTED_VALUE"""),1.17)</f>
        <v>1.17</v>
      </c>
      <c r="H25" s="27">
        <f>IFERROR(__xludf.DUMMYFUNCTION("""COMPUTED_VALUE"""),1.0)</f>
        <v>1</v>
      </c>
      <c r="I25" s="27">
        <f>IFERROR(__xludf.DUMMYFUNCTION("""COMPUTED_VALUE"""),1.0)</f>
        <v>1</v>
      </c>
      <c r="J25" s="27">
        <f>IFERROR(__xludf.DUMMYFUNCTION("""COMPUTED_VALUE"""),2.0)</f>
        <v>2</v>
      </c>
      <c r="K25" s="28">
        <f>IFERROR(__xludf.DUMMYFUNCTION("""COMPUTED_VALUE"""),0.25)</f>
        <v>0.25</v>
      </c>
    </row>
    <row r="26">
      <c r="A26" s="23" t="str">
        <f>IFERROR(__xludf.DUMMYFUNCTION("""COMPUTED_VALUE"""),"23º")</f>
        <v>23º</v>
      </c>
      <c r="B26" s="24" t="str">
        <f>IFERROR(__xludf.DUMMYFUNCTION("""COMPUTED_VALUE"""),"lmendes")</f>
        <v>lmendes</v>
      </c>
      <c r="C26" s="25">
        <f>IFERROR(__xludf.DUMMYFUNCTION("""COMPUTED_VALUE"""),3.00300302252)</f>
        <v>3.003003023</v>
      </c>
      <c r="D26" s="26">
        <f>IFERROR(__xludf.DUMMYFUNCTION("""COMPUTED_VALUE"""),3.0)</f>
        <v>3</v>
      </c>
      <c r="E26" s="26">
        <f>IFERROR(__xludf.DUMMYFUNCTION("""COMPUTED_VALUE"""),3.0)</f>
        <v>3</v>
      </c>
      <c r="F26" s="26">
        <f>IFERROR(__xludf.DUMMYFUNCTION("""COMPUTED_VALUE"""),3.02)</f>
        <v>3.02</v>
      </c>
      <c r="G26" s="26">
        <f>IFERROR(__xludf.DUMMYFUNCTION("""COMPUTED_VALUE"""),2.52)</f>
        <v>2.52</v>
      </c>
      <c r="H26" s="27">
        <f>IFERROR(__xludf.DUMMYFUNCTION("""COMPUTED_VALUE"""),0.0)</f>
        <v>0</v>
      </c>
      <c r="I26" s="27">
        <f>IFERROR(__xludf.DUMMYFUNCTION("""COMPUTED_VALUE"""),3.0)</f>
        <v>3</v>
      </c>
      <c r="J26" s="27">
        <f>IFERROR(__xludf.DUMMYFUNCTION("""COMPUTED_VALUE"""),3.0)</f>
        <v>3</v>
      </c>
      <c r="K26" s="28">
        <f>IFERROR(__xludf.DUMMYFUNCTION("""COMPUTED_VALUE"""),0.0)</f>
        <v>0</v>
      </c>
    </row>
    <row r="27">
      <c r="A27" s="23" t="str">
        <f>IFERROR(__xludf.DUMMYFUNCTION("""COMPUTED_VALUE"""),"24º")</f>
        <v>24º</v>
      </c>
      <c r="B27" s="24" t="str">
        <f>IFERROR(__xludf.DUMMYFUNCTION("""COMPUTED_VALUE"""),"VentiladorDeTeto")</f>
        <v>VentiladorDeTeto</v>
      </c>
      <c r="C27" s="25">
        <f>IFERROR(__xludf.DUMMYFUNCTION("""COMPUTED_VALUE"""),3.00133304193)</f>
        <v>3.001333042</v>
      </c>
      <c r="D27" s="26">
        <f>IFERROR(__xludf.DUMMYFUNCTION("""COMPUTED_VALUE"""),3.0)</f>
        <v>3</v>
      </c>
      <c r="E27" s="26">
        <f>IFERROR(__xludf.DUMMYFUNCTION("""COMPUTED_VALUE"""),1.33)</f>
        <v>1.33</v>
      </c>
      <c r="F27" s="26">
        <f>IFERROR(__xludf.DUMMYFUNCTION("""COMPUTED_VALUE"""),3.04)</f>
        <v>3.04</v>
      </c>
      <c r="G27" s="26">
        <f>IFERROR(__xludf.DUMMYFUNCTION("""COMPUTED_VALUE"""),1.93)</f>
        <v>1.93</v>
      </c>
      <c r="H27" s="27">
        <f>IFERROR(__xludf.DUMMYFUNCTION("""COMPUTED_VALUE"""),0.0)</f>
        <v>0</v>
      </c>
      <c r="I27" s="27">
        <f>IFERROR(__xludf.DUMMYFUNCTION("""COMPUTED_VALUE"""),3.0)</f>
        <v>3</v>
      </c>
      <c r="J27" s="27">
        <f>IFERROR(__xludf.DUMMYFUNCTION("""COMPUTED_VALUE"""),5.0)</f>
        <v>5</v>
      </c>
      <c r="K27" s="28">
        <f>IFERROR(__xludf.DUMMYFUNCTION("""COMPUTED_VALUE"""),0.0)</f>
        <v>0</v>
      </c>
    </row>
    <row r="28">
      <c r="A28" s="23" t="str">
        <f>IFERROR(__xludf.DUMMYFUNCTION("""COMPUTED_VALUE"""),"25º")</f>
        <v>25º</v>
      </c>
      <c r="B28" s="24" t="str">
        <f>IFERROR(__xludf.DUMMYFUNCTION("""COMPUTED_VALUE"""),"CLAUDIO")</f>
        <v>CLAUDIO</v>
      </c>
      <c r="C28" s="25">
        <f>IFERROR(__xludf.DUMMYFUNCTION("""COMPUTED_VALUE"""),3.00133276197)</f>
        <v>3.001332762</v>
      </c>
      <c r="D28" s="26">
        <f>IFERROR(__xludf.DUMMYFUNCTION("""COMPUTED_VALUE"""),3.0)</f>
        <v>3</v>
      </c>
      <c r="E28" s="26">
        <f>IFERROR(__xludf.DUMMYFUNCTION("""COMPUTED_VALUE"""),1.33)</f>
        <v>1.33</v>
      </c>
      <c r="F28" s="26">
        <f>IFERROR(__xludf.DUMMYFUNCTION("""COMPUTED_VALUE"""),2.76)</f>
        <v>2.76</v>
      </c>
      <c r="G28" s="26">
        <f>IFERROR(__xludf.DUMMYFUNCTION("""COMPUTED_VALUE"""),1.97)</f>
        <v>1.97</v>
      </c>
      <c r="H28" s="27">
        <f>IFERROR(__xludf.DUMMYFUNCTION("""COMPUTED_VALUE"""),0.0)</f>
        <v>0</v>
      </c>
      <c r="I28" s="27">
        <f>IFERROR(__xludf.DUMMYFUNCTION("""COMPUTED_VALUE"""),2.0)</f>
        <v>2</v>
      </c>
      <c r="J28" s="27">
        <f>IFERROR(__xludf.DUMMYFUNCTION("""COMPUTED_VALUE"""),5.0)</f>
        <v>5</v>
      </c>
      <c r="K28" s="28">
        <f>IFERROR(__xludf.DUMMYFUNCTION("""COMPUTED_VALUE"""),0.0)</f>
        <v>0</v>
      </c>
    </row>
    <row r="29">
      <c r="A29" s="23" t="str">
        <f>IFERROR(__xludf.DUMMYFUNCTION("""COMPUTED_VALUE"""),"26º")</f>
        <v>26º</v>
      </c>
      <c r="B29" s="24" t="str">
        <f>IFERROR(__xludf.DUMMYFUNCTION("""COMPUTED_VALUE"""),"Pexe")</f>
        <v>Pexe</v>
      </c>
      <c r="C29" s="25">
        <f>IFERROR(__xludf.DUMMYFUNCTION("""COMPUTED_VALUE"""),3.00067292156)</f>
        <v>3.000672922</v>
      </c>
      <c r="D29" s="26">
        <f>IFERROR(__xludf.DUMMYFUNCTION("""COMPUTED_VALUE"""),3.0)</f>
        <v>3</v>
      </c>
      <c r="E29" s="26">
        <f>IFERROR(__xludf.DUMMYFUNCTION("""COMPUTED_VALUE"""),0.67)</f>
        <v>0.67</v>
      </c>
      <c r="F29" s="26">
        <f>IFERROR(__xludf.DUMMYFUNCTION("""COMPUTED_VALUE"""),2.92)</f>
        <v>2.92</v>
      </c>
      <c r="G29" s="26">
        <f>IFERROR(__xludf.DUMMYFUNCTION("""COMPUTED_VALUE"""),1.56)</f>
        <v>1.56</v>
      </c>
      <c r="H29" s="27">
        <f>IFERROR(__xludf.DUMMYFUNCTION("""COMPUTED_VALUE"""),0.0)</f>
        <v>0</v>
      </c>
      <c r="I29" s="27">
        <f>IFERROR(__xludf.DUMMYFUNCTION("""COMPUTED_VALUE"""),1.0)</f>
        <v>1</v>
      </c>
      <c r="J29" s="27">
        <f>IFERROR(__xludf.DUMMYFUNCTION("""COMPUTED_VALUE"""),7.0)</f>
        <v>7</v>
      </c>
      <c r="K29" s="28">
        <f>IFERROR(__xludf.DUMMYFUNCTION("""COMPUTED_VALUE"""),0.0)</f>
        <v>0</v>
      </c>
    </row>
    <row r="30">
      <c r="A30" s="23" t="str">
        <f>IFERROR(__xludf.DUMMYFUNCTION("""COMPUTED_VALUE"""),"27º")</f>
        <v>27º</v>
      </c>
      <c r="B30" s="24" t="str">
        <f>IFERROR(__xludf.DUMMYFUNCTION("""COMPUTED_VALUE"""),"Shandryll")</f>
        <v>Shandryll</v>
      </c>
      <c r="C30" s="25">
        <f>IFERROR(__xludf.DUMMYFUNCTION("""COMPUTED_VALUE"""),2.02100274154)</f>
        <v>2.021002742</v>
      </c>
      <c r="D30" s="26">
        <f>IFERROR(__xludf.DUMMYFUNCTION("""COMPUTED_VALUE"""),2.0)</f>
        <v>2</v>
      </c>
      <c r="E30" s="26">
        <f>IFERROR(__xludf.DUMMYFUNCTION("""COMPUTED_VALUE"""),1.0)</f>
        <v>1</v>
      </c>
      <c r="F30" s="26">
        <f>IFERROR(__xludf.DUMMYFUNCTION("""COMPUTED_VALUE"""),2.74)</f>
        <v>2.74</v>
      </c>
      <c r="G30" s="26">
        <f>IFERROR(__xludf.DUMMYFUNCTION("""COMPUTED_VALUE"""),1.54)</f>
        <v>1.54</v>
      </c>
      <c r="H30" s="27">
        <f>IFERROR(__xludf.DUMMYFUNCTION("""COMPUTED_VALUE"""),2.0)</f>
        <v>2</v>
      </c>
      <c r="I30" s="27">
        <f>IFERROR(__xludf.DUMMYFUNCTION("""COMPUTED_VALUE"""),0.0)</f>
        <v>0</v>
      </c>
      <c r="J30" s="27">
        <f>IFERROR(__xludf.DUMMYFUNCTION("""COMPUTED_VALUE"""),4.0)</f>
        <v>4</v>
      </c>
      <c r="K30" s="28">
        <f>IFERROR(__xludf.DUMMYFUNCTION("""COMPUTED_VALUE"""),0.3333333333333333)</f>
        <v>0.3333333333</v>
      </c>
    </row>
    <row r="31">
      <c r="A31" s="23" t="str">
        <f>IFERROR(__xludf.DUMMYFUNCTION("""COMPUTED_VALUE"""),"28º")</f>
        <v>28º</v>
      </c>
      <c r="B31" s="24" t="str">
        <f>IFERROR(__xludf.DUMMYFUNCTION("""COMPUTED_VALUE"""),"Pagliatti")</f>
        <v>Pagliatti</v>
      </c>
      <c r="C31" s="25">
        <f>IFERROR(__xludf.DUMMYFUNCTION("""COMPUTED_VALUE"""),2.01200275238)</f>
        <v>2.012002752</v>
      </c>
      <c r="D31" s="26">
        <f>IFERROR(__xludf.DUMMYFUNCTION("""COMPUTED_VALUE"""),2.0)</f>
        <v>2</v>
      </c>
      <c r="E31" s="26">
        <f>IFERROR(__xludf.DUMMYFUNCTION("""COMPUTED_VALUE"""),2.0)</f>
        <v>2</v>
      </c>
      <c r="F31" s="26">
        <f>IFERROR(__xludf.DUMMYFUNCTION("""COMPUTED_VALUE"""),2.75)</f>
        <v>2.75</v>
      </c>
      <c r="G31" s="26">
        <f>IFERROR(__xludf.DUMMYFUNCTION("""COMPUTED_VALUE"""),2.38)</f>
        <v>2.38</v>
      </c>
      <c r="H31" s="27">
        <f>IFERROR(__xludf.DUMMYFUNCTION("""COMPUTED_VALUE"""),1.0)</f>
        <v>1</v>
      </c>
      <c r="I31" s="27">
        <f>IFERROR(__xludf.DUMMYFUNCTION("""COMPUTED_VALUE"""),0.0)</f>
        <v>0</v>
      </c>
      <c r="J31" s="27">
        <f>IFERROR(__xludf.DUMMYFUNCTION("""COMPUTED_VALUE"""),2.0)</f>
        <v>2</v>
      </c>
      <c r="K31" s="28">
        <f>IFERROR(__xludf.DUMMYFUNCTION("""COMPUTED_VALUE"""),0.3333333333333333)</f>
        <v>0.3333333333</v>
      </c>
    </row>
    <row r="32">
      <c r="A32" s="23" t="str">
        <f>IFERROR(__xludf.DUMMYFUNCTION("""COMPUTED_VALUE"""),"29º")</f>
        <v>29º</v>
      </c>
      <c r="B32" s="24" t="str">
        <f>IFERROR(__xludf.DUMMYFUNCTION("""COMPUTED_VALUE"""),"Champinon")</f>
        <v>Champinon</v>
      </c>
      <c r="C32" s="25">
        <f>IFERROR(__xludf.DUMMYFUNCTION("""COMPUTED_VALUE"""),2.01100286229)</f>
        <v>2.011002862</v>
      </c>
      <c r="D32" s="26">
        <f>IFERROR(__xludf.DUMMYFUNCTION("""COMPUTED_VALUE"""),2.0)</f>
        <v>2</v>
      </c>
      <c r="E32" s="26">
        <f>IFERROR(__xludf.DUMMYFUNCTION("""COMPUTED_VALUE"""),1.0)</f>
        <v>1</v>
      </c>
      <c r="F32" s="26">
        <f>IFERROR(__xludf.DUMMYFUNCTION("""COMPUTED_VALUE"""),2.86)</f>
        <v>2.86</v>
      </c>
      <c r="G32" s="26">
        <f>IFERROR(__xludf.DUMMYFUNCTION("""COMPUTED_VALUE"""),2.29)</f>
        <v>2.29</v>
      </c>
      <c r="H32" s="27">
        <f>IFERROR(__xludf.DUMMYFUNCTION("""COMPUTED_VALUE"""),1.0)</f>
        <v>1</v>
      </c>
      <c r="I32" s="27">
        <f>IFERROR(__xludf.DUMMYFUNCTION("""COMPUTED_VALUE"""),0.0)</f>
        <v>0</v>
      </c>
      <c r="J32" s="27">
        <f>IFERROR(__xludf.DUMMYFUNCTION("""COMPUTED_VALUE"""),2.0)</f>
        <v>2</v>
      </c>
      <c r="K32" s="28">
        <f>IFERROR(__xludf.DUMMYFUNCTION("""COMPUTED_VALUE"""),0.3333333333333333)</f>
        <v>0.3333333333</v>
      </c>
    </row>
    <row r="33">
      <c r="A33" s="23" t="str">
        <f>IFERROR(__xludf.DUMMYFUNCTION("""COMPUTED_VALUE"""),"30º")</f>
        <v>30º</v>
      </c>
      <c r="B33" s="24" t="str">
        <f>IFERROR(__xludf.DUMMYFUNCTION("""COMPUTED_VALUE"""),"Yrving")</f>
        <v>Yrving</v>
      </c>
      <c r="C33" s="25">
        <f>IFERROR(__xludf.DUMMYFUNCTION("""COMPUTED_VALUE"""),2.00000333317)</f>
        <v>2.000003333</v>
      </c>
      <c r="D33" s="26">
        <f>IFERROR(__xludf.DUMMYFUNCTION("""COMPUTED_VALUE"""),2.0)</f>
        <v>2</v>
      </c>
      <c r="E33" s="26">
        <f>IFERROR(__xludf.DUMMYFUNCTION("""COMPUTED_VALUE"""),0.0)</f>
        <v>0</v>
      </c>
      <c r="F33" s="26">
        <f>IFERROR(__xludf.DUMMYFUNCTION("""COMPUTED_VALUE"""),3.33)</f>
        <v>3.33</v>
      </c>
      <c r="G33" s="26">
        <f>IFERROR(__xludf.DUMMYFUNCTION("""COMPUTED_VALUE"""),3.17)</f>
        <v>3.17</v>
      </c>
      <c r="H33" s="27">
        <f>IFERROR(__xludf.DUMMYFUNCTION("""COMPUTED_VALUE"""),0.0)</f>
        <v>0</v>
      </c>
      <c r="I33" s="27">
        <f>IFERROR(__xludf.DUMMYFUNCTION("""COMPUTED_VALUE"""),0.0)</f>
        <v>0</v>
      </c>
      <c r="J33" s="27">
        <f>IFERROR(__xludf.DUMMYFUNCTION("""COMPUTED_VALUE"""),2.0)</f>
        <v>2</v>
      </c>
      <c r="K33" s="28">
        <f>IFERROR(__xludf.DUMMYFUNCTION("""COMPUTED_VALUE"""),0.0)</f>
        <v>0</v>
      </c>
    </row>
    <row r="34">
      <c r="A34" s="23" t="str">
        <f>IFERROR(__xludf.DUMMYFUNCTION("""COMPUTED_VALUE"""),"31º")</f>
        <v>31º</v>
      </c>
      <c r="B34" s="24" t="str">
        <f>IFERROR(__xludf.DUMMYFUNCTION("""COMPUTED_VALUE"""),"Arthur Cyrillo")</f>
        <v>Arthur Cyrillo</v>
      </c>
      <c r="C34" s="25">
        <f>IFERROR(__xludf.DUMMYFUNCTION("""COMPUTED_VALUE"""),2.00000300333)</f>
        <v>2.000003003</v>
      </c>
      <c r="D34" s="26">
        <f>IFERROR(__xludf.DUMMYFUNCTION("""COMPUTED_VALUE"""),2.0)</f>
        <v>2</v>
      </c>
      <c r="E34" s="26">
        <f>IFERROR(__xludf.DUMMYFUNCTION("""COMPUTED_VALUE"""),0.0)</f>
        <v>0</v>
      </c>
      <c r="F34" s="26">
        <f>IFERROR(__xludf.DUMMYFUNCTION("""COMPUTED_VALUE"""),3.0)</f>
        <v>3</v>
      </c>
      <c r="G34" s="26">
        <f>IFERROR(__xludf.DUMMYFUNCTION("""COMPUTED_VALUE"""),3.33)</f>
        <v>3.33</v>
      </c>
      <c r="H34" s="27">
        <f>IFERROR(__xludf.DUMMYFUNCTION("""COMPUTED_VALUE"""),0.0)</f>
        <v>0</v>
      </c>
      <c r="I34" s="27">
        <f>IFERROR(__xludf.DUMMYFUNCTION("""COMPUTED_VALUE"""),0.0)</f>
        <v>0</v>
      </c>
      <c r="J34" s="27">
        <f>IFERROR(__xludf.DUMMYFUNCTION("""COMPUTED_VALUE"""),1.0)</f>
        <v>1</v>
      </c>
      <c r="K34" s="28">
        <f>IFERROR(__xludf.DUMMYFUNCTION("""COMPUTED_VALUE"""),0.0)</f>
        <v>0</v>
      </c>
    </row>
    <row r="35">
      <c r="A35" s="23" t="str">
        <f>IFERROR(__xludf.DUMMYFUNCTION("""COMPUTED_VALUE"""),"32º")</f>
        <v>32º</v>
      </c>
      <c r="B35" s="24" t="str">
        <f>IFERROR(__xludf.DUMMYFUNCTION("""COMPUTED_VALUE"""),"Eric Torres")</f>
        <v>Eric Torres</v>
      </c>
      <c r="C35" s="25">
        <f>IFERROR(__xludf.DUMMYFUNCTION("""COMPUTED_VALUE"""),2.0000026708300003)</f>
        <v>2.000002671</v>
      </c>
      <c r="D35" s="26">
        <f>IFERROR(__xludf.DUMMYFUNCTION("""COMPUTED_VALUE"""),2.0)</f>
        <v>2</v>
      </c>
      <c r="E35" s="26">
        <f>IFERROR(__xludf.DUMMYFUNCTION("""COMPUTED_VALUE"""),0.0)</f>
        <v>0</v>
      </c>
      <c r="F35" s="26">
        <f>IFERROR(__xludf.DUMMYFUNCTION("""COMPUTED_VALUE"""),2.67)</f>
        <v>2.67</v>
      </c>
      <c r="G35" s="26">
        <f>IFERROR(__xludf.DUMMYFUNCTION("""COMPUTED_VALUE"""),0.83)</f>
        <v>0.83</v>
      </c>
      <c r="H35" s="27">
        <f>IFERROR(__xludf.DUMMYFUNCTION("""COMPUTED_VALUE"""),0.0)</f>
        <v>0</v>
      </c>
      <c r="I35" s="27">
        <f>IFERROR(__xludf.DUMMYFUNCTION("""COMPUTED_VALUE"""),1.0)</f>
        <v>1</v>
      </c>
      <c r="J35" s="27">
        <f>IFERROR(__xludf.DUMMYFUNCTION("""COMPUTED_VALUE"""),1.0)</f>
        <v>1</v>
      </c>
      <c r="K35" s="28">
        <f>IFERROR(__xludf.DUMMYFUNCTION("""COMPUTED_VALUE"""),0.0)</f>
        <v>0</v>
      </c>
    </row>
    <row r="36">
      <c r="A36" s="23" t="str">
        <f>IFERROR(__xludf.DUMMYFUNCTION("""COMPUTED_VALUE"""),"33º")</f>
        <v>33º</v>
      </c>
      <c r="B36" s="24" t="str">
        <f>IFERROR(__xludf.DUMMYFUNCTION("""COMPUTED_VALUE"""),"Bife")</f>
        <v>Bife</v>
      </c>
      <c r="C36" s="25">
        <f>IFERROR(__xludf.DUMMYFUNCTION("""COMPUTED_VALUE"""),2.00000257157)</f>
        <v>2.000002572</v>
      </c>
      <c r="D36" s="26">
        <f>IFERROR(__xludf.DUMMYFUNCTION("""COMPUTED_VALUE"""),2.0)</f>
        <v>2</v>
      </c>
      <c r="E36" s="26">
        <f>IFERROR(__xludf.DUMMYFUNCTION("""COMPUTED_VALUE"""),0.0)</f>
        <v>0</v>
      </c>
      <c r="F36" s="26">
        <f>IFERROR(__xludf.DUMMYFUNCTION("""COMPUTED_VALUE"""),2.57)</f>
        <v>2.57</v>
      </c>
      <c r="G36" s="26">
        <f>IFERROR(__xludf.DUMMYFUNCTION("""COMPUTED_VALUE"""),1.57)</f>
        <v>1.57</v>
      </c>
      <c r="H36" s="27">
        <f>IFERROR(__xludf.DUMMYFUNCTION("""COMPUTED_VALUE"""),0.0)</f>
        <v>0</v>
      </c>
      <c r="I36" s="27">
        <f>IFERROR(__xludf.DUMMYFUNCTION("""COMPUTED_VALUE"""),0.0)</f>
        <v>0</v>
      </c>
      <c r="J36" s="27">
        <f>IFERROR(__xludf.DUMMYFUNCTION("""COMPUTED_VALUE"""),6.0)</f>
        <v>6</v>
      </c>
      <c r="K36" s="28">
        <f>IFERROR(__xludf.DUMMYFUNCTION("""COMPUTED_VALUE"""),0.0)</f>
        <v>0</v>
      </c>
    </row>
    <row r="37">
      <c r="A37" s="23" t="str">
        <f>IFERROR(__xludf.DUMMYFUNCTION("""COMPUTED_VALUE"""),"34º")</f>
        <v>34º</v>
      </c>
      <c r="B37" s="24" t="str">
        <f>IFERROR(__xludf.DUMMYFUNCTION("""COMPUTED_VALUE"""),"PaiDoArtur")</f>
        <v>PaiDoArtur</v>
      </c>
      <c r="C37" s="25">
        <f>IFERROR(__xludf.DUMMYFUNCTION("""COMPUTED_VALUE"""),1.00600457386)</f>
        <v>1.006004574</v>
      </c>
      <c r="D37" s="26">
        <f>IFERROR(__xludf.DUMMYFUNCTION("""COMPUTED_VALUE"""),1.0)</f>
        <v>1</v>
      </c>
      <c r="E37" s="26">
        <f>IFERROR(__xludf.DUMMYFUNCTION("""COMPUTED_VALUE"""),6.0)</f>
        <v>6</v>
      </c>
      <c r="F37" s="26">
        <f>IFERROR(__xludf.DUMMYFUNCTION("""COMPUTED_VALUE"""),4.57)</f>
        <v>4.57</v>
      </c>
      <c r="G37" s="26">
        <f>IFERROR(__xludf.DUMMYFUNCTION("""COMPUTED_VALUE"""),3.86)</f>
        <v>3.86</v>
      </c>
      <c r="H37" s="27">
        <f>IFERROR(__xludf.DUMMYFUNCTION("""COMPUTED_VALUE"""),0.0)</f>
        <v>0</v>
      </c>
      <c r="I37" s="27">
        <f>IFERROR(__xludf.DUMMYFUNCTION("""COMPUTED_VALUE"""),3.0)</f>
        <v>3</v>
      </c>
      <c r="J37" s="27">
        <f>IFERROR(__xludf.DUMMYFUNCTION("""COMPUTED_VALUE"""),0.0)</f>
        <v>0</v>
      </c>
      <c r="K37" s="28">
        <f>IFERROR(__xludf.DUMMYFUNCTION("""COMPUTED_VALUE"""),0.0)</f>
        <v>0</v>
      </c>
    </row>
    <row r="38">
      <c r="A38" s="23" t="str">
        <f>IFERROR(__xludf.DUMMYFUNCTION("""COMPUTED_VALUE"""),"35º")</f>
        <v>35º</v>
      </c>
      <c r="B38" s="24" t="str">
        <f>IFERROR(__xludf.DUMMYFUNCTION("""COMPUTED_VALUE"""),"Ladslaw")</f>
        <v>Ladslaw</v>
      </c>
      <c r="C38" s="25">
        <f>IFERROR(__xludf.DUMMYFUNCTION("""COMPUTED_VALUE"""),1.00400314457)</f>
        <v>1.004003145</v>
      </c>
      <c r="D38" s="26">
        <f>IFERROR(__xludf.DUMMYFUNCTION("""COMPUTED_VALUE"""),1.0)</f>
        <v>1</v>
      </c>
      <c r="E38" s="26">
        <f>IFERROR(__xludf.DUMMYFUNCTION("""COMPUTED_VALUE"""),4.0)</f>
        <v>4</v>
      </c>
      <c r="F38" s="26">
        <f>IFERROR(__xludf.DUMMYFUNCTION("""COMPUTED_VALUE"""),3.14)</f>
        <v>3.14</v>
      </c>
      <c r="G38" s="26">
        <f>IFERROR(__xludf.DUMMYFUNCTION("""COMPUTED_VALUE"""),4.57)</f>
        <v>4.57</v>
      </c>
      <c r="H38" s="27">
        <f>IFERROR(__xludf.DUMMYFUNCTION("""COMPUTED_VALUE"""),0.0)</f>
        <v>0</v>
      </c>
      <c r="I38" s="27">
        <f>IFERROR(__xludf.DUMMYFUNCTION("""COMPUTED_VALUE"""),2.0)</f>
        <v>2</v>
      </c>
      <c r="J38" s="27">
        <f>IFERROR(__xludf.DUMMYFUNCTION("""COMPUTED_VALUE"""),1.0)</f>
        <v>1</v>
      </c>
      <c r="K38" s="28">
        <f>IFERROR(__xludf.DUMMYFUNCTION("""COMPUTED_VALUE"""),0.0)</f>
        <v>0</v>
      </c>
    </row>
    <row r="39">
      <c r="A39" s="23" t="str">
        <f>IFERROR(__xludf.DUMMYFUNCTION("""COMPUTED_VALUE"""),"36º")</f>
        <v>36º</v>
      </c>
      <c r="B39" s="24" t="str">
        <f>IFERROR(__xludf.DUMMYFUNCTION("""COMPUTED_VALUE"""),"BrunoDala-Paula")</f>
        <v>BrunoDala-Paula</v>
      </c>
      <c r="C39" s="25">
        <f>IFERROR(__xludf.DUMMYFUNCTION("""COMPUTED_VALUE"""),1.0040031337500002)</f>
        <v>1.004003134</v>
      </c>
      <c r="D39" s="26">
        <f>IFERROR(__xludf.DUMMYFUNCTION("""COMPUTED_VALUE"""),1.0)</f>
        <v>1</v>
      </c>
      <c r="E39" s="26">
        <f>IFERROR(__xludf.DUMMYFUNCTION("""COMPUTED_VALUE"""),4.0)</f>
        <v>4</v>
      </c>
      <c r="F39" s="26">
        <f>IFERROR(__xludf.DUMMYFUNCTION("""COMPUTED_VALUE"""),3.13)</f>
        <v>3.13</v>
      </c>
      <c r="G39" s="26">
        <f>IFERROR(__xludf.DUMMYFUNCTION("""COMPUTED_VALUE"""),3.75)</f>
        <v>3.75</v>
      </c>
      <c r="H39" s="27">
        <f>IFERROR(__xludf.DUMMYFUNCTION("""COMPUTED_VALUE"""),0.0)</f>
        <v>0</v>
      </c>
      <c r="I39" s="27">
        <f>IFERROR(__xludf.DUMMYFUNCTION("""COMPUTED_VALUE"""),2.0)</f>
        <v>2</v>
      </c>
      <c r="J39" s="27">
        <f>IFERROR(__xludf.DUMMYFUNCTION("""COMPUTED_VALUE"""),1.0)</f>
        <v>1</v>
      </c>
      <c r="K39" s="28">
        <f>IFERROR(__xludf.DUMMYFUNCTION("""COMPUTED_VALUE"""),0.0)</f>
        <v>0</v>
      </c>
    </row>
    <row r="40">
      <c r="A40" s="23" t="str">
        <f>IFERROR(__xludf.DUMMYFUNCTION("""COMPUTED_VALUE"""),"37º")</f>
        <v>37º</v>
      </c>
      <c r="B40" s="24" t="str">
        <f>IFERROR(__xludf.DUMMYFUNCTION("""COMPUTED_VALUE"""),"FlorCarnivora")</f>
        <v>FlorCarnivora</v>
      </c>
      <c r="C40" s="25">
        <f>IFERROR(__xludf.DUMMYFUNCTION("""COMPUTED_VALUE"""),1.00400300429)</f>
        <v>1.004003004</v>
      </c>
      <c r="D40" s="26">
        <f>IFERROR(__xludf.DUMMYFUNCTION("""COMPUTED_VALUE"""),1.0)</f>
        <v>1</v>
      </c>
      <c r="E40" s="26">
        <f>IFERROR(__xludf.DUMMYFUNCTION("""COMPUTED_VALUE"""),4.0)</f>
        <v>4</v>
      </c>
      <c r="F40" s="26">
        <f>IFERROR(__xludf.DUMMYFUNCTION("""COMPUTED_VALUE"""),3.0)</f>
        <v>3</v>
      </c>
      <c r="G40" s="26">
        <f>IFERROR(__xludf.DUMMYFUNCTION("""COMPUTED_VALUE"""),4.29)</f>
        <v>4.29</v>
      </c>
      <c r="H40" s="27">
        <f>IFERROR(__xludf.DUMMYFUNCTION("""COMPUTED_VALUE"""),0.0)</f>
        <v>0</v>
      </c>
      <c r="I40" s="27">
        <f>IFERROR(__xludf.DUMMYFUNCTION("""COMPUTED_VALUE"""),2.0)</f>
        <v>2</v>
      </c>
      <c r="J40" s="27">
        <f>IFERROR(__xludf.DUMMYFUNCTION("""COMPUTED_VALUE"""),1.0)</f>
        <v>1</v>
      </c>
      <c r="K40" s="28">
        <f>IFERROR(__xludf.DUMMYFUNCTION("""COMPUTED_VALUE"""),0.0)</f>
        <v>0</v>
      </c>
    </row>
    <row r="41">
      <c r="A41" s="23" t="str">
        <f>IFERROR(__xludf.DUMMYFUNCTION("""COMPUTED_VALUE"""),"38º")</f>
        <v>38º</v>
      </c>
      <c r="B41" s="24" t="str">
        <f>IFERROR(__xludf.DUMMYFUNCTION("""COMPUTED_VALUE"""),"capitu")</f>
        <v>capitu</v>
      </c>
      <c r="C41" s="25">
        <f>IFERROR(__xludf.DUMMYFUNCTION("""COMPUTED_VALUE"""),1.00400271371)</f>
        <v>1.004002714</v>
      </c>
      <c r="D41" s="26">
        <f>IFERROR(__xludf.DUMMYFUNCTION("""COMPUTED_VALUE"""),1.0)</f>
        <v>1</v>
      </c>
      <c r="E41" s="26">
        <f>IFERROR(__xludf.DUMMYFUNCTION("""COMPUTED_VALUE"""),4.0)</f>
        <v>4</v>
      </c>
      <c r="F41" s="26">
        <f>IFERROR(__xludf.DUMMYFUNCTION("""COMPUTED_VALUE"""),2.71)</f>
        <v>2.71</v>
      </c>
      <c r="G41" s="26">
        <f>IFERROR(__xludf.DUMMYFUNCTION("""COMPUTED_VALUE"""),3.71)</f>
        <v>3.71</v>
      </c>
      <c r="H41" s="27">
        <f>IFERROR(__xludf.DUMMYFUNCTION("""COMPUTED_VALUE"""),0.0)</f>
        <v>0</v>
      </c>
      <c r="I41" s="27">
        <f>IFERROR(__xludf.DUMMYFUNCTION("""COMPUTED_VALUE"""),2.0)</f>
        <v>2</v>
      </c>
      <c r="J41" s="27">
        <f>IFERROR(__xludf.DUMMYFUNCTION("""COMPUTED_VALUE"""),1.0)</f>
        <v>1</v>
      </c>
      <c r="K41" s="28">
        <f>IFERROR(__xludf.DUMMYFUNCTION("""COMPUTED_VALUE"""),0.0)</f>
        <v>0</v>
      </c>
    </row>
    <row r="42">
      <c r="A42" s="23" t="str">
        <f>IFERROR(__xludf.DUMMYFUNCTION("""COMPUTED_VALUE"""),"39º")</f>
        <v>39º</v>
      </c>
      <c r="B42" s="24" t="str">
        <f>IFERROR(__xludf.DUMMYFUNCTION("""COMPUTED_VALUE"""),"Felipe")</f>
        <v>Felipe</v>
      </c>
      <c r="C42" s="25">
        <f>IFERROR(__xludf.DUMMYFUNCTION("""COMPUTED_VALUE"""),1.00300433233)</f>
        <v>1.003004332</v>
      </c>
      <c r="D42" s="26">
        <f>IFERROR(__xludf.DUMMYFUNCTION("""COMPUTED_VALUE"""),1.0)</f>
        <v>1</v>
      </c>
      <c r="E42" s="26">
        <f>IFERROR(__xludf.DUMMYFUNCTION("""COMPUTED_VALUE"""),3.0)</f>
        <v>3</v>
      </c>
      <c r="F42" s="26">
        <f>IFERROR(__xludf.DUMMYFUNCTION("""COMPUTED_VALUE"""),4.33)</f>
        <v>4.33</v>
      </c>
      <c r="G42" s="26">
        <f>IFERROR(__xludf.DUMMYFUNCTION("""COMPUTED_VALUE"""),2.33)</f>
        <v>2.33</v>
      </c>
      <c r="H42" s="27">
        <f>IFERROR(__xludf.DUMMYFUNCTION("""COMPUTED_VALUE"""),0.0)</f>
        <v>0</v>
      </c>
      <c r="I42" s="27">
        <f>IFERROR(__xludf.DUMMYFUNCTION("""COMPUTED_VALUE"""),2.0)</f>
        <v>2</v>
      </c>
      <c r="J42" s="27">
        <f>IFERROR(__xludf.DUMMYFUNCTION("""COMPUTED_VALUE"""),1.0)</f>
        <v>1</v>
      </c>
      <c r="K42" s="28">
        <f>IFERROR(__xludf.DUMMYFUNCTION("""COMPUTED_VALUE"""),0.0)</f>
        <v>0</v>
      </c>
    </row>
    <row r="43">
      <c r="A43" s="23" t="str">
        <f>IFERROR(__xludf.DUMMYFUNCTION("""COMPUTED_VALUE"""),"40º")</f>
        <v>40º</v>
      </c>
      <c r="B43" s="24" t="str">
        <f>IFERROR(__xludf.DUMMYFUNCTION("""COMPUTED_VALUE"""),"Luiz Felipe Barroso")</f>
        <v>Luiz Felipe Barroso</v>
      </c>
      <c r="C43" s="25">
        <f>IFERROR(__xludf.DUMMYFUNCTION("""COMPUTED_VALUE"""),1.00300386357)</f>
        <v>1.003003864</v>
      </c>
      <c r="D43" s="26">
        <f>IFERROR(__xludf.DUMMYFUNCTION("""COMPUTED_VALUE"""),1.0)</f>
        <v>1</v>
      </c>
      <c r="E43" s="26">
        <f>IFERROR(__xludf.DUMMYFUNCTION("""COMPUTED_VALUE"""),3.0)</f>
        <v>3</v>
      </c>
      <c r="F43" s="26">
        <f>IFERROR(__xludf.DUMMYFUNCTION("""COMPUTED_VALUE"""),3.86)</f>
        <v>3.86</v>
      </c>
      <c r="G43" s="26">
        <f>IFERROR(__xludf.DUMMYFUNCTION("""COMPUTED_VALUE"""),3.57)</f>
        <v>3.57</v>
      </c>
      <c r="H43" s="27">
        <f>IFERROR(__xludf.DUMMYFUNCTION("""COMPUTED_VALUE"""),0.0)</f>
        <v>0</v>
      </c>
      <c r="I43" s="27">
        <f>IFERROR(__xludf.DUMMYFUNCTION("""COMPUTED_VALUE"""),3.0)</f>
        <v>3</v>
      </c>
      <c r="J43" s="27">
        <f>IFERROR(__xludf.DUMMYFUNCTION("""COMPUTED_VALUE"""),3.0)</f>
        <v>3</v>
      </c>
      <c r="K43" s="28">
        <f>IFERROR(__xludf.DUMMYFUNCTION("""COMPUTED_VALUE"""),0.0)</f>
        <v>0</v>
      </c>
    </row>
    <row r="44">
      <c r="A44" s="23" t="str">
        <f>IFERROR(__xludf.DUMMYFUNCTION("""COMPUTED_VALUE"""),"41º")</f>
        <v>41º</v>
      </c>
      <c r="B44" s="24" t="str">
        <f>IFERROR(__xludf.DUMMYFUNCTION("""COMPUTED_VALUE"""),"Bernardo hs")</f>
        <v>Bernardo hs</v>
      </c>
      <c r="C44" s="25">
        <f>IFERROR(__xludf.DUMMYFUNCTION("""COMPUTED_VALUE"""),1.00200363275)</f>
        <v>1.002003633</v>
      </c>
      <c r="D44" s="26">
        <f>IFERROR(__xludf.DUMMYFUNCTION("""COMPUTED_VALUE"""),1.0)</f>
        <v>1</v>
      </c>
      <c r="E44" s="26">
        <f>IFERROR(__xludf.DUMMYFUNCTION("""COMPUTED_VALUE"""),2.0)</f>
        <v>2</v>
      </c>
      <c r="F44" s="26">
        <f>IFERROR(__xludf.DUMMYFUNCTION("""COMPUTED_VALUE"""),3.63)</f>
        <v>3.63</v>
      </c>
      <c r="G44" s="26">
        <f>IFERROR(__xludf.DUMMYFUNCTION("""COMPUTED_VALUE"""),2.75)</f>
        <v>2.75</v>
      </c>
      <c r="H44" s="27">
        <f>IFERROR(__xludf.DUMMYFUNCTION("""COMPUTED_VALUE"""),0.0)</f>
        <v>0</v>
      </c>
      <c r="I44" s="27">
        <f>IFERROR(__xludf.DUMMYFUNCTION("""COMPUTED_VALUE"""),1.0)</f>
        <v>1</v>
      </c>
      <c r="J44" s="27">
        <f>IFERROR(__xludf.DUMMYFUNCTION("""COMPUTED_VALUE"""),2.0)</f>
        <v>2</v>
      </c>
      <c r="K44" s="28">
        <f>IFERROR(__xludf.DUMMYFUNCTION("""COMPUTED_VALUE"""),0.0)</f>
        <v>0</v>
      </c>
    </row>
    <row r="45">
      <c r="A45" s="23" t="str">
        <f>IFERROR(__xludf.DUMMYFUNCTION("""COMPUTED_VALUE"""),"42º")</f>
        <v>42º</v>
      </c>
      <c r="B45" s="24" t="str">
        <f>IFERROR(__xludf.DUMMYFUNCTION("""COMPUTED_VALUE"""),"Dreifão")</f>
        <v>Dreifão</v>
      </c>
      <c r="C45" s="25">
        <f>IFERROR(__xludf.DUMMYFUNCTION("""COMPUTED_VALUE"""),1.0010033349999998)</f>
        <v>1.001003335</v>
      </c>
      <c r="D45" s="26">
        <f>IFERROR(__xludf.DUMMYFUNCTION("""COMPUTED_VALUE"""),1.0)</f>
        <v>1</v>
      </c>
      <c r="E45" s="26">
        <f>IFERROR(__xludf.DUMMYFUNCTION("""COMPUTED_VALUE"""),1.0)</f>
        <v>1</v>
      </c>
      <c r="F45" s="26">
        <f>IFERROR(__xludf.DUMMYFUNCTION("""COMPUTED_VALUE"""),3.33)</f>
        <v>3.33</v>
      </c>
      <c r="G45" s="26">
        <f>IFERROR(__xludf.DUMMYFUNCTION("""COMPUTED_VALUE"""),5.0)</f>
        <v>5</v>
      </c>
      <c r="H45" s="27">
        <f>IFERROR(__xludf.DUMMYFUNCTION("""COMPUTED_VALUE"""),0.0)</f>
        <v>0</v>
      </c>
      <c r="I45" s="27">
        <f>IFERROR(__xludf.DUMMYFUNCTION("""COMPUTED_VALUE"""),1.0)</f>
        <v>1</v>
      </c>
      <c r="J45" s="27">
        <f>IFERROR(__xludf.DUMMYFUNCTION("""COMPUTED_VALUE"""),0.0)</f>
        <v>0</v>
      </c>
      <c r="K45" s="28">
        <f>IFERROR(__xludf.DUMMYFUNCTION("""COMPUTED_VALUE"""),0.0)</f>
        <v>0</v>
      </c>
    </row>
    <row r="46">
      <c r="A46" s="23" t="str">
        <f>IFERROR(__xludf.DUMMYFUNCTION("""COMPUTED_VALUE"""),"43º")</f>
        <v>43º</v>
      </c>
      <c r="B46" s="24" t="str">
        <f>IFERROR(__xludf.DUMMYFUNCTION("""COMPUTED_VALUE"""),"LuizSD")</f>
        <v>LuizSD</v>
      </c>
      <c r="C46" s="25">
        <f>IFERROR(__xludf.DUMMYFUNCTION("""COMPUTED_VALUE"""),1.0010025722899998)</f>
        <v>1.001002572</v>
      </c>
      <c r="D46" s="26">
        <f>IFERROR(__xludf.DUMMYFUNCTION("""COMPUTED_VALUE"""),1.0)</f>
        <v>1</v>
      </c>
      <c r="E46" s="26">
        <f>IFERROR(__xludf.DUMMYFUNCTION("""COMPUTED_VALUE"""),1.0)</f>
        <v>1</v>
      </c>
      <c r="F46" s="26">
        <f>IFERROR(__xludf.DUMMYFUNCTION("""COMPUTED_VALUE"""),2.57)</f>
        <v>2.57</v>
      </c>
      <c r="G46" s="26">
        <f>IFERROR(__xludf.DUMMYFUNCTION("""COMPUTED_VALUE"""),2.29)</f>
        <v>2.29</v>
      </c>
      <c r="H46" s="27">
        <f>IFERROR(__xludf.DUMMYFUNCTION("""COMPUTED_VALUE"""),0.0)</f>
        <v>0</v>
      </c>
      <c r="I46" s="27">
        <f>IFERROR(__xludf.DUMMYFUNCTION("""COMPUTED_VALUE"""),1.0)</f>
        <v>1</v>
      </c>
      <c r="J46" s="27">
        <f>IFERROR(__xludf.DUMMYFUNCTION("""COMPUTED_VALUE"""),2.0)</f>
        <v>2</v>
      </c>
      <c r="K46" s="28">
        <f>IFERROR(__xludf.DUMMYFUNCTION("""COMPUTED_VALUE"""),0.0)</f>
        <v>0</v>
      </c>
    </row>
    <row r="47">
      <c r="A47" s="23" t="str">
        <f>IFERROR(__xludf.DUMMYFUNCTION("""COMPUTED_VALUE"""),"44º")</f>
        <v>44º</v>
      </c>
      <c r="B47" s="24" t="str">
        <f>IFERROR(__xludf.DUMMYFUNCTION("""COMPUTED_VALUE"""),"Matheus Pereira")</f>
        <v>Matheus Pereira</v>
      </c>
      <c r="C47" s="25">
        <f>IFERROR(__xludf.DUMMYFUNCTION("""COMPUTED_VALUE"""),1.0000038313300001)</f>
        <v>1.000003831</v>
      </c>
      <c r="D47" s="26">
        <f>IFERROR(__xludf.DUMMYFUNCTION("""COMPUTED_VALUE"""),1.0)</f>
        <v>1</v>
      </c>
      <c r="E47" s="26">
        <f>IFERROR(__xludf.DUMMYFUNCTION("""COMPUTED_VALUE"""),0.0)</f>
        <v>0</v>
      </c>
      <c r="F47" s="26">
        <f>IFERROR(__xludf.DUMMYFUNCTION("""COMPUTED_VALUE"""),3.83)</f>
        <v>3.83</v>
      </c>
      <c r="G47" s="26">
        <f>IFERROR(__xludf.DUMMYFUNCTION("""COMPUTED_VALUE"""),1.33)</f>
        <v>1.33</v>
      </c>
      <c r="H47" s="27">
        <f>IFERROR(__xludf.DUMMYFUNCTION("""COMPUTED_VALUE"""),0.0)</f>
        <v>0</v>
      </c>
      <c r="I47" s="27">
        <f>IFERROR(__xludf.DUMMYFUNCTION("""COMPUTED_VALUE"""),0.0)</f>
        <v>0</v>
      </c>
      <c r="J47" s="27">
        <f>IFERROR(__xludf.DUMMYFUNCTION("""COMPUTED_VALUE"""),2.0)</f>
        <v>2</v>
      </c>
      <c r="K47" s="28">
        <f>IFERROR(__xludf.DUMMYFUNCTION("""COMPUTED_VALUE"""),0.0)</f>
        <v>0</v>
      </c>
    </row>
    <row r="48">
      <c r="A48" s="23" t="str">
        <f>IFERROR(__xludf.DUMMYFUNCTION("""COMPUTED_VALUE"""),"45º")</f>
        <v>45º</v>
      </c>
      <c r="B48" s="24" t="str">
        <f>IFERROR(__xludf.DUMMYFUNCTION("""COMPUTED_VALUE"""),"S1LVEIRA")</f>
        <v>S1LVEIRA</v>
      </c>
      <c r="C48" s="25">
        <f>IFERROR(__xludf.DUMMYFUNCTION("""COMPUTED_VALUE"""),1.0000036716699998)</f>
        <v>1.000003672</v>
      </c>
      <c r="D48" s="26">
        <f>IFERROR(__xludf.DUMMYFUNCTION("""COMPUTED_VALUE"""),1.0)</f>
        <v>1</v>
      </c>
      <c r="E48" s="26">
        <f>IFERROR(__xludf.DUMMYFUNCTION("""COMPUTED_VALUE"""),0.0)</f>
        <v>0</v>
      </c>
      <c r="F48" s="26">
        <f>IFERROR(__xludf.DUMMYFUNCTION("""COMPUTED_VALUE"""),3.67)</f>
        <v>3.67</v>
      </c>
      <c r="G48" s="26">
        <f>IFERROR(__xludf.DUMMYFUNCTION("""COMPUTED_VALUE"""),1.67)</f>
        <v>1.67</v>
      </c>
      <c r="H48" s="27">
        <f>IFERROR(__xludf.DUMMYFUNCTION("""COMPUTED_VALUE"""),0.0)</f>
        <v>0</v>
      </c>
      <c r="I48" s="27">
        <f>IFERROR(__xludf.DUMMYFUNCTION("""COMPUTED_VALUE"""),0.0)</f>
        <v>0</v>
      </c>
      <c r="J48" s="27">
        <f>IFERROR(__xludf.DUMMYFUNCTION("""COMPUTED_VALUE"""),2.0)</f>
        <v>2</v>
      </c>
      <c r="K48" s="28">
        <f>IFERROR(__xludf.DUMMYFUNCTION("""COMPUTED_VALUE"""),0.0)</f>
        <v>0</v>
      </c>
    </row>
    <row r="49">
      <c r="A49" s="23" t="str">
        <f>IFERROR(__xludf.DUMMYFUNCTION("""COMPUTED_VALUE"""),"46º")</f>
        <v>46º</v>
      </c>
      <c r="B49" s="24" t="str">
        <f>IFERROR(__xludf.DUMMYFUNCTION("""COMPUTED_VALUE"""),"Pedro Jawa")</f>
        <v>Pedro Jawa</v>
      </c>
      <c r="C49" s="25">
        <f>IFERROR(__xludf.DUMMYFUNCTION("""COMPUTED_VALUE"""),1.00000363275)</f>
        <v>1.000003633</v>
      </c>
      <c r="D49" s="26">
        <f>IFERROR(__xludf.DUMMYFUNCTION("""COMPUTED_VALUE"""),1.0)</f>
        <v>1</v>
      </c>
      <c r="E49" s="26">
        <f>IFERROR(__xludf.DUMMYFUNCTION("""COMPUTED_VALUE"""),0.0)</f>
        <v>0</v>
      </c>
      <c r="F49" s="26">
        <f>IFERROR(__xludf.DUMMYFUNCTION("""COMPUTED_VALUE"""),3.63)</f>
        <v>3.63</v>
      </c>
      <c r="G49" s="26">
        <f>IFERROR(__xludf.DUMMYFUNCTION("""COMPUTED_VALUE"""),2.75)</f>
        <v>2.75</v>
      </c>
      <c r="H49" s="27">
        <f>IFERROR(__xludf.DUMMYFUNCTION("""COMPUTED_VALUE"""),0.0)</f>
        <v>0</v>
      </c>
      <c r="I49" s="27">
        <f>IFERROR(__xludf.DUMMYFUNCTION("""COMPUTED_VALUE"""),0.0)</f>
        <v>0</v>
      </c>
      <c r="J49" s="27">
        <f>IFERROR(__xludf.DUMMYFUNCTION("""COMPUTED_VALUE"""),3.0)</f>
        <v>3</v>
      </c>
      <c r="K49" s="28">
        <f>IFERROR(__xludf.DUMMYFUNCTION("""COMPUTED_VALUE"""),0.0)</f>
        <v>0</v>
      </c>
    </row>
    <row r="50">
      <c r="A50" s="23" t="str">
        <f>IFERROR(__xludf.DUMMYFUNCTION("""COMPUTED_VALUE"""),"47º")</f>
        <v>47º</v>
      </c>
      <c r="B50" s="24" t="str">
        <f>IFERROR(__xludf.DUMMYFUNCTION("""COMPUTED_VALUE"""),"Andrerusso")</f>
        <v>Andrerusso</v>
      </c>
      <c r="C50" s="29">
        <f>IFERROR(__xludf.DUMMYFUNCTION("""COMPUTED_VALUE"""),1.0000032010000002)</f>
        <v>1.000003201</v>
      </c>
      <c r="D50" s="26">
        <f>IFERROR(__xludf.DUMMYFUNCTION("""COMPUTED_VALUE"""),1.0)</f>
        <v>1</v>
      </c>
      <c r="E50" s="26">
        <f>IFERROR(__xludf.DUMMYFUNCTION("""COMPUTED_VALUE"""),0.0)</f>
        <v>0</v>
      </c>
      <c r="F50" s="26">
        <f>IFERROR(__xludf.DUMMYFUNCTION("""COMPUTED_VALUE"""),3.2)</f>
        <v>3.2</v>
      </c>
      <c r="G50" s="26">
        <f>IFERROR(__xludf.DUMMYFUNCTION("""COMPUTED_VALUE"""),1.0)</f>
        <v>1</v>
      </c>
      <c r="H50" s="27">
        <f>IFERROR(__xludf.DUMMYFUNCTION("""COMPUTED_VALUE"""),0.0)</f>
        <v>0</v>
      </c>
      <c r="I50" s="27">
        <f>IFERROR(__xludf.DUMMYFUNCTION("""COMPUTED_VALUE"""),0.0)</f>
        <v>0</v>
      </c>
      <c r="J50" s="27">
        <f>IFERROR(__xludf.DUMMYFUNCTION("""COMPUTED_VALUE"""),2.0)</f>
        <v>2</v>
      </c>
      <c r="K50" s="28">
        <f>IFERROR(__xludf.DUMMYFUNCTION("""COMPUTED_VALUE"""),0.0)</f>
        <v>0</v>
      </c>
    </row>
    <row r="51">
      <c r="A51" s="23" t="str">
        <f>IFERROR(__xludf.DUMMYFUNCTION("""COMPUTED_VALUE"""),"48º")</f>
        <v>48º</v>
      </c>
      <c r="B51" s="24" t="str">
        <f>IFERROR(__xludf.DUMMYFUNCTION("""COMPUTED_VALUE"""),"jtRipper")</f>
        <v>jtRipper</v>
      </c>
      <c r="C51" s="29">
        <f>IFERROR(__xludf.DUMMYFUNCTION("""COMPUTED_VALUE"""),1.00000300283)</f>
        <v>1.000003003</v>
      </c>
      <c r="D51" s="26">
        <f>IFERROR(__xludf.DUMMYFUNCTION("""COMPUTED_VALUE"""),1.0)</f>
        <v>1</v>
      </c>
      <c r="E51" s="26">
        <f>IFERROR(__xludf.DUMMYFUNCTION("""COMPUTED_VALUE"""),0.0)</f>
        <v>0</v>
      </c>
      <c r="F51" s="26">
        <f>IFERROR(__xludf.DUMMYFUNCTION("""COMPUTED_VALUE"""),3.0)</f>
        <v>3</v>
      </c>
      <c r="G51" s="26">
        <f>IFERROR(__xludf.DUMMYFUNCTION("""COMPUTED_VALUE"""),2.83)</f>
        <v>2.83</v>
      </c>
      <c r="H51" s="27">
        <f>IFERROR(__xludf.DUMMYFUNCTION("""COMPUTED_VALUE"""),0.0)</f>
        <v>0</v>
      </c>
      <c r="I51" s="27">
        <f>IFERROR(__xludf.DUMMYFUNCTION("""COMPUTED_VALUE"""),0.0)</f>
        <v>0</v>
      </c>
      <c r="J51" s="27">
        <f>IFERROR(__xludf.DUMMYFUNCTION("""COMPUTED_VALUE"""),2.0)</f>
        <v>2</v>
      </c>
      <c r="K51" s="28">
        <f>IFERROR(__xludf.DUMMYFUNCTION("""COMPUTED_VALUE"""),0.0)</f>
        <v>0</v>
      </c>
    </row>
    <row r="52">
      <c r="A52" s="23" t="str">
        <f>IFERROR(__xludf.DUMMYFUNCTION("""COMPUTED_VALUE"""),"49º")</f>
        <v>49º</v>
      </c>
      <c r="B52" s="24" t="str">
        <f>IFERROR(__xludf.DUMMYFUNCTION("""COMPUTED_VALUE"""),"Vinison")</f>
        <v>Vinison</v>
      </c>
      <c r="C52" s="29">
        <f>IFERROR(__xludf.DUMMYFUNCTION("""COMPUTED_VALUE"""),1.0000030006)</f>
        <v>1.000003001</v>
      </c>
      <c r="D52" s="26">
        <f>IFERROR(__xludf.DUMMYFUNCTION("""COMPUTED_VALUE"""),1.0)</f>
        <v>1</v>
      </c>
      <c r="E52" s="26">
        <f>IFERROR(__xludf.DUMMYFUNCTION("""COMPUTED_VALUE"""),0.0)</f>
        <v>0</v>
      </c>
      <c r="F52" s="26">
        <f>IFERROR(__xludf.DUMMYFUNCTION("""COMPUTED_VALUE"""),3.0)</f>
        <v>3</v>
      </c>
      <c r="G52" s="26">
        <f>IFERROR(__xludf.DUMMYFUNCTION("""COMPUTED_VALUE"""),0.6)</f>
        <v>0.6</v>
      </c>
      <c r="H52" s="27">
        <f>IFERROR(__xludf.DUMMYFUNCTION("""COMPUTED_VALUE"""),0.0)</f>
        <v>0</v>
      </c>
      <c r="I52" s="27">
        <f>IFERROR(__xludf.DUMMYFUNCTION("""COMPUTED_VALUE"""),0.0)</f>
        <v>0</v>
      </c>
      <c r="J52" s="27">
        <f>IFERROR(__xludf.DUMMYFUNCTION("""COMPUTED_VALUE"""),2.0)</f>
        <v>2</v>
      </c>
      <c r="K52" s="28">
        <f>IFERROR(__xludf.DUMMYFUNCTION("""COMPUTED_VALUE"""),0.0)</f>
        <v>0</v>
      </c>
    </row>
    <row r="53">
      <c r="A53" s="23" t="str">
        <f>IFERROR(__xludf.DUMMYFUNCTION("""COMPUTED_VALUE"""),"50º")</f>
        <v>50º</v>
      </c>
      <c r="B53" s="24" t="str">
        <f>IFERROR(__xludf.DUMMYFUNCTION("""COMPUTED_VALUE"""),"Dudutra")</f>
        <v>Dudutra</v>
      </c>
      <c r="C53" s="29">
        <f>IFERROR(__xludf.DUMMYFUNCTION("""COMPUTED_VALUE"""),1.0000028619999999)</f>
        <v>1.000002862</v>
      </c>
      <c r="D53" s="26">
        <f>IFERROR(__xludf.DUMMYFUNCTION("""COMPUTED_VALUE"""),1.0)</f>
        <v>1</v>
      </c>
      <c r="E53" s="26">
        <f>IFERROR(__xludf.DUMMYFUNCTION("""COMPUTED_VALUE"""),0.0)</f>
        <v>0</v>
      </c>
      <c r="F53" s="26">
        <f>IFERROR(__xludf.DUMMYFUNCTION("""COMPUTED_VALUE"""),2.86)</f>
        <v>2.86</v>
      </c>
      <c r="G53" s="26">
        <f>IFERROR(__xludf.DUMMYFUNCTION("""COMPUTED_VALUE"""),2.0)</f>
        <v>2</v>
      </c>
      <c r="H53" s="27">
        <f>IFERROR(__xludf.DUMMYFUNCTION("""COMPUTED_VALUE"""),0.0)</f>
        <v>0</v>
      </c>
      <c r="I53" s="27">
        <f>IFERROR(__xludf.DUMMYFUNCTION("""COMPUTED_VALUE"""),0.0)</f>
        <v>0</v>
      </c>
      <c r="J53" s="27">
        <f>IFERROR(__xludf.DUMMYFUNCTION("""COMPUTED_VALUE"""),3.0)</f>
        <v>3</v>
      </c>
      <c r="K53" s="28">
        <f>IFERROR(__xludf.DUMMYFUNCTION("""COMPUTED_VALUE"""),0.0)</f>
        <v>0</v>
      </c>
    </row>
    <row r="54">
      <c r="A54" s="23" t="str">
        <f>IFERROR(__xludf.DUMMYFUNCTION("""COMPUTED_VALUE"""),"51º")</f>
        <v>51º</v>
      </c>
      <c r="B54" s="24" t="str">
        <f>IFERROR(__xludf.DUMMYFUNCTION("""COMPUTED_VALUE"""),"Flegons")</f>
        <v>Flegons</v>
      </c>
      <c r="C54" s="29">
        <f>IFERROR(__xludf.DUMMYFUNCTION("""COMPUTED_VALUE"""),1.0000028615699998)</f>
        <v>1.000002862</v>
      </c>
      <c r="D54" s="26">
        <f>IFERROR(__xludf.DUMMYFUNCTION("""COMPUTED_VALUE"""),1.0)</f>
        <v>1</v>
      </c>
      <c r="E54" s="26">
        <f>IFERROR(__xludf.DUMMYFUNCTION("""COMPUTED_VALUE"""),0.0)</f>
        <v>0</v>
      </c>
      <c r="F54" s="26">
        <f>IFERROR(__xludf.DUMMYFUNCTION("""COMPUTED_VALUE"""),2.86)</f>
        <v>2.86</v>
      </c>
      <c r="G54" s="26">
        <f>IFERROR(__xludf.DUMMYFUNCTION("""COMPUTED_VALUE"""),1.57)</f>
        <v>1.57</v>
      </c>
      <c r="H54" s="27">
        <f>IFERROR(__xludf.DUMMYFUNCTION("""COMPUTED_VALUE"""),0.0)</f>
        <v>0</v>
      </c>
      <c r="I54" s="27">
        <f>IFERROR(__xludf.DUMMYFUNCTION("""COMPUTED_VALUE"""),0.0)</f>
        <v>0</v>
      </c>
      <c r="J54" s="27">
        <f>IFERROR(__xludf.DUMMYFUNCTION("""COMPUTED_VALUE"""),3.0)</f>
        <v>3</v>
      </c>
      <c r="K54" s="28">
        <f>IFERROR(__xludf.DUMMYFUNCTION("""COMPUTED_VALUE"""),0.0)</f>
        <v>0</v>
      </c>
    </row>
    <row r="55">
      <c r="A55" s="23" t="str">
        <f>IFERROR(__xludf.DUMMYFUNCTION("""COMPUTED_VALUE"""),"52º")</f>
        <v>52º</v>
      </c>
      <c r="B55" s="24" t="str">
        <f>IFERROR(__xludf.DUMMYFUNCTION("""COMPUTED_VALUE"""),"Carlinhos")</f>
        <v>Carlinhos</v>
      </c>
      <c r="C55" s="29">
        <f>IFERROR(__xludf.DUMMYFUNCTION("""COMPUTED_VALUE"""),1.00000267083)</f>
        <v>1.000002671</v>
      </c>
      <c r="D55" s="26">
        <f>IFERROR(__xludf.DUMMYFUNCTION("""COMPUTED_VALUE"""),1.0)</f>
        <v>1</v>
      </c>
      <c r="E55" s="26">
        <f>IFERROR(__xludf.DUMMYFUNCTION("""COMPUTED_VALUE"""),0.0)</f>
        <v>0</v>
      </c>
      <c r="F55" s="26">
        <f>IFERROR(__xludf.DUMMYFUNCTION("""COMPUTED_VALUE"""),2.67)</f>
        <v>2.67</v>
      </c>
      <c r="G55" s="26">
        <f>IFERROR(__xludf.DUMMYFUNCTION("""COMPUTED_VALUE"""),0.83)</f>
        <v>0.83</v>
      </c>
      <c r="H55" s="27">
        <f>IFERROR(__xludf.DUMMYFUNCTION("""COMPUTED_VALUE"""),0.0)</f>
        <v>0</v>
      </c>
      <c r="I55" s="27">
        <f>IFERROR(__xludf.DUMMYFUNCTION("""COMPUTED_VALUE"""),0.0)</f>
        <v>0</v>
      </c>
      <c r="J55" s="27">
        <f>IFERROR(__xludf.DUMMYFUNCTION("""COMPUTED_VALUE"""),2.0)</f>
        <v>2</v>
      </c>
      <c r="K55" s="28">
        <f>IFERROR(__xludf.DUMMYFUNCTION("""COMPUTED_VALUE"""),0.0)</f>
        <v>0</v>
      </c>
    </row>
    <row r="56">
      <c r="A56" s="23" t="str">
        <f>IFERROR(__xludf.DUMMYFUNCTION("""COMPUTED_VALUE"""),"53º")</f>
        <v>53º</v>
      </c>
      <c r="B56" s="24" t="str">
        <f>IFERROR(__xludf.DUMMYFUNCTION("""COMPUTED_VALUE"""),"Manel")</f>
        <v>Manel</v>
      </c>
      <c r="C56" s="29">
        <f>IFERROR(__xludf.DUMMYFUNCTION("""COMPUTED_VALUE"""),1.0000025013799998)</f>
        <v>1.000002501</v>
      </c>
      <c r="D56" s="26">
        <f>IFERROR(__xludf.DUMMYFUNCTION("""COMPUTED_VALUE"""),1.0)</f>
        <v>1</v>
      </c>
      <c r="E56" s="26">
        <f>IFERROR(__xludf.DUMMYFUNCTION("""COMPUTED_VALUE"""),0.0)</f>
        <v>0</v>
      </c>
      <c r="F56" s="26">
        <f>IFERROR(__xludf.DUMMYFUNCTION("""COMPUTED_VALUE"""),2.5)</f>
        <v>2.5</v>
      </c>
      <c r="G56" s="26">
        <f>IFERROR(__xludf.DUMMYFUNCTION("""COMPUTED_VALUE"""),1.38)</f>
        <v>1.38</v>
      </c>
      <c r="H56" s="27">
        <f>IFERROR(__xludf.DUMMYFUNCTION("""COMPUTED_VALUE"""),0.0)</f>
        <v>0</v>
      </c>
      <c r="I56" s="27">
        <f>IFERROR(__xludf.DUMMYFUNCTION("""COMPUTED_VALUE"""),0.0)</f>
        <v>0</v>
      </c>
      <c r="J56" s="27">
        <f>IFERROR(__xludf.DUMMYFUNCTION("""COMPUTED_VALUE"""),3.0)</f>
        <v>3</v>
      </c>
      <c r="K56" s="28">
        <f>IFERROR(__xludf.DUMMYFUNCTION("""COMPUTED_VALUE"""),0.0)</f>
        <v>0</v>
      </c>
    </row>
    <row r="57">
      <c r="A57" s="23" t="str">
        <f>IFERROR(__xludf.DUMMYFUNCTION("""COMPUTED_VALUE"""),"54º")</f>
        <v>54º</v>
      </c>
      <c r="B57" s="24" t="str">
        <f>IFERROR(__xludf.DUMMYFUNCTION("""COMPUTED_VALUE"""),"Andre rezende")</f>
        <v>Andre rezende</v>
      </c>
      <c r="C57" s="29">
        <f>IFERROR(__xludf.DUMMYFUNCTION("""COMPUTED_VALUE"""),1.0000021408600002)</f>
        <v>1.000002141</v>
      </c>
      <c r="D57" s="26">
        <f>IFERROR(__xludf.DUMMYFUNCTION("""COMPUTED_VALUE"""),1.0)</f>
        <v>1</v>
      </c>
      <c r="E57" s="26">
        <f>IFERROR(__xludf.DUMMYFUNCTION("""COMPUTED_VALUE"""),0.0)</f>
        <v>0</v>
      </c>
      <c r="F57" s="26">
        <f>IFERROR(__xludf.DUMMYFUNCTION("""COMPUTED_VALUE"""),2.14)</f>
        <v>2.14</v>
      </c>
      <c r="G57" s="26">
        <f>IFERROR(__xludf.DUMMYFUNCTION("""COMPUTED_VALUE"""),0.86)</f>
        <v>0.86</v>
      </c>
      <c r="H57" s="27">
        <f>IFERROR(__xludf.DUMMYFUNCTION("""COMPUTED_VALUE"""),0.0)</f>
        <v>0</v>
      </c>
      <c r="I57" s="27">
        <f>IFERROR(__xludf.DUMMYFUNCTION("""COMPUTED_VALUE"""),0.0)</f>
        <v>0</v>
      </c>
      <c r="J57" s="27">
        <f>IFERROR(__xludf.DUMMYFUNCTION("""COMPUTED_VALUE"""),3.0)</f>
        <v>3</v>
      </c>
      <c r="K57" s="28">
        <f>IFERROR(__xludf.DUMMYFUNCTION("""COMPUTED_VALUE"""),0.0)</f>
        <v>0</v>
      </c>
    </row>
    <row r="58">
      <c r="A58" s="23" t="str">
        <f>IFERROR(__xludf.DUMMYFUNCTION("""COMPUTED_VALUE"""),"55º")</f>
        <v>55º</v>
      </c>
      <c r="B58" s="24" t="str">
        <f>IFERROR(__xludf.DUMMYFUNCTION("""COMPUTED_VALUE"""),"Eduardo Bachman")</f>
        <v>Eduardo Bachman</v>
      </c>
      <c r="C58" s="29">
        <f>IFERROR(__xludf.DUMMYFUNCTION("""COMPUTED_VALUE"""),1.00000129043)</f>
        <v>1.00000129</v>
      </c>
      <c r="D58" s="26">
        <f>IFERROR(__xludf.DUMMYFUNCTION("""COMPUTED_VALUE"""),1.0)</f>
        <v>1</v>
      </c>
      <c r="E58" s="26">
        <f>IFERROR(__xludf.DUMMYFUNCTION("""COMPUTED_VALUE"""),0.0)</f>
        <v>0</v>
      </c>
      <c r="F58" s="26">
        <f>IFERROR(__xludf.DUMMYFUNCTION("""COMPUTED_VALUE"""),1.29)</f>
        <v>1.29</v>
      </c>
      <c r="G58" s="26">
        <f>IFERROR(__xludf.DUMMYFUNCTION("""COMPUTED_VALUE"""),0.43)</f>
        <v>0.43</v>
      </c>
      <c r="H58" s="27">
        <f>IFERROR(__xludf.DUMMYFUNCTION("""COMPUTED_VALUE"""),0.0)</f>
        <v>0</v>
      </c>
      <c r="I58" s="27">
        <f>IFERROR(__xludf.DUMMYFUNCTION("""COMPUTED_VALUE"""),0.0)</f>
        <v>0</v>
      </c>
      <c r="J58" s="27">
        <f>IFERROR(__xludf.DUMMYFUNCTION("""COMPUTED_VALUE"""),2.0)</f>
        <v>2</v>
      </c>
      <c r="K58" s="28">
        <f>IFERROR(__xludf.DUMMYFUNCTION("""COMPUTED_VALUE"""),0.0)</f>
        <v>0</v>
      </c>
    </row>
    <row r="59">
      <c r="A59" s="23" t="str">
        <f>IFERROR(__xludf.DUMMYFUNCTION("""COMPUTED_VALUE"""),"56º")</f>
        <v>56º</v>
      </c>
      <c r="B59" s="24" t="str">
        <f>IFERROR(__xludf.DUMMYFUNCTION("""COMPUTED_VALUE"""),"Obake")</f>
        <v>Obake</v>
      </c>
      <c r="C59" s="29">
        <f>IFERROR(__xludf.DUMMYFUNCTION("""COMPUTED_VALUE"""),1.0)</f>
        <v>1</v>
      </c>
      <c r="D59" s="26">
        <f>IFERROR(__xludf.DUMMYFUNCTION("""COMPUTED_VALUE"""),1.0)</f>
        <v>1</v>
      </c>
      <c r="E59" s="26">
        <f>IFERROR(__xludf.DUMMYFUNCTION("""COMPUTED_VALUE"""),0.0)</f>
        <v>0</v>
      </c>
      <c r="F59" s="26">
        <f>IFERROR(__xludf.DUMMYFUNCTION("""COMPUTED_VALUE"""),0.0)</f>
        <v>0</v>
      </c>
      <c r="G59" s="26">
        <f>IFERROR(__xludf.DUMMYFUNCTION("""COMPUTED_VALUE"""),0.0)</f>
        <v>0</v>
      </c>
      <c r="H59" s="27">
        <f>IFERROR(__xludf.DUMMYFUNCTION("""COMPUTED_VALUE"""),0.0)</f>
        <v>0</v>
      </c>
      <c r="I59" s="27">
        <f>IFERROR(__xludf.DUMMYFUNCTION("""COMPUTED_VALUE"""),0.0)</f>
        <v>0</v>
      </c>
      <c r="J59" s="27">
        <f>IFERROR(__xludf.DUMMYFUNCTION("""COMPUTED_VALUE"""),1.0)</f>
        <v>1</v>
      </c>
      <c r="K59" s="28">
        <f>IFERROR(__xludf.DUMMYFUNCTION("""COMPUTED_VALUE"""),0.0)</f>
        <v>0</v>
      </c>
    </row>
    <row r="60">
      <c r="A60" s="23" t="str">
        <f>IFERROR(__xludf.DUMMYFUNCTION("""COMPUTED_VALUE"""),"57º")</f>
        <v>57º</v>
      </c>
      <c r="B60" s="24" t="str">
        <f>IFERROR(__xludf.DUMMYFUNCTION("""COMPUTED_VALUE"""),"Like a Dragon")</f>
        <v>Like a Dragon</v>
      </c>
      <c r="C60" s="29">
        <f>IFERROR(__xludf.DUMMYFUNCTION("""COMPUTED_VALUE"""),0.00600257457)</f>
        <v>0.00600257457</v>
      </c>
      <c r="D60" s="26">
        <f>IFERROR(__xludf.DUMMYFUNCTION("""COMPUTED_VALUE"""),0.0)</f>
        <v>0</v>
      </c>
      <c r="E60" s="26">
        <f>IFERROR(__xludf.DUMMYFUNCTION("""COMPUTED_VALUE"""),6.0)</f>
        <v>6</v>
      </c>
      <c r="F60" s="26">
        <f>IFERROR(__xludf.DUMMYFUNCTION("""COMPUTED_VALUE"""),2.57)</f>
        <v>2.57</v>
      </c>
      <c r="G60" s="26">
        <f>IFERROR(__xludf.DUMMYFUNCTION("""COMPUTED_VALUE"""),4.57)</f>
        <v>4.57</v>
      </c>
      <c r="H60" s="27">
        <f>IFERROR(__xludf.DUMMYFUNCTION("""COMPUTED_VALUE"""),0.0)</f>
        <v>0</v>
      </c>
      <c r="I60" s="27">
        <f>IFERROR(__xludf.DUMMYFUNCTION("""COMPUTED_VALUE"""),3.0)</f>
        <v>3</v>
      </c>
      <c r="J60" s="27">
        <f>IFERROR(__xludf.DUMMYFUNCTION("""COMPUTED_VALUE"""),0.0)</f>
        <v>0</v>
      </c>
      <c r="K60" s="28">
        <f>IFERROR(__xludf.DUMMYFUNCTION("""COMPUTED_VALUE"""),0.0)</f>
        <v>0</v>
      </c>
    </row>
    <row r="61">
      <c r="A61" s="23" t="str">
        <f>IFERROR(__xludf.DUMMYFUNCTION("""COMPUTED_VALUE"""),"58º")</f>
        <v>58º</v>
      </c>
      <c r="B61" s="24" t="str">
        <f>IFERROR(__xludf.DUMMYFUNCTION("""COMPUTED_VALUE"""),"Salmonela")</f>
        <v>Salmonela</v>
      </c>
      <c r="C61" s="29">
        <f>IFERROR(__xludf.DUMMYFUNCTION("""COMPUTED_VALUE"""),0.0040025638900000006)</f>
        <v>0.00400256389</v>
      </c>
      <c r="D61" s="26">
        <f>IFERROR(__xludf.DUMMYFUNCTION("""COMPUTED_VALUE"""),0.0)</f>
        <v>0</v>
      </c>
      <c r="E61" s="26">
        <f>IFERROR(__xludf.DUMMYFUNCTION("""COMPUTED_VALUE"""),4.0)</f>
        <v>4</v>
      </c>
      <c r="F61" s="26">
        <f>IFERROR(__xludf.DUMMYFUNCTION("""COMPUTED_VALUE"""),2.56)</f>
        <v>2.56</v>
      </c>
      <c r="G61" s="26">
        <f>IFERROR(__xludf.DUMMYFUNCTION("""COMPUTED_VALUE"""),3.89)</f>
        <v>3.89</v>
      </c>
      <c r="H61" s="27">
        <f>IFERROR(__xludf.DUMMYFUNCTION("""COMPUTED_VALUE"""),0.0)</f>
        <v>0</v>
      </c>
      <c r="I61" s="27">
        <f>IFERROR(__xludf.DUMMYFUNCTION("""COMPUTED_VALUE"""),2.0)</f>
        <v>2</v>
      </c>
      <c r="J61" s="27">
        <f>IFERROR(__xludf.DUMMYFUNCTION("""COMPUTED_VALUE"""),1.0)</f>
        <v>1</v>
      </c>
      <c r="K61" s="28">
        <f>IFERROR(__xludf.DUMMYFUNCTION("""COMPUTED_VALUE"""),0.0)</f>
        <v>0</v>
      </c>
    </row>
    <row r="62">
      <c r="A62" s="23" t="str">
        <f>IFERROR(__xludf.DUMMYFUNCTION("""COMPUTED_VALUE"""),"59º")</f>
        <v>59º</v>
      </c>
      <c r="B62" s="24" t="str">
        <f>IFERROR(__xludf.DUMMYFUNCTION("""COMPUTED_VALUE"""),"Skeeter")</f>
        <v>Skeeter</v>
      </c>
      <c r="C62" s="29">
        <f>IFERROR(__xludf.DUMMYFUNCTION("""COMPUTED_VALUE"""),2.8037999999999997E-6)</f>
        <v>0.0000028038</v>
      </c>
      <c r="D62" s="26">
        <f>IFERROR(__xludf.DUMMYFUNCTION("""COMPUTED_VALUE"""),0.0)</f>
        <v>0</v>
      </c>
      <c r="E62" s="26">
        <f>IFERROR(__xludf.DUMMYFUNCTION("""COMPUTED_VALUE"""),0.0)</f>
        <v>0</v>
      </c>
      <c r="F62" s="26">
        <f>IFERROR(__xludf.DUMMYFUNCTION("""COMPUTED_VALUE"""),2.8)</f>
        <v>2.8</v>
      </c>
      <c r="G62" s="26">
        <f>IFERROR(__xludf.DUMMYFUNCTION("""COMPUTED_VALUE"""),3.8)</f>
        <v>3.8</v>
      </c>
      <c r="H62" s="27">
        <f>IFERROR(__xludf.DUMMYFUNCTION("""COMPUTED_VALUE"""),0.0)</f>
        <v>0</v>
      </c>
      <c r="I62" s="27">
        <f>IFERROR(__xludf.DUMMYFUNCTION("""COMPUTED_VALUE"""),0.0)</f>
        <v>0</v>
      </c>
      <c r="J62" s="27">
        <f>IFERROR(__xludf.DUMMYFUNCTION("""COMPUTED_VALUE"""),2.0)</f>
        <v>2</v>
      </c>
      <c r="K62" s="28">
        <f>IFERROR(__xludf.DUMMYFUNCTION("""COMPUTED_VALUE"""),0.0)</f>
        <v>0</v>
      </c>
    </row>
    <row r="63">
      <c r="A63" s="23" t="str">
        <f>IFERROR(__xludf.DUMMYFUNCTION("""COMPUTED_VALUE"""),"")</f>
        <v/>
      </c>
      <c r="B63" s="24"/>
      <c r="C63" s="29"/>
      <c r="D63" s="26"/>
      <c r="E63" s="26"/>
      <c r="F63" s="26"/>
      <c r="G63" s="26"/>
      <c r="H63" s="27"/>
      <c r="I63" s="27"/>
      <c r="J63" s="27"/>
      <c r="K63" s="28" t="str">
        <f>IFERROR(__xludf.DUMMYFUNCTION("""COMPUTED_VALUE"""),"")</f>
        <v/>
      </c>
    </row>
    <row r="64">
      <c r="A64" s="23" t="str">
        <f>IFERROR(__xludf.DUMMYFUNCTION("""COMPUTED_VALUE"""),"")</f>
        <v/>
      </c>
      <c r="B64" s="24"/>
      <c r="C64" s="29"/>
      <c r="D64" s="26"/>
      <c r="E64" s="26"/>
      <c r="F64" s="26"/>
      <c r="G64" s="26"/>
      <c r="H64" s="27"/>
      <c r="I64" s="27"/>
      <c r="J64" s="27"/>
      <c r="K64" s="28" t="str">
        <f>IFERROR(__xludf.DUMMYFUNCTION("""COMPUTED_VALUE"""),"")</f>
        <v/>
      </c>
    </row>
    <row r="65">
      <c r="A65" s="23" t="str">
        <f>IFERROR(__xludf.DUMMYFUNCTION("""COMPUTED_VALUE"""),"")</f>
        <v/>
      </c>
      <c r="B65" s="24"/>
      <c r="C65" s="29"/>
      <c r="D65" s="26"/>
      <c r="E65" s="26"/>
      <c r="F65" s="26"/>
      <c r="G65" s="26"/>
      <c r="H65" s="27"/>
      <c r="I65" s="27"/>
      <c r="J65" s="27"/>
      <c r="K65" s="28" t="str">
        <f>IFERROR(__xludf.DUMMYFUNCTION("""COMPUTED_VALUE"""),"")</f>
        <v/>
      </c>
    </row>
    <row r="66">
      <c r="A66" s="23" t="str">
        <f>IFERROR(__xludf.DUMMYFUNCTION("""COMPUTED_VALUE"""),"")</f>
        <v/>
      </c>
      <c r="B66" s="24"/>
      <c r="C66" s="29"/>
      <c r="D66" s="26"/>
      <c r="E66" s="26"/>
      <c r="F66" s="26"/>
      <c r="G66" s="26"/>
      <c r="H66" s="27"/>
      <c r="I66" s="27"/>
      <c r="J66" s="27"/>
      <c r="K66" s="28" t="str">
        <f>IFERROR(__xludf.DUMMYFUNCTION("""COMPUTED_VALUE"""),"")</f>
        <v/>
      </c>
    </row>
    <row r="67">
      <c r="A67" s="23" t="str">
        <f>IFERROR(__xludf.DUMMYFUNCTION("""COMPUTED_VALUE"""),"")</f>
        <v/>
      </c>
      <c r="B67" s="24"/>
      <c r="C67" s="29"/>
      <c r="D67" s="26"/>
      <c r="E67" s="26"/>
      <c r="F67" s="26"/>
      <c r="G67" s="26"/>
      <c r="H67" s="27"/>
      <c r="I67" s="27"/>
      <c r="J67" s="27"/>
      <c r="K67" s="28" t="str">
        <f>IFERROR(__xludf.DUMMYFUNCTION("""COMPUTED_VALUE"""),"")</f>
        <v/>
      </c>
    </row>
    <row r="68">
      <c r="A68" s="23" t="str">
        <f>IFERROR(__xludf.DUMMYFUNCTION("""COMPUTED_VALUE"""),"")</f>
        <v/>
      </c>
      <c r="B68" s="24"/>
      <c r="C68" s="29"/>
      <c r="D68" s="26"/>
      <c r="E68" s="26"/>
      <c r="F68" s="26"/>
      <c r="G68" s="26"/>
      <c r="H68" s="27"/>
      <c r="I68" s="27"/>
      <c r="J68" s="27"/>
      <c r="K68" s="28" t="str">
        <f>IFERROR(__xludf.DUMMYFUNCTION("""COMPUTED_VALUE"""),"")</f>
        <v/>
      </c>
    </row>
    <row r="69">
      <c r="A69" s="23" t="str">
        <f>IFERROR(__xludf.DUMMYFUNCTION("""COMPUTED_VALUE"""),"")</f>
        <v/>
      </c>
      <c r="B69" s="24"/>
      <c r="C69" s="29"/>
      <c r="D69" s="26"/>
      <c r="E69" s="26"/>
      <c r="F69" s="26"/>
      <c r="G69" s="26"/>
      <c r="H69" s="27"/>
      <c r="I69" s="27"/>
      <c r="J69" s="27"/>
      <c r="K69" s="28" t="str">
        <f>IFERROR(__xludf.DUMMYFUNCTION("""COMPUTED_VALUE"""),"")</f>
        <v/>
      </c>
    </row>
    <row r="70">
      <c r="A70" s="23" t="str">
        <f>IFERROR(__xludf.DUMMYFUNCTION("""COMPUTED_VALUE"""),"")</f>
        <v/>
      </c>
      <c r="B70" s="24"/>
      <c r="C70" s="29"/>
      <c r="D70" s="26"/>
      <c r="E70" s="26"/>
      <c r="F70" s="26"/>
      <c r="G70" s="26"/>
      <c r="H70" s="27"/>
      <c r="I70" s="27"/>
      <c r="J70" s="27"/>
      <c r="K70" s="28" t="str">
        <f>IFERROR(__xludf.DUMMYFUNCTION("""COMPUTED_VALUE"""),"")</f>
        <v/>
      </c>
    </row>
    <row r="71">
      <c r="A71" s="23" t="str">
        <f>IFERROR(__xludf.DUMMYFUNCTION("""COMPUTED_VALUE"""),"")</f>
        <v/>
      </c>
      <c r="B71" s="24"/>
      <c r="C71" s="29"/>
      <c r="D71" s="26"/>
      <c r="E71" s="26"/>
      <c r="F71" s="26"/>
      <c r="G71" s="26"/>
      <c r="H71" s="27"/>
      <c r="I71" s="27"/>
      <c r="J71" s="27"/>
      <c r="K71" s="28" t="str">
        <f>IFERROR(__xludf.DUMMYFUNCTION("""COMPUTED_VALUE"""),"")</f>
        <v/>
      </c>
    </row>
    <row r="72">
      <c r="A72" s="23" t="str">
        <f>IFERROR(__xludf.DUMMYFUNCTION("""COMPUTED_VALUE"""),"")</f>
        <v/>
      </c>
      <c r="B72" s="24"/>
      <c r="C72" s="29"/>
      <c r="D72" s="26"/>
      <c r="E72" s="26"/>
      <c r="F72" s="26"/>
      <c r="G72" s="26"/>
      <c r="H72" s="27"/>
      <c r="I72" s="27"/>
      <c r="J72" s="27"/>
      <c r="K72" s="28" t="str">
        <f>IFERROR(__xludf.DUMMYFUNCTION("""COMPUTED_VALUE"""),"")</f>
        <v/>
      </c>
    </row>
    <row r="73">
      <c r="A73" s="23" t="str">
        <f>IFERROR(__xludf.DUMMYFUNCTION("""COMPUTED_VALUE"""),"")</f>
        <v/>
      </c>
      <c r="B73" s="24"/>
      <c r="C73" s="29"/>
      <c r="D73" s="26"/>
      <c r="E73" s="26"/>
      <c r="F73" s="26"/>
      <c r="G73" s="26"/>
      <c r="H73" s="27"/>
      <c r="I73" s="27"/>
      <c r="J73" s="27"/>
      <c r="K73" s="28" t="str">
        <f>IFERROR(__xludf.DUMMYFUNCTION("""COMPUTED_VALUE"""),"")</f>
        <v/>
      </c>
    </row>
    <row r="74">
      <c r="A74" s="23" t="str">
        <f>IFERROR(__xludf.DUMMYFUNCTION("""COMPUTED_VALUE"""),"")</f>
        <v/>
      </c>
      <c r="B74" s="24"/>
      <c r="C74" s="29"/>
      <c r="D74" s="26"/>
      <c r="E74" s="26"/>
      <c r="F74" s="26"/>
      <c r="G74" s="26"/>
      <c r="H74" s="27"/>
      <c r="I74" s="27"/>
      <c r="J74" s="27"/>
      <c r="K74" s="28" t="str">
        <f>IFERROR(__xludf.DUMMYFUNCTION("""COMPUTED_VALUE"""),"")</f>
        <v/>
      </c>
    </row>
    <row r="75">
      <c r="A75" s="23" t="str">
        <f>IFERROR(__xludf.DUMMYFUNCTION("""COMPUTED_VALUE"""),"")</f>
        <v/>
      </c>
      <c r="B75" s="24"/>
      <c r="C75" s="29"/>
      <c r="D75" s="26"/>
      <c r="E75" s="26"/>
      <c r="F75" s="26"/>
      <c r="G75" s="26"/>
      <c r="H75" s="27"/>
      <c r="I75" s="27"/>
      <c r="J75" s="27"/>
      <c r="K75" s="28" t="str">
        <f>IFERROR(__xludf.DUMMYFUNCTION("""COMPUTED_VALUE"""),"")</f>
        <v/>
      </c>
    </row>
    <row r="76">
      <c r="A76" s="23" t="str">
        <f>IFERROR(__xludf.DUMMYFUNCTION("""COMPUTED_VALUE"""),"")</f>
        <v/>
      </c>
      <c r="B76" s="24"/>
      <c r="C76" s="29"/>
      <c r="D76" s="26"/>
      <c r="E76" s="26"/>
      <c r="F76" s="26"/>
      <c r="G76" s="26"/>
      <c r="H76" s="27"/>
      <c r="I76" s="27"/>
      <c r="J76" s="27"/>
      <c r="K76" s="28" t="str">
        <f>IFERROR(__xludf.DUMMYFUNCTION("""COMPUTED_VALUE"""),"")</f>
        <v/>
      </c>
    </row>
    <row r="77">
      <c r="A77" s="23" t="str">
        <f>IFERROR(__xludf.DUMMYFUNCTION("""COMPUTED_VALUE"""),"")</f>
        <v/>
      </c>
      <c r="B77" s="24"/>
      <c r="C77" s="29"/>
      <c r="D77" s="26"/>
      <c r="E77" s="26"/>
      <c r="F77" s="26"/>
      <c r="G77" s="26"/>
      <c r="H77" s="27"/>
      <c r="I77" s="27"/>
      <c r="J77" s="27"/>
      <c r="K77" s="28" t="str">
        <f>IFERROR(__xludf.DUMMYFUNCTION("""COMPUTED_VALUE"""),"")</f>
        <v/>
      </c>
    </row>
    <row r="78">
      <c r="A78" s="23" t="str">
        <f>IFERROR(__xludf.DUMMYFUNCTION("""COMPUTED_VALUE"""),"")</f>
        <v/>
      </c>
      <c r="B78" s="24"/>
      <c r="C78" s="29"/>
      <c r="D78" s="26"/>
      <c r="E78" s="26"/>
      <c r="F78" s="26"/>
      <c r="G78" s="26"/>
      <c r="H78" s="27"/>
      <c r="I78" s="27"/>
      <c r="J78" s="27"/>
      <c r="K78" s="28" t="str">
        <f>IFERROR(__xludf.DUMMYFUNCTION("""COMPUTED_VALUE"""),"")</f>
        <v/>
      </c>
    </row>
    <row r="79">
      <c r="A79" s="23" t="str">
        <f>IFERROR(__xludf.DUMMYFUNCTION("""COMPUTED_VALUE"""),"")</f>
        <v/>
      </c>
      <c r="B79" s="24"/>
      <c r="C79" s="29"/>
      <c r="D79" s="26"/>
      <c r="E79" s="26"/>
      <c r="F79" s="26"/>
      <c r="G79" s="26"/>
      <c r="H79" s="27"/>
      <c r="I79" s="27"/>
      <c r="J79" s="27"/>
      <c r="K79" s="28" t="str">
        <f>IFERROR(__xludf.DUMMYFUNCTION("""COMPUTED_VALUE"""),"")</f>
        <v/>
      </c>
    </row>
    <row r="80">
      <c r="A80" s="23" t="str">
        <f>IFERROR(__xludf.DUMMYFUNCTION("""COMPUTED_VALUE"""),"")</f>
        <v/>
      </c>
      <c r="B80" s="24"/>
      <c r="C80" s="29"/>
      <c r="D80" s="26"/>
      <c r="E80" s="26"/>
      <c r="F80" s="26"/>
      <c r="G80" s="26"/>
      <c r="H80" s="27"/>
      <c r="I80" s="27"/>
      <c r="J80" s="27"/>
      <c r="K80" s="28" t="str">
        <f>IFERROR(__xludf.DUMMYFUNCTION("""COMPUTED_VALUE"""),"")</f>
        <v/>
      </c>
    </row>
    <row r="81">
      <c r="A81" s="23" t="str">
        <f>IFERROR(__xludf.DUMMYFUNCTION("""COMPUTED_VALUE"""),"")</f>
        <v/>
      </c>
      <c r="B81" s="24"/>
      <c r="C81" s="29"/>
      <c r="D81" s="26"/>
      <c r="E81" s="26"/>
      <c r="F81" s="26"/>
      <c r="G81" s="26"/>
      <c r="H81" s="27"/>
      <c r="I81" s="27"/>
      <c r="J81" s="27"/>
      <c r="K81" s="28" t="str">
        <f>IFERROR(__xludf.DUMMYFUNCTION("""COMPUTED_VALUE"""),"")</f>
        <v/>
      </c>
    </row>
    <row r="82">
      <c r="A82" s="23" t="str">
        <f>IFERROR(__xludf.DUMMYFUNCTION("""COMPUTED_VALUE"""),"")</f>
        <v/>
      </c>
      <c r="B82" s="24"/>
      <c r="C82" s="29"/>
      <c r="D82" s="26"/>
      <c r="E82" s="26"/>
      <c r="F82" s="26"/>
      <c r="G82" s="26"/>
      <c r="H82" s="27"/>
      <c r="I82" s="27"/>
      <c r="J82" s="27"/>
      <c r="K82" s="28" t="str">
        <f>IFERROR(__xludf.DUMMYFUNCTION("""COMPUTED_VALUE"""),"")</f>
        <v/>
      </c>
    </row>
    <row r="83">
      <c r="A83" s="23" t="str">
        <f>IFERROR(__xludf.DUMMYFUNCTION("""COMPUTED_VALUE"""),"")</f>
        <v/>
      </c>
      <c r="B83" s="24"/>
      <c r="C83" s="29"/>
      <c r="D83" s="26"/>
      <c r="E83" s="26"/>
      <c r="F83" s="26"/>
      <c r="G83" s="26"/>
      <c r="H83" s="27"/>
      <c r="I83" s="27"/>
      <c r="J83" s="27"/>
      <c r="K83" s="28" t="str">
        <f>IFERROR(__xludf.DUMMYFUNCTION("""COMPUTED_VALUE"""),"")</f>
        <v/>
      </c>
    </row>
    <row r="84">
      <c r="A84" s="23" t="str">
        <f>IFERROR(__xludf.DUMMYFUNCTION("""COMPUTED_VALUE"""),"")</f>
        <v/>
      </c>
      <c r="B84" s="24"/>
      <c r="C84" s="29"/>
      <c r="D84" s="26"/>
      <c r="E84" s="26"/>
      <c r="F84" s="26"/>
      <c r="G84" s="26"/>
      <c r="H84" s="27"/>
      <c r="I84" s="27"/>
      <c r="J84" s="27"/>
      <c r="K84" s="28" t="str">
        <f>IFERROR(__xludf.DUMMYFUNCTION("""COMPUTED_VALUE"""),"")</f>
        <v/>
      </c>
    </row>
    <row r="85">
      <c r="A85" s="23" t="str">
        <f>IFERROR(__xludf.DUMMYFUNCTION("""COMPUTED_VALUE"""),"")</f>
        <v/>
      </c>
      <c r="B85" s="24"/>
      <c r="C85" s="29"/>
      <c r="D85" s="26"/>
      <c r="E85" s="26"/>
      <c r="F85" s="26"/>
      <c r="G85" s="26"/>
      <c r="H85" s="27"/>
      <c r="I85" s="27"/>
      <c r="J85" s="27"/>
      <c r="K85" s="28" t="str">
        <f>IFERROR(__xludf.DUMMYFUNCTION("""COMPUTED_VALUE"""),"")</f>
        <v/>
      </c>
    </row>
    <row r="86">
      <c r="A86" s="23" t="str">
        <f>IFERROR(__xludf.DUMMYFUNCTION("""COMPUTED_VALUE"""),"")</f>
        <v/>
      </c>
      <c r="B86" s="24"/>
      <c r="C86" s="29"/>
      <c r="D86" s="26"/>
      <c r="E86" s="26"/>
      <c r="F86" s="26"/>
      <c r="G86" s="26"/>
      <c r="H86" s="27"/>
      <c r="I86" s="27"/>
      <c r="J86" s="27"/>
      <c r="K86" s="28" t="str">
        <f>IFERROR(__xludf.DUMMYFUNCTION("""COMPUTED_VALUE"""),"")</f>
        <v/>
      </c>
    </row>
    <row r="87">
      <c r="A87" s="23" t="str">
        <f>IFERROR(__xludf.DUMMYFUNCTION("""COMPUTED_VALUE"""),"")</f>
        <v/>
      </c>
      <c r="B87" s="24"/>
      <c r="C87" s="29"/>
      <c r="D87" s="26"/>
      <c r="E87" s="26"/>
      <c r="F87" s="26"/>
      <c r="G87" s="26"/>
      <c r="H87" s="27"/>
      <c r="I87" s="27"/>
      <c r="J87" s="27"/>
      <c r="K87" s="28" t="str">
        <f>IFERROR(__xludf.DUMMYFUNCTION("""COMPUTED_VALUE"""),"")</f>
        <v/>
      </c>
    </row>
    <row r="88">
      <c r="A88" s="23" t="str">
        <f>IFERROR(__xludf.DUMMYFUNCTION("""COMPUTED_VALUE"""),"")</f>
        <v/>
      </c>
      <c r="B88" s="24"/>
      <c r="C88" s="29"/>
      <c r="D88" s="26"/>
      <c r="E88" s="26"/>
      <c r="F88" s="26"/>
      <c r="G88" s="26"/>
      <c r="H88" s="27"/>
      <c r="I88" s="27"/>
      <c r="J88" s="27"/>
      <c r="K88" s="28" t="str">
        <f>IFERROR(__xludf.DUMMYFUNCTION("""COMPUTED_VALUE"""),"")</f>
        <v/>
      </c>
    </row>
    <row r="89">
      <c r="A89" s="23" t="str">
        <f>IFERROR(__xludf.DUMMYFUNCTION("""COMPUTED_VALUE"""),"")</f>
        <v/>
      </c>
      <c r="B89" s="24"/>
      <c r="C89" s="29"/>
      <c r="D89" s="26"/>
      <c r="E89" s="26"/>
      <c r="F89" s="26"/>
      <c r="G89" s="26"/>
      <c r="H89" s="27"/>
      <c r="I89" s="27"/>
      <c r="J89" s="27"/>
      <c r="K89" s="28" t="str">
        <f>IFERROR(__xludf.DUMMYFUNCTION("""COMPUTED_VALUE"""),"")</f>
        <v/>
      </c>
    </row>
    <row r="90">
      <c r="A90" s="23" t="str">
        <f>IFERROR(__xludf.DUMMYFUNCTION("""COMPUTED_VALUE"""),"")</f>
        <v/>
      </c>
      <c r="B90" s="24"/>
      <c r="C90" s="29"/>
      <c r="D90" s="26"/>
      <c r="E90" s="26"/>
      <c r="F90" s="26"/>
      <c r="G90" s="26"/>
      <c r="H90" s="27"/>
      <c r="I90" s="27"/>
      <c r="J90" s="27"/>
      <c r="K90" s="28" t="str">
        <f>IFERROR(__xludf.DUMMYFUNCTION("""COMPUTED_VALUE"""),"")</f>
        <v/>
      </c>
    </row>
    <row r="91">
      <c r="A91" s="23" t="str">
        <f>IFERROR(__xludf.DUMMYFUNCTION("""COMPUTED_VALUE"""),"")</f>
        <v/>
      </c>
      <c r="B91" s="24"/>
      <c r="C91" s="29"/>
      <c r="D91" s="26"/>
      <c r="E91" s="26"/>
      <c r="F91" s="26"/>
      <c r="G91" s="26"/>
      <c r="H91" s="27"/>
      <c r="I91" s="27"/>
      <c r="J91" s="27"/>
      <c r="K91" s="28" t="str">
        <f>IFERROR(__xludf.DUMMYFUNCTION("""COMPUTED_VALUE"""),"")</f>
        <v/>
      </c>
    </row>
    <row r="92">
      <c r="A92" s="23" t="str">
        <f>IFERROR(__xludf.DUMMYFUNCTION("""COMPUTED_VALUE"""),"")</f>
        <v/>
      </c>
      <c r="B92" s="24"/>
      <c r="C92" s="29"/>
      <c r="D92" s="26"/>
      <c r="E92" s="26"/>
      <c r="F92" s="26"/>
      <c r="G92" s="26"/>
      <c r="H92" s="27"/>
      <c r="I92" s="27"/>
      <c r="J92" s="27"/>
      <c r="K92" s="28" t="str">
        <f>IFERROR(__xludf.DUMMYFUNCTION("""COMPUTED_VALUE"""),"")</f>
        <v/>
      </c>
    </row>
    <row r="93">
      <c r="A93" s="23" t="str">
        <f>IFERROR(__xludf.DUMMYFUNCTION("""COMPUTED_VALUE"""),"")</f>
        <v/>
      </c>
      <c r="B93" s="24"/>
      <c r="C93" s="29"/>
      <c r="D93" s="26"/>
      <c r="E93" s="26"/>
      <c r="F93" s="26"/>
      <c r="G93" s="26"/>
      <c r="H93" s="27"/>
      <c r="I93" s="27"/>
      <c r="J93" s="27"/>
      <c r="K93" s="28" t="str">
        <f>IFERROR(__xludf.DUMMYFUNCTION("""COMPUTED_VALUE"""),"")</f>
        <v/>
      </c>
    </row>
    <row r="94">
      <c r="A94" s="23" t="str">
        <f>IFERROR(__xludf.DUMMYFUNCTION("""COMPUTED_VALUE"""),"")</f>
        <v/>
      </c>
      <c r="B94" s="24"/>
      <c r="C94" s="29"/>
      <c r="D94" s="26"/>
      <c r="E94" s="26"/>
      <c r="F94" s="26"/>
      <c r="G94" s="26"/>
      <c r="H94" s="27"/>
      <c r="I94" s="27"/>
      <c r="J94" s="27"/>
      <c r="K94" s="28" t="str">
        <f>IFERROR(__xludf.DUMMYFUNCTION("""COMPUTED_VALUE"""),"")</f>
        <v/>
      </c>
    </row>
    <row r="95">
      <c r="A95" s="23" t="str">
        <f>IFERROR(__xludf.DUMMYFUNCTION("""COMPUTED_VALUE"""),"")</f>
        <v/>
      </c>
      <c r="B95" s="24"/>
      <c r="C95" s="29"/>
      <c r="D95" s="26"/>
      <c r="E95" s="26"/>
      <c r="F95" s="26"/>
      <c r="G95" s="26"/>
      <c r="H95" s="27"/>
      <c r="I95" s="27"/>
      <c r="J95" s="27"/>
      <c r="K95" s="28" t="str">
        <f>IFERROR(__xludf.DUMMYFUNCTION("""COMPUTED_VALUE"""),"")</f>
        <v/>
      </c>
    </row>
    <row r="96">
      <c r="A96" s="23" t="str">
        <f>IFERROR(__xludf.DUMMYFUNCTION("""COMPUTED_VALUE"""),"")</f>
        <v/>
      </c>
      <c r="B96" s="24"/>
      <c r="C96" s="29"/>
      <c r="D96" s="26"/>
      <c r="E96" s="26"/>
      <c r="F96" s="26"/>
      <c r="G96" s="26"/>
      <c r="H96" s="27"/>
      <c r="I96" s="27"/>
      <c r="J96" s="27"/>
      <c r="K96" s="28" t="str">
        <f>IFERROR(__xludf.DUMMYFUNCTION("""COMPUTED_VALUE"""),"")</f>
        <v/>
      </c>
    </row>
    <row r="97">
      <c r="A97" s="23" t="str">
        <f>IFERROR(__xludf.DUMMYFUNCTION("""COMPUTED_VALUE"""),"")</f>
        <v/>
      </c>
      <c r="B97" s="24"/>
      <c r="C97" s="29"/>
      <c r="D97" s="26"/>
      <c r="E97" s="26"/>
      <c r="F97" s="26"/>
      <c r="G97" s="26"/>
      <c r="H97" s="27"/>
      <c r="I97" s="27"/>
      <c r="J97" s="27"/>
      <c r="K97" s="28" t="str">
        <f>IFERROR(__xludf.DUMMYFUNCTION("""COMPUTED_VALUE"""),"")</f>
        <v/>
      </c>
    </row>
    <row r="98">
      <c r="A98" s="23" t="str">
        <f>IFERROR(__xludf.DUMMYFUNCTION("""COMPUTED_VALUE"""),"")</f>
        <v/>
      </c>
      <c r="B98" s="24"/>
      <c r="C98" s="29"/>
      <c r="D98" s="26"/>
      <c r="E98" s="26"/>
      <c r="F98" s="26"/>
      <c r="G98" s="26"/>
      <c r="H98" s="27"/>
      <c r="I98" s="27"/>
      <c r="J98" s="27"/>
      <c r="K98" s="28" t="str">
        <f>IFERROR(__xludf.DUMMYFUNCTION("""COMPUTED_VALUE"""),"")</f>
        <v/>
      </c>
    </row>
    <row r="99">
      <c r="A99" s="23" t="str">
        <f>IFERROR(__xludf.DUMMYFUNCTION("""COMPUTED_VALUE"""),"")</f>
        <v/>
      </c>
      <c r="B99" s="24"/>
      <c r="C99" s="29"/>
      <c r="D99" s="26"/>
      <c r="E99" s="26"/>
      <c r="F99" s="26"/>
      <c r="G99" s="26"/>
      <c r="H99" s="27"/>
      <c r="I99" s="27"/>
      <c r="J99" s="27"/>
      <c r="K99" s="28" t="str">
        <f>IFERROR(__xludf.DUMMYFUNCTION("""COMPUTED_VALUE"""),"")</f>
        <v/>
      </c>
    </row>
    <row r="100">
      <c r="A100" s="23" t="str">
        <f>IFERROR(__xludf.DUMMYFUNCTION("""COMPUTED_VALUE"""),"")</f>
        <v/>
      </c>
      <c r="B100" s="24"/>
      <c r="C100" s="29"/>
      <c r="D100" s="26"/>
      <c r="E100" s="26"/>
      <c r="F100" s="26"/>
      <c r="G100" s="26"/>
      <c r="H100" s="27"/>
      <c r="I100" s="27"/>
      <c r="J100" s="27"/>
      <c r="K100" s="28" t="str">
        <f>IFERROR(__xludf.DUMMYFUNCTION("""COMPUTED_VALUE"""),"")</f>
        <v/>
      </c>
    </row>
    <row r="101">
      <c r="A101" s="23" t="str">
        <f>IFERROR(__xludf.DUMMYFUNCTION("""COMPUTED_VALUE"""),"")</f>
        <v/>
      </c>
      <c r="B101" s="24"/>
      <c r="C101" s="29"/>
      <c r="D101" s="26"/>
      <c r="E101" s="26"/>
      <c r="F101" s="26"/>
      <c r="G101" s="26"/>
      <c r="H101" s="27"/>
      <c r="I101" s="27"/>
      <c r="J101" s="27"/>
      <c r="K101" s="28" t="str">
        <f>IFERROR(__xludf.DUMMYFUNCTION("""COMPUTED_VALUE"""),"")</f>
        <v/>
      </c>
    </row>
    <row r="102">
      <c r="A102" s="23" t="str">
        <f>IFERROR(__xludf.DUMMYFUNCTION("""COMPUTED_VALUE"""),"")</f>
        <v/>
      </c>
      <c r="B102" s="24"/>
      <c r="C102" s="29"/>
      <c r="D102" s="26"/>
      <c r="E102" s="26"/>
      <c r="F102" s="26"/>
      <c r="G102" s="26"/>
      <c r="H102" s="27"/>
      <c r="I102" s="27"/>
      <c r="J102" s="27"/>
      <c r="K102" s="28" t="str">
        <f>IFERROR(__xludf.DUMMYFUNCTION("""COMPUTED_VALUE"""),"")</f>
        <v/>
      </c>
    </row>
    <row r="103">
      <c r="A103" s="23" t="str">
        <f>IFERROR(__xludf.DUMMYFUNCTION("""COMPUTED_VALUE"""),"")</f>
        <v/>
      </c>
      <c r="B103" s="24"/>
      <c r="C103" s="29"/>
      <c r="D103" s="26"/>
      <c r="E103" s="26"/>
      <c r="F103" s="26"/>
      <c r="G103" s="26"/>
      <c r="H103" s="27"/>
      <c r="I103" s="27"/>
      <c r="J103" s="27"/>
      <c r="K103" s="28" t="str">
        <f>IFERROR(__xludf.DUMMYFUNCTION("""COMPUTED_VALUE"""),"")</f>
        <v/>
      </c>
    </row>
    <row r="104">
      <c r="A104" s="23" t="str">
        <f>IFERROR(__xludf.DUMMYFUNCTION("""COMPUTED_VALUE"""),"")</f>
        <v/>
      </c>
      <c r="B104" s="24"/>
      <c r="C104" s="29"/>
      <c r="D104" s="26"/>
      <c r="E104" s="26"/>
      <c r="F104" s="26"/>
      <c r="G104" s="26"/>
      <c r="H104" s="27"/>
      <c r="I104" s="27"/>
      <c r="J104" s="27"/>
      <c r="K104" s="28" t="str">
        <f>IFERROR(__xludf.DUMMYFUNCTION("""COMPUTED_VALUE"""),"")</f>
        <v/>
      </c>
    </row>
    <row r="105">
      <c r="A105" s="23" t="str">
        <f>IFERROR(__xludf.DUMMYFUNCTION("""COMPUTED_VALUE"""),"")</f>
        <v/>
      </c>
      <c r="B105" s="24"/>
      <c r="C105" s="29"/>
      <c r="D105" s="26"/>
      <c r="E105" s="26"/>
      <c r="F105" s="26"/>
      <c r="G105" s="26"/>
      <c r="H105" s="27"/>
      <c r="I105" s="27"/>
      <c r="J105" s="27"/>
      <c r="K105" s="28" t="str">
        <f>IFERROR(__xludf.DUMMYFUNCTION("""COMPUTED_VALUE"""),"")</f>
        <v/>
      </c>
    </row>
    <row r="106">
      <c r="A106" s="23" t="str">
        <f>IFERROR(__xludf.DUMMYFUNCTION("""COMPUTED_VALUE"""),"")</f>
        <v/>
      </c>
      <c r="B106" s="24"/>
      <c r="C106" s="29"/>
      <c r="D106" s="26"/>
      <c r="E106" s="26"/>
      <c r="F106" s="26"/>
      <c r="G106" s="26"/>
      <c r="H106" s="27"/>
      <c r="I106" s="27"/>
      <c r="J106" s="27"/>
      <c r="K106" s="28" t="str">
        <f>IFERROR(__xludf.DUMMYFUNCTION("""COMPUTED_VALUE"""),"")</f>
        <v/>
      </c>
    </row>
    <row r="107">
      <c r="A107" s="23" t="str">
        <f>IFERROR(__xludf.DUMMYFUNCTION("""COMPUTED_VALUE"""),"")</f>
        <v/>
      </c>
      <c r="B107" s="24"/>
      <c r="C107" s="29"/>
      <c r="D107" s="26"/>
      <c r="E107" s="26"/>
      <c r="F107" s="26"/>
      <c r="G107" s="26"/>
      <c r="H107" s="27"/>
      <c r="I107" s="27"/>
      <c r="J107" s="27"/>
      <c r="K107" s="28" t="str">
        <f>IFERROR(__xludf.DUMMYFUNCTION("""COMPUTED_VALUE"""),"")</f>
        <v/>
      </c>
    </row>
    <row r="108">
      <c r="A108" s="23" t="str">
        <f>IFERROR(__xludf.DUMMYFUNCTION("""COMPUTED_VALUE"""),"")</f>
        <v/>
      </c>
      <c r="B108" s="24"/>
      <c r="C108" s="29"/>
      <c r="D108" s="26"/>
      <c r="E108" s="26"/>
      <c r="F108" s="26"/>
      <c r="G108" s="26"/>
      <c r="H108" s="27"/>
      <c r="I108" s="27"/>
      <c r="J108" s="27"/>
      <c r="K108" s="28" t="str">
        <f>IFERROR(__xludf.DUMMYFUNCTION("""COMPUTED_VALUE"""),"")</f>
        <v/>
      </c>
    </row>
    <row r="109">
      <c r="A109" s="23" t="str">
        <f>IFERROR(__xludf.DUMMYFUNCTION("""COMPUTED_VALUE"""),"")</f>
        <v/>
      </c>
      <c r="B109" s="24"/>
      <c r="C109" s="29"/>
      <c r="D109" s="26"/>
      <c r="E109" s="26"/>
      <c r="F109" s="26"/>
      <c r="G109" s="26"/>
      <c r="H109" s="27"/>
      <c r="I109" s="27"/>
      <c r="J109" s="27"/>
      <c r="K109" s="28" t="str">
        <f>IFERROR(__xludf.DUMMYFUNCTION("""COMPUTED_VALUE"""),"")</f>
        <v/>
      </c>
    </row>
    <row r="110">
      <c r="A110" s="23" t="str">
        <f>IFERROR(__xludf.DUMMYFUNCTION("""COMPUTED_VALUE"""),"")</f>
        <v/>
      </c>
      <c r="B110" s="24"/>
      <c r="C110" s="29"/>
      <c r="D110" s="26"/>
      <c r="E110" s="26"/>
      <c r="F110" s="26"/>
      <c r="G110" s="26"/>
      <c r="H110" s="27"/>
      <c r="I110" s="27"/>
      <c r="J110" s="27"/>
      <c r="K110" s="28" t="str">
        <f>IFERROR(__xludf.DUMMYFUNCTION("""COMPUTED_VALUE"""),"")</f>
        <v/>
      </c>
    </row>
    <row r="111">
      <c r="A111" s="23" t="str">
        <f>IFERROR(__xludf.DUMMYFUNCTION("""COMPUTED_VALUE"""),"")</f>
        <v/>
      </c>
      <c r="B111" s="24"/>
      <c r="C111" s="29"/>
      <c r="D111" s="26"/>
      <c r="E111" s="26"/>
      <c r="F111" s="26"/>
      <c r="G111" s="26"/>
      <c r="H111" s="27"/>
      <c r="I111" s="27"/>
      <c r="J111" s="27"/>
      <c r="K111" s="28" t="str">
        <f>IFERROR(__xludf.DUMMYFUNCTION("""COMPUTED_VALUE"""),"")</f>
        <v/>
      </c>
    </row>
    <row r="112">
      <c r="A112" s="23" t="str">
        <f>IFERROR(__xludf.DUMMYFUNCTION("""COMPUTED_VALUE"""),"")</f>
        <v/>
      </c>
      <c r="B112" s="24"/>
      <c r="C112" s="29"/>
      <c r="D112" s="26"/>
      <c r="E112" s="26"/>
      <c r="F112" s="26"/>
      <c r="G112" s="26"/>
      <c r="H112" s="27"/>
      <c r="I112" s="27"/>
      <c r="J112" s="27"/>
      <c r="K112" s="28" t="str">
        <f>IFERROR(__xludf.DUMMYFUNCTION("""COMPUTED_VALUE"""),"")</f>
        <v/>
      </c>
    </row>
    <row r="113">
      <c r="A113" s="23" t="str">
        <f>IFERROR(__xludf.DUMMYFUNCTION("""COMPUTED_VALUE"""),"")</f>
        <v/>
      </c>
      <c r="B113" s="24"/>
      <c r="C113" s="29"/>
      <c r="D113" s="26"/>
      <c r="E113" s="26"/>
      <c r="F113" s="26"/>
      <c r="G113" s="26"/>
      <c r="H113" s="27"/>
      <c r="I113" s="27"/>
      <c r="J113" s="27"/>
      <c r="K113" s="28" t="str">
        <f>IFERROR(__xludf.DUMMYFUNCTION("""COMPUTED_VALUE"""),"")</f>
        <v/>
      </c>
    </row>
    <row r="114">
      <c r="A114" s="23" t="str">
        <f>IFERROR(__xludf.DUMMYFUNCTION("""COMPUTED_VALUE"""),"")</f>
        <v/>
      </c>
      <c r="B114" s="24"/>
      <c r="C114" s="29"/>
      <c r="D114" s="26"/>
      <c r="E114" s="26"/>
      <c r="F114" s="26"/>
      <c r="G114" s="26"/>
      <c r="H114" s="27"/>
      <c r="I114" s="27"/>
      <c r="J114" s="27"/>
      <c r="K114" s="28" t="str">
        <f>IFERROR(__xludf.DUMMYFUNCTION("""COMPUTED_VALUE"""),"")</f>
        <v/>
      </c>
    </row>
    <row r="115">
      <c r="A115" s="23" t="str">
        <f>IFERROR(__xludf.DUMMYFUNCTION("""COMPUTED_VALUE"""),"")</f>
        <v/>
      </c>
      <c r="B115" s="24"/>
      <c r="C115" s="29"/>
      <c r="D115" s="26"/>
      <c r="E115" s="26"/>
      <c r="F115" s="26"/>
      <c r="G115" s="26"/>
      <c r="H115" s="27"/>
      <c r="I115" s="27"/>
      <c r="J115" s="27"/>
      <c r="K115" s="28" t="str">
        <f>IFERROR(__xludf.DUMMYFUNCTION("""COMPUTED_VALUE"""),"")</f>
        <v/>
      </c>
    </row>
    <row r="116">
      <c r="A116" s="23" t="str">
        <f>IFERROR(__xludf.DUMMYFUNCTION("""COMPUTED_VALUE"""),"")</f>
        <v/>
      </c>
      <c r="B116" s="24"/>
      <c r="C116" s="29"/>
      <c r="D116" s="26"/>
      <c r="E116" s="26"/>
      <c r="F116" s="26"/>
      <c r="G116" s="26"/>
      <c r="H116" s="27"/>
      <c r="I116" s="27"/>
      <c r="J116" s="27"/>
      <c r="K116" s="28" t="str">
        <f>IFERROR(__xludf.DUMMYFUNCTION("""COMPUTED_VALUE"""),"")</f>
        <v/>
      </c>
    </row>
    <row r="117">
      <c r="A117" s="23" t="str">
        <f>IFERROR(__xludf.DUMMYFUNCTION("""COMPUTED_VALUE"""),"")</f>
        <v/>
      </c>
      <c r="B117" s="24"/>
      <c r="C117" s="29"/>
      <c r="D117" s="26"/>
      <c r="E117" s="26"/>
      <c r="F117" s="26"/>
      <c r="G117" s="26"/>
      <c r="H117" s="27"/>
      <c r="I117" s="27"/>
      <c r="J117" s="27"/>
      <c r="K117" s="28" t="str">
        <f>IFERROR(__xludf.DUMMYFUNCTION("""COMPUTED_VALUE"""),"")</f>
        <v/>
      </c>
    </row>
    <row r="118">
      <c r="A118" s="23" t="str">
        <f>IFERROR(__xludf.DUMMYFUNCTION("""COMPUTED_VALUE"""),"")</f>
        <v/>
      </c>
      <c r="B118" s="24"/>
      <c r="C118" s="29"/>
      <c r="D118" s="26"/>
      <c r="E118" s="26"/>
      <c r="F118" s="26"/>
      <c r="G118" s="26"/>
      <c r="H118" s="27"/>
      <c r="I118" s="27"/>
      <c r="J118" s="27"/>
      <c r="K118" s="28" t="str">
        <f>IFERROR(__xludf.DUMMYFUNCTION("""COMPUTED_VALUE"""),"")</f>
        <v/>
      </c>
    </row>
    <row r="119">
      <c r="A119" s="23" t="str">
        <f>IFERROR(__xludf.DUMMYFUNCTION("""COMPUTED_VALUE"""),"")</f>
        <v/>
      </c>
      <c r="B119" s="24"/>
      <c r="C119" s="29"/>
      <c r="D119" s="26"/>
      <c r="E119" s="26"/>
      <c r="F119" s="26"/>
      <c r="G119" s="26"/>
      <c r="H119" s="27"/>
      <c r="I119" s="27"/>
      <c r="J119" s="27"/>
      <c r="K119" s="28" t="str">
        <f>IFERROR(__xludf.DUMMYFUNCTION("""COMPUTED_VALUE"""),"")</f>
        <v/>
      </c>
    </row>
    <row r="120">
      <c r="A120" s="23" t="str">
        <f>IFERROR(__xludf.DUMMYFUNCTION("""COMPUTED_VALUE"""),"")</f>
        <v/>
      </c>
      <c r="B120" s="24"/>
      <c r="C120" s="29"/>
      <c r="D120" s="26"/>
      <c r="E120" s="26"/>
      <c r="F120" s="26"/>
      <c r="G120" s="26"/>
      <c r="H120" s="27"/>
      <c r="I120" s="27"/>
      <c r="J120" s="27"/>
      <c r="K120" s="28" t="str">
        <f>IFERROR(__xludf.DUMMYFUNCTION("""COMPUTED_VALUE"""),"")</f>
        <v/>
      </c>
    </row>
    <row r="121">
      <c r="A121" s="23" t="str">
        <f>IFERROR(__xludf.DUMMYFUNCTION("""COMPUTED_VALUE"""),"")</f>
        <v/>
      </c>
      <c r="B121" s="24"/>
      <c r="C121" s="29"/>
      <c r="D121" s="26"/>
      <c r="E121" s="26"/>
      <c r="F121" s="26"/>
      <c r="G121" s="26"/>
      <c r="H121" s="27"/>
      <c r="I121" s="27"/>
      <c r="J121" s="27"/>
      <c r="K121" s="28" t="str">
        <f>IFERROR(__xludf.DUMMYFUNCTION("""COMPUTED_VALUE"""),"")</f>
        <v/>
      </c>
    </row>
    <row r="122">
      <c r="A122" s="23" t="str">
        <f>IFERROR(__xludf.DUMMYFUNCTION("""COMPUTED_VALUE"""),"")</f>
        <v/>
      </c>
      <c r="B122" s="24"/>
      <c r="C122" s="29"/>
      <c r="D122" s="26"/>
      <c r="E122" s="26"/>
      <c r="F122" s="26"/>
      <c r="G122" s="26"/>
      <c r="H122" s="27"/>
      <c r="I122" s="27"/>
      <c r="J122" s="27"/>
      <c r="K122" s="28" t="str">
        <f>IFERROR(__xludf.DUMMYFUNCTION("""COMPUTED_VALUE"""),"")</f>
        <v/>
      </c>
    </row>
    <row r="123">
      <c r="A123" s="23" t="str">
        <f>IFERROR(__xludf.DUMMYFUNCTION("""COMPUTED_VALUE"""),"")</f>
        <v/>
      </c>
      <c r="B123" s="24"/>
      <c r="C123" s="29"/>
      <c r="D123" s="26"/>
      <c r="E123" s="26"/>
      <c r="F123" s="26"/>
      <c r="G123" s="26"/>
      <c r="H123" s="27"/>
      <c r="I123" s="27"/>
      <c r="J123" s="27"/>
      <c r="K123" s="28" t="str">
        <f>IFERROR(__xludf.DUMMYFUNCTION("""COMPUTED_VALUE"""),"")</f>
        <v/>
      </c>
    </row>
    <row r="124">
      <c r="A124" s="23" t="str">
        <f>IFERROR(__xludf.DUMMYFUNCTION("""COMPUTED_VALUE"""),"")</f>
        <v/>
      </c>
      <c r="B124" s="24"/>
      <c r="C124" s="29"/>
      <c r="D124" s="26"/>
      <c r="E124" s="26"/>
      <c r="F124" s="26"/>
      <c r="G124" s="26"/>
      <c r="H124" s="27"/>
      <c r="I124" s="27"/>
      <c r="J124" s="27"/>
      <c r="K124" s="28" t="str">
        <f>IFERROR(__xludf.DUMMYFUNCTION("""COMPUTED_VALUE"""),"")</f>
        <v/>
      </c>
    </row>
    <row r="125">
      <c r="A125" s="23" t="str">
        <f>IFERROR(__xludf.DUMMYFUNCTION("""COMPUTED_VALUE"""),"")</f>
        <v/>
      </c>
      <c r="B125" s="24"/>
      <c r="C125" s="29"/>
      <c r="D125" s="26"/>
      <c r="E125" s="26"/>
      <c r="F125" s="26"/>
      <c r="G125" s="26"/>
      <c r="H125" s="27"/>
      <c r="I125" s="27"/>
      <c r="J125" s="27"/>
      <c r="K125" s="28" t="str">
        <f>IFERROR(__xludf.DUMMYFUNCTION("""COMPUTED_VALUE"""),"")</f>
        <v/>
      </c>
    </row>
    <row r="126">
      <c r="A126" s="23" t="str">
        <f>IFERROR(__xludf.DUMMYFUNCTION("""COMPUTED_VALUE"""),"")</f>
        <v/>
      </c>
      <c r="B126" s="24"/>
      <c r="C126" s="29"/>
      <c r="D126" s="26"/>
      <c r="E126" s="26"/>
      <c r="F126" s="26"/>
      <c r="G126" s="26"/>
      <c r="H126" s="27"/>
      <c r="I126" s="27"/>
      <c r="J126" s="27"/>
      <c r="K126" s="28" t="str">
        <f>IFERROR(__xludf.DUMMYFUNCTION("""COMPUTED_VALUE"""),"")</f>
        <v/>
      </c>
    </row>
    <row r="127">
      <c r="A127" s="23" t="str">
        <f>IFERROR(__xludf.DUMMYFUNCTION("""COMPUTED_VALUE"""),"")</f>
        <v/>
      </c>
      <c r="B127" s="24"/>
      <c r="C127" s="29"/>
      <c r="D127" s="26"/>
      <c r="E127" s="26"/>
      <c r="F127" s="26"/>
      <c r="G127" s="26"/>
      <c r="H127" s="27"/>
      <c r="I127" s="27"/>
      <c r="J127" s="27"/>
      <c r="K127" s="28" t="str">
        <f>IFERROR(__xludf.DUMMYFUNCTION("""COMPUTED_VALUE"""),"")</f>
        <v/>
      </c>
    </row>
    <row r="128">
      <c r="A128" s="23" t="str">
        <f>IFERROR(__xludf.DUMMYFUNCTION("""COMPUTED_VALUE"""),"")</f>
        <v/>
      </c>
      <c r="B128" s="24"/>
      <c r="C128" s="29"/>
      <c r="D128" s="26"/>
      <c r="E128" s="26"/>
      <c r="F128" s="26"/>
      <c r="G128" s="26"/>
      <c r="H128" s="27"/>
      <c r="I128" s="27"/>
      <c r="J128" s="27"/>
      <c r="K128" s="28" t="str">
        <f>IFERROR(__xludf.DUMMYFUNCTION("""COMPUTED_VALUE"""),"")</f>
        <v/>
      </c>
    </row>
    <row r="129">
      <c r="A129" s="23" t="str">
        <f>IFERROR(__xludf.DUMMYFUNCTION("""COMPUTED_VALUE"""),"")</f>
        <v/>
      </c>
      <c r="B129" s="24"/>
      <c r="C129" s="29"/>
      <c r="D129" s="26"/>
      <c r="E129" s="26"/>
      <c r="F129" s="26"/>
      <c r="G129" s="26"/>
      <c r="H129" s="27"/>
      <c r="I129" s="27"/>
      <c r="J129" s="27"/>
      <c r="K129" s="28" t="str">
        <f>IFERROR(__xludf.DUMMYFUNCTION("""COMPUTED_VALUE"""),"")</f>
        <v/>
      </c>
    </row>
    <row r="130">
      <c r="A130" s="23" t="str">
        <f>IFERROR(__xludf.DUMMYFUNCTION("""COMPUTED_VALUE"""),"")</f>
        <v/>
      </c>
      <c r="B130" s="24"/>
      <c r="C130" s="29"/>
      <c r="D130" s="26"/>
      <c r="E130" s="26"/>
      <c r="F130" s="26"/>
      <c r="G130" s="26"/>
      <c r="H130" s="27"/>
      <c r="I130" s="27"/>
      <c r="J130" s="27"/>
      <c r="K130" s="28" t="str">
        <f>IFERROR(__xludf.DUMMYFUNCTION("""COMPUTED_VALUE"""),"")</f>
        <v/>
      </c>
    </row>
    <row r="131">
      <c r="A131" s="23" t="str">
        <f>IFERROR(__xludf.DUMMYFUNCTION("""COMPUTED_VALUE"""),"")</f>
        <v/>
      </c>
      <c r="B131" s="24"/>
      <c r="C131" s="29"/>
      <c r="D131" s="26"/>
      <c r="E131" s="26"/>
      <c r="F131" s="26"/>
      <c r="G131" s="26"/>
      <c r="H131" s="27"/>
      <c r="I131" s="27"/>
      <c r="J131" s="27"/>
      <c r="K131" s="28" t="str">
        <f>IFERROR(__xludf.DUMMYFUNCTION("""COMPUTED_VALUE"""),"")</f>
        <v/>
      </c>
    </row>
    <row r="132">
      <c r="A132" s="23" t="str">
        <f>IFERROR(__xludf.DUMMYFUNCTION("""COMPUTED_VALUE"""),"")</f>
        <v/>
      </c>
      <c r="B132" s="24"/>
      <c r="C132" s="29"/>
      <c r="D132" s="26"/>
      <c r="E132" s="26"/>
      <c r="F132" s="26"/>
      <c r="G132" s="26"/>
      <c r="H132" s="27"/>
      <c r="I132" s="27"/>
      <c r="J132" s="27"/>
      <c r="K132" s="28" t="str">
        <f>IFERROR(__xludf.DUMMYFUNCTION("""COMPUTED_VALUE"""),"")</f>
        <v/>
      </c>
    </row>
    <row r="133">
      <c r="A133" s="23" t="str">
        <f>IFERROR(__xludf.DUMMYFUNCTION("""COMPUTED_VALUE"""),"")</f>
        <v/>
      </c>
      <c r="B133" s="24"/>
      <c r="C133" s="29"/>
      <c r="D133" s="26"/>
      <c r="E133" s="26"/>
      <c r="F133" s="26"/>
      <c r="G133" s="26"/>
      <c r="H133" s="27"/>
      <c r="I133" s="27"/>
      <c r="J133" s="27"/>
      <c r="K133" s="28" t="str">
        <f>IFERROR(__xludf.DUMMYFUNCTION("""COMPUTED_VALUE"""),"")</f>
        <v/>
      </c>
    </row>
    <row r="134">
      <c r="A134" s="23" t="str">
        <f>IFERROR(__xludf.DUMMYFUNCTION("""COMPUTED_VALUE"""),"")</f>
        <v/>
      </c>
      <c r="B134" s="24"/>
      <c r="C134" s="29"/>
      <c r="D134" s="26"/>
      <c r="E134" s="26"/>
      <c r="F134" s="26"/>
      <c r="G134" s="26"/>
      <c r="H134" s="27"/>
      <c r="I134" s="27"/>
      <c r="J134" s="27"/>
      <c r="K134" s="28" t="str">
        <f>IFERROR(__xludf.DUMMYFUNCTION("""COMPUTED_VALUE"""),"")</f>
        <v/>
      </c>
    </row>
    <row r="135">
      <c r="A135" s="23" t="str">
        <f>IFERROR(__xludf.DUMMYFUNCTION("""COMPUTED_VALUE"""),"")</f>
        <v/>
      </c>
      <c r="B135" s="24"/>
      <c r="C135" s="29"/>
      <c r="D135" s="26"/>
      <c r="E135" s="26"/>
      <c r="F135" s="26"/>
      <c r="G135" s="26"/>
      <c r="H135" s="27"/>
      <c r="I135" s="27"/>
      <c r="J135" s="27"/>
      <c r="K135" s="28" t="str">
        <f>IFERROR(__xludf.DUMMYFUNCTION("""COMPUTED_VALUE"""),"")</f>
        <v/>
      </c>
    </row>
    <row r="136">
      <c r="A136" s="23" t="str">
        <f>IFERROR(__xludf.DUMMYFUNCTION("""COMPUTED_VALUE"""),"")</f>
        <v/>
      </c>
      <c r="B136" s="24"/>
      <c r="C136" s="29"/>
      <c r="D136" s="26"/>
      <c r="E136" s="26"/>
      <c r="F136" s="26"/>
      <c r="G136" s="26"/>
      <c r="H136" s="27"/>
      <c r="I136" s="27"/>
      <c r="J136" s="27"/>
      <c r="K136" s="28" t="str">
        <f>IFERROR(__xludf.DUMMYFUNCTION("""COMPUTED_VALUE"""),"")</f>
        <v/>
      </c>
    </row>
    <row r="137">
      <c r="A137" s="23" t="str">
        <f>IFERROR(__xludf.DUMMYFUNCTION("""COMPUTED_VALUE"""),"")</f>
        <v/>
      </c>
      <c r="B137" s="24"/>
      <c r="C137" s="29"/>
      <c r="D137" s="26"/>
      <c r="E137" s="26"/>
      <c r="F137" s="26"/>
      <c r="G137" s="26"/>
      <c r="H137" s="27"/>
      <c r="I137" s="27"/>
      <c r="J137" s="27"/>
      <c r="K137" s="28" t="str">
        <f>IFERROR(__xludf.DUMMYFUNCTION("""COMPUTED_VALUE"""),"")</f>
        <v/>
      </c>
    </row>
    <row r="138">
      <c r="A138" s="23" t="str">
        <f>IFERROR(__xludf.DUMMYFUNCTION("""COMPUTED_VALUE"""),"")</f>
        <v/>
      </c>
      <c r="B138" s="24"/>
      <c r="C138" s="29"/>
      <c r="D138" s="26"/>
      <c r="E138" s="26"/>
      <c r="F138" s="26"/>
      <c r="G138" s="26"/>
      <c r="H138" s="27"/>
      <c r="I138" s="27"/>
      <c r="J138" s="27"/>
      <c r="K138" s="28" t="str">
        <f>IFERROR(__xludf.DUMMYFUNCTION("""COMPUTED_VALUE"""),"")</f>
        <v/>
      </c>
    </row>
    <row r="139">
      <c r="A139" s="23" t="str">
        <f>IFERROR(__xludf.DUMMYFUNCTION("""COMPUTED_VALUE"""),"")</f>
        <v/>
      </c>
      <c r="B139" s="24"/>
      <c r="C139" s="29"/>
      <c r="D139" s="26"/>
      <c r="E139" s="26"/>
      <c r="F139" s="26"/>
      <c r="G139" s="26"/>
      <c r="H139" s="27"/>
      <c r="I139" s="27"/>
      <c r="J139" s="27"/>
      <c r="K139" s="28" t="str">
        <f>IFERROR(__xludf.DUMMYFUNCTION("""COMPUTED_VALUE"""),"")</f>
        <v/>
      </c>
    </row>
    <row r="140">
      <c r="A140" s="23" t="str">
        <f>IFERROR(__xludf.DUMMYFUNCTION("""COMPUTED_VALUE"""),"")</f>
        <v/>
      </c>
      <c r="B140" s="24"/>
      <c r="C140" s="29"/>
      <c r="D140" s="26"/>
      <c r="E140" s="26"/>
      <c r="F140" s="26"/>
      <c r="G140" s="26"/>
      <c r="H140" s="27"/>
      <c r="I140" s="27"/>
      <c r="J140" s="27"/>
      <c r="K140" s="28" t="str">
        <f>IFERROR(__xludf.DUMMYFUNCTION("""COMPUTED_VALUE"""),"")</f>
        <v/>
      </c>
    </row>
    <row r="141">
      <c r="A141" s="23" t="str">
        <f>IFERROR(__xludf.DUMMYFUNCTION("""COMPUTED_VALUE"""),"")</f>
        <v/>
      </c>
      <c r="B141" s="24"/>
      <c r="C141" s="29"/>
      <c r="D141" s="26"/>
      <c r="E141" s="26"/>
      <c r="F141" s="26"/>
      <c r="G141" s="26"/>
      <c r="H141" s="27"/>
      <c r="I141" s="27"/>
      <c r="J141" s="27"/>
      <c r="K141" s="28" t="str">
        <f>IFERROR(__xludf.DUMMYFUNCTION("""COMPUTED_VALUE"""),"")</f>
        <v/>
      </c>
    </row>
    <row r="142">
      <c r="A142" s="23" t="str">
        <f>IFERROR(__xludf.DUMMYFUNCTION("""COMPUTED_VALUE"""),"")</f>
        <v/>
      </c>
      <c r="B142" s="24"/>
      <c r="C142" s="29"/>
      <c r="D142" s="26"/>
      <c r="E142" s="26"/>
      <c r="F142" s="26"/>
      <c r="G142" s="26"/>
      <c r="H142" s="27"/>
      <c r="I142" s="27"/>
      <c r="J142" s="27"/>
      <c r="K142" s="28" t="str">
        <f>IFERROR(__xludf.DUMMYFUNCTION("""COMPUTED_VALUE"""),"")</f>
        <v/>
      </c>
    </row>
    <row r="143">
      <c r="A143" s="23" t="str">
        <f>IFERROR(__xludf.DUMMYFUNCTION("""COMPUTED_VALUE"""),"")</f>
        <v/>
      </c>
      <c r="B143" s="24"/>
      <c r="C143" s="29"/>
      <c r="D143" s="26"/>
      <c r="E143" s="26"/>
      <c r="F143" s="26"/>
      <c r="G143" s="26"/>
      <c r="H143" s="27"/>
      <c r="I143" s="27"/>
      <c r="J143" s="27"/>
      <c r="K143" s="28" t="str">
        <f>IFERROR(__xludf.DUMMYFUNCTION("""COMPUTED_VALUE"""),"")</f>
        <v/>
      </c>
    </row>
    <row r="144">
      <c r="A144" s="23" t="str">
        <f>IFERROR(__xludf.DUMMYFUNCTION("""COMPUTED_VALUE"""),"")</f>
        <v/>
      </c>
      <c r="B144" s="24"/>
      <c r="C144" s="29"/>
      <c r="D144" s="26"/>
      <c r="E144" s="26"/>
      <c r="F144" s="26"/>
      <c r="G144" s="26"/>
      <c r="H144" s="27"/>
      <c r="I144" s="27"/>
      <c r="J144" s="27"/>
      <c r="K144" s="28" t="str">
        <f>IFERROR(__xludf.DUMMYFUNCTION("""COMPUTED_VALUE"""),"")</f>
        <v/>
      </c>
    </row>
    <row r="145">
      <c r="A145" s="23" t="str">
        <f>IFERROR(__xludf.DUMMYFUNCTION("""COMPUTED_VALUE"""),"")</f>
        <v/>
      </c>
      <c r="B145" s="24"/>
      <c r="C145" s="29"/>
      <c r="D145" s="26"/>
      <c r="E145" s="26"/>
      <c r="F145" s="26"/>
      <c r="G145" s="26"/>
      <c r="H145" s="27"/>
      <c r="I145" s="27"/>
      <c r="J145" s="27"/>
      <c r="K145" s="28" t="str">
        <f>IFERROR(__xludf.DUMMYFUNCTION("""COMPUTED_VALUE"""),"")</f>
        <v/>
      </c>
    </row>
    <row r="146">
      <c r="A146" s="23" t="str">
        <f>IFERROR(__xludf.DUMMYFUNCTION("""COMPUTED_VALUE"""),"")</f>
        <v/>
      </c>
      <c r="B146" s="24"/>
      <c r="C146" s="29"/>
      <c r="D146" s="26"/>
      <c r="E146" s="26"/>
      <c r="F146" s="26"/>
      <c r="G146" s="26"/>
      <c r="H146" s="27"/>
      <c r="I146" s="27"/>
      <c r="J146" s="27"/>
      <c r="K146" s="28" t="str">
        <f>IFERROR(__xludf.DUMMYFUNCTION("""COMPUTED_VALUE"""),"")</f>
        <v/>
      </c>
    </row>
    <row r="147">
      <c r="A147" s="23" t="str">
        <f>IFERROR(__xludf.DUMMYFUNCTION("""COMPUTED_VALUE"""),"")</f>
        <v/>
      </c>
      <c r="B147" s="24"/>
      <c r="C147" s="29"/>
      <c r="D147" s="26"/>
      <c r="E147" s="26"/>
      <c r="F147" s="26"/>
      <c r="G147" s="26"/>
      <c r="H147" s="27"/>
      <c r="I147" s="27"/>
      <c r="J147" s="27"/>
      <c r="K147" s="28" t="str">
        <f>IFERROR(__xludf.DUMMYFUNCTION("""COMPUTED_VALUE"""),"")</f>
        <v/>
      </c>
    </row>
    <row r="148">
      <c r="A148" s="23" t="str">
        <f>IFERROR(__xludf.DUMMYFUNCTION("""COMPUTED_VALUE"""),"")</f>
        <v/>
      </c>
      <c r="B148" s="24"/>
      <c r="C148" s="29"/>
      <c r="D148" s="26"/>
      <c r="E148" s="26"/>
      <c r="F148" s="26"/>
      <c r="G148" s="26"/>
      <c r="H148" s="27"/>
      <c r="I148" s="27"/>
      <c r="J148" s="27"/>
      <c r="K148" s="28" t="str">
        <f>IFERROR(__xludf.DUMMYFUNCTION("""COMPUTED_VALUE"""),"")</f>
        <v/>
      </c>
    </row>
    <row r="149">
      <c r="A149" s="23" t="str">
        <f>IFERROR(__xludf.DUMMYFUNCTION("""COMPUTED_VALUE"""),"")</f>
        <v/>
      </c>
      <c r="B149" s="24"/>
      <c r="C149" s="29"/>
      <c r="D149" s="26"/>
      <c r="E149" s="26"/>
      <c r="F149" s="26"/>
      <c r="G149" s="26"/>
      <c r="H149" s="27"/>
      <c r="I149" s="27"/>
      <c r="J149" s="27"/>
      <c r="K149" s="28" t="str">
        <f>IFERROR(__xludf.DUMMYFUNCTION("""COMPUTED_VALUE"""),"")</f>
        <v/>
      </c>
    </row>
    <row r="150">
      <c r="A150" s="23" t="str">
        <f>IFERROR(__xludf.DUMMYFUNCTION("""COMPUTED_VALUE"""),"")</f>
        <v/>
      </c>
      <c r="B150" s="24"/>
      <c r="C150" s="29"/>
      <c r="D150" s="26"/>
      <c r="E150" s="26"/>
      <c r="F150" s="26"/>
      <c r="G150" s="26"/>
      <c r="H150" s="27"/>
      <c r="I150" s="27"/>
      <c r="J150" s="27"/>
      <c r="K150" s="28" t="str">
        <f>IFERROR(__xludf.DUMMYFUNCTION("""COMPUTED_VALUE"""),"")</f>
        <v/>
      </c>
    </row>
    <row r="151">
      <c r="A151" s="23" t="str">
        <f>IFERROR(__xludf.DUMMYFUNCTION("""COMPUTED_VALUE"""),"")</f>
        <v/>
      </c>
      <c r="B151" s="24"/>
      <c r="C151" s="29"/>
      <c r="D151" s="26"/>
      <c r="E151" s="26"/>
      <c r="F151" s="26"/>
      <c r="G151" s="26"/>
      <c r="H151" s="27"/>
      <c r="I151" s="27"/>
      <c r="J151" s="27"/>
      <c r="K151" s="28" t="str">
        <f>IFERROR(__xludf.DUMMYFUNCTION("""COMPUTED_VALUE"""),"")</f>
        <v/>
      </c>
    </row>
    <row r="152">
      <c r="A152" s="23" t="str">
        <f>IFERROR(__xludf.DUMMYFUNCTION("""COMPUTED_VALUE"""),"")</f>
        <v/>
      </c>
      <c r="B152" s="24"/>
      <c r="C152" s="29"/>
      <c r="D152" s="26"/>
      <c r="E152" s="26"/>
      <c r="F152" s="26"/>
      <c r="G152" s="26"/>
      <c r="H152" s="27"/>
      <c r="I152" s="27"/>
      <c r="J152" s="27"/>
      <c r="K152" s="28" t="str">
        <f>IFERROR(__xludf.DUMMYFUNCTION("""COMPUTED_VALUE"""),"")</f>
        <v/>
      </c>
    </row>
    <row r="153">
      <c r="A153" s="23" t="str">
        <f>IFERROR(__xludf.DUMMYFUNCTION("""COMPUTED_VALUE"""),"")</f>
        <v/>
      </c>
      <c r="B153" s="24"/>
      <c r="C153" s="29"/>
      <c r="D153" s="26"/>
      <c r="E153" s="26"/>
      <c r="F153" s="26"/>
      <c r="G153" s="26"/>
      <c r="H153" s="27"/>
      <c r="I153" s="27"/>
      <c r="J153" s="27"/>
      <c r="K153" s="28" t="str">
        <f>IFERROR(__xludf.DUMMYFUNCTION("""COMPUTED_VALUE"""),"")</f>
        <v/>
      </c>
    </row>
    <row r="154">
      <c r="A154" s="23" t="str">
        <f>IFERROR(__xludf.DUMMYFUNCTION("""COMPUTED_VALUE"""),"")</f>
        <v/>
      </c>
      <c r="B154" s="24"/>
      <c r="C154" s="29"/>
      <c r="D154" s="26"/>
      <c r="E154" s="26"/>
      <c r="F154" s="26"/>
      <c r="G154" s="26"/>
      <c r="H154" s="27"/>
      <c r="I154" s="27"/>
      <c r="J154" s="27"/>
      <c r="K154" s="28" t="str">
        <f>IFERROR(__xludf.DUMMYFUNCTION("""COMPUTED_VALUE"""),"")</f>
        <v/>
      </c>
    </row>
    <row r="155">
      <c r="A155" s="23" t="str">
        <f>IFERROR(__xludf.DUMMYFUNCTION("""COMPUTED_VALUE"""),"")</f>
        <v/>
      </c>
      <c r="B155" s="24"/>
      <c r="C155" s="29"/>
      <c r="D155" s="26"/>
      <c r="E155" s="26"/>
      <c r="F155" s="26"/>
      <c r="G155" s="26"/>
      <c r="H155" s="27"/>
      <c r="I155" s="27"/>
      <c r="J155" s="27"/>
      <c r="K155" s="28" t="str">
        <f>IFERROR(__xludf.DUMMYFUNCTION("""COMPUTED_VALUE"""),"")</f>
        <v/>
      </c>
    </row>
    <row r="156">
      <c r="A156" s="23" t="str">
        <f>IFERROR(__xludf.DUMMYFUNCTION("""COMPUTED_VALUE"""),"")</f>
        <v/>
      </c>
      <c r="B156" s="24"/>
      <c r="C156" s="29"/>
      <c r="D156" s="26"/>
      <c r="E156" s="26"/>
      <c r="F156" s="26"/>
      <c r="G156" s="26"/>
      <c r="H156" s="27"/>
      <c r="I156" s="27"/>
      <c r="J156" s="27"/>
      <c r="K156" s="28" t="str">
        <f>IFERROR(__xludf.DUMMYFUNCTION("""COMPUTED_VALUE"""),"")</f>
        <v/>
      </c>
    </row>
    <row r="157">
      <c r="A157" s="23" t="str">
        <f>IFERROR(__xludf.DUMMYFUNCTION("""COMPUTED_VALUE"""),"")</f>
        <v/>
      </c>
      <c r="B157" s="24"/>
      <c r="C157" s="29"/>
      <c r="D157" s="26"/>
      <c r="E157" s="26"/>
      <c r="F157" s="26"/>
      <c r="G157" s="26"/>
      <c r="H157" s="27"/>
      <c r="I157" s="27"/>
      <c r="J157" s="27"/>
      <c r="K157" s="28" t="str">
        <f>IFERROR(__xludf.DUMMYFUNCTION("""COMPUTED_VALUE"""),"")</f>
        <v/>
      </c>
    </row>
    <row r="158">
      <c r="A158" s="23" t="str">
        <f>IFERROR(__xludf.DUMMYFUNCTION("""COMPUTED_VALUE"""),"")</f>
        <v/>
      </c>
      <c r="B158" s="24"/>
      <c r="C158" s="29"/>
      <c r="D158" s="26"/>
      <c r="E158" s="26"/>
      <c r="F158" s="26"/>
      <c r="G158" s="26"/>
      <c r="H158" s="27"/>
      <c r="I158" s="27"/>
      <c r="J158" s="27"/>
      <c r="K158" s="28" t="str">
        <f>IFERROR(__xludf.DUMMYFUNCTION("""COMPUTED_VALUE"""),"")</f>
        <v/>
      </c>
    </row>
    <row r="159">
      <c r="A159" s="23" t="str">
        <f>IFERROR(__xludf.DUMMYFUNCTION("""COMPUTED_VALUE"""),"")</f>
        <v/>
      </c>
      <c r="B159" s="24"/>
      <c r="C159" s="29"/>
      <c r="D159" s="26"/>
      <c r="E159" s="26"/>
      <c r="F159" s="26"/>
      <c r="G159" s="26"/>
      <c r="H159" s="27"/>
      <c r="I159" s="27"/>
      <c r="J159" s="27"/>
      <c r="K159" s="28" t="str">
        <f>IFERROR(__xludf.DUMMYFUNCTION("""COMPUTED_VALUE"""),"")</f>
        <v/>
      </c>
    </row>
    <row r="160">
      <c r="A160" s="23" t="str">
        <f>IFERROR(__xludf.DUMMYFUNCTION("""COMPUTED_VALUE"""),"")</f>
        <v/>
      </c>
      <c r="B160" s="24"/>
      <c r="C160" s="29"/>
      <c r="D160" s="26"/>
      <c r="E160" s="26"/>
      <c r="F160" s="26"/>
      <c r="G160" s="26"/>
      <c r="H160" s="27"/>
      <c r="I160" s="27"/>
      <c r="J160" s="27"/>
      <c r="K160" s="28" t="str">
        <f>IFERROR(__xludf.DUMMYFUNCTION("""COMPUTED_VALUE"""),"")</f>
        <v/>
      </c>
    </row>
    <row r="161">
      <c r="A161" s="23" t="str">
        <f>IFERROR(__xludf.DUMMYFUNCTION("""COMPUTED_VALUE"""),"")</f>
        <v/>
      </c>
      <c r="B161" s="24"/>
      <c r="C161" s="29"/>
      <c r="D161" s="26"/>
      <c r="E161" s="26"/>
      <c r="F161" s="26"/>
      <c r="G161" s="26"/>
      <c r="H161" s="27"/>
      <c r="I161" s="27"/>
      <c r="J161" s="27"/>
      <c r="K161" s="28" t="str">
        <f>IFERROR(__xludf.DUMMYFUNCTION("""COMPUTED_VALUE"""),"")</f>
        <v/>
      </c>
    </row>
    <row r="162">
      <c r="A162" s="23" t="str">
        <f>IFERROR(__xludf.DUMMYFUNCTION("""COMPUTED_VALUE"""),"")</f>
        <v/>
      </c>
      <c r="B162" s="24"/>
      <c r="C162" s="29"/>
      <c r="D162" s="26"/>
      <c r="E162" s="26"/>
      <c r="F162" s="26"/>
      <c r="G162" s="26"/>
      <c r="H162" s="27"/>
      <c r="I162" s="27"/>
      <c r="J162" s="27"/>
      <c r="K162" s="28" t="str">
        <f>IFERROR(__xludf.DUMMYFUNCTION("""COMPUTED_VALUE"""),"")</f>
        <v/>
      </c>
    </row>
    <row r="163">
      <c r="A163" s="23" t="str">
        <f>IFERROR(__xludf.DUMMYFUNCTION("""COMPUTED_VALUE"""),"")</f>
        <v/>
      </c>
      <c r="B163" s="24"/>
      <c r="C163" s="29"/>
      <c r="D163" s="26"/>
      <c r="E163" s="26"/>
      <c r="F163" s="26"/>
      <c r="G163" s="26"/>
      <c r="H163" s="27"/>
      <c r="I163" s="27"/>
      <c r="J163" s="27"/>
      <c r="K163" s="28" t="str">
        <f>IFERROR(__xludf.DUMMYFUNCTION("""COMPUTED_VALUE"""),"")</f>
        <v/>
      </c>
    </row>
    <row r="164">
      <c r="A164" s="23" t="str">
        <f>IFERROR(__xludf.DUMMYFUNCTION("""COMPUTED_VALUE"""),"")</f>
        <v/>
      </c>
      <c r="B164" s="24"/>
      <c r="C164" s="29"/>
      <c r="D164" s="26"/>
      <c r="E164" s="26"/>
      <c r="F164" s="26"/>
      <c r="G164" s="26"/>
      <c r="H164" s="27"/>
      <c r="I164" s="27"/>
      <c r="J164" s="27"/>
      <c r="K164" s="28" t="str">
        <f>IFERROR(__xludf.DUMMYFUNCTION("""COMPUTED_VALUE"""),"")</f>
        <v/>
      </c>
    </row>
    <row r="165">
      <c r="A165" s="23" t="str">
        <f>IFERROR(__xludf.DUMMYFUNCTION("""COMPUTED_VALUE"""),"")</f>
        <v/>
      </c>
      <c r="B165" s="24"/>
      <c r="C165" s="29"/>
      <c r="D165" s="26"/>
      <c r="E165" s="26"/>
      <c r="F165" s="26"/>
      <c r="G165" s="26"/>
      <c r="H165" s="27"/>
      <c r="I165" s="27"/>
      <c r="J165" s="27"/>
      <c r="K165" s="28" t="str">
        <f>IFERROR(__xludf.DUMMYFUNCTION("""COMPUTED_VALUE"""),"")</f>
        <v/>
      </c>
    </row>
    <row r="166">
      <c r="A166" s="23" t="str">
        <f>IFERROR(__xludf.DUMMYFUNCTION("""COMPUTED_VALUE"""),"")</f>
        <v/>
      </c>
      <c r="B166" s="24"/>
      <c r="C166" s="29"/>
      <c r="D166" s="26"/>
      <c r="E166" s="26"/>
      <c r="F166" s="26"/>
      <c r="G166" s="26"/>
      <c r="H166" s="27"/>
      <c r="I166" s="27"/>
      <c r="J166" s="27"/>
      <c r="K166" s="28" t="str">
        <f>IFERROR(__xludf.DUMMYFUNCTION("""COMPUTED_VALUE"""),"")</f>
        <v/>
      </c>
    </row>
    <row r="167">
      <c r="A167" s="23" t="str">
        <f>IFERROR(__xludf.DUMMYFUNCTION("""COMPUTED_VALUE"""),"")</f>
        <v/>
      </c>
      <c r="B167" s="24"/>
      <c r="C167" s="29"/>
      <c r="D167" s="26"/>
      <c r="E167" s="26"/>
      <c r="F167" s="26"/>
      <c r="G167" s="26"/>
      <c r="H167" s="27"/>
      <c r="I167" s="27"/>
      <c r="J167" s="27"/>
      <c r="K167" s="28" t="str">
        <f>IFERROR(__xludf.DUMMYFUNCTION("""COMPUTED_VALUE"""),"")</f>
        <v/>
      </c>
    </row>
    <row r="168">
      <c r="A168" s="23" t="str">
        <f>IFERROR(__xludf.DUMMYFUNCTION("""COMPUTED_VALUE"""),"")</f>
        <v/>
      </c>
      <c r="B168" s="24"/>
      <c r="C168" s="29"/>
      <c r="D168" s="26"/>
      <c r="E168" s="26"/>
      <c r="F168" s="26"/>
      <c r="G168" s="26"/>
      <c r="H168" s="27"/>
      <c r="I168" s="27"/>
      <c r="J168" s="27"/>
      <c r="K168" s="28" t="str">
        <f>IFERROR(__xludf.DUMMYFUNCTION("""COMPUTED_VALUE"""),"")</f>
        <v/>
      </c>
    </row>
    <row r="169">
      <c r="A169" s="23" t="str">
        <f>IFERROR(__xludf.DUMMYFUNCTION("""COMPUTED_VALUE"""),"")</f>
        <v/>
      </c>
      <c r="B169" s="24"/>
      <c r="C169" s="29"/>
      <c r="D169" s="26"/>
      <c r="E169" s="26"/>
      <c r="F169" s="26"/>
      <c r="G169" s="26"/>
      <c r="H169" s="27"/>
      <c r="I169" s="27"/>
      <c r="J169" s="27"/>
      <c r="K169" s="28" t="str">
        <f>IFERROR(__xludf.DUMMYFUNCTION("""COMPUTED_VALUE"""),"")</f>
        <v/>
      </c>
    </row>
    <row r="170">
      <c r="A170" s="23" t="str">
        <f>IFERROR(__xludf.DUMMYFUNCTION("""COMPUTED_VALUE"""),"")</f>
        <v/>
      </c>
      <c r="B170" s="24"/>
      <c r="C170" s="29"/>
      <c r="D170" s="26"/>
      <c r="E170" s="26"/>
      <c r="F170" s="26"/>
      <c r="G170" s="26"/>
      <c r="H170" s="27"/>
      <c r="I170" s="27"/>
      <c r="J170" s="27"/>
      <c r="K170" s="28" t="str">
        <f>IFERROR(__xludf.DUMMYFUNCTION("""COMPUTED_VALUE"""),"")</f>
        <v/>
      </c>
    </row>
    <row r="171">
      <c r="A171" s="23" t="str">
        <f>IFERROR(__xludf.DUMMYFUNCTION("""COMPUTED_VALUE"""),"")</f>
        <v/>
      </c>
      <c r="B171" s="24"/>
      <c r="C171" s="29"/>
      <c r="D171" s="26"/>
      <c r="E171" s="26"/>
      <c r="F171" s="26"/>
      <c r="G171" s="26"/>
      <c r="H171" s="27"/>
      <c r="I171" s="27"/>
      <c r="J171" s="27"/>
      <c r="K171" s="28" t="str">
        <f>IFERROR(__xludf.DUMMYFUNCTION("""COMPUTED_VALUE"""),"")</f>
        <v/>
      </c>
    </row>
    <row r="172">
      <c r="A172" s="23" t="str">
        <f>IFERROR(__xludf.DUMMYFUNCTION("""COMPUTED_VALUE"""),"")</f>
        <v/>
      </c>
      <c r="B172" s="24"/>
      <c r="C172" s="29"/>
      <c r="D172" s="26"/>
      <c r="E172" s="26"/>
      <c r="F172" s="26"/>
      <c r="G172" s="26"/>
      <c r="H172" s="27"/>
      <c r="I172" s="27"/>
      <c r="J172" s="27"/>
      <c r="K172" s="28" t="str">
        <f>IFERROR(__xludf.DUMMYFUNCTION("""COMPUTED_VALUE"""),"")</f>
        <v/>
      </c>
    </row>
    <row r="173">
      <c r="A173" s="23" t="str">
        <f>IFERROR(__xludf.DUMMYFUNCTION("""COMPUTED_VALUE"""),"")</f>
        <v/>
      </c>
      <c r="B173" s="24"/>
      <c r="C173" s="29"/>
      <c r="D173" s="26"/>
      <c r="E173" s="26"/>
      <c r="F173" s="26"/>
      <c r="G173" s="26"/>
      <c r="H173" s="27"/>
      <c r="I173" s="27"/>
      <c r="J173" s="27"/>
      <c r="K173" s="28" t="str">
        <f>IFERROR(__xludf.DUMMYFUNCTION("""COMPUTED_VALUE"""),"")</f>
        <v/>
      </c>
    </row>
    <row r="174">
      <c r="A174" s="23" t="str">
        <f>IFERROR(__xludf.DUMMYFUNCTION("""COMPUTED_VALUE"""),"")</f>
        <v/>
      </c>
      <c r="B174" s="24"/>
      <c r="C174" s="29"/>
      <c r="D174" s="26"/>
      <c r="E174" s="26"/>
      <c r="F174" s="26"/>
      <c r="G174" s="26"/>
      <c r="H174" s="27"/>
      <c r="I174" s="27"/>
      <c r="J174" s="27"/>
      <c r="K174" s="28" t="str">
        <f>IFERROR(__xludf.DUMMYFUNCTION("""COMPUTED_VALUE"""),"")</f>
        <v/>
      </c>
    </row>
    <row r="175">
      <c r="A175" s="23" t="str">
        <f>IFERROR(__xludf.DUMMYFUNCTION("""COMPUTED_VALUE"""),"")</f>
        <v/>
      </c>
      <c r="B175" s="24"/>
      <c r="C175" s="29"/>
      <c r="D175" s="26"/>
      <c r="E175" s="26"/>
      <c r="F175" s="26"/>
      <c r="G175" s="26"/>
      <c r="H175" s="27"/>
      <c r="I175" s="27"/>
      <c r="J175" s="27"/>
      <c r="K175" s="28" t="str">
        <f>IFERROR(__xludf.DUMMYFUNCTION("""COMPUTED_VALUE"""),"")</f>
        <v/>
      </c>
    </row>
    <row r="176">
      <c r="A176" s="23" t="str">
        <f>IFERROR(__xludf.DUMMYFUNCTION("""COMPUTED_VALUE"""),"")</f>
        <v/>
      </c>
      <c r="B176" s="24"/>
      <c r="C176" s="29"/>
      <c r="D176" s="26"/>
      <c r="E176" s="26"/>
      <c r="F176" s="26"/>
      <c r="G176" s="26"/>
      <c r="H176" s="27"/>
      <c r="I176" s="27"/>
      <c r="J176" s="27"/>
      <c r="K176" s="28" t="str">
        <f>IFERROR(__xludf.DUMMYFUNCTION("""COMPUTED_VALUE"""),"")</f>
        <v/>
      </c>
    </row>
    <row r="177">
      <c r="A177" s="23" t="str">
        <f>IFERROR(__xludf.DUMMYFUNCTION("""COMPUTED_VALUE"""),"")</f>
        <v/>
      </c>
      <c r="B177" s="24"/>
      <c r="C177" s="29"/>
      <c r="D177" s="26"/>
      <c r="E177" s="26"/>
      <c r="F177" s="26"/>
      <c r="G177" s="26"/>
      <c r="H177" s="27"/>
      <c r="I177" s="27"/>
      <c r="J177" s="27"/>
      <c r="K177" s="28" t="str">
        <f>IFERROR(__xludf.DUMMYFUNCTION("""COMPUTED_VALUE"""),"")</f>
        <v/>
      </c>
    </row>
    <row r="178">
      <c r="A178" s="23" t="str">
        <f>IFERROR(__xludf.DUMMYFUNCTION("""COMPUTED_VALUE"""),"")</f>
        <v/>
      </c>
      <c r="B178" s="24"/>
      <c r="C178" s="29"/>
      <c r="D178" s="26"/>
      <c r="E178" s="26"/>
      <c r="F178" s="26"/>
      <c r="G178" s="26"/>
      <c r="H178" s="27"/>
      <c r="I178" s="27"/>
      <c r="J178" s="27"/>
      <c r="K178" s="28" t="str">
        <f>IFERROR(__xludf.DUMMYFUNCTION("""COMPUTED_VALUE"""),"")</f>
        <v/>
      </c>
    </row>
    <row r="179">
      <c r="A179" s="23" t="str">
        <f>IFERROR(__xludf.DUMMYFUNCTION("""COMPUTED_VALUE"""),"")</f>
        <v/>
      </c>
      <c r="B179" s="24"/>
      <c r="C179" s="29"/>
      <c r="D179" s="26"/>
      <c r="E179" s="26"/>
      <c r="F179" s="26"/>
      <c r="G179" s="26"/>
      <c r="H179" s="27"/>
      <c r="I179" s="27"/>
      <c r="J179" s="27"/>
      <c r="K179" s="28" t="str">
        <f>IFERROR(__xludf.DUMMYFUNCTION("""COMPUTED_VALUE"""),"")</f>
        <v/>
      </c>
    </row>
    <row r="180">
      <c r="A180" s="23" t="str">
        <f>IFERROR(__xludf.DUMMYFUNCTION("""COMPUTED_VALUE"""),"")</f>
        <v/>
      </c>
      <c r="B180" s="24"/>
      <c r="C180" s="29"/>
      <c r="D180" s="26"/>
      <c r="E180" s="26"/>
      <c r="F180" s="26"/>
      <c r="G180" s="26"/>
      <c r="H180" s="27"/>
      <c r="I180" s="27"/>
      <c r="J180" s="27"/>
      <c r="K180" s="28" t="str">
        <f>IFERROR(__xludf.DUMMYFUNCTION("""COMPUTED_VALUE"""),"")</f>
        <v/>
      </c>
    </row>
    <row r="181">
      <c r="A181" s="23" t="str">
        <f>IFERROR(__xludf.DUMMYFUNCTION("""COMPUTED_VALUE"""),"")</f>
        <v/>
      </c>
      <c r="B181" s="24"/>
      <c r="C181" s="29"/>
      <c r="D181" s="26"/>
      <c r="E181" s="26"/>
      <c r="F181" s="26"/>
      <c r="G181" s="26"/>
      <c r="H181" s="27"/>
      <c r="I181" s="27"/>
      <c r="J181" s="27"/>
      <c r="K181" s="28" t="str">
        <f>IFERROR(__xludf.DUMMYFUNCTION("""COMPUTED_VALUE"""),"")</f>
        <v/>
      </c>
    </row>
    <row r="182">
      <c r="A182" s="23" t="str">
        <f>IFERROR(__xludf.DUMMYFUNCTION("""COMPUTED_VALUE"""),"")</f>
        <v/>
      </c>
      <c r="B182" s="24"/>
      <c r="C182" s="29"/>
      <c r="D182" s="26"/>
      <c r="E182" s="26"/>
      <c r="F182" s="26"/>
      <c r="G182" s="26"/>
      <c r="H182" s="27"/>
      <c r="I182" s="27"/>
      <c r="J182" s="27"/>
      <c r="K182" s="28" t="str">
        <f>IFERROR(__xludf.DUMMYFUNCTION("""COMPUTED_VALUE"""),"")</f>
        <v/>
      </c>
    </row>
    <row r="183">
      <c r="A183" s="23" t="str">
        <f>IFERROR(__xludf.DUMMYFUNCTION("""COMPUTED_VALUE"""),"")</f>
        <v/>
      </c>
      <c r="B183" s="24"/>
      <c r="C183" s="29"/>
      <c r="D183" s="26"/>
      <c r="E183" s="26"/>
      <c r="F183" s="26"/>
      <c r="G183" s="26"/>
      <c r="H183" s="27"/>
      <c r="I183" s="27"/>
      <c r="J183" s="27"/>
      <c r="K183" s="28" t="str">
        <f>IFERROR(__xludf.DUMMYFUNCTION("""COMPUTED_VALUE"""),"")</f>
        <v/>
      </c>
    </row>
    <row r="184">
      <c r="A184" s="23" t="str">
        <f>IFERROR(__xludf.DUMMYFUNCTION("""COMPUTED_VALUE"""),"")</f>
        <v/>
      </c>
      <c r="B184" s="24"/>
      <c r="C184" s="29"/>
      <c r="D184" s="26"/>
      <c r="E184" s="26"/>
      <c r="F184" s="26"/>
      <c r="G184" s="26"/>
      <c r="H184" s="27"/>
      <c r="I184" s="27"/>
      <c r="J184" s="27"/>
      <c r="K184" s="28" t="str">
        <f>IFERROR(__xludf.DUMMYFUNCTION("""COMPUTED_VALUE"""),"")</f>
        <v/>
      </c>
    </row>
    <row r="185">
      <c r="A185" s="23" t="str">
        <f>IFERROR(__xludf.DUMMYFUNCTION("""COMPUTED_VALUE"""),"")</f>
        <v/>
      </c>
      <c r="B185" s="24"/>
      <c r="C185" s="29"/>
      <c r="D185" s="26"/>
      <c r="E185" s="26"/>
      <c r="F185" s="26"/>
      <c r="G185" s="26"/>
      <c r="H185" s="27"/>
      <c r="I185" s="27"/>
      <c r="J185" s="27"/>
      <c r="K185" s="28" t="str">
        <f>IFERROR(__xludf.DUMMYFUNCTION("""COMPUTED_VALUE"""),"")</f>
        <v/>
      </c>
    </row>
    <row r="186">
      <c r="A186" s="23" t="str">
        <f>IFERROR(__xludf.DUMMYFUNCTION("""COMPUTED_VALUE"""),"")</f>
        <v/>
      </c>
      <c r="B186" s="24"/>
      <c r="C186" s="29"/>
      <c r="D186" s="26"/>
      <c r="E186" s="26"/>
      <c r="F186" s="26"/>
      <c r="G186" s="26"/>
      <c r="H186" s="27"/>
      <c r="I186" s="27"/>
      <c r="J186" s="27"/>
      <c r="K186" s="28" t="str">
        <f>IFERROR(__xludf.DUMMYFUNCTION("""COMPUTED_VALUE"""),"")</f>
        <v/>
      </c>
    </row>
    <row r="187">
      <c r="A187" s="23" t="str">
        <f>IFERROR(__xludf.DUMMYFUNCTION("""COMPUTED_VALUE"""),"")</f>
        <v/>
      </c>
      <c r="B187" s="24"/>
      <c r="C187" s="29"/>
      <c r="D187" s="26"/>
      <c r="E187" s="26"/>
      <c r="F187" s="26"/>
      <c r="G187" s="26"/>
      <c r="H187" s="27"/>
      <c r="I187" s="27"/>
      <c r="J187" s="27"/>
      <c r="K187" s="28" t="str">
        <f>IFERROR(__xludf.DUMMYFUNCTION("""COMPUTED_VALUE"""),"")</f>
        <v/>
      </c>
    </row>
    <row r="188">
      <c r="A188" s="23" t="str">
        <f>IFERROR(__xludf.DUMMYFUNCTION("""COMPUTED_VALUE"""),"")</f>
        <v/>
      </c>
      <c r="B188" s="24"/>
      <c r="C188" s="29"/>
      <c r="D188" s="26"/>
      <c r="E188" s="26"/>
      <c r="F188" s="26"/>
      <c r="G188" s="26"/>
      <c r="H188" s="27"/>
      <c r="I188" s="27"/>
      <c r="J188" s="27"/>
      <c r="K188" s="28" t="str">
        <f>IFERROR(__xludf.DUMMYFUNCTION("""COMPUTED_VALUE"""),"")</f>
        <v/>
      </c>
    </row>
    <row r="189">
      <c r="A189" s="23" t="str">
        <f>IFERROR(__xludf.DUMMYFUNCTION("""COMPUTED_VALUE"""),"")</f>
        <v/>
      </c>
      <c r="B189" s="24"/>
      <c r="C189" s="29"/>
      <c r="D189" s="26"/>
      <c r="E189" s="26"/>
      <c r="F189" s="26"/>
      <c r="G189" s="26"/>
      <c r="H189" s="27"/>
      <c r="I189" s="27"/>
      <c r="J189" s="27"/>
      <c r="K189" s="28" t="str">
        <f>IFERROR(__xludf.DUMMYFUNCTION("""COMPUTED_VALUE"""),"")</f>
        <v/>
      </c>
    </row>
    <row r="190">
      <c r="A190" s="23" t="str">
        <f>IFERROR(__xludf.DUMMYFUNCTION("""COMPUTED_VALUE"""),"")</f>
        <v/>
      </c>
      <c r="B190" s="24"/>
      <c r="C190" s="29"/>
      <c r="D190" s="26"/>
      <c r="E190" s="26"/>
      <c r="F190" s="26"/>
      <c r="G190" s="26"/>
      <c r="H190" s="27"/>
      <c r="I190" s="27"/>
      <c r="J190" s="27"/>
      <c r="K190" s="23"/>
    </row>
    <row r="191">
      <c r="A191" s="23" t="str">
        <f>IFERROR(__xludf.DUMMYFUNCTION("""COMPUTED_VALUE"""),"")</f>
        <v/>
      </c>
      <c r="B191" s="24"/>
      <c r="C191" s="29"/>
      <c r="D191" s="26"/>
      <c r="E191" s="26"/>
      <c r="F191" s="26"/>
      <c r="G191" s="26"/>
      <c r="H191" s="27"/>
      <c r="I191" s="27"/>
      <c r="J191" s="27"/>
      <c r="K191" s="23"/>
    </row>
    <row r="192">
      <c r="A192" s="23" t="str">
        <f>IFERROR(__xludf.DUMMYFUNCTION("""COMPUTED_VALUE"""),"")</f>
        <v/>
      </c>
      <c r="B192" s="24"/>
      <c r="C192" s="29"/>
      <c r="D192" s="26"/>
      <c r="E192" s="26"/>
      <c r="F192" s="26"/>
      <c r="G192" s="26"/>
      <c r="H192" s="27"/>
      <c r="I192" s="27"/>
      <c r="J192" s="27"/>
      <c r="K192" s="23"/>
    </row>
    <row r="193">
      <c r="A193" s="23" t="str">
        <f>IFERROR(__xludf.DUMMYFUNCTION("""COMPUTED_VALUE"""),"")</f>
        <v/>
      </c>
      <c r="B193" s="24"/>
      <c r="C193" s="29"/>
      <c r="D193" s="26"/>
      <c r="E193" s="26"/>
      <c r="F193" s="26"/>
      <c r="G193" s="26"/>
      <c r="H193" s="27"/>
      <c r="I193" s="27"/>
      <c r="J193" s="27"/>
      <c r="K193" s="23"/>
    </row>
    <row r="194">
      <c r="A194" s="23" t="str">
        <f>IFERROR(__xludf.DUMMYFUNCTION("""COMPUTED_VALUE"""),"")</f>
        <v/>
      </c>
      <c r="B194" s="24"/>
      <c r="C194" s="29"/>
      <c r="D194" s="26"/>
      <c r="E194" s="26"/>
      <c r="F194" s="26"/>
      <c r="G194" s="26"/>
      <c r="H194" s="27"/>
      <c r="I194" s="27"/>
      <c r="J194" s="27"/>
      <c r="K194" s="23"/>
    </row>
    <row r="195">
      <c r="A195" s="23" t="str">
        <f>IFERROR(__xludf.DUMMYFUNCTION("""COMPUTED_VALUE"""),"")</f>
        <v/>
      </c>
      <c r="B195" s="24"/>
      <c r="C195" s="29"/>
      <c r="D195" s="26"/>
      <c r="E195" s="26"/>
      <c r="F195" s="26"/>
      <c r="G195" s="26"/>
      <c r="H195" s="27"/>
      <c r="I195" s="27"/>
      <c r="J195" s="27"/>
      <c r="K195" s="23"/>
    </row>
    <row r="196">
      <c r="A196" s="23" t="str">
        <f>IFERROR(__xludf.DUMMYFUNCTION("""COMPUTED_VALUE"""),"")</f>
        <v/>
      </c>
      <c r="B196" s="24"/>
      <c r="C196" s="29"/>
      <c r="D196" s="26"/>
      <c r="E196" s="26"/>
      <c r="F196" s="26"/>
      <c r="G196" s="26"/>
      <c r="H196" s="27"/>
      <c r="I196" s="27"/>
      <c r="J196" s="27"/>
      <c r="K196" s="23"/>
    </row>
    <row r="197">
      <c r="A197" s="23" t="str">
        <f>IFERROR(__xludf.DUMMYFUNCTION("""COMPUTED_VALUE"""),"")</f>
        <v/>
      </c>
      <c r="B197" s="24"/>
      <c r="C197" s="29"/>
      <c r="D197" s="26"/>
      <c r="E197" s="26"/>
      <c r="F197" s="26"/>
      <c r="G197" s="26"/>
      <c r="H197" s="27"/>
      <c r="I197" s="27"/>
      <c r="J197" s="27"/>
      <c r="K197" s="23"/>
    </row>
    <row r="198">
      <c r="A198" s="23" t="str">
        <f>IFERROR(__xludf.DUMMYFUNCTION("""COMPUTED_VALUE"""),"")</f>
        <v/>
      </c>
      <c r="B198" s="24"/>
      <c r="C198" s="29"/>
      <c r="D198" s="26"/>
      <c r="E198" s="26"/>
      <c r="F198" s="26"/>
      <c r="G198" s="26"/>
      <c r="H198" s="27"/>
      <c r="I198" s="27"/>
      <c r="J198" s="27"/>
      <c r="K198" s="23"/>
    </row>
    <row r="199">
      <c r="A199" s="23" t="str">
        <f>IFERROR(__xludf.DUMMYFUNCTION("""COMPUTED_VALUE"""),"")</f>
        <v/>
      </c>
      <c r="B199" s="24"/>
      <c r="C199" s="29"/>
      <c r="D199" s="26"/>
      <c r="E199" s="26"/>
      <c r="F199" s="26"/>
      <c r="G199" s="26"/>
      <c r="H199" s="27"/>
      <c r="I199" s="27"/>
      <c r="J199" s="27"/>
      <c r="K199" s="23"/>
    </row>
    <row r="200">
      <c r="A200" s="23" t="str">
        <f>IFERROR(__xludf.DUMMYFUNCTION("""COMPUTED_VALUE"""),"")</f>
        <v/>
      </c>
      <c r="B200" s="24"/>
      <c r="C200" s="29"/>
      <c r="D200" s="26"/>
      <c r="E200" s="26"/>
      <c r="F200" s="26"/>
      <c r="G200" s="26"/>
      <c r="H200" s="27"/>
      <c r="I200" s="27"/>
      <c r="J200" s="27"/>
      <c r="K200" s="23"/>
    </row>
    <row r="201">
      <c r="A201" s="23" t="str">
        <f>IFERROR(__xludf.DUMMYFUNCTION("""COMPUTED_VALUE"""),"")</f>
        <v/>
      </c>
      <c r="B201" s="24"/>
      <c r="C201" s="29"/>
      <c r="D201" s="26"/>
      <c r="E201" s="26"/>
      <c r="F201" s="26"/>
      <c r="G201" s="26"/>
      <c r="H201" s="27"/>
      <c r="I201" s="27"/>
      <c r="J201" s="27"/>
      <c r="K201" s="23"/>
    </row>
    <row r="202">
      <c r="A202" s="23" t="str">
        <f>IFERROR(__xludf.DUMMYFUNCTION("""COMPUTED_VALUE"""),"")</f>
        <v/>
      </c>
      <c r="B202" s="24"/>
      <c r="C202" s="29"/>
      <c r="D202" s="26"/>
      <c r="E202" s="26"/>
      <c r="F202" s="26"/>
      <c r="G202" s="26"/>
      <c r="H202" s="27"/>
      <c r="I202" s="27"/>
      <c r="J202" s="27"/>
      <c r="K202" s="23"/>
    </row>
    <row r="203">
      <c r="A203" s="23" t="str">
        <f>IFERROR(__xludf.DUMMYFUNCTION("""COMPUTED_VALUE"""),"")</f>
        <v/>
      </c>
      <c r="B203" s="24"/>
      <c r="C203" s="29"/>
      <c r="D203" s="26"/>
      <c r="E203" s="26"/>
      <c r="F203" s="26"/>
      <c r="G203" s="26"/>
      <c r="H203" s="27"/>
      <c r="I203" s="27"/>
      <c r="J203" s="27"/>
      <c r="K203" s="23"/>
    </row>
    <row r="204">
      <c r="A204" s="23" t="str">
        <f>IFERROR(__xludf.DUMMYFUNCTION("""COMPUTED_VALUE"""),"")</f>
        <v/>
      </c>
      <c r="B204" s="24"/>
      <c r="C204" s="29"/>
      <c r="D204" s="26"/>
      <c r="E204" s="26"/>
      <c r="F204" s="26"/>
      <c r="G204" s="26"/>
      <c r="H204" s="27"/>
      <c r="I204" s="27"/>
      <c r="J204" s="27"/>
      <c r="K204" s="23"/>
    </row>
    <row r="205">
      <c r="A205" s="23" t="str">
        <f>IFERROR(__xludf.DUMMYFUNCTION("""COMPUTED_VALUE"""),"")</f>
        <v/>
      </c>
      <c r="B205" s="24"/>
      <c r="C205" s="29"/>
      <c r="D205" s="26"/>
      <c r="E205" s="26"/>
      <c r="F205" s="26"/>
      <c r="G205" s="26"/>
      <c r="H205" s="27"/>
      <c r="I205" s="27"/>
      <c r="J205" s="27"/>
      <c r="K205" s="23"/>
    </row>
    <row r="206">
      <c r="A206" s="23" t="str">
        <f>IFERROR(__xludf.DUMMYFUNCTION("""COMPUTED_VALUE"""),"")</f>
        <v/>
      </c>
      <c r="B206" s="24"/>
      <c r="C206" s="29"/>
      <c r="D206" s="26"/>
      <c r="E206" s="26"/>
      <c r="F206" s="26"/>
      <c r="G206" s="26"/>
      <c r="H206" s="27"/>
      <c r="I206" s="27"/>
      <c r="J206" s="27"/>
      <c r="K206" s="23"/>
    </row>
    <row r="207">
      <c r="A207" s="23" t="str">
        <f>IFERROR(__xludf.DUMMYFUNCTION("""COMPUTED_VALUE"""),"")</f>
        <v/>
      </c>
      <c r="B207" s="24"/>
      <c r="C207" s="29"/>
      <c r="D207" s="26"/>
      <c r="E207" s="26"/>
      <c r="F207" s="26"/>
      <c r="G207" s="26"/>
      <c r="H207" s="27"/>
      <c r="I207" s="27"/>
      <c r="J207" s="27"/>
      <c r="K207" s="23"/>
    </row>
    <row r="208">
      <c r="A208" s="23" t="str">
        <f>IFERROR(__xludf.DUMMYFUNCTION("""COMPUTED_VALUE"""),"")</f>
        <v/>
      </c>
      <c r="B208" s="24"/>
      <c r="C208" s="29"/>
      <c r="D208" s="26"/>
      <c r="E208" s="26"/>
      <c r="F208" s="26"/>
      <c r="G208" s="26"/>
      <c r="H208" s="27"/>
      <c r="I208" s="27"/>
      <c r="J208" s="27"/>
      <c r="K208" s="23"/>
    </row>
    <row r="209">
      <c r="A209" s="23" t="str">
        <f>IFERROR(__xludf.DUMMYFUNCTION("""COMPUTED_VALUE"""),"")</f>
        <v/>
      </c>
      <c r="B209" s="24"/>
      <c r="C209" s="29"/>
      <c r="D209" s="26"/>
      <c r="E209" s="26"/>
      <c r="F209" s="26"/>
      <c r="G209" s="26"/>
      <c r="H209" s="27"/>
      <c r="I209" s="27"/>
      <c r="J209" s="27"/>
      <c r="K209" s="23"/>
    </row>
    <row r="210">
      <c r="A210" s="23" t="str">
        <f>IFERROR(__xludf.DUMMYFUNCTION("""COMPUTED_VALUE"""),"")</f>
        <v/>
      </c>
      <c r="B210" s="24"/>
      <c r="C210" s="29"/>
      <c r="D210" s="26"/>
      <c r="E210" s="26"/>
      <c r="F210" s="26"/>
      <c r="G210" s="26"/>
      <c r="H210" s="27"/>
      <c r="I210" s="27"/>
      <c r="J210" s="27"/>
      <c r="K210" s="23"/>
    </row>
    <row r="211">
      <c r="A211" s="23" t="str">
        <f>IFERROR(__xludf.DUMMYFUNCTION("""COMPUTED_VALUE"""),"")</f>
        <v/>
      </c>
      <c r="B211" s="24"/>
      <c r="C211" s="29"/>
      <c r="D211" s="26"/>
      <c r="E211" s="26"/>
      <c r="F211" s="26"/>
      <c r="G211" s="26"/>
      <c r="H211" s="27"/>
      <c r="I211" s="27"/>
      <c r="J211" s="27"/>
      <c r="K211" s="23"/>
    </row>
    <row r="212">
      <c r="A212" s="23" t="str">
        <f>IFERROR(__xludf.DUMMYFUNCTION("""COMPUTED_VALUE"""),"")</f>
        <v/>
      </c>
      <c r="B212" s="24"/>
      <c r="C212" s="29"/>
      <c r="D212" s="26"/>
      <c r="E212" s="26"/>
      <c r="F212" s="26"/>
      <c r="G212" s="26"/>
      <c r="H212" s="27"/>
      <c r="I212" s="27"/>
      <c r="J212" s="27"/>
      <c r="K212" s="23"/>
    </row>
    <row r="213">
      <c r="A213" s="23" t="str">
        <f>IFERROR(__xludf.DUMMYFUNCTION("""COMPUTED_VALUE"""),"")</f>
        <v/>
      </c>
      <c r="B213" s="24"/>
      <c r="C213" s="29"/>
      <c r="D213" s="26"/>
      <c r="E213" s="26"/>
      <c r="F213" s="26"/>
      <c r="G213" s="26"/>
      <c r="H213" s="27"/>
      <c r="I213" s="27"/>
      <c r="J213" s="27"/>
      <c r="K213" s="23"/>
    </row>
    <row r="214">
      <c r="A214" s="23" t="str">
        <f>IFERROR(__xludf.DUMMYFUNCTION("""COMPUTED_VALUE"""),"")</f>
        <v/>
      </c>
      <c r="B214" s="24"/>
      <c r="C214" s="29"/>
      <c r="D214" s="26"/>
      <c r="E214" s="26"/>
      <c r="F214" s="26"/>
      <c r="G214" s="26"/>
      <c r="H214" s="27"/>
      <c r="I214" s="27"/>
      <c r="J214" s="27"/>
      <c r="K214" s="23"/>
    </row>
    <row r="215">
      <c r="A215" s="23" t="str">
        <f>IFERROR(__xludf.DUMMYFUNCTION("""COMPUTED_VALUE"""),"")</f>
        <v/>
      </c>
      <c r="B215" s="24"/>
      <c r="C215" s="29"/>
      <c r="D215" s="26"/>
      <c r="E215" s="26"/>
      <c r="F215" s="26"/>
      <c r="G215" s="26"/>
      <c r="H215" s="27"/>
      <c r="I215" s="27"/>
      <c r="J215" s="27"/>
      <c r="K215" s="23"/>
    </row>
    <row r="216">
      <c r="A216" s="23" t="str">
        <f>IFERROR(__xludf.DUMMYFUNCTION("""COMPUTED_VALUE"""),"")</f>
        <v/>
      </c>
      <c r="B216" s="24"/>
      <c r="C216" s="29"/>
      <c r="D216" s="26"/>
      <c r="E216" s="26"/>
      <c r="F216" s="26"/>
      <c r="G216" s="26"/>
      <c r="H216" s="27"/>
      <c r="I216" s="27"/>
      <c r="J216" s="27"/>
      <c r="K216" s="23"/>
    </row>
    <row r="217">
      <c r="A217" s="23" t="str">
        <f>IFERROR(__xludf.DUMMYFUNCTION("""COMPUTED_VALUE"""),"")</f>
        <v/>
      </c>
      <c r="B217" s="24"/>
      <c r="C217" s="29"/>
      <c r="D217" s="26"/>
      <c r="E217" s="26"/>
      <c r="F217" s="26"/>
      <c r="G217" s="26"/>
      <c r="H217" s="27"/>
      <c r="I217" s="27"/>
      <c r="J217" s="27"/>
      <c r="K217" s="23"/>
    </row>
    <row r="218">
      <c r="A218" s="23" t="str">
        <f>IFERROR(__xludf.DUMMYFUNCTION("""COMPUTED_VALUE"""),"")</f>
        <v/>
      </c>
      <c r="B218" s="24"/>
      <c r="C218" s="29"/>
      <c r="D218" s="26"/>
      <c r="E218" s="26"/>
      <c r="F218" s="26"/>
      <c r="G218" s="26"/>
      <c r="H218" s="27"/>
      <c r="I218" s="27"/>
      <c r="J218" s="27"/>
      <c r="K218" s="23"/>
    </row>
    <row r="219">
      <c r="A219" s="23" t="str">
        <f>IFERROR(__xludf.DUMMYFUNCTION("""COMPUTED_VALUE"""),"")</f>
        <v/>
      </c>
      <c r="B219" s="24"/>
      <c r="C219" s="29"/>
      <c r="D219" s="26"/>
      <c r="E219" s="26"/>
      <c r="F219" s="26"/>
      <c r="G219" s="26"/>
      <c r="H219" s="27"/>
      <c r="I219" s="27"/>
      <c r="J219" s="27"/>
      <c r="K219" s="23"/>
    </row>
    <row r="220">
      <c r="A220" s="23" t="str">
        <f>IFERROR(__xludf.DUMMYFUNCTION("""COMPUTED_VALUE"""),"")</f>
        <v/>
      </c>
      <c r="B220" s="24"/>
      <c r="C220" s="29"/>
      <c r="D220" s="26"/>
      <c r="E220" s="26"/>
      <c r="F220" s="26"/>
      <c r="G220" s="26"/>
      <c r="H220" s="27"/>
      <c r="I220" s="27"/>
      <c r="J220" s="27"/>
      <c r="K220" s="23"/>
    </row>
    <row r="221">
      <c r="A221" s="23" t="str">
        <f>IFERROR(__xludf.DUMMYFUNCTION("""COMPUTED_VALUE"""),"")</f>
        <v/>
      </c>
      <c r="B221" s="24"/>
      <c r="C221" s="29"/>
      <c r="D221" s="26"/>
      <c r="E221" s="26"/>
      <c r="F221" s="26"/>
      <c r="G221" s="26"/>
      <c r="H221" s="27"/>
      <c r="I221" s="27"/>
      <c r="J221" s="27"/>
      <c r="K221" s="23"/>
    </row>
    <row r="222">
      <c r="A222" s="23" t="str">
        <f>IFERROR(__xludf.DUMMYFUNCTION("""COMPUTED_VALUE"""),"")</f>
        <v/>
      </c>
      <c r="B222" s="24"/>
      <c r="C222" s="29"/>
      <c r="D222" s="26"/>
      <c r="E222" s="26"/>
      <c r="F222" s="26"/>
      <c r="G222" s="26"/>
      <c r="H222" s="27"/>
      <c r="I222" s="27"/>
      <c r="J222" s="27"/>
      <c r="K222" s="23"/>
    </row>
    <row r="223">
      <c r="A223" s="23" t="str">
        <f>IFERROR(__xludf.DUMMYFUNCTION("""COMPUTED_VALUE"""),"")</f>
        <v/>
      </c>
      <c r="B223" s="24"/>
      <c r="C223" s="29"/>
      <c r="D223" s="26"/>
      <c r="E223" s="26"/>
      <c r="F223" s="26"/>
      <c r="G223" s="26"/>
      <c r="H223" s="27"/>
      <c r="I223" s="27"/>
      <c r="J223" s="27"/>
      <c r="K223" s="23"/>
    </row>
    <row r="224">
      <c r="A224" s="23" t="str">
        <f>IFERROR(__xludf.DUMMYFUNCTION("""COMPUTED_VALUE"""),"")</f>
        <v/>
      </c>
      <c r="B224" s="24"/>
      <c r="C224" s="29"/>
      <c r="D224" s="26"/>
      <c r="E224" s="26"/>
      <c r="F224" s="26"/>
      <c r="G224" s="26"/>
      <c r="H224" s="27"/>
      <c r="I224" s="27"/>
      <c r="J224" s="27"/>
      <c r="K224" s="23"/>
    </row>
    <row r="225">
      <c r="A225" s="23" t="str">
        <f>IFERROR(__xludf.DUMMYFUNCTION("""COMPUTED_VALUE"""),"")</f>
        <v/>
      </c>
      <c r="B225" s="24"/>
      <c r="C225" s="29"/>
      <c r="D225" s="26"/>
      <c r="E225" s="26"/>
      <c r="F225" s="26"/>
      <c r="G225" s="26"/>
      <c r="H225" s="27"/>
      <c r="I225" s="27"/>
      <c r="J225" s="27"/>
      <c r="K225" s="23"/>
    </row>
    <row r="226">
      <c r="A226" s="23" t="str">
        <f>IFERROR(__xludf.DUMMYFUNCTION("""COMPUTED_VALUE"""),"")</f>
        <v/>
      </c>
      <c r="B226" s="24"/>
      <c r="C226" s="29"/>
      <c r="D226" s="26"/>
      <c r="E226" s="26"/>
      <c r="F226" s="26"/>
      <c r="G226" s="26"/>
      <c r="H226" s="27"/>
      <c r="I226" s="27"/>
      <c r="J226" s="27"/>
      <c r="K226" s="23"/>
    </row>
    <row r="227">
      <c r="A227" s="23" t="str">
        <f>IFERROR(__xludf.DUMMYFUNCTION("""COMPUTED_VALUE"""),"")</f>
        <v/>
      </c>
      <c r="B227" s="24"/>
      <c r="C227" s="29"/>
      <c r="D227" s="26"/>
      <c r="E227" s="26"/>
      <c r="F227" s="26"/>
      <c r="G227" s="26"/>
      <c r="H227" s="27"/>
      <c r="I227" s="27"/>
      <c r="J227" s="27"/>
      <c r="K227" s="23"/>
    </row>
    <row r="228">
      <c r="A228" s="23" t="str">
        <f>IFERROR(__xludf.DUMMYFUNCTION("""COMPUTED_VALUE"""),"")</f>
        <v/>
      </c>
      <c r="B228" s="24"/>
      <c r="C228" s="29"/>
      <c r="D228" s="26"/>
      <c r="E228" s="26"/>
      <c r="F228" s="26"/>
      <c r="G228" s="26"/>
      <c r="H228" s="27"/>
      <c r="I228" s="27"/>
      <c r="J228" s="27"/>
      <c r="K228" s="23"/>
    </row>
    <row r="229">
      <c r="A229" s="23" t="str">
        <f>IFERROR(__xludf.DUMMYFUNCTION("""COMPUTED_VALUE"""),"")</f>
        <v/>
      </c>
      <c r="B229" s="24"/>
      <c r="C229" s="29"/>
      <c r="D229" s="26"/>
      <c r="E229" s="26"/>
      <c r="F229" s="26"/>
      <c r="G229" s="26"/>
      <c r="H229" s="27"/>
      <c r="I229" s="27"/>
      <c r="J229" s="27"/>
      <c r="K229" s="23"/>
    </row>
    <row r="230">
      <c r="A230" s="23" t="str">
        <f>IFERROR(__xludf.DUMMYFUNCTION("""COMPUTED_VALUE"""),"")</f>
        <v/>
      </c>
      <c r="B230" s="24"/>
      <c r="C230" s="29"/>
      <c r="D230" s="26"/>
      <c r="E230" s="26"/>
      <c r="F230" s="26"/>
      <c r="G230" s="26"/>
      <c r="H230" s="27"/>
      <c r="I230" s="27"/>
      <c r="J230" s="27"/>
      <c r="K230" s="23"/>
    </row>
    <row r="231">
      <c r="A231" s="23" t="str">
        <f>IFERROR(__xludf.DUMMYFUNCTION("""COMPUTED_VALUE"""),"")</f>
        <v/>
      </c>
      <c r="B231" s="24"/>
      <c r="C231" s="29"/>
      <c r="D231" s="26"/>
      <c r="E231" s="26"/>
      <c r="F231" s="26"/>
      <c r="G231" s="26"/>
      <c r="H231" s="27"/>
      <c r="I231" s="27"/>
      <c r="J231" s="27"/>
      <c r="K231" s="23"/>
    </row>
    <row r="232">
      <c r="A232" s="23" t="str">
        <f>IFERROR(__xludf.DUMMYFUNCTION("""COMPUTED_VALUE"""),"")</f>
        <v/>
      </c>
      <c r="B232" s="24"/>
      <c r="C232" s="29"/>
      <c r="D232" s="26"/>
      <c r="E232" s="26"/>
      <c r="F232" s="26"/>
      <c r="G232" s="26"/>
      <c r="H232" s="27"/>
      <c r="I232" s="27"/>
      <c r="J232" s="27"/>
      <c r="K232" s="23"/>
    </row>
    <row r="233">
      <c r="A233" s="23" t="str">
        <f>IFERROR(__xludf.DUMMYFUNCTION("""COMPUTED_VALUE"""),"")</f>
        <v/>
      </c>
      <c r="B233" s="24"/>
      <c r="C233" s="29"/>
      <c r="D233" s="26"/>
      <c r="E233" s="26"/>
      <c r="F233" s="26"/>
      <c r="G233" s="26"/>
      <c r="H233" s="27"/>
      <c r="I233" s="27"/>
      <c r="J233" s="27"/>
      <c r="K233" s="23"/>
    </row>
    <row r="234">
      <c r="A234" s="23" t="str">
        <f>IFERROR(__xludf.DUMMYFUNCTION("""COMPUTED_VALUE"""),"")</f>
        <v/>
      </c>
      <c r="B234" s="24"/>
      <c r="C234" s="29"/>
      <c r="D234" s="26"/>
      <c r="E234" s="26"/>
      <c r="F234" s="26"/>
      <c r="G234" s="26"/>
      <c r="H234" s="27"/>
      <c r="I234" s="27"/>
      <c r="J234" s="27"/>
      <c r="K234" s="23"/>
    </row>
    <row r="235">
      <c r="A235" s="23" t="str">
        <f>IFERROR(__xludf.DUMMYFUNCTION("""COMPUTED_VALUE"""),"")</f>
        <v/>
      </c>
      <c r="B235" s="24"/>
      <c r="C235" s="29"/>
      <c r="D235" s="26"/>
      <c r="E235" s="26"/>
      <c r="F235" s="26"/>
      <c r="G235" s="26"/>
      <c r="H235" s="27"/>
      <c r="I235" s="27"/>
      <c r="J235" s="27"/>
      <c r="K235" s="23"/>
    </row>
    <row r="236">
      <c r="A236" s="23" t="str">
        <f>IFERROR(__xludf.DUMMYFUNCTION("""COMPUTED_VALUE"""),"")</f>
        <v/>
      </c>
      <c r="B236" s="24"/>
      <c r="C236" s="29"/>
      <c r="D236" s="26"/>
      <c r="E236" s="26"/>
      <c r="F236" s="26"/>
      <c r="G236" s="26"/>
      <c r="H236" s="27"/>
      <c r="I236" s="27"/>
      <c r="J236" s="27"/>
      <c r="K236" s="23"/>
    </row>
    <row r="237">
      <c r="A237" s="23" t="str">
        <f>IFERROR(__xludf.DUMMYFUNCTION("""COMPUTED_VALUE"""),"")</f>
        <v/>
      </c>
      <c r="B237" s="24"/>
      <c r="C237" s="29"/>
      <c r="D237" s="26"/>
      <c r="E237" s="26"/>
      <c r="F237" s="26"/>
      <c r="G237" s="26"/>
      <c r="H237" s="27"/>
      <c r="I237" s="27"/>
      <c r="J237" s="27"/>
      <c r="K237" s="23"/>
    </row>
    <row r="238">
      <c r="A238" s="30"/>
      <c r="B238" s="31"/>
      <c r="C238" s="32"/>
      <c r="D238" s="33"/>
      <c r="E238" s="33"/>
      <c r="F238" s="33"/>
      <c r="G238" s="33"/>
      <c r="H238" s="34"/>
      <c r="I238" s="34"/>
      <c r="J238" s="34"/>
      <c r="K238" s="30"/>
    </row>
    <row r="239">
      <c r="A239" s="30"/>
      <c r="B239" s="31"/>
      <c r="C239" s="32"/>
      <c r="D239" s="33"/>
      <c r="E239" s="33"/>
      <c r="F239" s="33"/>
      <c r="G239" s="33"/>
      <c r="H239" s="34"/>
      <c r="I239" s="34"/>
      <c r="J239" s="34"/>
      <c r="K239" s="30"/>
    </row>
    <row r="240">
      <c r="A240" s="30"/>
      <c r="B240" s="31"/>
      <c r="C240" s="32"/>
      <c r="D240" s="33"/>
      <c r="E240" s="33"/>
      <c r="F240" s="33"/>
      <c r="G240" s="33"/>
      <c r="H240" s="34"/>
      <c r="I240" s="34"/>
      <c r="J240" s="34"/>
      <c r="K240" s="30"/>
    </row>
    <row r="241">
      <c r="A241" s="30"/>
      <c r="B241" s="31"/>
      <c r="C241" s="32"/>
      <c r="D241" s="33"/>
      <c r="E241" s="33"/>
      <c r="F241" s="33"/>
      <c r="G241" s="33"/>
      <c r="H241" s="34"/>
      <c r="I241" s="34"/>
      <c r="J241" s="34"/>
      <c r="K241" s="30"/>
    </row>
    <row r="242">
      <c r="A242" s="30"/>
      <c r="B242" s="31"/>
      <c r="C242" s="32"/>
      <c r="D242" s="33"/>
      <c r="E242" s="33"/>
      <c r="F242" s="33"/>
      <c r="G242" s="33"/>
      <c r="H242" s="34"/>
      <c r="I242" s="34"/>
      <c r="J242" s="34"/>
      <c r="K242" s="30"/>
    </row>
    <row r="243">
      <c r="A243" s="30"/>
      <c r="B243" s="31"/>
      <c r="C243" s="32"/>
      <c r="D243" s="33"/>
      <c r="E243" s="33"/>
      <c r="F243" s="33"/>
      <c r="G243" s="33"/>
      <c r="H243" s="34"/>
      <c r="I243" s="34"/>
      <c r="J243" s="34"/>
      <c r="K243" s="30"/>
    </row>
    <row r="244">
      <c r="A244" s="30"/>
      <c r="B244" s="31"/>
      <c r="C244" s="32"/>
      <c r="D244" s="33"/>
      <c r="E244" s="33"/>
      <c r="F244" s="33"/>
      <c r="G244" s="33"/>
      <c r="H244" s="34"/>
      <c r="I244" s="34"/>
      <c r="J244" s="34"/>
      <c r="K244" s="30"/>
    </row>
    <row r="245">
      <c r="A245" s="30"/>
      <c r="B245" s="31"/>
      <c r="C245" s="32"/>
      <c r="D245" s="33"/>
      <c r="E245" s="33"/>
      <c r="F245" s="33"/>
      <c r="G245" s="33"/>
      <c r="H245" s="34"/>
      <c r="I245" s="34"/>
      <c r="J245" s="34"/>
      <c r="K245" s="30"/>
    </row>
    <row r="246">
      <c r="A246" s="30"/>
      <c r="B246" s="31"/>
      <c r="C246" s="32"/>
      <c r="D246" s="33"/>
      <c r="E246" s="33"/>
      <c r="F246" s="33"/>
      <c r="G246" s="33"/>
      <c r="H246" s="34"/>
      <c r="I246" s="34"/>
      <c r="J246" s="34"/>
      <c r="K246" s="30"/>
    </row>
    <row r="247">
      <c r="A247" s="30"/>
      <c r="B247" s="31"/>
      <c r="C247" s="32"/>
      <c r="D247" s="33"/>
      <c r="E247" s="33"/>
      <c r="F247" s="33"/>
      <c r="G247" s="33"/>
      <c r="H247" s="34"/>
      <c r="I247" s="34"/>
      <c r="J247" s="34"/>
      <c r="K247" s="30"/>
    </row>
    <row r="248">
      <c r="A248" s="30"/>
      <c r="B248" s="31"/>
      <c r="C248" s="32"/>
      <c r="D248" s="33"/>
      <c r="E248" s="33"/>
      <c r="F248" s="33"/>
      <c r="G248" s="33"/>
      <c r="H248" s="34"/>
      <c r="I248" s="34"/>
      <c r="J248" s="34"/>
      <c r="K248" s="30"/>
    </row>
    <row r="249">
      <c r="A249" s="30"/>
      <c r="B249" s="31"/>
      <c r="C249" s="32"/>
      <c r="D249" s="33"/>
      <c r="E249" s="33"/>
      <c r="F249" s="33"/>
      <c r="G249" s="33"/>
      <c r="H249" s="34"/>
      <c r="I249" s="34"/>
      <c r="J249" s="34"/>
      <c r="K249" s="30"/>
    </row>
    <row r="250">
      <c r="A250" s="30"/>
      <c r="B250" s="31"/>
      <c r="C250" s="32"/>
      <c r="D250" s="33"/>
      <c r="E250" s="33"/>
      <c r="F250" s="33"/>
      <c r="G250" s="33"/>
      <c r="H250" s="34"/>
      <c r="I250" s="34"/>
      <c r="J250" s="34"/>
      <c r="K250" s="30"/>
    </row>
    <row r="251">
      <c r="A251" s="30"/>
      <c r="B251" s="31"/>
      <c r="C251" s="32"/>
      <c r="D251" s="33"/>
      <c r="E251" s="33"/>
      <c r="F251" s="33"/>
      <c r="G251" s="33"/>
      <c r="H251" s="34"/>
      <c r="I251" s="34"/>
      <c r="J251" s="34"/>
      <c r="K251" s="30"/>
    </row>
    <row r="252">
      <c r="A252" s="30"/>
      <c r="B252" s="31"/>
      <c r="C252" s="32"/>
      <c r="D252" s="33"/>
      <c r="E252" s="33"/>
      <c r="F252" s="33"/>
      <c r="G252" s="33"/>
      <c r="H252" s="34"/>
      <c r="I252" s="34"/>
      <c r="J252" s="34"/>
      <c r="K252" s="30"/>
    </row>
    <row r="253">
      <c r="A253" s="30"/>
      <c r="B253" s="31"/>
      <c r="C253" s="32"/>
      <c r="D253" s="33"/>
      <c r="E253" s="33"/>
      <c r="F253" s="33"/>
      <c r="G253" s="33"/>
      <c r="H253" s="34"/>
      <c r="I253" s="34"/>
      <c r="J253" s="34"/>
      <c r="K253" s="30"/>
    </row>
    <row r="254">
      <c r="A254" s="30"/>
      <c r="B254" s="31"/>
      <c r="C254" s="32"/>
      <c r="D254" s="33"/>
      <c r="E254" s="33"/>
      <c r="F254" s="33"/>
      <c r="G254" s="33"/>
      <c r="H254" s="34"/>
      <c r="I254" s="34"/>
      <c r="J254" s="34"/>
      <c r="K254" s="30"/>
    </row>
    <row r="255">
      <c r="A255" s="30"/>
      <c r="B255" s="31"/>
      <c r="C255" s="32"/>
      <c r="D255" s="33"/>
      <c r="E255" s="33"/>
      <c r="F255" s="33"/>
      <c r="G255" s="33"/>
      <c r="H255" s="34"/>
      <c r="I255" s="34"/>
      <c r="J255" s="34"/>
      <c r="K255" s="30"/>
    </row>
    <row r="256">
      <c r="A256" s="30"/>
      <c r="B256" s="31"/>
      <c r="C256" s="32"/>
      <c r="D256" s="33"/>
      <c r="E256" s="33"/>
      <c r="F256" s="33"/>
      <c r="G256" s="33"/>
      <c r="H256" s="34"/>
      <c r="I256" s="34"/>
      <c r="J256" s="34"/>
      <c r="K256" s="30"/>
    </row>
    <row r="257">
      <c r="A257" s="30"/>
      <c r="B257" s="31"/>
      <c r="C257" s="32"/>
      <c r="D257" s="33"/>
      <c r="E257" s="33"/>
      <c r="F257" s="33"/>
      <c r="G257" s="33"/>
      <c r="H257" s="34"/>
      <c r="I257" s="34"/>
      <c r="J257" s="34"/>
      <c r="K257" s="30"/>
    </row>
    <row r="258">
      <c r="A258" s="30"/>
      <c r="B258" s="31"/>
      <c r="C258" s="32"/>
      <c r="D258" s="33"/>
      <c r="E258" s="33"/>
      <c r="F258" s="33"/>
      <c r="G258" s="33"/>
      <c r="H258" s="34"/>
      <c r="I258" s="34"/>
      <c r="J258" s="34"/>
      <c r="K258" s="30"/>
    </row>
    <row r="259">
      <c r="A259" s="30"/>
      <c r="B259" s="31"/>
      <c r="C259" s="32"/>
      <c r="D259" s="33"/>
      <c r="E259" s="33"/>
      <c r="F259" s="33"/>
      <c r="G259" s="33"/>
      <c r="H259" s="34"/>
      <c r="I259" s="34"/>
      <c r="J259" s="34"/>
      <c r="K259" s="30"/>
    </row>
    <row r="260">
      <c r="A260" s="30"/>
      <c r="B260" s="31"/>
      <c r="C260" s="32"/>
      <c r="D260" s="33"/>
      <c r="E260" s="33"/>
      <c r="F260" s="33"/>
      <c r="G260" s="33"/>
      <c r="H260" s="34"/>
      <c r="I260" s="34"/>
      <c r="J260" s="34"/>
      <c r="K260" s="30"/>
    </row>
    <row r="261">
      <c r="A261" s="30"/>
      <c r="B261" s="31"/>
      <c r="C261" s="32"/>
      <c r="D261" s="33"/>
      <c r="E261" s="33"/>
      <c r="F261" s="33"/>
      <c r="G261" s="33"/>
      <c r="H261" s="34"/>
      <c r="I261" s="34"/>
      <c r="J261" s="34"/>
      <c r="K261" s="30"/>
    </row>
    <row r="262">
      <c r="A262" s="30"/>
      <c r="B262" s="31"/>
      <c r="C262" s="32"/>
      <c r="D262" s="33"/>
      <c r="E262" s="33"/>
      <c r="F262" s="33"/>
      <c r="G262" s="33"/>
      <c r="H262" s="34"/>
      <c r="I262" s="34"/>
      <c r="J262" s="34"/>
      <c r="K262" s="30"/>
    </row>
    <row r="263">
      <c r="A263" s="30"/>
      <c r="B263" s="31"/>
      <c r="C263" s="32"/>
      <c r="D263" s="33"/>
      <c r="E263" s="33"/>
      <c r="F263" s="33"/>
      <c r="G263" s="33"/>
      <c r="H263" s="34"/>
      <c r="I263" s="34"/>
      <c r="J263" s="34"/>
      <c r="K263" s="30"/>
    </row>
    <row r="264">
      <c r="A264" s="30"/>
      <c r="B264" s="31"/>
      <c r="C264" s="32"/>
      <c r="D264" s="33"/>
      <c r="E264" s="33"/>
      <c r="F264" s="33"/>
      <c r="G264" s="33"/>
      <c r="H264" s="34"/>
      <c r="I264" s="34"/>
      <c r="J264" s="34"/>
      <c r="K264" s="30"/>
    </row>
    <row r="265">
      <c r="A265" s="30"/>
      <c r="B265" s="31"/>
      <c r="C265" s="32"/>
      <c r="D265" s="33"/>
      <c r="E265" s="33"/>
      <c r="F265" s="33"/>
      <c r="G265" s="33"/>
      <c r="H265" s="34"/>
      <c r="I265" s="34"/>
      <c r="J265" s="34"/>
      <c r="K265" s="30"/>
    </row>
    <row r="266">
      <c r="A266" s="30"/>
      <c r="B266" s="31"/>
      <c r="C266" s="32"/>
      <c r="D266" s="33"/>
      <c r="E266" s="33"/>
      <c r="F266" s="33"/>
      <c r="G266" s="33"/>
      <c r="H266" s="34"/>
      <c r="I266" s="34"/>
      <c r="J266" s="34"/>
      <c r="K266" s="30"/>
    </row>
    <row r="267">
      <c r="A267" s="30"/>
      <c r="B267" s="31"/>
      <c r="C267" s="32"/>
      <c r="D267" s="33"/>
      <c r="E267" s="33"/>
      <c r="F267" s="33"/>
      <c r="G267" s="33"/>
      <c r="H267" s="34"/>
      <c r="I267" s="34"/>
      <c r="J267" s="34"/>
      <c r="K267" s="30"/>
    </row>
    <row r="268">
      <c r="A268" s="30"/>
      <c r="B268" s="31"/>
      <c r="C268" s="32"/>
      <c r="D268" s="33"/>
      <c r="E268" s="33"/>
      <c r="F268" s="33"/>
      <c r="G268" s="33"/>
      <c r="H268" s="34"/>
      <c r="I268" s="34"/>
      <c r="J268" s="34"/>
      <c r="K268" s="30"/>
    </row>
    <row r="269">
      <c r="A269" s="30"/>
      <c r="B269" s="31"/>
      <c r="C269" s="32"/>
      <c r="D269" s="33"/>
      <c r="E269" s="33"/>
      <c r="F269" s="33"/>
      <c r="G269" s="33"/>
      <c r="H269" s="34"/>
      <c r="I269" s="34"/>
      <c r="J269" s="34"/>
      <c r="K269" s="30"/>
    </row>
    <row r="270">
      <c r="A270" s="30"/>
      <c r="B270" s="31"/>
      <c r="C270" s="32"/>
      <c r="D270" s="33"/>
      <c r="E270" s="33"/>
      <c r="F270" s="33"/>
      <c r="G270" s="33"/>
      <c r="H270" s="34"/>
      <c r="I270" s="34"/>
      <c r="J270" s="34"/>
      <c r="K270" s="30"/>
    </row>
    <row r="271">
      <c r="A271" s="30"/>
      <c r="B271" s="31"/>
      <c r="C271" s="32"/>
      <c r="D271" s="33"/>
      <c r="E271" s="33"/>
      <c r="F271" s="33"/>
      <c r="G271" s="33"/>
      <c r="H271" s="34"/>
      <c r="I271" s="34"/>
      <c r="J271" s="34"/>
      <c r="K271" s="30"/>
    </row>
    <row r="272">
      <c r="A272" s="30"/>
      <c r="B272" s="31"/>
      <c r="C272" s="32"/>
      <c r="D272" s="33"/>
      <c r="E272" s="33"/>
      <c r="F272" s="33"/>
      <c r="G272" s="33"/>
      <c r="H272" s="34"/>
      <c r="I272" s="34"/>
      <c r="J272" s="34"/>
      <c r="K272" s="30"/>
    </row>
    <row r="273">
      <c r="A273" s="30"/>
      <c r="B273" s="31"/>
      <c r="C273" s="32"/>
      <c r="D273" s="33"/>
      <c r="E273" s="33"/>
      <c r="F273" s="33"/>
      <c r="G273" s="33"/>
      <c r="H273" s="34"/>
      <c r="I273" s="34"/>
      <c r="J273" s="34"/>
      <c r="K273" s="30"/>
    </row>
    <row r="274">
      <c r="A274" s="30"/>
      <c r="B274" s="31"/>
      <c r="C274" s="32"/>
      <c r="D274" s="33"/>
      <c r="E274" s="33"/>
      <c r="F274" s="33"/>
      <c r="G274" s="33"/>
      <c r="H274" s="34"/>
      <c r="I274" s="34"/>
      <c r="J274" s="34"/>
      <c r="K274" s="30"/>
    </row>
    <row r="275">
      <c r="A275" s="30"/>
      <c r="B275" s="31"/>
      <c r="C275" s="32"/>
      <c r="D275" s="33"/>
      <c r="E275" s="33"/>
      <c r="F275" s="33"/>
      <c r="G275" s="33"/>
      <c r="H275" s="34"/>
      <c r="I275" s="34"/>
      <c r="J275" s="34"/>
      <c r="K275" s="30"/>
    </row>
    <row r="276">
      <c r="A276" s="30"/>
      <c r="B276" s="31"/>
      <c r="C276" s="32"/>
      <c r="D276" s="33"/>
      <c r="E276" s="33"/>
      <c r="F276" s="33"/>
      <c r="G276" s="33"/>
      <c r="H276" s="34"/>
      <c r="I276" s="34"/>
      <c r="J276" s="34"/>
      <c r="K276" s="30"/>
    </row>
    <row r="277">
      <c r="A277" s="30"/>
      <c r="B277" s="31"/>
      <c r="C277" s="32"/>
      <c r="D277" s="33"/>
      <c r="E277" s="33"/>
      <c r="F277" s="33"/>
      <c r="G277" s="33"/>
      <c r="H277" s="34"/>
      <c r="I277" s="34"/>
      <c r="J277" s="34"/>
      <c r="K277" s="30"/>
    </row>
    <row r="278">
      <c r="A278" s="30"/>
      <c r="B278" s="31"/>
      <c r="C278" s="32"/>
      <c r="D278" s="33"/>
      <c r="E278" s="33"/>
      <c r="F278" s="33"/>
      <c r="G278" s="33"/>
      <c r="H278" s="34"/>
      <c r="I278" s="34"/>
      <c r="J278" s="34"/>
      <c r="K278" s="30"/>
    </row>
    <row r="279">
      <c r="A279" s="30"/>
      <c r="B279" s="31"/>
      <c r="C279" s="32"/>
      <c r="D279" s="33"/>
      <c r="E279" s="33"/>
      <c r="F279" s="33"/>
      <c r="G279" s="33"/>
      <c r="H279" s="34"/>
      <c r="I279" s="34"/>
      <c r="J279" s="34"/>
      <c r="K279" s="30"/>
    </row>
    <row r="280">
      <c r="A280" s="30"/>
      <c r="B280" s="31"/>
      <c r="C280" s="32"/>
      <c r="D280" s="33"/>
      <c r="E280" s="33"/>
      <c r="F280" s="33"/>
      <c r="G280" s="33"/>
      <c r="H280" s="34"/>
      <c r="I280" s="34"/>
      <c r="J280" s="34"/>
      <c r="K280" s="30"/>
    </row>
    <row r="281">
      <c r="A281" s="30"/>
      <c r="B281" s="31"/>
      <c r="C281" s="32"/>
      <c r="D281" s="33"/>
      <c r="E281" s="33"/>
      <c r="F281" s="33"/>
      <c r="G281" s="33"/>
      <c r="H281" s="34"/>
      <c r="I281" s="34"/>
      <c r="J281" s="34"/>
      <c r="K281" s="30"/>
    </row>
    <row r="282">
      <c r="A282" s="30"/>
      <c r="B282" s="31"/>
      <c r="C282" s="32"/>
      <c r="D282" s="33"/>
      <c r="E282" s="33"/>
      <c r="F282" s="33"/>
      <c r="G282" s="33"/>
      <c r="H282" s="34"/>
      <c r="I282" s="34"/>
      <c r="J282" s="34"/>
      <c r="K282" s="30"/>
    </row>
    <row r="283">
      <c r="A283" s="30"/>
      <c r="B283" s="31"/>
      <c r="C283" s="32"/>
      <c r="D283" s="33"/>
      <c r="E283" s="33"/>
      <c r="F283" s="33"/>
      <c r="G283" s="33"/>
      <c r="H283" s="34"/>
      <c r="I283" s="34"/>
      <c r="J283" s="34"/>
      <c r="K283" s="30"/>
    </row>
    <row r="284">
      <c r="A284" s="30"/>
      <c r="B284" s="31"/>
      <c r="C284" s="32"/>
      <c r="D284" s="33"/>
      <c r="E284" s="33"/>
      <c r="F284" s="33"/>
      <c r="G284" s="33"/>
      <c r="H284" s="34"/>
      <c r="I284" s="34"/>
      <c r="J284" s="34"/>
      <c r="K284" s="30"/>
    </row>
    <row r="285">
      <c r="A285" s="30"/>
      <c r="B285" s="31"/>
      <c r="C285" s="32"/>
      <c r="D285" s="33"/>
      <c r="E285" s="33"/>
      <c r="F285" s="33"/>
      <c r="G285" s="33"/>
      <c r="H285" s="34"/>
      <c r="I285" s="34"/>
      <c r="J285" s="34"/>
      <c r="K285" s="30"/>
    </row>
    <row r="286">
      <c r="A286" s="30"/>
      <c r="B286" s="31"/>
      <c r="C286" s="32"/>
      <c r="D286" s="33"/>
      <c r="E286" s="33"/>
      <c r="F286" s="33"/>
      <c r="G286" s="33"/>
      <c r="H286" s="34"/>
      <c r="I286" s="34"/>
      <c r="J286" s="34"/>
      <c r="K286" s="30"/>
    </row>
    <row r="287">
      <c r="A287" s="30"/>
      <c r="B287" s="31"/>
      <c r="C287" s="32"/>
      <c r="D287" s="33"/>
      <c r="E287" s="33"/>
      <c r="F287" s="33"/>
      <c r="G287" s="33"/>
      <c r="H287" s="34"/>
      <c r="I287" s="34"/>
      <c r="J287" s="34"/>
      <c r="K287" s="30"/>
    </row>
    <row r="288">
      <c r="A288" s="30"/>
      <c r="B288" s="31"/>
      <c r="C288" s="32"/>
      <c r="D288" s="33"/>
      <c r="E288" s="33"/>
      <c r="F288" s="33"/>
      <c r="G288" s="33"/>
      <c r="H288" s="34"/>
      <c r="I288" s="34"/>
      <c r="J288" s="34"/>
      <c r="K288" s="30"/>
    </row>
    <row r="289">
      <c r="A289" s="30"/>
      <c r="B289" s="31"/>
      <c r="C289" s="32"/>
      <c r="D289" s="33"/>
      <c r="E289" s="33"/>
      <c r="F289" s="33"/>
      <c r="G289" s="33"/>
      <c r="H289" s="34"/>
      <c r="I289" s="34"/>
      <c r="J289" s="34"/>
      <c r="K289" s="30"/>
    </row>
    <row r="290">
      <c r="A290" s="30"/>
      <c r="B290" s="31"/>
      <c r="C290" s="32"/>
      <c r="D290" s="33"/>
      <c r="E290" s="33"/>
      <c r="F290" s="33"/>
      <c r="G290" s="33"/>
      <c r="H290" s="34"/>
      <c r="I290" s="34"/>
      <c r="J290" s="34"/>
      <c r="K290" s="30"/>
    </row>
    <row r="291">
      <c r="A291" s="30"/>
      <c r="B291" s="31"/>
      <c r="C291" s="32"/>
      <c r="D291" s="33"/>
      <c r="E291" s="33"/>
      <c r="F291" s="33"/>
      <c r="G291" s="33"/>
      <c r="H291" s="34"/>
      <c r="I291" s="34"/>
      <c r="J291" s="34"/>
      <c r="K291" s="30"/>
    </row>
    <row r="292">
      <c r="A292" s="30"/>
      <c r="B292" s="31"/>
      <c r="C292" s="32"/>
      <c r="D292" s="33"/>
      <c r="E292" s="33"/>
      <c r="F292" s="33"/>
      <c r="G292" s="33"/>
      <c r="H292" s="34"/>
      <c r="I292" s="34"/>
      <c r="J292" s="34"/>
      <c r="K292" s="30"/>
    </row>
    <row r="293">
      <c r="A293" s="30"/>
      <c r="B293" s="31"/>
      <c r="C293" s="32"/>
      <c r="D293" s="33"/>
      <c r="E293" s="33"/>
      <c r="F293" s="33"/>
      <c r="G293" s="33"/>
      <c r="H293" s="34"/>
      <c r="I293" s="34"/>
      <c r="J293" s="34"/>
      <c r="K293" s="30"/>
    </row>
    <row r="294">
      <c r="A294" s="30"/>
      <c r="B294" s="31"/>
      <c r="C294" s="32"/>
      <c r="D294" s="33"/>
      <c r="E294" s="33"/>
      <c r="F294" s="33"/>
      <c r="G294" s="33"/>
      <c r="H294" s="34"/>
      <c r="I294" s="34"/>
      <c r="J294" s="34"/>
      <c r="K294" s="30"/>
    </row>
    <row r="295">
      <c r="A295" s="30"/>
      <c r="B295" s="31"/>
      <c r="C295" s="32"/>
      <c r="D295" s="33"/>
      <c r="E295" s="33"/>
      <c r="F295" s="33"/>
      <c r="G295" s="33"/>
      <c r="H295" s="34"/>
      <c r="I295" s="34"/>
      <c r="J295" s="34"/>
      <c r="K295" s="30"/>
    </row>
    <row r="296">
      <c r="A296" s="30"/>
      <c r="B296" s="31"/>
      <c r="C296" s="32"/>
      <c r="D296" s="33"/>
      <c r="E296" s="33"/>
      <c r="F296" s="33"/>
      <c r="G296" s="33"/>
      <c r="H296" s="34"/>
      <c r="I296" s="34"/>
      <c r="J296" s="34"/>
      <c r="K296" s="30"/>
    </row>
    <row r="297">
      <c r="A297" s="30"/>
      <c r="B297" s="31"/>
      <c r="C297" s="32"/>
      <c r="D297" s="33"/>
      <c r="E297" s="33"/>
      <c r="F297" s="33"/>
      <c r="G297" s="33"/>
      <c r="H297" s="34"/>
      <c r="I297" s="34"/>
      <c r="J297" s="34"/>
      <c r="K297" s="30"/>
    </row>
    <row r="298">
      <c r="A298" s="30"/>
      <c r="B298" s="31"/>
      <c r="C298" s="32"/>
      <c r="D298" s="33"/>
      <c r="E298" s="33"/>
      <c r="F298" s="33"/>
      <c r="G298" s="33"/>
      <c r="H298" s="34"/>
      <c r="I298" s="34"/>
      <c r="J298" s="34"/>
      <c r="K298" s="30"/>
    </row>
    <row r="299">
      <c r="A299" s="30"/>
      <c r="B299" s="31"/>
      <c r="C299" s="32"/>
      <c r="D299" s="33"/>
      <c r="E299" s="33"/>
      <c r="F299" s="33"/>
      <c r="G299" s="33"/>
      <c r="H299" s="34"/>
      <c r="I299" s="34"/>
      <c r="J299" s="34"/>
      <c r="K299" s="30"/>
    </row>
    <row r="300">
      <c r="A300" s="30"/>
      <c r="B300" s="31"/>
      <c r="C300" s="32"/>
      <c r="D300" s="33"/>
      <c r="E300" s="33"/>
      <c r="F300" s="33"/>
      <c r="G300" s="33"/>
      <c r="H300" s="34"/>
      <c r="I300" s="34"/>
      <c r="J300" s="34"/>
      <c r="K300" s="30"/>
    </row>
    <row r="301">
      <c r="A301" s="30"/>
      <c r="B301" s="31"/>
      <c r="C301" s="32"/>
      <c r="D301" s="33"/>
      <c r="E301" s="33"/>
      <c r="F301" s="33"/>
      <c r="G301" s="33"/>
      <c r="H301" s="34"/>
      <c r="I301" s="34"/>
      <c r="J301" s="34"/>
      <c r="K301" s="30"/>
    </row>
    <row r="302">
      <c r="A302" s="30"/>
      <c r="B302" s="31"/>
      <c r="C302" s="32"/>
      <c r="D302" s="33"/>
      <c r="E302" s="33"/>
      <c r="F302" s="33"/>
      <c r="G302" s="33"/>
      <c r="H302" s="34"/>
      <c r="I302" s="34"/>
      <c r="J302" s="34"/>
      <c r="K302" s="30"/>
    </row>
    <row r="303">
      <c r="A303" s="30"/>
      <c r="B303" s="31"/>
      <c r="C303" s="32"/>
      <c r="D303" s="33"/>
      <c r="E303" s="33"/>
      <c r="F303" s="33"/>
      <c r="G303" s="33"/>
      <c r="H303" s="34"/>
      <c r="I303" s="34"/>
      <c r="J303" s="34"/>
      <c r="K303" s="30"/>
    </row>
    <row r="304">
      <c r="A304" s="30"/>
      <c r="B304" s="31"/>
      <c r="C304" s="32"/>
      <c r="D304" s="33"/>
      <c r="E304" s="33"/>
      <c r="F304" s="33"/>
      <c r="G304" s="33"/>
      <c r="H304" s="34"/>
      <c r="I304" s="34"/>
      <c r="J304" s="34"/>
      <c r="K304" s="30"/>
    </row>
    <row r="305">
      <c r="A305" s="30"/>
      <c r="B305" s="31"/>
      <c r="C305" s="32"/>
      <c r="D305" s="33"/>
      <c r="E305" s="33"/>
      <c r="F305" s="33"/>
      <c r="G305" s="33"/>
      <c r="H305" s="34"/>
      <c r="I305" s="34"/>
      <c r="J305" s="34"/>
      <c r="K305" s="30"/>
    </row>
    <row r="306">
      <c r="A306" s="30"/>
      <c r="B306" s="31"/>
      <c r="C306" s="32"/>
      <c r="D306" s="33"/>
      <c r="E306" s="33"/>
      <c r="F306" s="33"/>
      <c r="G306" s="33"/>
      <c r="H306" s="34"/>
      <c r="I306" s="34"/>
      <c r="J306" s="34"/>
      <c r="K306" s="30"/>
    </row>
    <row r="307">
      <c r="A307" s="30"/>
      <c r="B307" s="31"/>
      <c r="C307" s="32"/>
      <c r="D307" s="33"/>
      <c r="E307" s="33"/>
      <c r="F307" s="33"/>
      <c r="G307" s="33"/>
      <c r="H307" s="34"/>
      <c r="I307" s="34"/>
      <c r="J307" s="34"/>
      <c r="K307" s="30"/>
    </row>
    <row r="308">
      <c r="A308" s="30"/>
      <c r="B308" s="31"/>
      <c r="C308" s="32"/>
      <c r="D308" s="33"/>
      <c r="E308" s="33"/>
      <c r="F308" s="33"/>
      <c r="G308" s="33"/>
      <c r="H308" s="34"/>
      <c r="I308" s="34"/>
      <c r="J308" s="34"/>
      <c r="K308" s="30"/>
    </row>
    <row r="309">
      <c r="A309" s="30"/>
      <c r="B309" s="31"/>
      <c r="C309" s="32"/>
      <c r="D309" s="33"/>
      <c r="E309" s="33"/>
      <c r="F309" s="33"/>
      <c r="G309" s="33"/>
      <c r="H309" s="34"/>
      <c r="I309" s="34"/>
      <c r="J309" s="34"/>
      <c r="K309" s="30"/>
    </row>
    <row r="310">
      <c r="A310" s="30"/>
      <c r="B310" s="31"/>
      <c r="C310" s="32"/>
      <c r="D310" s="33"/>
      <c r="E310" s="33"/>
      <c r="F310" s="33"/>
      <c r="G310" s="33"/>
      <c r="H310" s="34"/>
      <c r="I310" s="34"/>
      <c r="J310" s="34"/>
      <c r="K310" s="30"/>
    </row>
    <row r="311">
      <c r="A311" s="30"/>
      <c r="B311" s="31"/>
      <c r="C311" s="32"/>
      <c r="D311" s="33"/>
      <c r="E311" s="33"/>
      <c r="F311" s="33"/>
      <c r="G311" s="33"/>
      <c r="H311" s="34"/>
      <c r="I311" s="34"/>
      <c r="J311" s="34"/>
      <c r="K311" s="30"/>
    </row>
    <row r="312">
      <c r="A312" s="30"/>
      <c r="B312" s="31"/>
      <c r="C312" s="32"/>
      <c r="D312" s="33"/>
      <c r="E312" s="33"/>
      <c r="F312" s="33"/>
      <c r="G312" s="33"/>
      <c r="H312" s="34"/>
      <c r="I312" s="34"/>
      <c r="J312" s="34"/>
      <c r="K312" s="30"/>
    </row>
    <row r="313">
      <c r="A313" s="30"/>
      <c r="B313" s="31"/>
      <c r="C313" s="32"/>
      <c r="D313" s="33"/>
      <c r="E313" s="33"/>
      <c r="F313" s="33"/>
      <c r="G313" s="33"/>
      <c r="H313" s="34"/>
      <c r="I313" s="34"/>
      <c r="J313" s="34"/>
      <c r="K313" s="30"/>
    </row>
    <row r="314">
      <c r="A314" s="30"/>
      <c r="B314" s="31"/>
      <c r="C314" s="32"/>
      <c r="D314" s="33"/>
      <c r="E314" s="33"/>
      <c r="F314" s="33"/>
      <c r="G314" s="33"/>
      <c r="H314" s="34"/>
      <c r="I314" s="34"/>
      <c r="J314" s="34"/>
      <c r="K314" s="30"/>
    </row>
    <row r="315">
      <c r="A315" s="30"/>
      <c r="B315" s="31"/>
      <c r="C315" s="32"/>
      <c r="D315" s="33"/>
      <c r="E315" s="33"/>
      <c r="F315" s="33"/>
      <c r="G315" s="33"/>
      <c r="H315" s="34"/>
      <c r="I315" s="34"/>
      <c r="J315" s="34"/>
      <c r="K315" s="30"/>
    </row>
    <row r="316">
      <c r="A316" s="30"/>
      <c r="B316" s="31"/>
      <c r="C316" s="32"/>
      <c r="D316" s="33"/>
      <c r="E316" s="33"/>
      <c r="F316" s="33"/>
      <c r="G316" s="33"/>
      <c r="H316" s="34"/>
      <c r="I316" s="34"/>
      <c r="J316" s="34"/>
      <c r="K316" s="30"/>
    </row>
    <row r="317">
      <c r="A317" s="30"/>
      <c r="B317" s="31"/>
      <c r="C317" s="32"/>
      <c r="D317" s="33"/>
      <c r="E317" s="33"/>
      <c r="F317" s="33"/>
      <c r="G317" s="33"/>
      <c r="H317" s="34"/>
      <c r="I317" s="34"/>
      <c r="J317" s="34"/>
      <c r="K317" s="30"/>
    </row>
    <row r="318">
      <c r="A318" s="30"/>
      <c r="B318" s="31"/>
      <c r="C318" s="32"/>
      <c r="D318" s="33"/>
      <c r="E318" s="33"/>
      <c r="F318" s="33"/>
      <c r="G318" s="33"/>
      <c r="H318" s="34"/>
      <c r="I318" s="34"/>
      <c r="J318" s="34"/>
      <c r="K318" s="30"/>
    </row>
    <row r="319">
      <c r="A319" s="30"/>
      <c r="B319" s="31"/>
      <c r="C319" s="32"/>
      <c r="D319" s="33"/>
      <c r="E319" s="33"/>
      <c r="F319" s="33"/>
      <c r="G319" s="33"/>
      <c r="H319" s="34"/>
      <c r="I319" s="34"/>
      <c r="J319" s="34"/>
      <c r="K319" s="30"/>
    </row>
    <row r="320">
      <c r="A320" s="30"/>
      <c r="B320" s="31"/>
      <c r="C320" s="32"/>
      <c r="D320" s="33"/>
      <c r="E320" s="33"/>
      <c r="F320" s="33"/>
      <c r="G320" s="33"/>
      <c r="H320" s="34"/>
      <c r="I320" s="34"/>
      <c r="J320" s="34"/>
      <c r="K320" s="30"/>
    </row>
    <row r="321">
      <c r="A321" s="30"/>
      <c r="B321" s="31"/>
      <c r="C321" s="32"/>
      <c r="D321" s="33"/>
      <c r="E321" s="33"/>
      <c r="F321" s="33"/>
      <c r="G321" s="33"/>
      <c r="H321" s="34"/>
      <c r="I321" s="34"/>
      <c r="J321" s="34"/>
      <c r="K321" s="30"/>
    </row>
    <row r="322">
      <c r="A322" s="30"/>
      <c r="B322" s="31"/>
      <c r="C322" s="32"/>
      <c r="D322" s="33"/>
      <c r="E322" s="33"/>
      <c r="F322" s="33"/>
      <c r="G322" s="33"/>
      <c r="H322" s="34"/>
      <c r="I322" s="34"/>
      <c r="J322" s="34"/>
      <c r="K322" s="30"/>
    </row>
    <row r="323">
      <c r="A323" s="30"/>
      <c r="B323" s="31"/>
      <c r="C323" s="32"/>
      <c r="D323" s="33"/>
      <c r="E323" s="33"/>
      <c r="F323" s="33"/>
      <c r="G323" s="33"/>
      <c r="H323" s="34"/>
      <c r="I323" s="34"/>
      <c r="J323" s="34"/>
      <c r="K323" s="30"/>
    </row>
    <row r="324">
      <c r="A324" s="30"/>
      <c r="B324" s="31"/>
      <c r="C324" s="32"/>
      <c r="D324" s="33"/>
      <c r="E324" s="33"/>
      <c r="F324" s="33"/>
      <c r="G324" s="33"/>
      <c r="H324" s="34"/>
      <c r="I324" s="34"/>
      <c r="J324" s="34"/>
      <c r="K324" s="30"/>
    </row>
    <row r="325">
      <c r="A325" s="30"/>
      <c r="B325" s="31"/>
      <c r="C325" s="32"/>
      <c r="D325" s="33"/>
      <c r="E325" s="33"/>
      <c r="F325" s="33"/>
      <c r="G325" s="33"/>
      <c r="H325" s="34"/>
      <c r="I325" s="34"/>
      <c r="J325" s="34"/>
      <c r="K325" s="30"/>
    </row>
    <row r="326">
      <c r="A326" s="30"/>
      <c r="B326" s="31"/>
      <c r="C326" s="32"/>
      <c r="D326" s="33"/>
      <c r="E326" s="33"/>
      <c r="F326" s="33"/>
      <c r="G326" s="33"/>
      <c r="H326" s="34"/>
      <c r="I326" s="34"/>
      <c r="J326" s="34"/>
      <c r="K326" s="30"/>
    </row>
    <row r="327">
      <c r="A327" s="30"/>
      <c r="B327" s="31"/>
      <c r="C327" s="32"/>
      <c r="D327" s="33"/>
      <c r="E327" s="33"/>
      <c r="F327" s="33"/>
      <c r="G327" s="33"/>
      <c r="H327" s="34"/>
      <c r="I327" s="34"/>
      <c r="J327" s="34"/>
      <c r="K327" s="30"/>
    </row>
    <row r="328">
      <c r="A328" s="30"/>
      <c r="B328" s="31"/>
      <c r="C328" s="32"/>
      <c r="D328" s="33"/>
      <c r="E328" s="33"/>
      <c r="F328" s="33"/>
      <c r="G328" s="33"/>
      <c r="H328" s="34"/>
      <c r="I328" s="34"/>
      <c r="J328" s="34"/>
      <c r="K328" s="30"/>
    </row>
    <row r="329">
      <c r="A329" s="30"/>
      <c r="B329" s="31"/>
      <c r="C329" s="32"/>
      <c r="D329" s="33"/>
      <c r="E329" s="33"/>
      <c r="F329" s="33"/>
      <c r="G329" s="33"/>
      <c r="H329" s="34"/>
      <c r="I329" s="34"/>
      <c r="J329" s="34"/>
      <c r="K329" s="30"/>
    </row>
    <row r="330">
      <c r="A330" s="30"/>
      <c r="B330" s="31"/>
      <c r="C330" s="32"/>
      <c r="D330" s="33"/>
      <c r="E330" s="33"/>
      <c r="F330" s="33"/>
      <c r="G330" s="33"/>
      <c r="H330" s="34"/>
      <c r="I330" s="34"/>
      <c r="J330" s="34"/>
      <c r="K330" s="30"/>
    </row>
    <row r="331">
      <c r="A331" s="30"/>
      <c r="B331" s="31"/>
      <c r="C331" s="32"/>
      <c r="D331" s="33"/>
      <c r="E331" s="33"/>
      <c r="F331" s="33"/>
      <c r="G331" s="33"/>
      <c r="H331" s="34"/>
      <c r="I331" s="34"/>
      <c r="J331" s="34"/>
      <c r="K331" s="30"/>
    </row>
    <row r="332">
      <c r="A332" s="30"/>
      <c r="B332" s="31"/>
      <c r="C332" s="32"/>
      <c r="D332" s="33"/>
      <c r="E332" s="33"/>
      <c r="F332" s="33"/>
      <c r="G332" s="33"/>
      <c r="H332" s="34"/>
      <c r="I332" s="34"/>
      <c r="J332" s="34"/>
      <c r="K332" s="30"/>
    </row>
    <row r="333">
      <c r="A333" s="30"/>
      <c r="B333" s="31"/>
      <c r="C333" s="32"/>
      <c r="D333" s="33"/>
      <c r="E333" s="33"/>
      <c r="F333" s="33"/>
      <c r="G333" s="33"/>
      <c r="H333" s="34"/>
      <c r="I333" s="34"/>
      <c r="J333" s="34"/>
      <c r="K333" s="30"/>
    </row>
    <row r="334">
      <c r="A334" s="30"/>
      <c r="B334" s="31"/>
      <c r="C334" s="32"/>
      <c r="D334" s="33"/>
      <c r="E334" s="33"/>
      <c r="F334" s="33"/>
      <c r="G334" s="33"/>
      <c r="H334" s="34"/>
      <c r="I334" s="34"/>
      <c r="J334" s="34"/>
      <c r="K334" s="30"/>
    </row>
    <row r="335">
      <c r="A335" s="30"/>
      <c r="B335" s="31"/>
      <c r="C335" s="32"/>
      <c r="D335" s="33"/>
      <c r="E335" s="33"/>
      <c r="F335" s="33"/>
      <c r="G335" s="33"/>
      <c r="H335" s="34"/>
      <c r="I335" s="34"/>
      <c r="J335" s="34"/>
      <c r="K335" s="30"/>
    </row>
    <row r="336">
      <c r="A336" s="30"/>
      <c r="B336" s="31"/>
      <c r="C336" s="32"/>
      <c r="D336" s="33"/>
      <c r="E336" s="33"/>
      <c r="F336" s="33"/>
      <c r="G336" s="33"/>
      <c r="H336" s="34"/>
      <c r="I336" s="34"/>
      <c r="J336" s="34"/>
      <c r="K336" s="30"/>
    </row>
    <row r="337">
      <c r="A337" s="30"/>
      <c r="B337" s="31"/>
      <c r="C337" s="32"/>
      <c r="D337" s="33"/>
      <c r="E337" s="33"/>
      <c r="F337" s="33"/>
      <c r="G337" s="33"/>
      <c r="H337" s="34"/>
      <c r="I337" s="34"/>
      <c r="J337" s="34"/>
      <c r="K337" s="30"/>
    </row>
    <row r="338">
      <c r="A338" s="30"/>
      <c r="B338" s="31"/>
      <c r="C338" s="32"/>
      <c r="D338" s="33"/>
      <c r="E338" s="33"/>
      <c r="F338" s="33"/>
      <c r="G338" s="33"/>
      <c r="H338" s="34"/>
      <c r="I338" s="34"/>
      <c r="J338" s="34"/>
      <c r="K338" s="30"/>
    </row>
    <row r="339">
      <c r="A339" s="30"/>
      <c r="B339" s="31"/>
      <c r="C339" s="32"/>
      <c r="D339" s="33"/>
      <c r="E339" s="33"/>
      <c r="F339" s="33"/>
      <c r="G339" s="33"/>
      <c r="H339" s="34"/>
      <c r="I339" s="34"/>
      <c r="J339" s="34"/>
      <c r="K339" s="30"/>
    </row>
    <row r="340">
      <c r="A340" s="30"/>
      <c r="B340" s="31"/>
      <c r="C340" s="32"/>
      <c r="D340" s="33"/>
      <c r="E340" s="33"/>
      <c r="F340" s="33"/>
      <c r="G340" s="33"/>
      <c r="H340" s="34"/>
      <c r="I340" s="34"/>
      <c r="J340" s="34"/>
      <c r="K340" s="30"/>
    </row>
    <row r="341">
      <c r="A341" s="30"/>
      <c r="B341" s="31"/>
      <c r="C341" s="32"/>
      <c r="D341" s="33"/>
      <c r="E341" s="33"/>
      <c r="F341" s="33"/>
      <c r="G341" s="33"/>
      <c r="H341" s="34"/>
      <c r="I341" s="34"/>
      <c r="J341" s="34"/>
      <c r="K341" s="30"/>
    </row>
    <row r="342">
      <c r="A342" s="30"/>
      <c r="B342" s="31"/>
      <c r="C342" s="32"/>
      <c r="D342" s="33"/>
      <c r="E342" s="33"/>
      <c r="F342" s="33"/>
      <c r="G342" s="33"/>
      <c r="H342" s="34"/>
      <c r="I342" s="34"/>
      <c r="J342" s="34"/>
      <c r="K342" s="30"/>
    </row>
    <row r="343">
      <c r="A343" s="30"/>
      <c r="B343" s="31"/>
      <c r="C343" s="32"/>
      <c r="D343" s="33"/>
      <c r="E343" s="33"/>
      <c r="F343" s="33"/>
      <c r="G343" s="33"/>
      <c r="H343" s="34"/>
      <c r="I343" s="34"/>
      <c r="J343" s="34"/>
      <c r="K343" s="30"/>
    </row>
    <row r="344">
      <c r="A344" s="30"/>
      <c r="B344" s="31"/>
      <c r="C344" s="32"/>
      <c r="D344" s="33"/>
      <c r="E344" s="33"/>
      <c r="F344" s="33"/>
      <c r="G344" s="33"/>
      <c r="H344" s="34"/>
      <c r="I344" s="34"/>
      <c r="J344" s="34"/>
      <c r="K344" s="30"/>
    </row>
    <row r="345">
      <c r="A345" s="30"/>
      <c r="B345" s="31"/>
      <c r="C345" s="32"/>
      <c r="D345" s="33"/>
      <c r="E345" s="33"/>
      <c r="F345" s="33"/>
      <c r="G345" s="33"/>
      <c r="H345" s="34"/>
      <c r="I345" s="34"/>
      <c r="J345" s="34"/>
      <c r="K345" s="30"/>
    </row>
    <row r="346">
      <c r="A346" s="30"/>
      <c r="B346" s="31"/>
      <c r="C346" s="32"/>
      <c r="D346" s="33"/>
      <c r="E346" s="33"/>
      <c r="F346" s="33"/>
      <c r="G346" s="33"/>
      <c r="H346" s="34"/>
      <c r="I346" s="34"/>
      <c r="J346" s="34"/>
      <c r="K346" s="30"/>
    </row>
    <row r="347">
      <c r="A347" s="30"/>
      <c r="B347" s="31"/>
      <c r="C347" s="32"/>
      <c r="D347" s="33"/>
      <c r="E347" s="33"/>
      <c r="F347" s="33"/>
      <c r="G347" s="33"/>
      <c r="H347" s="34"/>
      <c r="I347" s="34"/>
      <c r="J347" s="34"/>
      <c r="K347" s="30"/>
    </row>
    <row r="348">
      <c r="A348" s="30"/>
      <c r="B348" s="31"/>
      <c r="C348" s="32"/>
      <c r="D348" s="33"/>
      <c r="E348" s="33"/>
      <c r="F348" s="33"/>
      <c r="G348" s="33"/>
      <c r="H348" s="34"/>
      <c r="I348" s="34"/>
      <c r="J348" s="34"/>
      <c r="K348" s="30"/>
    </row>
    <row r="349">
      <c r="A349" s="30"/>
      <c r="B349" s="31"/>
      <c r="C349" s="32"/>
      <c r="D349" s="33"/>
      <c r="E349" s="33"/>
      <c r="F349" s="33"/>
      <c r="G349" s="33"/>
      <c r="H349" s="34"/>
      <c r="I349" s="34"/>
      <c r="J349" s="34"/>
      <c r="K349" s="30"/>
    </row>
    <row r="350">
      <c r="A350" s="30"/>
      <c r="B350" s="31"/>
      <c r="C350" s="32"/>
      <c r="D350" s="33"/>
      <c r="E350" s="33"/>
      <c r="F350" s="33"/>
      <c r="G350" s="33"/>
      <c r="H350" s="34"/>
      <c r="I350" s="34"/>
      <c r="J350" s="34"/>
      <c r="K350" s="30"/>
    </row>
    <row r="351">
      <c r="A351" s="30"/>
      <c r="B351" s="31"/>
      <c r="C351" s="32"/>
      <c r="D351" s="33"/>
      <c r="E351" s="33"/>
      <c r="F351" s="33"/>
      <c r="G351" s="33"/>
      <c r="H351" s="34"/>
      <c r="I351" s="34"/>
      <c r="J351" s="34"/>
      <c r="K351" s="30"/>
    </row>
    <row r="352">
      <c r="A352" s="30"/>
      <c r="B352" s="31"/>
      <c r="C352" s="32"/>
      <c r="D352" s="33"/>
      <c r="E352" s="33"/>
      <c r="F352" s="33"/>
      <c r="G352" s="33"/>
      <c r="H352" s="34"/>
      <c r="I352" s="34"/>
      <c r="J352" s="34"/>
      <c r="K352" s="30"/>
    </row>
    <row r="353">
      <c r="A353" s="30"/>
      <c r="B353" s="31"/>
      <c r="C353" s="32"/>
      <c r="D353" s="33"/>
      <c r="E353" s="33"/>
      <c r="F353" s="33"/>
      <c r="G353" s="33"/>
      <c r="H353" s="34"/>
      <c r="I353" s="34"/>
      <c r="J353" s="34"/>
      <c r="K353" s="30"/>
    </row>
    <row r="354">
      <c r="A354" s="30"/>
      <c r="B354" s="31"/>
      <c r="C354" s="32"/>
      <c r="D354" s="33"/>
      <c r="E354" s="33"/>
      <c r="F354" s="33"/>
      <c r="G354" s="33"/>
      <c r="H354" s="34"/>
      <c r="I354" s="34"/>
      <c r="J354" s="34"/>
      <c r="K354" s="30"/>
    </row>
    <row r="355">
      <c r="A355" s="30"/>
      <c r="B355" s="31"/>
      <c r="C355" s="32"/>
      <c r="D355" s="33"/>
      <c r="E355" s="33"/>
      <c r="F355" s="33"/>
      <c r="G355" s="33"/>
      <c r="H355" s="34"/>
      <c r="I355" s="34"/>
      <c r="J355" s="34"/>
      <c r="K355" s="30"/>
    </row>
    <row r="356">
      <c r="A356" s="30"/>
      <c r="B356" s="31"/>
      <c r="C356" s="32"/>
      <c r="D356" s="33"/>
      <c r="E356" s="33"/>
      <c r="F356" s="33"/>
      <c r="G356" s="33"/>
      <c r="H356" s="34"/>
      <c r="I356" s="34"/>
      <c r="J356" s="34"/>
      <c r="K356" s="30"/>
    </row>
    <row r="357">
      <c r="A357" s="30"/>
      <c r="B357" s="31"/>
      <c r="C357" s="32"/>
      <c r="D357" s="33"/>
      <c r="E357" s="33"/>
      <c r="F357" s="33"/>
      <c r="G357" s="33"/>
      <c r="H357" s="34"/>
      <c r="I357" s="34"/>
      <c r="J357" s="34"/>
      <c r="K357" s="30"/>
    </row>
    <row r="358">
      <c r="A358" s="30"/>
      <c r="B358" s="31"/>
      <c r="C358" s="32"/>
      <c r="D358" s="33"/>
      <c r="E358" s="33"/>
      <c r="F358" s="33"/>
      <c r="G358" s="33"/>
      <c r="H358" s="34"/>
      <c r="I358" s="34"/>
      <c r="J358" s="34"/>
      <c r="K358" s="30"/>
    </row>
    <row r="359">
      <c r="A359" s="30"/>
      <c r="B359" s="31"/>
      <c r="C359" s="32"/>
      <c r="D359" s="33"/>
      <c r="E359" s="33"/>
      <c r="F359" s="33"/>
      <c r="G359" s="33"/>
      <c r="H359" s="34"/>
      <c r="I359" s="34"/>
      <c r="J359" s="34"/>
      <c r="K359" s="30"/>
    </row>
    <row r="360">
      <c r="A360" s="30"/>
      <c r="B360" s="31"/>
      <c r="C360" s="32"/>
      <c r="D360" s="33"/>
      <c r="E360" s="33"/>
      <c r="F360" s="33"/>
      <c r="G360" s="33"/>
      <c r="H360" s="34"/>
      <c r="I360" s="34"/>
      <c r="J360" s="34"/>
      <c r="K360" s="30"/>
    </row>
    <row r="361">
      <c r="A361" s="30"/>
      <c r="B361" s="31"/>
      <c r="C361" s="32"/>
      <c r="D361" s="33"/>
      <c r="E361" s="33"/>
      <c r="F361" s="33"/>
      <c r="G361" s="33"/>
      <c r="H361" s="34"/>
      <c r="I361" s="34"/>
      <c r="J361" s="34"/>
      <c r="K361" s="30"/>
    </row>
    <row r="362">
      <c r="A362" s="30"/>
      <c r="B362" s="31"/>
      <c r="C362" s="32"/>
      <c r="D362" s="33"/>
      <c r="E362" s="33"/>
      <c r="F362" s="33"/>
      <c r="G362" s="33"/>
      <c r="H362" s="34"/>
      <c r="I362" s="34"/>
      <c r="J362" s="34"/>
      <c r="K362" s="30"/>
    </row>
    <row r="363">
      <c r="A363" s="30"/>
      <c r="B363" s="31"/>
      <c r="C363" s="32"/>
      <c r="D363" s="33"/>
      <c r="E363" s="33"/>
      <c r="F363" s="33"/>
      <c r="G363" s="33"/>
      <c r="H363" s="34"/>
      <c r="I363" s="34"/>
      <c r="J363" s="34"/>
      <c r="K363" s="30"/>
    </row>
    <row r="364">
      <c r="A364" s="30"/>
      <c r="B364" s="31"/>
      <c r="C364" s="32"/>
      <c r="D364" s="33"/>
      <c r="E364" s="33"/>
      <c r="F364" s="33"/>
      <c r="G364" s="33"/>
      <c r="H364" s="34"/>
      <c r="I364" s="34"/>
      <c r="J364" s="34"/>
      <c r="K364" s="30"/>
    </row>
    <row r="365">
      <c r="A365" s="30"/>
      <c r="B365" s="31"/>
      <c r="C365" s="32"/>
      <c r="D365" s="33"/>
      <c r="E365" s="33"/>
      <c r="F365" s="33"/>
      <c r="G365" s="33"/>
      <c r="H365" s="34"/>
      <c r="I365" s="34"/>
      <c r="J365" s="34"/>
      <c r="K365" s="30"/>
    </row>
    <row r="366">
      <c r="A366" s="30"/>
      <c r="B366" s="31"/>
      <c r="C366" s="32"/>
      <c r="D366" s="33"/>
      <c r="E366" s="33"/>
      <c r="F366" s="33"/>
      <c r="G366" s="33"/>
      <c r="H366" s="34"/>
      <c r="I366" s="34"/>
      <c r="J366" s="34"/>
      <c r="K366" s="30"/>
    </row>
    <row r="367">
      <c r="A367" s="30"/>
      <c r="B367" s="31"/>
      <c r="C367" s="32"/>
      <c r="D367" s="33"/>
      <c r="E367" s="33"/>
      <c r="F367" s="33"/>
      <c r="G367" s="33"/>
      <c r="H367" s="34"/>
      <c r="I367" s="34"/>
      <c r="J367" s="34"/>
      <c r="K367" s="30"/>
    </row>
    <row r="368">
      <c r="A368" s="30"/>
      <c r="B368" s="31"/>
      <c r="C368" s="32"/>
      <c r="D368" s="33"/>
      <c r="E368" s="33"/>
      <c r="F368" s="33"/>
      <c r="G368" s="33"/>
      <c r="H368" s="34"/>
      <c r="I368" s="34"/>
      <c r="J368" s="34"/>
      <c r="K368" s="30"/>
    </row>
    <row r="369">
      <c r="A369" s="30"/>
      <c r="B369" s="31"/>
      <c r="C369" s="32"/>
      <c r="D369" s="33"/>
      <c r="E369" s="33"/>
      <c r="F369" s="33"/>
      <c r="G369" s="33"/>
      <c r="H369" s="34"/>
      <c r="I369" s="34"/>
      <c r="J369" s="34"/>
      <c r="K369" s="30"/>
    </row>
    <row r="370">
      <c r="A370" s="30"/>
      <c r="B370" s="31"/>
      <c r="C370" s="32"/>
      <c r="D370" s="33"/>
      <c r="E370" s="33"/>
      <c r="F370" s="33"/>
      <c r="G370" s="33"/>
      <c r="H370" s="34"/>
      <c r="I370" s="34"/>
      <c r="J370" s="34"/>
      <c r="K370" s="30"/>
    </row>
    <row r="371">
      <c r="A371" s="30"/>
      <c r="B371" s="31"/>
      <c r="C371" s="32"/>
      <c r="D371" s="33"/>
      <c r="E371" s="33"/>
      <c r="F371" s="33"/>
      <c r="G371" s="33"/>
      <c r="H371" s="34"/>
      <c r="I371" s="34"/>
      <c r="J371" s="34"/>
      <c r="K371" s="30"/>
    </row>
    <row r="372">
      <c r="A372" s="30"/>
      <c r="B372" s="31"/>
      <c r="C372" s="32"/>
      <c r="D372" s="33"/>
      <c r="E372" s="33"/>
      <c r="F372" s="33"/>
      <c r="G372" s="33"/>
      <c r="H372" s="34"/>
      <c r="I372" s="34"/>
      <c r="J372" s="34"/>
      <c r="K372" s="30"/>
    </row>
    <row r="373">
      <c r="A373" s="30"/>
      <c r="B373" s="31"/>
      <c r="C373" s="32"/>
      <c r="D373" s="33"/>
      <c r="E373" s="33"/>
      <c r="F373" s="33"/>
      <c r="G373" s="33"/>
      <c r="H373" s="34"/>
      <c r="I373" s="34"/>
      <c r="J373" s="34"/>
      <c r="K373" s="30"/>
    </row>
    <row r="374">
      <c r="A374" s="30"/>
      <c r="B374" s="31"/>
      <c r="C374" s="32"/>
      <c r="D374" s="33"/>
      <c r="E374" s="33"/>
      <c r="F374" s="33"/>
      <c r="G374" s="33"/>
      <c r="H374" s="34"/>
      <c r="I374" s="34"/>
      <c r="J374" s="34"/>
      <c r="K374" s="30"/>
    </row>
    <row r="375">
      <c r="A375" s="30"/>
      <c r="B375" s="31"/>
      <c r="C375" s="32"/>
      <c r="D375" s="33"/>
      <c r="E375" s="33"/>
      <c r="F375" s="33"/>
      <c r="G375" s="33"/>
      <c r="H375" s="34"/>
      <c r="I375" s="34"/>
      <c r="J375" s="34"/>
      <c r="K375" s="30"/>
    </row>
    <row r="376">
      <c r="A376" s="30"/>
      <c r="B376" s="31"/>
      <c r="C376" s="32"/>
      <c r="D376" s="33"/>
      <c r="E376" s="33"/>
      <c r="F376" s="33"/>
      <c r="G376" s="33"/>
      <c r="H376" s="34"/>
      <c r="I376" s="34"/>
      <c r="J376" s="34"/>
      <c r="K376" s="30"/>
    </row>
    <row r="377">
      <c r="A377" s="30"/>
      <c r="B377" s="31"/>
      <c r="C377" s="32"/>
      <c r="D377" s="33"/>
      <c r="E377" s="33"/>
      <c r="F377" s="33"/>
      <c r="G377" s="33"/>
      <c r="H377" s="34"/>
      <c r="I377" s="34"/>
      <c r="J377" s="34"/>
      <c r="K377" s="30"/>
    </row>
    <row r="378">
      <c r="A378" s="30"/>
      <c r="B378" s="31"/>
      <c r="C378" s="32"/>
      <c r="D378" s="33"/>
      <c r="E378" s="33"/>
      <c r="F378" s="33"/>
      <c r="G378" s="33"/>
      <c r="H378" s="34"/>
      <c r="I378" s="34"/>
      <c r="J378" s="34"/>
      <c r="K378" s="30"/>
    </row>
    <row r="379">
      <c r="A379" s="30"/>
      <c r="B379" s="31"/>
      <c r="C379" s="32"/>
      <c r="D379" s="33"/>
      <c r="E379" s="33"/>
      <c r="F379" s="33"/>
      <c r="G379" s="33"/>
      <c r="H379" s="34"/>
      <c r="I379" s="34"/>
      <c r="J379" s="34"/>
      <c r="K379" s="30"/>
    </row>
    <row r="380">
      <c r="A380" s="30"/>
      <c r="B380" s="31"/>
      <c r="C380" s="32"/>
      <c r="D380" s="33"/>
      <c r="E380" s="33"/>
      <c r="F380" s="33"/>
      <c r="G380" s="33"/>
      <c r="H380" s="34"/>
      <c r="I380" s="34"/>
      <c r="J380" s="34"/>
      <c r="K380" s="30"/>
    </row>
    <row r="381">
      <c r="A381" s="30"/>
      <c r="B381" s="31"/>
      <c r="C381" s="32"/>
      <c r="D381" s="33"/>
      <c r="E381" s="33"/>
      <c r="F381" s="33"/>
      <c r="G381" s="33"/>
      <c r="H381" s="34"/>
      <c r="I381" s="34"/>
      <c r="J381" s="34"/>
      <c r="K381" s="30"/>
    </row>
    <row r="382">
      <c r="A382" s="30"/>
      <c r="B382" s="31"/>
      <c r="C382" s="32"/>
      <c r="D382" s="33"/>
      <c r="E382" s="33"/>
      <c r="F382" s="33"/>
      <c r="G382" s="33"/>
      <c r="H382" s="34"/>
      <c r="I382" s="34"/>
      <c r="J382" s="34"/>
      <c r="K382" s="30"/>
    </row>
    <row r="383">
      <c r="A383" s="30"/>
      <c r="B383" s="31"/>
      <c r="C383" s="32"/>
      <c r="D383" s="33"/>
      <c r="E383" s="33"/>
      <c r="F383" s="33"/>
      <c r="G383" s="33"/>
      <c r="H383" s="34"/>
      <c r="I383" s="34"/>
      <c r="J383" s="34"/>
      <c r="K383" s="30"/>
    </row>
    <row r="384">
      <c r="A384" s="30"/>
      <c r="B384" s="31"/>
      <c r="C384" s="32"/>
      <c r="D384" s="33"/>
      <c r="E384" s="33"/>
      <c r="F384" s="33"/>
      <c r="G384" s="33"/>
      <c r="H384" s="34"/>
      <c r="I384" s="34"/>
      <c r="J384" s="34"/>
      <c r="K384" s="30"/>
    </row>
    <row r="385">
      <c r="A385" s="30"/>
      <c r="B385" s="31"/>
      <c r="C385" s="32"/>
      <c r="D385" s="33"/>
      <c r="E385" s="33"/>
      <c r="F385" s="33"/>
      <c r="G385" s="33"/>
      <c r="H385" s="34"/>
      <c r="I385" s="34"/>
      <c r="J385" s="34"/>
      <c r="K385" s="30"/>
    </row>
    <row r="386">
      <c r="A386" s="30"/>
      <c r="B386" s="31"/>
      <c r="C386" s="32"/>
      <c r="D386" s="33"/>
      <c r="E386" s="33"/>
      <c r="F386" s="33"/>
      <c r="G386" s="33"/>
      <c r="H386" s="34"/>
      <c r="I386" s="34"/>
      <c r="J386" s="34"/>
      <c r="K386" s="30"/>
    </row>
    <row r="387">
      <c r="A387" s="30"/>
      <c r="B387" s="31"/>
      <c r="C387" s="32"/>
      <c r="D387" s="33"/>
      <c r="E387" s="33"/>
      <c r="F387" s="33"/>
      <c r="G387" s="33"/>
      <c r="H387" s="34"/>
      <c r="I387" s="34"/>
      <c r="J387" s="34"/>
      <c r="K387" s="30"/>
    </row>
    <row r="388">
      <c r="A388" s="30"/>
      <c r="B388" s="31"/>
      <c r="C388" s="32"/>
      <c r="D388" s="33"/>
      <c r="E388" s="33"/>
      <c r="F388" s="33"/>
      <c r="G388" s="33"/>
      <c r="H388" s="34"/>
      <c r="I388" s="34"/>
      <c r="J388" s="34"/>
      <c r="K388" s="30"/>
    </row>
    <row r="389">
      <c r="A389" s="30"/>
      <c r="B389" s="31"/>
      <c r="C389" s="32"/>
      <c r="D389" s="33"/>
      <c r="E389" s="33"/>
      <c r="F389" s="33"/>
      <c r="G389" s="33"/>
      <c r="H389" s="34"/>
      <c r="I389" s="34"/>
      <c r="J389" s="34"/>
      <c r="K389" s="30"/>
    </row>
    <row r="390">
      <c r="A390" s="30"/>
      <c r="B390" s="31"/>
      <c r="C390" s="32"/>
      <c r="D390" s="33"/>
      <c r="E390" s="33"/>
      <c r="F390" s="33"/>
      <c r="G390" s="33"/>
      <c r="H390" s="34"/>
      <c r="I390" s="34"/>
      <c r="J390" s="34"/>
      <c r="K390" s="30"/>
    </row>
    <row r="391">
      <c r="A391" s="30"/>
      <c r="B391" s="31"/>
      <c r="C391" s="32"/>
      <c r="D391" s="33"/>
      <c r="E391" s="33"/>
      <c r="F391" s="33"/>
      <c r="G391" s="33"/>
      <c r="H391" s="34"/>
      <c r="I391" s="34"/>
      <c r="J391" s="34"/>
      <c r="K391" s="30"/>
    </row>
    <row r="392">
      <c r="A392" s="30"/>
      <c r="B392" s="31"/>
      <c r="C392" s="32"/>
      <c r="D392" s="33"/>
      <c r="E392" s="33"/>
      <c r="F392" s="33"/>
      <c r="G392" s="33"/>
      <c r="H392" s="34"/>
      <c r="I392" s="34"/>
      <c r="J392" s="34"/>
      <c r="K392" s="30"/>
    </row>
    <row r="393">
      <c r="A393" s="30"/>
      <c r="B393" s="31"/>
      <c r="C393" s="32"/>
      <c r="D393" s="33"/>
      <c r="E393" s="33"/>
      <c r="F393" s="33"/>
      <c r="G393" s="33"/>
      <c r="H393" s="34"/>
      <c r="I393" s="34"/>
      <c r="J393" s="34"/>
      <c r="K393" s="30"/>
    </row>
    <row r="394">
      <c r="A394" s="30"/>
      <c r="B394" s="31"/>
      <c r="C394" s="32"/>
      <c r="D394" s="33"/>
      <c r="E394" s="33"/>
      <c r="F394" s="33"/>
      <c r="G394" s="33"/>
      <c r="H394" s="34"/>
      <c r="I394" s="34"/>
      <c r="J394" s="34"/>
      <c r="K394" s="30"/>
    </row>
    <row r="395">
      <c r="A395" s="30"/>
      <c r="B395" s="31"/>
      <c r="C395" s="32"/>
      <c r="D395" s="33"/>
      <c r="E395" s="33"/>
      <c r="F395" s="33"/>
      <c r="G395" s="33"/>
      <c r="H395" s="34"/>
      <c r="I395" s="34"/>
      <c r="J395" s="34"/>
      <c r="K395" s="30"/>
    </row>
    <row r="396">
      <c r="A396" s="30"/>
      <c r="B396" s="31"/>
      <c r="C396" s="32"/>
      <c r="D396" s="33"/>
      <c r="E396" s="33"/>
      <c r="F396" s="33"/>
      <c r="G396" s="33"/>
      <c r="H396" s="34"/>
      <c r="I396" s="34"/>
      <c r="J396" s="34"/>
      <c r="K396" s="30"/>
    </row>
    <row r="397">
      <c r="A397" s="30"/>
      <c r="B397" s="31"/>
      <c r="C397" s="32"/>
      <c r="D397" s="33"/>
      <c r="E397" s="33"/>
      <c r="F397" s="33"/>
      <c r="G397" s="33"/>
      <c r="H397" s="34"/>
      <c r="I397" s="34"/>
      <c r="J397" s="34"/>
      <c r="K397" s="30"/>
    </row>
    <row r="398">
      <c r="A398" s="30"/>
      <c r="B398" s="31"/>
      <c r="C398" s="32"/>
      <c r="D398" s="33"/>
      <c r="E398" s="33"/>
      <c r="F398" s="33"/>
      <c r="G398" s="33"/>
      <c r="H398" s="34"/>
      <c r="I398" s="34"/>
      <c r="J398" s="34"/>
      <c r="K398" s="30"/>
    </row>
    <row r="399">
      <c r="A399" s="30"/>
      <c r="B399" s="31"/>
      <c r="C399" s="32"/>
      <c r="D399" s="33"/>
      <c r="E399" s="33"/>
      <c r="F399" s="33"/>
      <c r="G399" s="33"/>
      <c r="H399" s="34"/>
      <c r="I399" s="34"/>
      <c r="J399" s="34"/>
      <c r="K399" s="30"/>
    </row>
    <row r="400">
      <c r="A400" s="30"/>
      <c r="B400" s="31"/>
      <c r="C400" s="32"/>
      <c r="D400" s="33"/>
      <c r="E400" s="33"/>
      <c r="F400" s="33"/>
      <c r="G400" s="33"/>
      <c r="H400" s="34"/>
      <c r="I400" s="34"/>
      <c r="J400" s="34"/>
      <c r="K400" s="30"/>
    </row>
    <row r="401">
      <c r="A401" s="30"/>
      <c r="B401" s="31"/>
      <c r="C401" s="32"/>
      <c r="D401" s="33"/>
      <c r="E401" s="33"/>
      <c r="F401" s="33"/>
      <c r="G401" s="33"/>
      <c r="H401" s="34"/>
      <c r="I401" s="34"/>
      <c r="J401" s="34"/>
      <c r="K401" s="30"/>
    </row>
    <row r="402">
      <c r="A402" s="30"/>
      <c r="B402" s="31"/>
      <c r="C402" s="32"/>
      <c r="D402" s="33"/>
      <c r="E402" s="33"/>
      <c r="F402" s="33"/>
      <c r="G402" s="33"/>
      <c r="H402" s="34"/>
      <c r="I402" s="34"/>
      <c r="J402" s="34"/>
      <c r="K402" s="30"/>
    </row>
    <row r="403">
      <c r="A403" s="30"/>
      <c r="B403" s="31"/>
      <c r="C403" s="32"/>
      <c r="D403" s="33"/>
      <c r="E403" s="33"/>
      <c r="F403" s="33"/>
      <c r="G403" s="33"/>
      <c r="H403" s="34"/>
      <c r="I403" s="34"/>
      <c r="J403" s="34"/>
      <c r="K403" s="30"/>
    </row>
    <row r="404">
      <c r="A404" s="30"/>
      <c r="B404" s="31"/>
      <c r="C404" s="32"/>
      <c r="D404" s="33"/>
      <c r="E404" s="33"/>
      <c r="F404" s="33"/>
      <c r="G404" s="33"/>
      <c r="H404" s="34"/>
      <c r="I404" s="34"/>
      <c r="J404" s="34"/>
      <c r="K404" s="30"/>
    </row>
    <row r="405">
      <c r="A405" s="30"/>
      <c r="B405" s="31"/>
      <c r="C405" s="32"/>
      <c r="D405" s="33"/>
      <c r="E405" s="33"/>
      <c r="F405" s="33"/>
      <c r="G405" s="33"/>
      <c r="H405" s="34"/>
      <c r="I405" s="34"/>
      <c r="J405" s="34"/>
      <c r="K405" s="30"/>
    </row>
    <row r="406">
      <c r="A406" s="30"/>
      <c r="B406" s="31"/>
      <c r="C406" s="32"/>
      <c r="D406" s="33"/>
      <c r="E406" s="33"/>
      <c r="F406" s="33"/>
      <c r="G406" s="33"/>
      <c r="H406" s="34"/>
      <c r="I406" s="34"/>
      <c r="J406" s="34"/>
      <c r="K406" s="30"/>
    </row>
    <row r="407">
      <c r="A407" s="30"/>
      <c r="B407" s="31"/>
      <c r="C407" s="32"/>
      <c r="D407" s="33"/>
      <c r="E407" s="33"/>
      <c r="F407" s="33"/>
      <c r="G407" s="33"/>
      <c r="H407" s="34"/>
      <c r="I407" s="34"/>
      <c r="J407" s="34"/>
      <c r="K407" s="30"/>
    </row>
    <row r="408">
      <c r="A408" s="30"/>
      <c r="B408" s="31"/>
      <c r="C408" s="32"/>
      <c r="D408" s="33"/>
      <c r="E408" s="33"/>
      <c r="F408" s="33"/>
      <c r="G408" s="33"/>
      <c r="H408" s="34"/>
      <c r="I408" s="34"/>
      <c r="J408" s="34"/>
      <c r="K408" s="30"/>
    </row>
    <row r="409">
      <c r="A409" s="30"/>
      <c r="B409" s="31"/>
      <c r="C409" s="32"/>
      <c r="D409" s="33"/>
      <c r="E409" s="33"/>
      <c r="F409" s="33"/>
      <c r="G409" s="33"/>
      <c r="H409" s="34"/>
      <c r="I409" s="34"/>
      <c r="J409" s="34"/>
      <c r="K409" s="30"/>
    </row>
    <row r="410">
      <c r="A410" s="30"/>
      <c r="B410" s="31"/>
      <c r="C410" s="32"/>
      <c r="D410" s="33"/>
      <c r="E410" s="33"/>
      <c r="F410" s="33"/>
      <c r="G410" s="33"/>
      <c r="H410" s="34"/>
      <c r="I410" s="34"/>
      <c r="J410" s="34"/>
      <c r="K410" s="30"/>
    </row>
    <row r="411">
      <c r="A411" s="30"/>
      <c r="B411" s="31"/>
      <c r="C411" s="32"/>
      <c r="D411" s="33"/>
      <c r="E411" s="33"/>
      <c r="F411" s="33"/>
      <c r="G411" s="33"/>
      <c r="H411" s="34"/>
      <c r="I411" s="34"/>
      <c r="J411" s="34"/>
      <c r="K411" s="30"/>
    </row>
    <row r="412">
      <c r="A412" s="30"/>
      <c r="B412" s="31"/>
      <c r="C412" s="32"/>
      <c r="D412" s="33"/>
      <c r="E412" s="33"/>
      <c r="F412" s="33"/>
      <c r="G412" s="33"/>
      <c r="H412" s="34"/>
      <c r="I412" s="34"/>
      <c r="J412" s="34"/>
      <c r="K412" s="30"/>
    </row>
    <row r="413">
      <c r="A413" s="30"/>
      <c r="B413" s="31"/>
      <c r="C413" s="32"/>
      <c r="D413" s="33"/>
      <c r="E413" s="33"/>
      <c r="F413" s="33"/>
      <c r="G413" s="33"/>
      <c r="H413" s="34"/>
      <c r="I413" s="34"/>
      <c r="J413" s="34"/>
      <c r="K413" s="30"/>
    </row>
    <row r="414">
      <c r="A414" s="30"/>
      <c r="B414" s="31"/>
      <c r="C414" s="32"/>
      <c r="D414" s="33"/>
      <c r="E414" s="33"/>
      <c r="F414" s="33"/>
      <c r="G414" s="33"/>
      <c r="H414" s="34"/>
      <c r="I414" s="34"/>
      <c r="J414" s="34"/>
      <c r="K414" s="30"/>
    </row>
    <row r="415">
      <c r="A415" s="30"/>
      <c r="B415" s="31"/>
      <c r="C415" s="32"/>
      <c r="D415" s="33"/>
      <c r="E415" s="33"/>
      <c r="F415" s="33"/>
      <c r="G415" s="33"/>
      <c r="H415" s="34"/>
      <c r="I415" s="34"/>
      <c r="J415" s="34"/>
      <c r="K415" s="30"/>
    </row>
    <row r="416">
      <c r="A416" s="30"/>
      <c r="B416" s="31"/>
      <c r="C416" s="32"/>
      <c r="D416" s="33"/>
      <c r="E416" s="33"/>
      <c r="F416" s="33"/>
      <c r="G416" s="33"/>
      <c r="H416" s="34"/>
      <c r="I416" s="34"/>
      <c r="J416" s="34"/>
      <c r="K416" s="30"/>
    </row>
    <row r="417">
      <c r="A417" s="30"/>
      <c r="B417" s="31"/>
      <c r="C417" s="32"/>
      <c r="D417" s="33"/>
      <c r="E417" s="33"/>
      <c r="F417" s="33"/>
      <c r="G417" s="33"/>
      <c r="H417" s="34"/>
      <c r="I417" s="34"/>
      <c r="J417" s="34"/>
      <c r="K417" s="30"/>
    </row>
    <row r="418">
      <c r="A418" s="30"/>
      <c r="B418" s="31"/>
      <c r="C418" s="32"/>
      <c r="D418" s="33"/>
      <c r="E418" s="33"/>
      <c r="F418" s="33"/>
      <c r="G418" s="33"/>
      <c r="H418" s="34"/>
      <c r="I418" s="34"/>
      <c r="J418" s="34"/>
      <c r="K418" s="30"/>
    </row>
    <row r="419">
      <c r="A419" s="30"/>
      <c r="B419" s="31"/>
      <c r="C419" s="32"/>
      <c r="D419" s="33"/>
      <c r="E419" s="33"/>
      <c r="F419" s="33"/>
      <c r="G419" s="33"/>
      <c r="H419" s="34"/>
      <c r="I419" s="34"/>
      <c r="J419" s="34"/>
      <c r="K419" s="30"/>
    </row>
    <row r="420">
      <c r="A420" s="30"/>
      <c r="B420" s="31"/>
      <c r="C420" s="32"/>
      <c r="D420" s="33"/>
      <c r="E420" s="33"/>
      <c r="F420" s="33"/>
      <c r="G420" s="33"/>
      <c r="H420" s="34"/>
      <c r="I420" s="34"/>
      <c r="J420" s="34"/>
      <c r="K420" s="30"/>
    </row>
    <row r="421">
      <c r="A421" s="30"/>
      <c r="B421" s="31"/>
      <c r="C421" s="32"/>
      <c r="D421" s="33"/>
      <c r="E421" s="33"/>
      <c r="F421" s="33"/>
      <c r="G421" s="33"/>
      <c r="H421" s="34"/>
      <c r="I421" s="34"/>
      <c r="J421" s="34"/>
      <c r="K421" s="30"/>
    </row>
    <row r="422">
      <c r="A422" s="30"/>
      <c r="B422" s="31"/>
      <c r="C422" s="32"/>
      <c r="D422" s="33"/>
      <c r="E422" s="33"/>
      <c r="F422" s="33"/>
      <c r="G422" s="33"/>
      <c r="H422" s="34"/>
      <c r="I422" s="34"/>
      <c r="J422" s="34"/>
      <c r="K422" s="30"/>
    </row>
    <row r="423">
      <c r="A423" s="30"/>
      <c r="B423" s="31"/>
      <c r="C423" s="32"/>
      <c r="D423" s="33"/>
      <c r="E423" s="33"/>
      <c r="F423" s="33"/>
      <c r="G423" s="33"/>
      <c r="H423" s="34"/>
      <c r="I423" s="34"/>
      <c r="J423" s="34"/>
      <c r="K423" s="30"/>
    </row>
    <row r="424">
      <c r="A424" s="30"/>
      <c r="B424" s="31"/>
      <c r="C424" s="32"/>
      <c r="D424" s="33"/>
      <c r="E424" s="33"/>
      <c r="F424" s="33"/>
      <c r="G424" s="33"/>
      <c r="H424" s="34"/>
      <c r="I424" s="34"/>
      <c r="J424" s="34"/>
      <c r="K424" s="30"/>
    </row>
    <row r="425">
      <c r="A425" s="30"/>
      <c r="B425" s="31"/>
      <c r="C425" s="32"/>
      <c r="D425" s="33"/>
      <c r="E425" s="33"/>
      <c r="F425" s="33"/>
      <c r="G425" s="33"/>
      <c r="H425" s="34"/>
      <c r="I425" s="34"/>
      <c r="J425" s="34"/>
      <c r="K425" s="30"/>
    </row>
    <row r="426">
      <c r="A426" s="30"/>
      <c r="B426" s="31"/>
      <c r="C426" s="32"/>
      <c r="D426" s="33"/>
      <c r="E426" s="33"/>
      <c r="F426" s="33"/>
      <c r="G426" s="33"/>
      <c r="H426" s="34"/>
      <c r="I426" s="34"/>
      <c r="J426" s="34"/>
      <c r="K426" s="30"/>
    </row>
    <row r="427">
      <c r="A427" s="30"/>
      <c r="B427" s="31"/>
      <c r="C427" s="32"/>
      <c r="D427" s="33"/>
      <c r="E427" s="33"/>
      <c r="F427" s="33"/>
      <c r="G427" s="33"/>
      <c r="H427" s="34"/>
      <c r="I427" s="34"/>
      <c r="J427" s="34"/>
      <c r="K427" s="30"/>
    </row>
    <row r="428">
      <c r="A428" s="30"/>
      <c r="B428" s="31"/>
      <c r="C428" s="32"/>
      <c r="D428" s="33"/>
      <c r="E428" s="33"/>
      <c r="F428" s="33"/>
      <c r="G428" s="33"/>
      <c r="H428" s="34"/>
      <c r="I428" s="34"/>
      <c r="J428" s="34"/>
      <c r="K428" s="30"/>
    </row>
    <row r="429">
      <c r="A429" s="30"/>
      <c r="B429" s="31"/>
      <c r="C429" s="32"/>
      <c r="D429" s="33"/>
      <c r="E429" s="33"/>
      <c r="F429" s="33"/>
      <c r="G429" s="33"/>
      <c r="H429" s="34"/>
      <c r="I429" s="34"/>
      <c r="J429" s="34"/>
      <c r="K429" s="30"/>
    </row>
    <row r="430">
      <c r="A430" s="30"/>
      <c r="B430" s="31"/>
      <c r="C430" s="32"/>
      <c r="D430" s="33"/>
      <c r="E430" s="33"/>
      <c r="F430" s="33"/>
      <c r="G430" s="33"/>
      <c r="H430" s="34"/>
      <c r="I430" s="34"/>
      <c r="J430" s="34"/>
      <c r="K430" s="30"/>
    </row>
    <row r="431">
      <c r="A431" s="30"/>
      <c r="B431" s="31"/>
      <c r="C431" s="32"/>
      <c r="D431" s="33"/>
      <c r="E431" s="33"/>
      <c r="F431" s="33"/>
      <c r="G431" s="33"/>
      <c r="H431" s="34"/>
      <c r="I431" s="34"/>
      <c r="J431" s="34"/>
      <c r="K431" s="30"/>
    </row>
    <row r="432">
      <c r="A432" s="30"/>
      <c r="B432" s="31"/>
      <c r="C432" s="32"/>
      <c r="D432" s="33"/>
      <c r="E432" s="33"/>
      <c r="F432" s="33"/>
      <c r="G432" s="33"/>
      <c r="H432" s="34"/>
      <c r="I432" s="34"/>
      <c r="J432" s="34"/>
      <c r="K432" s="30"/>
    </row>
    <row r="433">
      <c r="A433" s="30"/>
      <c r="B433" s="31"/>
      <c r="C433" s="32"/>
      <c r="D433" s="33"/>
      <c r="E433" s="33"/>
      <c r="F433" s="33"/>
      <c r="G433" s="33"/>
      <c r="H433" s="34"/>
      <c r="I433" s="34"/>
      <c r="J433" s="34"/>
      <c r="K433" s="30"/>
    </row>
    <row r="434">
      <c r="A434" s="30"/>
      <c r="B434" s="31"/>
      <c r="C434" s="32"/>
      <c r="D434" s="33"/>
      <c r="E434" s="33"/>
      <c r="F434" s="33"/>
      <c r="G434" s="33"/>
      <c r="H434" s="34"/>
      <c r="I434" s="34"/>
      <c r="J434" s="34"/>
      <c r="K434" s="30"/>
    </row>
    <row r="435">
      <c r="A435" s="30"/>
      <c r="B435" s="31"/>
      <c r="C435" s="32"/>
      <c r="D435" s="33"/>
      <c r="E435" s="33"/>
      <c r="F435" s="33"/>
      <c r="G435" s="33"/>
      <c r="H435" s="34"/>
      <c r="I435" s="34"/>
      <c r="J435" s="34"/>
      <c r="K435" s="30"/>
    </row>
    <row r="436">
      <c r="A436" s="30"/>
      <c r="B436" s="31"/>
      <c r="C436" s="32"/>
      <c r="D436" s="33"/>
      <c r="E436" s="33"/>
      <c r="F436" s="33"/>
      <c r="G436" s="33"/>
      <c r="H436" s="34"/>
      <c r="I436" s="34"/>
      <c r="J436" s="34"/>
      <c r="K436" s="30"/>
    </row>
    <row r="437">
      <c r="A437" s="30"/>
      <c r="B437" s="31"/>
      <c r="C437" s="32"/>
      <c r="D437" s="33"/>
      <c r="E437" s="33"/>
      <c r="F437" s="33"/>
      <c r="G437" s="33"/>
      <c r="H437" s="34"/>
      <c r="I437" s="34"/>
      <c r="J437" s="34"/>
      <c r="K437" s="30"/>
    </row>
    <row r="438">
      <c r="A438" s="30"/>
      <c r="B438" s="31"/>
      <c r="C438" s="32"/>
      <c r="D438" s="33"/>
      <c r="E438" s="33"/>
      <c r="F438" s="33"/>
      <c r="G438" s="33"/>
      <c r="H438" s="34"/>
      <c r="I438" s="34"/>
      <c r="J438" s="34"/>
      <c r="K438" s="30"/>
    </row>
    <row r="439">
      <c r="A439" s="30"/>
      <c r="B439" s="31"/>
      <c r="C439" s="32"/>
      <c r="D439" s="33"/>
      <c r="E439" s="33"/>
      <c r="F439" s="33"/>
      <c r="G439" s="33"/>
      <c r="H439" s="34"/>
      <c r="I439" s="34"/>
      <c r="J439" s="34"/>
      <c r="K439" s="30"/>
    </row>
    <row r="440">
      <c r="A440" s="30"/>
      <c r="B440" s="31"/>
      <c r="C440" s="32"/>
      <c r="D440" s="33"/>
      <c r="E440" s="33"/>
      <c r="F440" s="33"/>
      <c r="G440" s="33"/>
      <c r="H440" s="34"/>
      <c r="I440" s="34"/>
      <c r="J440" s="34"/>
      <c r="K440" s="30"/>
    </row>
    <row r="441">
      <c r="A441" s="30"/>
      <c r="B441" s="31"/>
      <c r="C441" s="32"/>
      <c r="D441" s="33"/>
      <c r="E441" s="33"/>
      <c r="F441" s="33"/>
      <c r="G441" s="33"/>
      <c r="H441" s="34"/>
      <c r="I441" s="34"/>
      <c r="J441" s="34"/>
      <c r="K441" s="30"/>
    </row>
    <row r="442">
      <c r="A442" s="30"/>
      <c r="B442" s="31"/>
      <c r="C442" s="32"/>
      <c r="D442" s="33"/>
      <c r="E442" s="33"/>
      <c r="F442" s="33"/>
      <c r="G442" s="33"/>
      <c r="H442" s="34"/>
      <c r="I442" s="34"/>
      <c r="J442" s="34"/>
      <c r="K442" s="30"/>
    </row>
    <row r="443">
      <c r="A443" s="30"/>
      <c r="B443" s="31"/>
      <c r="C443" s="32"/>
      <c r="D443" s="33"/>
      <c r="E443" s="33"/>
      <c r="F443" s="33"/>
      <c r="G443" s="33"/>
      <c r="H443" s="34"/>
      <c r="I443" s="34"/>
      <c r="J443" s="34"/>
      <c r="K443" s="30"/>
    </row>
    <row r="444">
      <c r="A444" s="30"/>
      <c r="B444" s="31"/>
      <c r="C444" s="32"/>
      <c r="D444" s="33"/>
      <c r="E444" s="33"/>
      <c r="F444" s="33"/>
      <c r="G444" s="33"/>
      <c r="H444" s="34"/>
      <c r="I444" s="34"/>
      <c r="J444" s="34"/>
      <c r="K444" s="30"/>
    </row>
    <row r="445">
      <c r="A445" s="30"/>
      <c r="B445" s="31"/>
      <c r="C445" s="32"/>
      <c r="D445" s="33"/>
      <c r="E445" s="33"/>
      <c r="F445" s="33"/>
      <c r="G445" s="33"/>
      <c r="H445" s="34"/>
      <c r="I445" s="34"/>
      <c r="J445" s="34"/>
      <c r="K445" s="30"/>
    </row>
    <row r="446">
      <c r="A446" s="30"/>
      <c r="B446" s="31"/>
      <c r="C446" s="32"/>
      <c r="D446" s="33"/>
      <c r="E446" s="33"/>
      <c r="F446" s="33"/>
      <c r="G446" s="33"/>
      <c r="H446" s="34"/>
      <c r="I446" s="34"/>
      <c r="J446" s="34"/>
      <c r="K446" s="30"/>
    </row>
    <row r="447">
      <c r="A447" s="30"/>
      <c r="B447" s="31"/>
      <c r="C447" s="32"/>
      <c r="D447" s="33"/>
      <c r="E447" s="33"/>
      <c r="F447" s="33"/>
      <c r="G447" s="33"/>
      <c r="H447" s="34"/>
      <c r="I447" s="34"/>
      <c r="J447" s="34"/>
      <c r="K447" s="30"/>
    </row>
    <row r="448">
      <c r="A448" s="30"/>
      <c r="B448" s="31"/>
      <c r="C448" s="32"/>
      <c r="D448" s="33"/>
      <c r="E448" s="33"/>
      <c r="F448" s="33"/>
      <c r="G448" s="33"/>
      <c r="H448" s="34"/>
      <c r="I448" s="34"/>
      <c r="J448" s="34"/>
      <c r="K448" s="30"/>
    </row>
    <row r="449">
      <c r="A449" s="30"/>
      <c r="B449" s="31"/>
      <c r="C449" s="32"/>
      <c r="D449" s="33"/>
      <c r="E449" s="33"/>
      <c r="F449" s="33"/>
      <c r="G449" s="33"/>
      <c r="H449" s="34"/>
      <c r="I449" s="34"/>
      <c r="J449" s="34"/>
      <c r="K449" s="30"/>
    </row>
    <row r="450">
      <c r="A450" s="30"/>
      <c r="B450" s="31"/>
      <c r="C450" s="32"/>
      <c r="D450" s="33"/>
      <c r="E450" s="33"/>
      <c r="F450" s="33"/>
      <c r="G450" s="33"/>
      <c r="H450" s="34"/>
      <c r="I450" s="34"/>
      <c r="J450" s="34"/>
      <c r="K450" s="30"/>
    </row>
    <row r="451">
      <c r="A451" s="30"/>
      <c r="B451" s="31"/>
      <c r="C451" s="32"/>
      <c r="D451" s="33"/>
      <c r="E451" s="33"/>
      <c r="F451" s="33"/>
      <c r="G451" s="33"/>
      <c r="H451" s="34"/>
      <c r="I451" s="34"/>
      <c r="J451" s="34"/>
      <c r="K451" s="30"/>
    </row>
    <row r="452">
      <c r="A452" s="30"/>
      <c r="B452" s="31"/>
      <c r="C452" s="32"/>
      <c r="D452" s="33"/>
      <c r="E452" s="33"/>
      <c r="F452" s="33"/>
      <c r="G452" s="33"/>
      <c r="H452" s="34"/>
      <c r="I452" s="34"/>
      <c r="J452" s="34"/>
      <c r="K452" s="30"/>
    </row>
    <row r="453">
      <c r="A453" s="30"/>
      <c r="B453" s="31"/>
      <c r="C453" s="32"/>
      <c r="D453" s="33"/>
      <c r="E453" s="33"/>
      <c r="F453" s="33"/>
      <c r="G453" s="33"/>
      <c r="H453" s="34"/>
      <c r="I453" s="34"/>
      <c r="J453" s="34"/>
      <c r="K453" s="30"/>
    </row>
    <row r="454">
      <c r="A454" s="30"/>
      <c r="B454" s="31"/>
      <c r="C454" s="32"/>
      <c r="D454" s="33"/>
      <c r="E454" s="33"/>
      <c r="F454" s="33"/>
      <c r="G454" s="33"/>
      <c r="H454" s="34"/>
      <c r="I454" s="34"/>
      <c r="J454" s="34"/>
      <c r="K454" s="30"/>
    </row>
    <row r="455">
      <c r="A455" s="30"/>
      <c r="B455" s="31"/>
      <c r="C455" s="32"/>
      <c r="D455" s="33"/>
      <c r="E455" s="33"/>
      <c r="F455" s="33"/>
      <c r="G455" s="33"/>
      <c r="H455" s="34"/>
      <c r="I455" s="34"/>
      <c r="J455" s="34"/>
      <c r="K455" s="30"/>
    </row>
    <row r="456">
      <c r="A456" s="30"/>
      <c r="B456" s="31"/>
      <c r="C456" s="32"/>
      <c r="D456" s="33"/>
      <c r="E456" s="33"/>
      <c r="F456" s="33"/>
      <c r="G456" s="33"/>
      <c r="H456" s="34"/>
      <c r="I456" s="34"/>
      <c r="J456" s="34"/>
      <c r="K456" s="30"/>
    </row>
    <row r="457">
      <c r="A457" s="30"/>
      <c r="B457" s="31"/>
      <c r="C457" s="32"/>
      <c r="D457" s="33"/>
      <c r="E457" s="33"/>
      <c r="F457" s="33"/>
      <c r="G457" s="33"/>
      <c r="H457" s="34"/>
      <c r="I457" s="34"/>
      <c r="J457" s="34"/>
      <c r="K457" s="30"/>
    </row>
    <row r="458">
      <c r="A458" s="30"/>
      <c r="B458" s="31"/>
      <c r="C458" s="32"/>
      <c r="D458" s="33"/>
      <c r="E458" s="33"/>
      <c r="F458" s="33"/>
      <c r="G458" s="33"/>
      <c r="H458" s="34"/>
      <c r="I458" s="34"/>
      <c r="J458" s="34"/>
      <c r="K458" s="30"/>
    </row>
    <row r="459">
      <c r="A459" s="30"/>
      <c r="B459" s="31"/>
      <c r="C459" s="32"/>
      <c r="D459" s="33"/>
      <c r="E459" s="33"/>
      <c r="F459" s="33"/>
      <c r="G459" s="33"/>
      <c r="H459" s="34"/>
      <c r="I459" s="34"/>
      <c r="J459" s="34"/>
      <c r="K459" s="30"/>
    </row>
    <row r="460">
      <c r="A460" s="30"/>
      <c r="B460" s="31"/>
      <c r="C460" s="32"/>
      <c r="D460" s="33"/>
      <c r="E460" s="33"/>
      <c r="F460" s="33"/>
      <c r="G460" s="33"/>
      <c r="H460" s="34"/>
      <c r="I460" s="34"/>
      <c r="J460" s="34"/>
      <c r="K460" s="30"/>
    </row>
    <row r="461">
      <c r="A461" s="30"/>
      <c r="B461" s="31"/>
      <c r="C461" s="32"/>
      <c r="D461" s="33"/>
      <c r="E461" s="33"/>
      <c r="F461" s="33"/>
      <c r="G461" s="33"/>
      <c r="H461" s="34"/>
      <c r="I461" s="34"/>
      <c r="J461" s="34"/>
      <c r="K461" s="30"/>
    </row>
    <row r="462">
      <c r="A462" s="30"/>
      <c r="B462" s="31"/>
      <c r="C462" s="32"/>
      <c r="D462" s="33"/>
      <c r="E462" s="33"/>
      <c r="F462" s="33"/>
      <c r="G462" s="33"/>
      <c r="H462" s="34"/>
      <c r="I462" s="34"/>
      <c r="J462" s="34"/>
      <c r="K462" s="30"/>
    </row>
    <row r="463">
      <c r="A463" s="30"/>
      <c r="B463" s="31"/>
      <c r="C463" s="32"/>
      <c r="D463" s="33"/>
      <c r="E463" s="33"/>
      <c r="F463" s="33"/>
      <c r="G463" s="33"/>
      <c r="H463" s="34"/>
      <c r="I463" s="34"/>
      <c r="J463" s="34"/>
      <c r="K463" s="30"/>
    </row>
    <row r="464">
      <c r="A464" s="30"/>
      <c r="B464" s="31"/>
      <c r="C464" s="32"/>
      <c r="D464" s="33"/>
      <c r="E464" s="33"/>
      <c r="F464" s="33"/>
      <c r="G464" s="33"/>
      <c r="H464" s="34"/>
      <c r="I464" s="34"/>
      <c r="J464" s="34"/>
      <c r="K464" s="30"/>
    </row>
    <row r="465">
      <c r="A465" s="30"/>
      <c r="B465" s="31"/>
      <c r="C465" s="32"/>
      <c r="D465" s="33"/>
      <c r="E465" s="33"/>
      <c r="F465" s="33"/>
      <c r="G465" s="33"/>
      <c r="H465" s="34"/>
      <c r="I465" s="34"/>
      <c r="J465" s="34"/>
      <c r="K465" s="30"/>
    </row>
    <row r="466">
      <c r="A466" s="30"/>
      <c r="B466" s="31"/>
      <c r="C466" s="32"/>
      <c r="D466" s="33"/>
      <c r="E466" s="33"/>
      <c r="F466" s="33"/>
      <c r="G466" s="33"/>
      <c r="H466" s="34"/>
      <c r="I466" s="34"/>
      <c r="J466" s="34"/>
      <c r="K466" s="30"/>
    </row>
    <row r="467">
      <c r="A467" s="30"/>
      <c r="B467" s="31"/>
      <c r="C467" s="32"/>
      <c r="D467" s="33"/>
      <c r="E467" s="33"/>
      <c r="F467" s="33"/>
      <c r="G467" s="33"/>
      <c r="H467" s="34"/>
      <c r="I467" s="34"/>
      <c r="J467" s="34"/>
      <c r="K467" s="30"/>
    </row>
    <row r="468">
      <c r="A468" s="30"/>
      <c r="B468" s="31"/>
      <c r="C468" s="32"/>
      <c r="D468" s="33"/>
      <c r="E468" s="33"/>
      <c r="F468" s="33"/>
      <c r="G468" s="33"/>
      <c r="H468" s="34"/>
      <c r="I468" s="34"/>
      <c r="J468" s="34"/>
      <c r="K468" s="30"/>
    </row>
    <row r="469">
      <c r="A469" s="30"/>
      <c r="B469" s="31"/>
      <c r="C469" s="32"/>
      <c r="D469" s="33"/>
      <c r="E469" s="33"/>
      <c r="F469" s="33"/>
      <c r="G469" s="33"/>
      <c r="H469" s="34"/>
      <c r="I469" s="34"/>
      <c r="J469" s="34"/>
      <c r="K469" s="30"/>
    </row>
    <row r="470">
      <c r="A470" s="30"/>
      <c r="B470" s="31"/>
      <c r="C470" s="32"/>
      <c r="D470" s="33"/>
      <c r="E470" s="33"/>
      <c r="F470" s="33"/>
      <c r="G470" s="33"/>
      <c r="H470" s="34"/>
      <c r="I470" s="34"/>
      <c r="J470" s="34"/>
      <c r="K470" s="30"/>
    </row>
    <row r="471">
      <c r="A471" s="30"/>
      <c r="B471" s="31"/>
      <c r="C471" s="32"/>
      <c r="D471" s="33"/>
      <c r="E471" s="33"/>
      <c r="F471" s="33"/>
      <c r="G471" s="33"/>
      <c r="H471" s="34"/>
      <c r="I471" s="34"/>
      <c r="J471" s="34"/>
      <c r="K471" s="30"/>
    </row>
    <row r="472">
      <c r="A472" s="30"/>
      <c r="B472" s="31"/>
      <c r="C472" s="32"/>
      <c r="D472" s="33"/>
      <c r="E472" s="33"/>
      <c r="F472" s="33"/>
      <c r="G472" s="33"/>
      <c r="H472" s="34"/>
      <c r="I472" s="34"/>
      <c r="J472" s="34"/>
      <c r="K472" s="30"/>
    </row>
    <row r="473">
      <c r="A473" s="30"/>
      <c r="B473" s="31"/>
      <c r="C473" s="32"/>
      <c r="D473" s="33"/>
      <c r="E473" s="33"/>
      <c r="F473" s="33"/>
      <c r="G473" s="33"/>
      <c r="H473" s="34"/>
      <c r="I473" s="34"/>
      <c r="J473" s="34"/>
      <c r="K473" s="30"/>
    </row>
    <row r="474">
      <c r="A474" s="30"/>
      <c r="B474" s="31"/>
      <c r="C474" s="32"/>
      <c r="D474" s="33"/>
      <c r="E474" s="33"/>
      <c r="F474" s="33"/>
      <c r="G474" s="33"/>
      <c r="H474" s="34"/>
      <c r="I474" s="34"/>
      <c r="J474" s="34"/>
      <c r="K474" s="30"/>
    </row>
    <row r="475">
      <c r="A475" s="30"/>
      <c r="B475" s="31"/>
      <c r="C475" s="32"/>
      <c r="D475" s="33"/>
      <c r="E475" s="33"/>
      <c r="F475" s="33"/>
      <c r="G475" s="33"/>
      <c r="H475" s="34"/>
      <c r="I475" s="34"/>
      <c r="J475" s="34"/>
      <c r="K475" s="30"/>
    </row>
    <row r="476">
      <c r="A476" s="30"/>
      <c r="B476" s="31"/>
      <c r="C476" s="32"/>
      <c r="D476" s="33"/>
      <c r="E476" s="33"/>
      <c r="F476" s="33"/>
      <c r="G476" s="33"/>
      <c r="H476" s="34"/>
      <c r="I476" s="34"/>
      <c r="J476" s="34"/>
      <c r="K476" s="30"/>
    </row>
    <row r="477">
      <c r="A477" s="30"/>
      <c r="B477" s="31"/>
      <c r="C477" s="32"/>
      <c r="D477" s="33"/>
      <c r="E477" s="33"/>
      <c r="F477" s="33"/>
      <c r="G477" s="33"/>
      <c r="H477" s="34"/>
      <c r="I477" s="34"/>
      <c r="J477" s="34"/>
      <c r="K477" s="30"/>
    </row>
    <row r="478">
      <c r="A478" s="30"/>
      <c r="B478" s="31"/>
      <c r="C478" s="32"/>
      <c r="D478" s="33"/>
      <c r="E478" s="33"/>
      <c r="F478" s="33"/>
      <c r="G478" s="33"/>
      <c r="H478" s="34"/>
      <c r="I478" s="34"/>
      <c r="J478" s="34"/>
      <c r="K478" s="30"/>
    </row>
    <row r="479">
      <c r="A479" s="30"/>
      <c r="B479" s="31"/>
      <c r="C479" s="32"/>
      <c r="D479" s="33"/>
      <c r="E479" s="33"/>
      <c r="F479" s="33"/>
      <c r="G479" s="33"/>
      <c r="H479" s="34"/>
      <c r="I479" s="34"/>
      <c r="J479" s="34"/>
      <c r="K479" s="30"/>
    </row>
    <row r="480">
      <c r="A480" s="30"/>
      <c r="B480" s="31"/>
      <c r="C480" s="32"/>
      <c r="D480" s="33"/>
      <c r="E480" s="33"/>
      <c r="F480" s="33"/>
      <c r="G480" s="33"/>
      <c r="H480" s="34"/>
      <c r="I480" s="34"/>
      <c r="J480" s="34"/>
      <c r="K480" s="30"/>
    </row>
    <row r="481">
      <c r="A481" s="30"/>
      <c r="B481" s="31"/>
      <c r="C481" s="32"/>
      <c r="D481" s="33"/>
      <c r="E481" s="33"/>
      <c r="F481" s="33"/>
      <c r="G481" s="33"/>
      <c r="H481" s="34"/>
      <c r="I481" s="34"/>
      <c r="J481" s="34"/>
      <c r="K481" s="30"/>
    </row>
    <row r="482">
      <c r="A482" s="30"/>
      <c r="B482" s="31"/>
      <c r="C482" s="32"/>
      <c r="D482" s="33"/>
      <c r="E482" s="33"/>
      <c r="F482" s="33"/>
      <c r="G482" s="33"/>
      <c r="H482" s="34"/>
      <c r="I482" s="34"/>
      <c r="J482" s="34"/>
      <c r="K482" s="30"/>
    </row>
    <row r="483">
      <c r="A483" s="30"/>
      <c r="B483" s="31"/>
      <c r="C483" s="32"/>
      <c r="D483" s="33"/>
      <c r="E483" s="33"/>
      <c r="F483" s="33"/>
      <c r="G483" s="33"/>
      <c r="H483" s="34"/>
      <c r="I483" s="34"/>
      <c r="J483" s="34"/>
      <c r="K483" s="30"/>
    </row>
    <row r="484">
      <c r="A484" s="30"/>
      <c r="B484" s="31"/>
      <c r="C484" s="32"/>
      <c r="D484" s="33"/>
      <c r="E484" s="33"/>
      <c r="F484" s="33"/>
      <c r="G484" s="33"/>
      <c r="H484" s="34"/>
      <c r="I484" s="34"/>
      <c r="J484" s="34"/>
      <c r="K484" s="30"/>
    </row>
    <row r="485">
      <c r="A485" s="30"/>
      <c r="B485" s="31"/>
      <c r="C485" s="32"/>
      <c r="D485" s="33"/>
      <c r="E485" s="33"/>
      <c r="F485" s="33"/>
      <c r="G485" s="33"/>
      <c r="H485" s="34"/>
      <c r="I485" s="34"/>
      <c r="J485" s="34"/>
      <c r="K485" s="30"/>
    </row>
    <row r="486">
      <c r="A486" s="30"/>
      <c r="B486" s="31"/>
      <c r="C486" s="32"/>
      <c r="D486" s="33"/>
      <c r="E486" s="33"/>
      <c r="F486" s="33"/>
      <c r="G486" s="33"/>
      <c r="H486" s="34"/>
      <c r="I486" s="34"/>
      <c r="J486" s="34"/>
      <c r="K486" s="30"/>
    </row>
    <row r="487">
      <c r="A487" s="30"/>
      <c r="B487" s="31"/>
      <c r="C487" s="32"/>
      <c r="D487" s="33"/>
      <c r="E487" s="33"/>
      <c r="F487" s="33"/>
      <c r="G487" s="33"/>
      <c r="H487" s="34"/>
      <c r="I487" s="34"/>
      <c r="J487" s="34"/>
      <c r="K487" s="30"/>
    </row>
    <row r="488">
      <c r="A488" s="30"/>
      <c r="B488" s="31"/>
      <c r="C488" s="32"/>
      <c r="D488" s="33"/>
      <c r="E488" s="33"/>
      <c r="F488" s="33"/>
      <c r="G488" s="33"/>
      <c r="H488" s="34"/>
      <c r="I488" s="34"/>
      <c r="J488" s="34"/>
      <c r="K488" s="30"/>
    </row>
    <row r="489">
      <c r="A489" s="30"/>
      <c r="B489" s="31"/>
      <c r="C489" s="32"/>
      <c r="D489" s="33"/>
      <c r="E489" s="33"/>
      <c r="F489" s="33"/>
      <c r="G489" s="33"/>
      <c r="H489" s="34"/>
      <c r="I489" s="34"/>
      <c r="J489" s="34"/>
      <c r="K489" s="30"/>
    </row>
    <row r="490">
      <c r="A490" s="30"/>
      <c r="B490" s="31"/>
      <c r="C490" s="32"/>
      <c r="D490" s="33"/>
      <c r="E490" s="33"/>
      <c r="F490" s="33"/>
      <c r="G490" s="33"/>
      <c r="H490" s="34"/>
      <c r="I490" s="34"/>
      <c r="J490" s="34"/>
      <c r="K490" s="30"/>
    </row>
    <row r="491">
      <c r="A491" s="30"/>
      <c r="B491" s="31"/>
      <c r="C491" s="32"/>
      <c r="D491" s="33"/>
      <c r="E491" s="33"/>
      <c r="F491" s="33"/>
      <c r="G491" s="33"/>
      <c r="H491" s="34"/>
      <c r="I491" s="34"/>
      <c r="J491" s="34"/>
      <c r="K491" s="30"/>
    </row>
    <row r="492">
      <c r="A492" s="30"/>
      <c r="B492" s="31"/>
      <c r="C492" s="32"/>
      <c r="D492" s="33"/>
      <c r="E492" s="33"/>
      <c r="F492" s="33"/>
      <c r="G492" s="33"/>
      <c r="H492" s="34"/>
      <c r="I492" s="34"/>
      <c r="J492" s="34"/>
      <c r="K492" s="30"/>
    </row>
    <row r="493">
      <c r="A493" s="30"/>
      <c r="B493" s="31"/>
      <c r="C493" s="32"/>
      <c r="D493" s="33"/>
      <c r="E493" s="33"/>
      <c r="F493" s="33"/>
      <c r="G493" s="33"/>
      <c r="H493" s="34"/>
      <c r="I493" s="34"/>
      <c r="J493" s="34"/>
      <c r="K493" s="30"/>
    </row>
    <row r="494">
      <c r="A494" s="30"/>
      <c r="B494" s="31"/>
      <c r="C494" s="32"/>
      <c r="D494" s="33"/>
      <c r="E494" s="33"/>
      <c r="F494" s="33"/>
      <c r="G494" s="33"/>
      <c r="H494" s="34"/>
      <c r="I494" s="34"/>
      <c r="J494" s="34"/>
      <c r="K494" s="30"/>
    </row>
    <row r="495">
      <c r="A495" s="30"/>
      <c r="B495" s="31"/>
      <c r="C495" s="32"/>
      <c r="D495" s="33"/>
      <c r="E495" s="33"/>
      <c r="F495" s="33"/>
      <c r="G495" s="33"/>
      <c r="H495" s="34"/>
      <c r="I495" s="34"/>
      <c r="J495" s="34"/>
      <c r="K495" s="30"/>
    </row>
    <row r="496">
      <c r="A496" s="30"/>
      <c r="B496" s="31"/>
      <c r="C496" s="32"/>
      <c r="D496" s="33"/>
      <c r="E496" s="33"/>
      <c r="F496" s="33"/>
      <c r="G496" s="33"/>
      <c r="H496" s="34"/>
      <c r="I496" s="34"/>
      <c r="J496" s="34"/>
      <c r="K496" s="30"/>
    </row>
    <row r="497">
      <c r="A497" s="30"/>
      <c r="B497" s="31"/>
      <c r="C497" s="32"/>
      <c r="D497" s="33"/>
      <c r="E497" s="33"/>
      <c r="F497" s="33"/>
      <c r="G497" s="33"/>
      <c r="H497" s="34"/>
      <c r="I497" s="34"/>
      <c r="J497" s="34"/>
      <c r="K497" s="30"/>
    </row>
    <row r="498">
      <c r="A498" s="30"/>
      <c r="B498" s="31"/>
      <c r="C498" s="32"/>
      <c r="D498" s="33"/>
      <c r="E498" s="33"/>
      <c r="F498" s="33"/>
      <c r="G498" s="33"/>
      <c r="H498" s="34"/>
      <c r="I498" s="34"/>
      <c r="J498" s="34"/>
      <c r="K498" s="30"/>
    </row>
    <row r="499">
      <c r="A499" s="30"/>
      <c r="B499" s="31"/>
      <c r="C499" s="32"/>
      <c r="D499" s="33"/>
      <c r="E499" s="33"/>
      <c r="F499" s="33"/>
      <c r="G499" s="33"/>
      <c r="H499" s="34"/>
      <c r="I499" s="34"/>
      <c r="J499" s="34"/>
      <c r="K499" s="30"/>
    </row>
    <row r="500">
      <c r="A500" s="30"/>
      <c r="B500" s="31"/>
      <c r="C500" s="32"/>
      <c r="D500" s="33"/>
      <c r="E500" s="33"/>
      <c r="F500" s="33"/>
      <c r="G500" s="33"/>
      <c r="H500" s="34"/>
      <c r="I500" s="34"/>
      <c r="J500" s="34"/>
      <c r="K500" s="30"/>
    </row>
    <row r="501">
      <c r="A501" s="30"/>
      <c r="B501" s="31"/>
      <c r="C501" s="32"/>
      <c r="D501" s="33"/>
      <c r="E501" s="33"/>
      <c r="F501" s="33"/>
      <c r="G501" s="33"/>
      <c r="H501" s="34"/>
      <c r="I501" s="34"/>
      <c r="J501" s="34"/>
      <c r="K501" s="30"/>
    </row>
    <row r="502">
      <c r="A502" s="30"/>
      <c r="B502" s="31"/>
      <c r="C502" s="32"/>
      <c r="D502" s="33"/>
      <c r="E502" s="33"/>
      <c r="F502" s="33"/>
      <c r="G502" s="33"/>
      <c r="H502" s="34"/>
      <c r="I502" s="34"/>
      <c r="J502" s="34"/>
      <c r="K502" s="30"/>
    </row>
    <row r="503">
      <c r="A503" s="30"/>
      <c r="B503" s="31"/>
      <c r="C503" s="32"/>
      <c r="D503" s="33"/>
      <c r="E503" s="33"/>
      <c r="F503" s="33"/>
      <c r="G503" s="33"/>
      <c r="H503" s="34"/>
      <c r="I503" s="34"/>
      <c r="J503" s="34"/>
      <c r="K503" s="30"/>
    </row>
    <row r="504">
      <c r="A504" s="30"/>
      <c r="B504" s="31"/>
      <c r="C504" s="32"/>
      <c r="D504" s="33"/>
      <c r="E504" s="33"/>
      <c r="F504" s="33"/>
      <c r="G504" s="33"/>
      <c r="H504" s="34"/>
      <c r="I504" s="34"/>
      <c r="J504" s="34"/>
      <c r="K504" s="30"/>
    </row>
    <row r="505">
      <c r="A505" s="30"/>
      <c r="B505" s="31"/>
      <c r="C505" s="32"/>
      <c r="D505" s="33"/>
      <c r="E505" s="33"/>
      <c r="F505" s="33"/>
      <c r="G505" s="33"/>
      <c r="H505" s="34"/>
      <c r="I505" s="34"/>
      <c r="J505" s="34"/>
      <c r="K505" s="30"/>
    </row>
    <row r="506">
      <c r="A506" s="30"/>
      <c r="B506" s="31"/>
      <c r="C506" s="32"/>
      <c r="D506" s="33"/>
      <c r="E506" s="33"/>
      <c r="F506" s="33"/>
      <c r="G506" s="33"/>
      <c r="H506" s="34"/>
      <c r="I506" s="34"/>
      <c r="J506" s="34"/>
      <c r="K506" s="30"/>
    </row>
    <row r="507">
      <c r="A507" s="30"/>
      <c r="B507" s="31"/>
      <c r="C507" s="32"/>
      <c r="D507" s="33"/>
      <c r="E507" s="33"/>
      <c r="F507" s="33"/>
      <c r="G507" s="33"/>
      <c r="H507" s="34"/>
      <c r="I507" s="34"/>
      <c r="J507" s="34"/>
      <c r="K507" s="30"/>
    </row>
    <row r="508">
      <c r="A508" s="30"/>
      <c r="B508" s="31"/>
      <c r="C508" s="32"/>
      <c r="D508" s="33"/>
      <c r="E508" s="33"/>
      <c r="F508" s="33"/>
      <c r="G508" s="33"/>
      <c r="H508" s="34"/>
      <c r="I508" s="34"/>
      <c r="J508" s="34"/>
      <c r="K508" s="30"/>
    </row>
    <row r="509">
      <c r="A509" s="30"/>
      <c r="B509" s="31"/>
      <c r="C509" s="32"/>
      <c r="D509" s="33"/>
      <c r="E509" s="33"/>
      <c r="F509" s="33"/>
      <c r="G509" s="33"/>
      <c r="H509" s="34"/>
      <c r="I509" s="34"/>
      <c r="J509" s="34"/>
      <c r="K509" s="30"/>
    </row>
    <row r="510">
      <c r="A510" s="30"/>
      <c r="B510" s="31"/>
      <c r="C510" s="32"/>
      <c r="D510" s="33"/>
      <c r="E510" s="33"/>
      <c r="F510" s="33"/>
      <c r="G510" s="33"/>
      <c r="H510" s="34"/>
      <c r="I510" s="34"/>
      <c r="J510" s="34"/>
      <c r="K510" s="30"/>
    </row>
    <row r="511">
      <c r="A511" s="30"/>
      <c r="B511" s="31"/>
      <c r="C511" s="32"/>
      <c r="D511" s="33"/>
      <c r="E511" s="33"/>
      <c r="F511" s="33"/>
      <c r="G511" s="33"/>
      <c r="H511" s="34"/>
      <c r="I511" s="34"/>
      <c r="J511" s="34"/>
      <c r="K511" s="30"/>
    </row>
    <row r="512">
      <c r="A512" s="30"/>
      <c r="B512" s="31"/>
      <c r="C512" s="32"/>
      <c r="D512" s="33"/>
      <c r="E512" s="33"/>
      <c r="F512" s="33"/>
      <c r="G512" s="33"/>
      <c r="H512" s="34"/>
      <c r="I512" s="34"/>
      <c r="J512" s="34"/>
      <c r="K512" s="30"/>
    </row>
    <row r="513">
      <c r="A513" s="30"/>
      <c r="B513" s="31"/>
      <c r="C513" s="32"/>
      <c r="D513" s="33"/>
      <c r="E513" s="33"/>
      <c r="F513" s="33"/>
      <c r="G513" s="33"/>
      <c r="H513" s="34"/>
      <c r="I513" s="34"/>
      <c r="J513" s="34"/>
      <c r="K513" s="30"/>
    </row>
    <row r="514">
      <c r="A514" s="30"/>
      <c r="B514" s="31"/>
      <c r="C514" s="32"/>
      <c r="D514" s="33"/>
      <c r="E514" s="33"/>
      <c r="F514" s="33"/>
      <c r="G514" s="33"/>
      <c r="H514" s="34"/>
      <c r="I514" s="34"/>
      <c r="J514" s="34"/>
      <c r="K514" s="30"/>
    </row>
    <row r="515">
      <c r="A515" s="30"/>
      <c r="B515" s="31"/>
      <c r="C515" s="32"/>
      <c r="D515" s="33"/>
      <c r="E515" s="33"/>
      <c r="F515" s="33"/>
      <c r="G515" s="33"/>
      <c r="H515" s="34"/>
      <c r="I515" s="34"/>
      <c r="J515" s="34"/>
      <c r="K515" s="30"/>
    </row>
    <row r="516">
      <c r="A516" s="30"/>
      <c r="B516" s="31"/>
      <c r="C516" s="32"/>
      <c r="D516" s="33"/>
      <c r="E516" s="33"/>
      <c r="F516" s="33"/>
      <c r="G516" s="33"/>
      <c r="H516" s="34"/>
      <c r="I516" s="34"/>
      <c r="J516" s="34"/>
      <c r="K516" s="30"/>
    </row>
    <row r="517">
      <c r="A517" s="30"/>
      <c r="B517" s="31"/>
      <c r="C517" s="32"/>
      <c r="D517" s="33"/>
      <c r="E517" s="33"/>
      <c r="F517" s="33"/>
      <c r="G517" s="33"/>
      <c r="H517" s="34"/>
      <c r="I517" s="34"/>
      <c r="J517" s="34"/>
      <c r="K517" s="30"/>
    </row>
    <row r="518">
      <c r="A518" s="30"/>
      <c r="B518" s="31"/>
      <c r="C518" s="32"/>
      <c r="D518" s="33"/>
      <c r="E518" s="33"/>
      <c r="F518" s="33"/>
      <c r="G518" s="33"/>
      <c r="H518" s="34"/>
      <c r="I518" s="34"/>
      <c r="J518" s="34"/>
      <c r="K518" s="30"/>
    </row>
    <row r="519">
      <c r="A519" s="30"/>
      <c r="B519" s="31"/>
      <c r="C519" s="32"/>
      <c r="D519" s="33"/>
      <c r="E519" s="33"/>
      <c r="F519" s="33"/>
      <c r="G519" s="33"/>
      <c r="H519" s="34"/>
      <c r="I519" s="34"/>
      <c r="J519" s="34"/>
      <c r="K519" s="30"/>
    </row>
    <row r="520">
      <c r="A520" s="30"/>
      <c r="B520" s="31"/>
      <c r="C520" s="32"/>
      <c r="D520" s="33"/>
      <c r="E520" s="33"/>
      <c r="F520" s="33"/>
      <c r="G520" s="33"/>
      <c r="H520" s="34"/>
      <c r="I520" s="34"/>
      <c r="J520" s="34"/>
      <c r="K520" s="30"/>
    </row>
    <row r="521">
      <c r="A521" s="30"/>
      <c r="B521" s="31"/>
      <c r="C521" s="32"/>
      <c r="D521" s="33"/>
      <c r="E521" s="33"/>
      <c r="F521" s="33"/>
      <c r="G521" s="33"/>
      <c r="H521" s="34"/>
      <c r="I521" s="34"/>
      <c r="J521" s="34"/>
      <c r="K521" s="30"/>
    </row>
    <row r="522">
      <c r="A522" s="30"/>
      <c r="B522" s="31"/>
      <c r="C522" s="32"/>
      <c r="D522" s="33"/>
      <c r="E522" s="33"/>
      <c r="F522" s="33"/>
      <c r="G522" s="33"/>
      <c r="H522" s="34"/>
      <c r="I522" s="34"/>
      <c r="J522" s="34"/>
      <c r="K522" s="30"/>
    </row>
    <row r="523">
      <c r="A523" s="30"/>
      <c r="B523" s="31"/>
      <c r="C523" s="32"/>
      <c r="D523" s="33"/>
      <c r="E523" s="33"/>
      <c r="F523" s="33"/>
      <c r="G523" s="33"/>
      <c r="H523" s="34"/>
      <c r="I523" s="34"/>
      <c r="J523" s="34"/>
      <c r="K523" s="30"/>
    </row>
    <row r="524">
      <c r="A524" s="30"/>
      <c r="B524" s="31"/>
      <c r="C524" s="32"/>
      <c r="D524" s="33"/>
      <c r="E524" s="33"/>
      <c r="F524" s="33"/>
      <c r="G524" s="33"/>
      <c r="H524" s="34"/>
      <c r="I524" s="34"/>
      <c r="J524" s="34"/>
      <c r="K524" s="30"/>
    </row>
    <row r="525">
      <c r="A525" s="30"/>
      <c r="B525" s="31"/>
      <c r="C525" s="32"/>
      <c r="D525" s="33"/>
      <c r="E525" s="33"/>
      <c r="F525" s="33"/>
      <c r="G525" s="33"/>
      <c r="H525" s="34"/>
      <c r="I525" s="34"/>
      <c r="J525" s="34"/>
      <c r="K525" s="30"/>
    </row>
    <row r="526">
      <c r="A526" s="30"/>
      <c r="B526" s="31"/>
      <c r="C526" s="32"/>
      <c r="D526" s="33"/>
      <c r="E526" s="33"/>
      <c r="F526" s="33"/>
      <c r="G526" s="33"/>
      <c r="H526" s="34"/>
      <c r="I526" s="34"/>
      <c r="J526" s="34"/>
      <c r="K526" s="30"/>
    </row>
    <row r="527">
      <c r="A527" s="30"/>
      <c r="B527" s="31"/>
      <c r="C527" s="32"/>
      <c r="D527" s="33"/>
      <c r="E527" s="33"/>
      <c r="F527" s="33"/>
      <c r="G527" s="33"/>
      <c r="H527" s="34"/>
      <c r="I527" s="34"/>
      <c r="J527" s="34"/>
      <c r="K527" s="30"/>
    </row>
    <row r="528">
      <c r="A528" s="30"/>
      <c r="B528" s="31"/>
      <c r="C528" s="32"/>
      <c r="D528" s="33"/>
      <c r="E528" s="33"/>
      <c r="F528" s="33"/>
      <c r="G528" s="33"/>
      <c r="H528" s="34"/>
      <c r="I528" s="34"/>
      <c r="J528" s="34"/>
      <c r="K528" s="30"/>
    </row>
    <row r="529">
      <c r="A529" s="30"/>
      <c r="B529" s="31"/>
      <c r="C529" s="32"/>
      <c r="D529" s="33"/>
      <c r="E529" s="33"/>
      <c r="F529" s="33"/>
      <c r="G529" s="33"/>
      <c r="H529" s="34"/>
      <c r="I529" s="34"/>
      <c r="J529" s="34"/>
      <c r="K529" s="30"/>
    </row>
    <row r="530">
      <c r="A530" s="30"/>
      <c r="B530" s="31"/>
      <c r="C530" s="32"/>
      <c r="D530" s="33"/>
      <c r="E530" s="33"/>
      <c r="F530" s="33"/>
      <c r="G530" s="33"/>
      <c r="H530" s="34"/>
      <c r="I530" s="34"/>
      <c r="J530" s="34"/>
      <c r="K530" s="30"/>
    </row>
    <row r="531">
      <c r="A531" s="30"/>
      <c r="B531" s="31"/>
      <c r="C531" s="32"/>
      <c r="D531" s="33"/>
      <c r="E531" s="33"/>
      <c r="F531" s="33"/>
      <c r="G531" s="33"/>
      <c r="H531" s="34"/>
      <c r="I531" s="34"/>
      <c r="J531" s="34"/>
      <c r="K531" s="30"/>
    </row>
    <row r="532">
      <c r="A532" s="30"/>
      <c r="B532" s="31"/>
      <c r="C532" s="32"/>
      <c r="D532" s="33"/>
      <c r="E532" s="33"/>
      <c r="F532" s="33"/>
      <c r="G532" s="33"/>
      <c r="H532" s="34"/>
      <c r="I532" s="34"/>
      <c r="J532" s="34"/>
      <c r="K532" s="30"/>
    </row>
    <row r="533">
      <c r="A533" s="30"/>
      <c r="B533" s="31"/>
      <c r="C533" s="32"/>
      <c r="D533" s="33"/>
      <c r="E533" s="33"/>
      <c r="F533" s="33"/>
      <c r="G533" s="33"/>
      <c r="H533" s="34"/>
      <c r="I533" s="34"/>
      <c r="J533" s="34"/>
      <c r="K533" s="30"/>
    </row>
    <row r="534">
      <c r="A534" s="30"/>
      <c r="B534" s="31"/>
      <c r="C534" s="32"/>
      <c r="D534" s="33"/>
      <c r="E534" s="33"/>
      <c r="F534" s="33"/>
      <c r="G534" s="33"/>
      <c r="H534" s="34"/>
      <c r="I534" s="34"/>
      <c r="J534" s="34"/>
      <c r="K534" s="30"/>
    </row>
    <row r="535">
      <c r="A535" s="30"/>
      <c r="B535" s="31"/>
      <c r="C535" s="32"/>
      <c r="D535" s="33"/>
      <c r="E535" s="33"/>
      <c r="F535" s="33"/>
      <c r="G535" s="33"/>
      <c r="H535" s="34"/>
      <c r="I535" s="34"/>
      <c r="J535" s="34"/>
      <c r="K535" s="30"/>
    </row>
    <row r="536">
      <c r="A536" s="30"/>
      <c r="B536" s="31"/>
      <c r="C536" s="32"/>
      <c r="D536" s="33"/>
      <c r="E536" s="33"/>
      <c r="F536" s="33"/>
      <c r="G536" s="33"/>
      <c r="H536" s="34"/>
      <c r="I536" s="34"/>
      <c r="J536" s="34"/>
      <c r="K536" s="30"/>
    </row>
    <row r="537">
      <c r="A537" s="30"/>
      <c r="B537" s="31"/>
      <c r="C537" s="32"/>
      <c r="D537" s="33"/>
      <c r="E537" s="33"/>
      <c r="F537" s="33"/>
      <c r="G537" s="33"/>
      <c r="H537" s="34"/>
      <c r="I537" s="34"/>
      <c r="J537" s="34"/>
      <c r="K537" s="30"/>
    </row>
    <row r="538">
      <c r="A538" s="30"/>
      <c r="B538" s="31"/>
      <c r="C538" s="32"/>
      <c r="D538" s="33"/>
      <c r="E538" s="33"/>
      <c r="F538" s="33"/>
      <c r="G538" s="33"/>
      <c r="H538" s="34"/>
      <c r="I538" s="34"/>
      <c r="J538" s="34"/>
      <c r="K538" s="30"/>
    </row>
    <row r="539">
      <c r="A539" s="30"/>
      <c r="B539" s="31"/>
      <c r="C539" s="32"/>
      <c r="D539" s="33"/>
      <c r="E539" s="33"/>
      <c r="F539" s="33"/>
      <c r="G539" s="33"/>
      <c r="H539" s="34"/>
      <c r="I539" s="34"/>
      <c r="J539" s="34"/>
      <c r="K539" s="30"/>
    </row>
    <row r="540">
      <c r="A540" s="30"/>
      <c r="B540" s="31"/>
      <c r="C540" s="32"/>
      <c r="D540" s="33"/>
      <c r="E540" s="33"/>
      <c r="F540" s="33"/>
      <c r="G540" s="33"/>
      <c r="H540" s="34"/>
      <c r="I540" s="34"/>
      <c r="J540" s="34"/>
      <c r="K540" s="30"/>
    </row>
    <row r="541">
      <c r="A541" s="30"/>
      <c r="B541" s="31"/>
      <c r="C541" s="32"/>
      <c r="D541" s="33"/>
      <c r="E541" s="33"/>
      <c r="F541" s="33"/>
      <c r="G541" s="33"/>
      <c r="H541" s="34"/>
      <c r="I541" s="34"/>
      <c r="J541" s="34"/>
      <c r="K541" s="30"/>
    </row>
    <row r="542">
      <c r="A542" s="30"/>
      <c r="B542" s="31"/>
      <c r="C542" s="32"/>
      <c r="D542" s="33"/>
      <c r="E542" s="33"/>
      <c r="F542" s="33"/>
      <c r="G542" s="33"/>
      <c r="H542" s="34"/>
      <c r="I542" s="34"/>
      <c r="J542" s="34"/>
      <c r="K542" s="30"/>
    </row>
    <row r="543">
      <c r="A543" s="30"/>
      <c r="B543" s="31"/>
      <c r="C543" s="32"/>
      <c r="D543" s="33"/>
      <c r="E543" s="33"/>
      <c r="F543" s="33"/>
      <c r="G543" s="33"/>
      <c r="H543" s="34"/>
      <c r="I543" s="34"/>
      <c r="J543" s="34"/>
      <c r="K543" s="30"/>
    </row>
    <row r="544">
      <c r="A544" s="30"/>
      <c r="B544" s="31"/>
      <c r="C544" s="32"/>
      <c r="D544" s="33"/>
      <c r="E544" s="33"/>
      <c r="F544" s="33"/>
      <c r="G544" s="33"/>
      <c r="H544" s="34"/>
      <c r="I544" s="34"/>
      <c r="J544" s="34"/>
      <c r="K544" s="30"/>
    </row>
    <row r="545">
      <c r="A545" s="30"/>
      <c r="B545" s="31"/>
      <c r="C545" s="32"/>
      <c r="D545" s="33"/>
      <c r="E545" s="33"/>
      <c r="F545" s="33"/>
      <c r="G545" s="33"/>
      <c r="H545" s="34"/>
      <c r="I545" s="34"/>
      <c r="J545" s="34"/>
      <c r="K545" s="30"/>
    </row>
    <row r="546">
      <c r="A546" s="30"/>
      <c r="B546" s="31"/>
      <c r="C546" s="32"/>
      <c r="D546" s="33"/>
      <c r="E546" s="33"/>
      <c r="F546" s="33"/>
      <c r="G546" s="33"/>
      <c r="H546" s="34"/>
      <c r="I546" s="34"/>
      <c r="J546" s="34"/>
      <c r="K546" s="30"/>
    </row>
    <row r="547">
      <c r="A547" s="30"/>
      <c r="B547" s="31"/>
      <c r="C547" s="32"/>
      <c r="D547" s="33"/>
      <c r="E547" s="33"/>
      <c r="F547" s="33"/>
      <c r="G547" s="33"/>
      <c r="H547" s="34"/>
      <c r="I547" s="34"/>
      <c r="J547" s="34"/>
      <c r="K547" s="30"/>
    </row>
    <row r="548">
      <c r="A548" s="30"/>
      <c r="B548" s="31"/>
      <c r="C548" s="32"/>
      <c r="D548" s="33"/>
      <c r="E548" s="33"/>
      <c r="F548" s="33"/>
      <c r="G548" s="33"/>
      <c r="H548" s="34"/>
      <c r="I548" s="34"/>
      <c r="J548" s="34"/>
      <c r="K548" s="30"/>
    </row>
    <row r="549">
      <c r="A549" s="30"/>
      <c r="B549" s="31"/>
      <c r="C549" s="32"/>
      <c r="D549" s="33"/>
      <c r="E549" s="33"/>
      <c r="F549" s="33"/>
      <c r="G549" s="33"/>
      <c r="H549" s="34"/>
      <c r="I549" s="34"/>
      <c r="J549" s="34"/>
      <c r="K549" s="30"/>
    </row>
    <row r="550">
      <c r="A550" s="30"/>
      <c r="B550" s="31"/>
      <c r="C550" s="32"/>
      <c r="D550" s="33"/>
      <c r="E550" s="33"/>
      <c r="F550" s="33"/>
      <c r="G550" s="33"/>
      <c r="H550" s="34"/>
      <c r="I550" s="34"/>
      <c r="J550" s="34"/>
      <c r="K550" s="30"/>
    </row>
    <row r="551">
      <c r="A551" s="30"/>
      <c r="B551" s="31"/>
      <c r="C551" s="32"/>
      <c r="D551" s="33"/>
      <c r="E551" s="33"/>
      <c r="F551" s="33"/>
      <c r="G551" s="33"/>
      <c r="H551" s="34"/>
      <c r="I551" s="34"/>
      <c r="J551" s="34"/>
      <c r="K551" s="30"/>
    </row>
    <row r="552">
      <c r="A552" s="30"/>
      <c r="B552" s="31"/>
      <c r="C552" s="32"/>
      <c r="D552" s="33"/>
      <c r="E552" s="33"/>
      <c r="F552" s="33"/>
      <c r="G552" s="33"/>
      <c r="H552" s="34"/>
      <c r="I552" s="34"/>
      <c r="J552" s="34"/>
      <c r="K552" s="30"/>
    </row>
    <row r="553">
      <c r="A553" s="30"/>
      <c r="B553" s="31"/>
      <c r="C553" s="32"/>
      <c r="D553" s="33"/>
      <c r="E553" s="33"/>
      <c r="F553" s="33"/>
      <c r="G553" s="33"/>
      <c r="H553" s="34"/>
      <c r="I553" s="34"/>
      <c r="J553" s="34"/>
      <c r="K553" s="30"/>
    </row>
    <row r="554">
      <c r="A554" s="30"/>
      <c r="B554" s="31"/>
      <c r="C554" s="32"/>
      <c r="D554" s="33"/>
      <c r="E554" s="33"/>
      <c r="F554" s="33"/>
      <c r="G554" s="33"/>
      <c r="H554" s="34"/>
      <c r="I554" s="34"/>
      <c r="J554" s="34"/>
      <c r="K554" s="30"/>
    </row>
    <row r="555">
      <c r="A555" s="30"/>
      <c r="B555" s="31"/>
      <c r="C555" s="32"/>
      <c r="D555" s="33"/>
      <c r="E555" s="33"/>
      <c r="F555" s="33"/>
      <c r="G555" s="33"/>
      <c r="H555" s="34"/>
      <c r="I555" s="34"/>
      <c r="J555" s="34"/>
      <c r="K555" s="30"/>
    </row>
    <row r="556">
      <c r="A556" s="30"/>
      <c r="B556" s="31"/>
      <c r="C556" s="32"/>
      <c r="D556" s="33"/>
      <c r="E556" s="33"/>
      <c r="F556" s="33"/>
      <c r="G556" s="33"/>
      <c r="H556" s="34"/>
      <c r="I556" s="34"/>
      <c r="J556" s="34"/>
      <c r="K556" s="30"/>
    </row>
    <row r="557">
      <c r="A557" s="30"/>
      <c r="B557" s="31"/>
      <c r="C557" s="32"/>
      <c r="D557" s="33"/>
      <c r="E557" s="33"/>
      <c r="F557" s="33"/>
      <c r="G557" s="33"/>
      <c r="H557" s="34"/>
      <c r="I557" s="34"/>
      <c r="J557" s="34"/>
      <c r="K557" s="30"/>
    </row>
    <row r="558">
      <c r="A558" s="30"/>
      <c r="B558" s="31"/>
      <c r="C558" s="32"/>
      <c r="D558" s="33"/>
      <c r="E558" s="33"/>
      <c r="F558" s="33"/>
      <c r="G558" s="33"/>
      <c r="H558" s="34"/>
      <c r="I558" s="34"/>
      <c r="J558" s="34"/>
      <c r="K558" s="30"/>
    </row>
    <row r="559">
      <c r="A559" s="30"/>
      <c r="B559" s="31"/>
      <c r="C559" s="32"/>
      <c r="D559" s="33"/>
      <c r="E559" s="33"/>
      <c r="F559" s="33"/>
      <c r="G559" s="33"/>
      <c r="H559" s="34"/>
      <c r="I559" s="34"/>
      <c r="J559" s="34"/>
      <c r="K559" s="30"/>
    </row>
    <row r="560">
      <c r="A560" s="30"/>
      <c r="B560" s="31"/>
      <c r="C560" s="32"/>
      <c r="D560" s="33"/>
      <c r="E560" s="33"/>
      <c r="F560" s="33"/>
      <c r="G560" s="33"/>
      <c r="H560" s="34"/>
      <c r="I560" s="34"/>
      <c r="J560" s="34"/>
      <c r="K560" s="30"/>
    </row>
    <row r="561">
      <c r="A561" s="30"/>
      <c r="B561" s="31"/>
      <c r="C561" s="32"/>
      <c r="D561" s="33"/>
      <c r="E561" s="33"/>
      <c r="F561" s="33"/>
      <c r="G561" s="33"/>
      <c r="H561" s="34"/>
      <c r="I561" s="34"/>
      <c r="J561" s="34"/>
      <c r="K561" s="30"/>
    </row>
    <row r="562">
      <c r="A562" s="30"/>
      <c r="B562" s="31"/>
      <c r="C562" s="32"/>
      <c r="D562" s="33"/>
      <c r="E562" s="33"/>
      <c r="F562" s="33"/>
      <c r="G562" s="33"/>
      <c r="H562" s="34"/>
      <c r="I562" s="34"/>
      <c r="J562" s="34"/>
      <c r="K562" s="30"/>
    </row>
    <row r="563">
      <c r="A563" s="30"/>
      <c r="B563" s="31"/>
      <c r="C563" s="32"/>
      <c r="D563" s="33"/>
      <c r="E563" s="33"/>
      <c r="F563" s="33"/>
      <c r="G563" s="33"/>
      <c r="H563" s="34"/>
      <c r="I563" s="34"/>
      <c r="J563" s="34"/>
      <c r="K563" s="30"/>
    </row>
    <row r="564">
      <c r="A564" s="30"/>
      <c r="B564" s="31"/>
      <c r="C564" s="32"/>
      <c r="D564" s="33"/>
      <c r="E564" s="33"/>
      <c r="F564" s="33"/>
      <c r="G564" s="33"/>
      <c r="H564" s="34"/>
      <c r="I564" s="34"/>
      <c r="J564" s="34"/>
      <c r="K564" s="30"/>
    </row>
    <row r="565">
      <c r="A565" s="30"/>
      <c r="B565" s="31"/>
      <c r="C565" s="32"/>
      <c r="D565" s="33"/>
      <c r="E565" s="33"/>
      <c r="F565" s="33"/>
      <c r="G565" s="33"/>
      <c r="H565" s="34"/>
      <c r="I565" s="34"/>
      <c r="J565" s="34"/>
      <c r="K565" s="30"/>
    </row>
    <row r="566">
      <c r="A566" s="30"/>
      <c r="B566" s="31"/>
      <c r="C566" s="32"/>
      <c r="D566" s="33"/>
      <c r="E566" s="33"/>
      <c r="F566" s="33"/>
      <c r="G566" s="33"/>
      <c r="H566" s="34"/>
      <c r="I566" s="34"/>
      <c r="J566" s="34"/>
      <c r="K566" s="30"/>
    </row>
    <row r="567">
      <c r="A567" s="30"/>
      <c r="B567" s="31"/>
      <c r="C567" s="32"/>
      <c r="D567" s="33"/>
      <c r="E567" s="33"/>
      <c r="F567" s="33"/>
      <c r="G567" s="33"/>
      <c r="H567" s="34"/>
      <c r="I567" s="34"/>
      <c r="J567" s="34"/>
      <c r="K567" s="30"/>
    </row>
    <row r="568">
      <c r="A568" s="30"/>
      <c r="B568" s="31"/>
      <c r="C568" s="32"/>
      <c r="D568" s="33"/>
      <c r="E568" s="33"/>
      <c r="F568" s="33"/>
      <c r="G568" s="33"/>
      <c r="H568" s="34"/>
      <c r="I568" s="34"/>
      <c r="J568" s="34"/>
      <c r="K568" s="30"/>
    </row>
    <row r="569">
      <c r="A569" s="30"/>
      <c r="B569" s="31"/>
      <c r="C569" s="32"/>
      <c r="D569" s="33"/>
      <c r="E569" s="33"/>
      <c r="F569" s="33"/>
      <c r="G569" s="33"/>
      <c r="H569" s="34"/>
      <c r="I569" s="34"/>
      <c r="J569" s="34"/>
      <c r="K569" s="30"/>
    </row>
    <row r="570">
      <c r="A570" s="30"/>
      <c r="B570" s="31"/>
      <c r="C570" s="32"/>
      <c r="D570" s="33"/>
      <c r="E570" s="33"/>
      <c r="F570" s="33"/>
      <c r="G570" s="33"/>
      <c r="H570" s="34"/>
      <c r="I570" s="34"/>
      <c r="J570" s="34"/>
      <c r="K570" s="30"/>
    </row>
    <row r="571">
      <c r="A571" s="30"/>
      <c r="B571" s="31"/>
      <c r="C571" s="32"/>
      <c r="D571" s="33"/>
      <c r="E571" s="33"/>
      <c r="F571" s="33"/>
      <c r="G571" s="33"/>
      <c r="H571" s="34"/>
      <c r="I571" s="34"/>
      <c r="J571" s="34"/>
      <c r="K571" s="30"/>
    </row>
    <row r="572">
      <c r="A572" s="30"/>
      <c r="B572" s="31"/>
      <c r="C572" s="32"/>
      <c r="D572" s="33"/>
      <c r="E572" s="33"/>
      <c r="F572" s="33"/>
      <c r="G572" s="33"/>
      <c r="H572" s="34"/>
      <c r="I572" s="34"/>
      <c r="J572" s="34"/>
      <c r="K572" s="30"/>
    </row>
    <row r="573">
      <c r="A573" s="30"/>
      <c r="B573" s="31"/>
      <c r="C573" s="32"/>
      <c r="D573" s="33"/>
      <c r="E573" s="33"/>
      <c r="F573" s="33"/>
      <c r="G573" s="33"/>
      <c r="H573" s="34"/>
      <c r="I573" s="34"/>
      <c r="J573" s="34"/>
      <c r="K573" s="30"/>
    </row>
    <row r="574">
      <c r="A574" s="30"/>
      <c r="B574" s="31"/>
      <c r="C574" s="32"/>
      <c r="D574" s="33"/>
      <c r="E574" s="33"/>
      <c r="F574" s="33"/>
      <c r="G574" s="33"/>
      <c r="H574" s="34"/>
      <c r="I574" s="34"/>
      <c r="J574" s="34"/>
      <c r="K574" s="30"/>
    </row>
    <row r="575">
      <c r="A575" s="30"/>
      <c r="B575" s="31"/>
      <c r="C575" s="32"/>
      <c r="D575" s="33"/>
      <c r="E575" s="33"/>
      <c r="F575" s="33"/>
      <c r="G575" s="33"/>
      <c r="H575" s="34"/>
      <c r="I575" s="34"/>
      <c r="J575" s="34"/>
      <c r="K575" s="30"/>
    </row>
    <row r="576">
      <c r="A576" s="30"/>
      <c r="B576" s="31"/>
      <c r="C576" s="32"/>
      <c r="D576" s="33"/>
      <c r="E576" s="33"/>
      <c r="F576" s="33"/>
      <c r="G576" s="33"/>
      <c r="H576" s="34"/>
      <c r="I576" s="34"/>
      <c r="J576" s="34"/>
      <c r="K576" s="30"/>
    </row>
    <row r="577">
      <c r="A577" s="30"/>
      <c r="B577" s="31"/>
      <c r="C577" s="32"/>
      <c r="D577" s="33"/>
      <c r="E577" s="33"/>
      <c r="F577" s="33"/>
      <c r="G577" s="33"/>
      <c r="H577" s="34"/>
      <c r="I577" s="34"/>
      <c r="J577" s="34"/>
      <c r="K577" s="30"/>
    </row>
    <row r="578">
      <c r="A578" s="30"/>
      <c r="B578" s="31"/>
      <c r="C578" s="32"/>
      <c r="D578" s="33"/>
      <c r="E578" s="33"/>
      <c r="F578" s="33"/>
      <c r="G578" s="33"/>
      <c r="H578" s="34"/>
      <c r="I578" s="34"/>
      <c r="J578" s="34"/>
      <c r="K578" s="30"/>
    </row>
    <row r="579">
      <c r="A579" s="30"/>
      <c r="B579" s="31"/>
      <c r="C579" s="32"/>
      <c r="D579" s="33"/>
      <c r="E579" s="33"/>
      <c r="F579" s="33"/>
      <c r="G579" s="33"/>
      <c r="H579" s="34"/>
      <c r="I579" s="34"/>
      <c r="J579" s="34"/>
      <c r="K579" s="30"/>
    </row>
    <row r="580">
      <c r="A580" s="30"/>
      <c r="B580" s="31"/>
      <c r="C580" s="32"/>
      <c r="D580" s="33"/>
      <c r="E580" s="33"/>
      <c r="F580" s="33"/>
      <c r="G580" s="33"/>
      <c r="H580" s="34"/>
      <c r="I580" s="34"/>
      <c r="J580" s="34"/>
      <c r="K580" s="30"/>
    </row>
    <row r="581">
      <c r="A581" s="30"/>
      <c r="B581" s="31"/>
      <c r="C581" s="32"/>
      <c r="D581" s="33"/>
      <c r="E581" s="33"/>
      <c r="F581" s="33"/>
      <c r="G581" s="33"/>
      <c r="H581" s="34"/>
      <c r="I581" s="34"/>
      <c r="J581" s="34"/>
      <c r="K581" s="30"/>
    </row>
    <row r="582">
      <c r="A582" s="30"/>
      <c r="B582" s="31"/>
      <c r="C582" s="32"/>
      <c r="D582" s="33"/>
      <c r="E582" s="33"/>
      <c r="F582" s="33"/>
      <c r="G582" s="33"/>
      <c r="H582" s="34"/>
      <c r="I582" s="34"/>
      <c r="J582" s="34"/>
      <c r="K582" s="30"/>
    </row>
    <row r="583">
      <c r="A583" s="30"/>
      <c r="B583" s="31"/>
      <c r="C583" s="32"/>
      <c r="D583" s="33"/>
      <c r="E583" s="33"/>
      <c r="F583" s="33"/>
      <c r="G583" s="33"/>
      <c r="H583" s="34"/>
      <c r="I583" s="34"/>
      <c r="J583" s="34"/>
      <c r="K583" s="30"/>
    </row>
    <row r="584">
      <c r="A584" s="30"/>
      <c r="B584" s="31"/>
      <c r="C584" s="32"/>
      <c r="D584" s="33"/>
      <c r="E584" s="33"/>
      <c r="F584" s="33"/>
      <c r="G584" s="33"/>
      <c r="H584" s="34"/>
      <c r="I584" s="34"/>
      <c r="J584" s="34"/>
      <c r="K584" s="30"/>
    </row>
    <row r="585">
      <c r="A585" s="30"/>
      <c r="B585" s="31"/>
      <c r="C585" s="32"/>
      <c r="D585" s="33"/>
      <c r="E585" s="33"/>
      <c r="F585" s="33"/>
      <c r="G585" s="33"/>
      <c r="H585" s="34"/>
      <c r="I585" s="34"/>
      <c r="J585" s="34"/>
      <c r="K585" s="30"/>
    </row>
    <row r="586">
      <c r="A586" s="30"/>
      <c r="B586" s="31"/>
      <c r="C586" s="32"/>
      <c r="D586" s="33"/>
      <c r="E586" s="33"/>
      <c r="F586" s="33"/>
      <c r="G586" s="33"/>
      <c r="H586" s="34"/>
      <c r="I586" s="34"/>
      <c r="J586" s="34"/>
      <c r="K586" s="30"/>
    </row>
    <row r="587">
      <c r="A587" s="30"/>
      <c r="B587" s="31"/>
      <c r="C587" s="32"/>
      <c r="D587" s="33"/>
      <c r="E587" s="33"/>
      <c r="F587" s="33"/>
      <c r="G587" s="33"/>
      <c r="H587" s="34"/>
      <c r="I587" s="34"/>
      <c r="J587" s="34"/>
      <c r="K587" s="30"/>
    </row>
    <row r="588">
      <c r="A588" s="30"/>
      <c r="B588" s="31"/>
      <c r="C588" s="32"/>
      <c r="D588" s="33"/>
      <c r="E588" s="33"/>
      <c r="F588" s="33"/>
      <c r="G588" s="33"/>
      <c r="H588" s="34"/>
      <c r="I588" s="34"/>
      <c r="J588" s="34"/>
      <c r="K588" s="30"/>
    </row>
    <row r="589">
      <c r="A589" s="30"/>
      <c r="B589" s="31"/>
      <c r="C589" s="32"/>
      <c r="D589" s="33"/>
      <c r="E589" s="33"/>
      <c r="F589" s="33"/>
      <c r="G589" s="33"/>
      <c r="H589" s="34"/>
      <c r="I589" s="34"/>
      <c r="J589" s="34"/>
      <c r="K589" s="30"/>
    </row>
    <row r="590">
      <c r="A590" s="30"/>
      <c r="B590" s="31"/>
      <c r="C590" s="32"/>
      <c r="D590" s="33"/>
      <c r="E590" s="33"/>
      <c r="F590" s="33"/>
      <c r="G590" s="33"/>
      <c r="H590" s="34"/>
      <c r="I590" s="34"/>
      <c r="J590" s="34"/>
      <c r="K590" s="30"/>
    </row>
    <row r="591">
      <c r="A591" s="30"/>
      <c r="B591" s="31"/>
      <c r="C591" s="32"/>
      <c r="D591" s="33"/>
      <c r="E591" s="33"/>
      <c r="F591" s="33"/>
      <c r="G591" s="33"/>
      <c r="H591" s="34"/>
      <c r="I591" s="34"/>
      <c r="J591" s="34"/>
      <c r="K591" s="30"/>
    </row>
    <row r="592">
      <c r="A592" s="30"/>
      <c r="B592" s="31"/>
      <c r="C592" s="32"/>
      <c r="D592" s="33"/>
      <c r="E592" s="33"/>
      <c r="F592" s="33"/>
      <c r="G592" s="33"/>
      <c r="H592" s="34"/>
      <c r="I592" s="34"/>
      <c r="J592" s="34"/>
      <c r="K592" s="30"/>
    </row>
    <row r="593">
      <c r="A593" s="30"/>
      <c r="B593" s="31"/>
      <c r="C593" s="32"/>
      <c r="D593" s="33"/>
      <c r="E593" s="33"/>
      <c r="F593" s="33"/>
      <c r="G593" s="33"/>
      <c r="H593" s="34"/>
      <c r="I593" s="34"/>
      <c r="J593" s="34"/>
      <c r="K593" s="30"/>
    </row>
    <row r="594">
      <c r="A594" s="30"/>
      <c r="B594" s="31"/>
      <c r="C594" s="32"/>
      <c r="D594" s="33"/>
      <c r="E594" s="33"/>
      <c r="F594" s="33"/>
      <c r="G594" s="33"/>
      <c r="H594" s="34"/>
      <c r="I594" s="34"/>
      <c r="J594" s="34"/>
      <c r="K594" s="30"/>
    </row>
    <row r="595">
      <c r="A595" s="30"/>
      <c r="B595" s="31"/>
      <c r="C595" s="32"/>
      <c r="D595" s="33"/>
      <c r="E595" s="33"/>
      <c r="F595" s="33"/>
      <c r="G595" s="33"/>
      <c r="H595" s="34"/>
      <c r="I595" s="34"/>
      <c r="J595" s="34"/>
      <c r="K595" s="30"/>
    </row>
    <row r="596">
      <c r="A596" s="30"/>
      <c r="B596" s="31"/>
      <c r="C596" s="32"/>
      <c r="D596" s="33"/>
      <c r="E596" s="33"/>
      <c r="F596" s="33"/>
      <c r="G596" s="33"/>
      <c r="H596" s="34"/>
      <c r="I596" s="34"/>
      <c r="J596" s="34"/>
      <c r="K596" s="30"/>
    </row>
    <row r="597">
      <c r="A597" s="30"/>
      <c r="B597" s="31"/>
      <c r="C597" s="32"/>
      <c r="D597" s="33"/>
      <c r="E597" s="33"/>
      <c r="F597" s="33"/>
      <c r="G597" s="33"/>
      <c r="H597" s="34"/>
      <c r="I597" s="34"/>
      <c r="J597" s="34"/>
      <c r="K597" s="30"/>
    </row>
    <row r="598">
      <c r="A598" s="30"/>
      <c r="B598" s="31"/>
      <c r="C598" s="32"/>
      <c r="D598" s="33"/>
      <c r="E598" s="33"/>
      <c r="F598" s="33"/>
      <c r="G598" s="33"/>
      <c r="H598" s="34"/>
      <c r="I598" s="34"/>
      <c r="J598" s="34"/>
      <c r="K598" s="30"/>
    </row>
    <row r="599">
      <c r="A599" s="30"/>
      <c r="B599" s="31"/>
      <c r="C599" s="32"/>
      <c r="D599" s="33"/>
      <c r="E599" s="33"/>
      <c r="F599" s="33"/>
      <c r="G599" s="33"/>
      <c r="H599" s="34"/>
      <c r="I599" s="34"/>
      <c r="J599" s="34"/>
      <c r="K599" s="30"/>
    </row>
    <row r="600">
      <c r="A600" s="30"/>
      <c r="B600" s="31"/>
      <c r="C600" s="32"/>
      <c r="D600" s="33"/>
      <c r="E600" s="33"/>
      <c r="F600" s="33"/>
      <c r="G600" s="33"/>
      <c r="H600" s="34"/>
      <c r="I600" s="34"/>
      <c r="J600" s="34"/>
      <c r="K600" s="30"/>
    </row>
    <row r="601">
      <c r="A601" s="30"/>
      <c r="B601" s="31"/>
      <c r="C601" s="32"/>
      <c r="D601" s="33"/>
      <c r="E601" s="33"/>
      <c r="F601" s="33"/>
      <c r="G601" s="33"/>
      <c r="H601" s="34"/>
      <c r="I601" s="34"/>
      <c r="J601" s="34"/>
      <c r="K601" s="30"/>
    </row>
    <row r="602">
      <c r="A602" s="30"/>
      <c r="B602" s="31"/>
      <c r="C602" s="32"/>
      <c r="D602" s="33"/>
      <c r="E602" s="33"/>
      <c r="F602" s="33"/>
      <c r="G602" s="33"/>
      <c r="H602" s="34"/>
      <c r="I602" s="34"/>
      <c r="J602" s="34"/>
      <c r="K602" s="30"/>
    </row>
    <row r="603">
      <c r="A603" s="30"/>
      <c r="B603" s="31"/>
      <c r="C603" s="32"/>
      <c r="D603" s="33"/>
      <c r="E603" s="33"/>
      <c r="F603" s="33"/>
      <c r="G603" s="33"/>
      <c r="H603" s="34"/>
      <c r="I603" s="34"/>
      <c r="J603" s="34"/>
      <c r="K603" s="30"/>
    </row>
    <row r="604">
      <c r="A604" s="30"/>
      <c r="B604" s="31"/>
      <c r="C604" s="32"/>
      <c r="D604" s="33"/>
      <c r="E604" s="33"/>
      <c r="F604" s="33"/>
      <c r="G604" s="33"/>
      <c r="H604" s="34"/>
      <c r="I604" s="34"/>
      <c r="J604" s="34"/>
      <c r="K604" s="30"/>
    </row>
    <row r="605">
      <c r="A605" s="30"/>
      <c r="B605" s="31"/>
      <c r="C605" s="32"/>
      <c r="D605" s="33"/>
      <c r="E605" s="33"/>
      <c r="F605" s="33"/>
      <c r="G605" s="33"/>
      <c r="H605" s="34"/>
      <c r="I605" s="34"/>
      <c r="J605" s="34"/>
      <c r="K605" s="30"/>
    </row>
    <row r="606">
      <c r="A606" s="30"/>
      <c r="B606" s="31"/>
      <c r="C606" s="32"/>
      <c r="D606" s="33"/>
      <c r="E606" s="33"/>
      <c r="F606" s="33"/>
      <c r="G606" s="33"/>
      <c r="H606" s="34"/>
      <c r="I606" s="34"/>
      <c r="J606" s="34"/>
      <c r="K606" s="30"/>
    </row>
    <row r="607">
      <c r="A607" s="30"/>
      <c r="B607" s="31"/>
      <c r="C607" s="32"/>
      <c r="D607" s="33"/>
      <c r="E607" s="33"/>
      <c r="F607" s="33"/>
      <c r="G607" s="33"/>
      <c r="H607" s="34"/>
      <c r="I607" s="34"/>
      <c r="J607" s="34"/>
      <c r="K607" s="30"/>
    </row>
    <row r="608">
      <c r="A608" s="30"/>
      <c r="B608" s="31"/>
      <c r="C608" s="32"/>
      <c r="D608" s="33"/>
      <c r="E608" s="33"/>
      <c r="F608" s="33"/>
      <c r="G608" s="33"/>
      <c r="H608" s="34"/>
      <c r="I608" s="34"/>
      <c r="J608" s="34"/>
      <c r="K608" s="30"/>
    </row>
    <row r="609">
      <c r="A609" s="30"/>
      <c r="B609" s="31"/>
      <c r="C609" s="32"/>
      <c r="D609" s="33"/>
      <c r="E609" s="33"/>
      <c r="F609" s="33"/>
      <c r="G609" s="33"/>
      <c r="H609" s="34"/>
      <c r="I609" s="34"/>
      <c r="J609" s="34"/>
      <c r="K609" s="30"/>
    </row>
    <row r="610">
      <c r="A610" s="30"/>
      <c r="B610" s="31"/>
      <c r="C610" s="32"/>
      <c r="D610" s="33"/>
      <c r="E610" s="33"/>
      <c r="F610" s="33"/>
      <c r="G610" s="33"/>
      <c r="H610" s="34"/>
      <c r="I610" s="34"/>
      <c r="J610" s="34"/>
      <c r="K610" s="30"/>
    </row>
    <row r="611">
      <c r="A611" s="30"/>
      <c r="B611" s="31"/>
      <c r="C611" s="32"/>
      <c r="D611" s="33"/>
      <c r="E611" s="33"/>
      <c r="F611" s="33"/>
      <c r="G611" s="33"/>
      <c r="H611" s="34"/>
      <c r="I611" s="34"/>
      <c r="J611" s="34"/>
      <c r="K611" s="30"/>
    </row>
    <row r="612">
      <c r="A612" s="30"/>
      <c r="B612" s="31"/>
      <c r="C612" s="32"/>
      <c r="D612" s="33"/>
      <c r="E612" s="33"/>
      <c r="F612" s="33"/>
      <c r="G612" s="33"/>
      <c r="H612" s="34"/>
      <c r="I612" s="34"/>
      <c r="J612" s="34"/>
      <c r="K612" s="30"/>
    </row>
    <row r="613">
      <c r="A613" s="30"/>
      <c r="B613" s="31"/>
      <c r="C613" s="32"/>
      <c r="D613" s="33"/>
      <c r="E613" s="33"/>
      <c r="F613" s="33"/>
      <c r="G613" s="33"/>
      <c r="H613" s="34"/>
      <c r="I613" s="34"/>
      <c r="J613" s="34"/>
      <c r="K613" s="30"/>
    </row>
    <row r="614">
      <c r="A614" s="30"/>
      <c r="B614" s="31"/>
      <c r="C614" s="32"/>
      <c r="D614" s="33"/>
      <c r="E614" s="33"/>
      <c r="F614" s="33"/>
      <c r="G614" s="33"/>
      <c r="H614" s="34"/>
      <c r="I614" s="34"/>
      <c r="J614" s="34"/>
      <c r="K614" s="30"/>
    </row>
    <row r="615">
      <c r="A615" s="30"/>
      <c r="B615" s="31"/>
      <c r="C615" s="32"/>
      <c r="D615" s="33"/>
      <c r="E615" s="33"/>
      <c r="F615" s="33"/>
      <c r="G615" s="33"/>
      <c r="H615" s="34"/>
      <c r="I615" s="34"/>
      <c r="J615" s="34"/>
      <c r="K615" s="30"/>
    </row>
    <row r="616">
      <c r="A616" s="30"/>
      <c r="B616" s="31"/>
      <c r="C616" s="32"/>
      <c r="D616" s="33"/>
      <c r="E616" s="33"/>
      <c r="F616" s="33"/>
      <c r="G616" s="33"/>
      <c r="H616" s="34"/>
      <c r="I616" s="34"/>
      <c r="J616" s="34"/>
      <c r="K616" s="30"/>
    </row>
    <row r="617">
      <c r="A617" s="30"/>
      <c r="B617" s="31"/>
      <c r="C617" s="32"/>
      <c r="D617" s="33"/>
      <c r="E617" s="33"/>
      <c r="F617" s="33"/>
      <c r="G617" s="33"/>
      <c r="H617" s="34"/>
      <c r="I617" s="34"/>
      <c r="J617" s="34"/>
      <c r="K617" s="30"/>
    </row>
    <row r="618">
      <c r="A618" s="30"/>
      <c r="B618" s="31"/>
      <c r="C618" s="32"/>
      <c r="D618" s="33"/>
      <c r="E618" s="33"/>
      <c r="F618" s="33"/>
      <c r="G618" s="33"/>
      <c r="H618" s="34"/>
      <c r="I618" s="34"/>
      <c r="J618" s="34"/>
      <c r="K618" s="30"/>
    </row>
    <row r="619">
      <c r="A619" s="30"/>
      <c r="B619" s="31"/>
      <c r="C619" s="32"/>
      <c r="D619" s="33"/>
      <c r="E619" s="33"/>
      <c r="F619" s="33"/>
      <c r="G619" s="33"/>
      <c r="H619" s="34"/>
      <c r="I619" s="34"/>
      <c r="J619" s="34"/>
      <c r="K619" s="30"/>
    </row>
    <row r="620">
      <c r="A620" s="30"/>
      <c r="B620" s="31"/>
      <c r="C620" s="32"/>
      <c r="D620" s="33"/>
      <c r="E620" s="33"/>
      <c r="F620" s="33"/>
      <c r="G620" s="33"/>
      <c r="H620" s="34"/>
      <c r="I620" s="34"/>
      <c r="J620" s="34"/>
      <c r="K620" s="30"/>
    </row>
    <row r="621">
      <c r="A621" s="30"/>
      <c r="B621" s="31"/>
      <c r="C621" s="32"/>
      <c r="D621" s="33"/>
      <c r="E621" s="33"/>
      <c r="F621" s="33"/>
      <c r="G621" s="33"/>
      <c r="H621" s="34"/>
      <c r="I621" s="34"/>
      <c r="J621" s="34"/>
      <c r="K621" s="30"/>
    </row>
    <row r="622">
      <c r="A622" s="30"/>
      <c r="B622" s="31"/>
      <c r="C622" s="32"/>
      <c r="D622" s="33"/>
      <c r="E622" s="33"/>
      <c r="F622" s="33"/>
      <c r="G622" s="33"/>
      <c r="H622" s="34"/>
      <c r="I622" s="34"/>
      <c r="J622" s="34"/>
      <c r="K622" s="30"/>
    </row>
    <row r="623">
      <c r="A623" s="30"/>
      <c r="B623" s="31"/>
      <c r="C623" s="32"/>
      <c r="D623" s="33"/>
      <c r="E623" s="33"/>
      <c r="F623" s="33"/>
      <c r="G623" s="33"/>
      <c r="H623" s="34"/>
      <c r="I623" s="34"/>
      <c r="J623" s="34"/>
      <c r="K623" s="30"/>
    </row>
    <row r="624">
      <c r="A624" s="30"/>
      <c r="B624" s="31"/>
      <c r="C624" s="32"/>
      <c r="D624" s="33"/>
      <c r="E624" s="33"/>
      <c r="F624" s="33"/>
      <c r="G624" s="33"/>
      <c r="H624" s="34"/>
      <c r="I624" s="34"/>
      <c r="J624" s="34"/>
      <c r="K624" s="30"/>
    </row>
    <row r="625">
      <c r="A625" s="30"/>
      <c r="B625" s="31"/>
      <c r="C625" s="32"/>
      <c r="D625" s="33"/>
      <c r="E625" s="33"/>
      <c r="F625" s="33"/>
      <c r="G625" s="33"/>
      <c r="H625" s="34"/>
      <c r="I625" s="34"/>
      <c r="J625" s="34"/>
      <c r="K625" s="30"/>
    </row>
    <row r="626">
      <c r="A626" s="30"/>
      <c r="B626" s="31"/>
      <c r="C626" s="32"/>
      <c r="D626" s="33"/>
      <c r="E626" s="33"/>
      <c r="F626" s="33"/>
      <c r="G626" s="33"/>
      <c r="H626" s="34"/>
      <c r="I626" s="34"/>
      <c r="J626" s="34"/>
      <c r="K626" s="30"/>
    </row>
    <row r="627">
      <c r="A627" s="30"/>
      <c r="B627" s="31"/>
      <c r="C627" s="32"/>
      <c r="D627" s="33"/>
      <c r="E627" s="33"/>
      <c r="F627" s="33"/>
      <c r="G627" s="33"/>
      <c r="H627" s="34"/>
      <c r="I627" s="34"/>
      <c r="J627" s="34"/>
      <c r="K627" s="30"/>
    </row>
    <row r="628">
      <c r="A628" s="30"/>
      <c r="B628" s="31"/>
      <c r="C628" s="32"/>
      <c r="D628" s="33"/>
      <c r="E628" s="33"/>
      <c r="F628" s="33"/>
      <c r="G628" s="33"/>
      <c r="H628" s="34"/>
      <c r="I628" s="34"/>
      <c r="J628" s="34"/>
      <c r="K628" s="30"/>
    </row>
    <row r="629">
      <c r="A629" s="30"/>
      <c r="B629" s="31"/>
      <c r="C629" s="32"/>
      <c r="D629" s="33"/>
      <c r="E629" s="33"/>
      <c r="F629" s="33"/>
      <c r="G629" s="33"/>
      <c r="H629" s="34"/>
      <c r="I629" s="34"/>
      <c r="J629" s="34"/>
      <c r="K629" s="30"/>
    </row>
    <row r="630">
      <c r="A630" s="30"/>
      <c r="B630" s="31"/>
      <c r="C630" s="32"/>
      <c r="D630" s="33"/>
      <c r="E630" s="33"/>
      <c r="F630" s="33"/>
      <c r="G630" s="33"/>
      <c r="H630" s="34"/>
      <c r="I630" s="34"/>
      <c r="J630" s="34"/>
      <c r="K630" s="30"/>
    </row>
    <row r="631">
      <c r="A631" s="30"/>
      <c r="B631" s="31"/>
      <c r="C631" s="32"/>
      <c r="D631" s="33"/>
      <c r="E631" s="33"/>
      <c r="F631" s="33"/>
      <c r="G631" s="33"/>
      <c r="H631" s="34"/>
      <c r="I631" s="34"/>
      <c r="J631" s="34"/>
      <c r="K631" s="30"/>
    </row>
    <row r="632">
      <c r="A632" s="30"/>
      <c r="B632" s="31"/>
      <c r="C632" s="32"/>
      <c r="D632" s="33"/>
      <c r="E632" s="33"/>
      <c r="F632" s="33"/>
      <c r="G632" s="33"/>
      <c r="H632" s="34"/>
      <c r="I632" s="34"/>
      <c r="J632" s="34"/>
      <c r="K632" s="30"/>
    </row>
    <row r="633">
      <c r="A633" s="30"/>
      <c r="B633" s="31"/>
      <c r="C633" s="32"/>
      <c r="D633" s="33"/>
      <c r="E633" s="33"/>
      <c r="F633" s="33"/>
      <c r="G633" s="33"/>
      <c r="H633" s="34"/>
      <c r="I633" s="34"/>
      <c r="J633" s="34"/>
      <c r="K633" s="30"/>
    </row>
    <row r="634">
      <c r="A634" s="30"/>
      <c r="B634" s="31"/>
      <c r="C634" s="32"/>
      <c r="D634" s="33"/>
      <c r="E634" s="33"/>
      <c r="F634" s="33"/>
      <c r="G634" s="33"/>
      <c r="H634" s="34"/>
      <c r="I634" s="34"/>
      <c r="J634" s="34"/>
      <c r="K634" s="30"/>
    </row>
    <row r="635">
      <c r="A635" s="30"/>
      <c r="B635" s="31"/>
      <c r="C635" s="32"/>
      <c r="D635" s="33"/>
      <c r="E635" s="33"/>
      <c r="F635" s="33"/>
      <c r="G635" s="33"/>
      <c r="H635" s="34"/>
      <c r="I635" s="34"/>
      <c r="J635" s="34"/>
      <c r="K635" s="30"/>
    </row>
    <row r="636">
      <c r="A636" s="30"/>
      <c r="B636" s="31"/>
      <c r="C636" s="32"/>
      <c r="D636" s="33"/>
      <c r="E636" s="33"/>
      <c r="F636" s="33"/>
      <c r="G636" s="33"/>
      <c r="H636" s="34"/>
      <c r="I636" s="34"/>
      <c r="J636" s="34"/>
      <c r="K636" s="30"/>
    </row>
    <row r="637">
      <c r="A637" s="30"/>
      <c r="B637" s="31"/>
      <c r="C637" s="32"/>
      <c r="D637" s="33"/>
      <c r="E637" s="33"/>
      <c r="F637" s="33"/>
      <c r="G637" s="33"/>
      <c r="H637" s="34"/>
      <c r="I637" s="34"/>
      <c r="J637" s="34"/>
      <c r="K637" s="30"/>
    </row>
    <row r="638">
      <c r="A638" s="30"/>
      <c r="B638" s="31"/>
      <c r="C638" s="32"/>
      <c r="D638" s="33"/>
      <c r="E638" s="33"/>
      <c r="F638" s="33"/>
      <c r="G638" s="33"/>
      <c r="H638" s="34"/>
      <c r="I638" s="34"/>
      <c r="J638" s="34"/>
      <c r="K638" s="30"/>
    </row>
    <row r="639">
      <c r="A639" s="30"/>
      <c r="B639" s="31"/>
      <c r="C639" s="32"/>
      <c r="D639" s="33"/>
      <c r="E639" s="33"/>
      <c r="F639" s="33"/>
      <c r="G639" s="33"/>
      <c r="H639" s="34"/>
      <c r="I639" s="34"/>
      <c r="J639" s="34"/>
      <c r="K639" s="30"/>
    </row>
    <row r="640">
      <c r="A640" s="30"/>
      <c r="B640" s="31"/>
      <c r="C640" s="32"/>
      <c r="D640" s="33"/>
      <c r="E640" s="33"/>
      <c r="F640" s="33"/>
      <c r="G640" s="33"/>
      <c r="H640" s="34"/>
      <c r="I640" s="34"/>
      <c r="J640" s="34"/>
      <c r="K640" s="30"/>
    </row>
    <row r="641">
      <c r="A641" s="30"/>
      <c r="B641" s="31"/>
      <c r="C641" s="32"/>
      <c r="D641" s="33"/>
      <c r="E641" s="33"/>
      <c r="F641" s="33"/>
      <c r="G641" s="33"/>
      <c r="H641" s="34"/>
      <c r="I641" s="34"/>
      <c r="J641" s="34"/>
      <c r="K641" s="30"/>
    </row>
    <row r="642">
      <c r="A642" s="30"/>
      <c r="B642" s="31"/>
      <c r="C642" s="32"/>
      <c r="D642" s="33"/>
      <c r="E642" s="33"/>
      <c r="F642" s="33"/>
      <c r="G642" s="33"/>
      <c r="H642" s="34"/>
      <c r="I642" s="34"/>
      <c r="J642" s="34"/>
      <c r="K642" s="30"/>
    </row>
    <row r="643">
      <c r="A643" s="30"/>
      <c r="B643" s="31"/>
      <c r="C643" s="32"/>
      <c r="D643" s="33"/>
      <c r="E643" s="33"/>
      <c r="F643" s="33"/>
      <c r="G643" s="33"/>
      <c r="H643" s="34"/>
      <c r="I643" s="34"/>
      <c r="J643" s="34"/>
      <c r="K643" s="30"/>
    </row>
    <row r="644">
      <c r="A644" s="30"/>
      <c r="B644" s="31"/>
      <c r="C644" s="32"/>
      <c r="D644" s="33"/>
      <c r="E644" s="33"/>
      <c r="F644" s="33"/>
      <c r="G644" s="33"/>
      <c r="H644" s="34"/>
      <c r="I644" s="34"/>
      <c r="J644" s="34"/>
      <c r="K644" s="30"/>
    </row>
    <row r="645">
      <c r="A645" s="30"/>
      <c r="B645" s="31"/>
      <c r="C645" s="32"/>
      <c r="D645" s="33"/>
      <c r="E645" s="33"/>
      <c r="F645" s="33"/>
      <c r="G645" s="33"/>
      <c r="H645" s="34"/>
      <c r="I645" s="34"/>
      <c r="J645" s="34"/>
      <c r="K645" s="30"/>
    </row>
    <row r="646">
      <c r="A646" s="30"/>
      <c r="B646" s="31"/>
      <c r="C646" s="32"/>
      <c r="D646" s="33"/>
      <c r="E646" s="33"/>
      <c r="F646" s="33"/>
      <c r="G646" s="33"/>
      <c r="H646" s="34"/>
      <c r="I646" s="34"/>
      <c r="J646" s="34"/>
      <c r="K646" s="30"/>
    </row>
    <row r="647">
      <c r="A647" s="30"/>
      <c r="B647" s="31"/>
      <c r="C647" s="32"/>
      <c r="D647" s="33"/>
      <c r="E647" s="33"/>
      <c r="F647" s="33"/>
      <c r="G647" s="33"/>
      <c r="H647" s="34"/>
      <c r="I647" s="34"/>
      <c r="J647" s="34"/>
      <c r="K647" s="30"/>
    </row>
    <row r="648">
      <c r="A648" s="30"/>
      <c r="B648" s="31"/>
      <c r="C648" s="32"/>
      <c r="D648" s="33"/>
      <c r="E648" s="33"/>
      <c r="F648" s="33"/>
      <c r="G648" s="33"/>
      <c r="H648" s="34"/>
      <c r="I648" s="34"/>
      <c r="J648" s="34"/>
      <c r="K648" s="30"/>
    </row>
    <row r="649">
      <c r="A649" s="30"/>
      <c r="B649" s="31"/>
      <c r="C649" s="32"/>
      <c r="D649" s="33"/>
      <c r="E649" s="33"/>
      <c r="F649" s="33"/>
      <c r="G649" s="33"/>
      <c r="H649" s="34"/>
      <c r="I649" s="34"/>
      <c r="J649" s="34"/>
      <c r="K649" s="30"/>
    </row>
    <row r="650">
      <c r="A650" s="30"/>
      <c r="B650" s="31"/>
      <c r="C650" s="32"/>
      <c r="D650" s="33"/>
      <c r="E650" s="33"/>
      <c r="F650" s="33"/>
      <c r="G650" s="33"/>
      <c r="H650" s="34"/>
      <c r="I650" s="34"/>
      <c r="J650" s="34"/>
      <c r="K650" s="30"/>
    </row>
    <row r="651">
      <c r="A651" s="30"/>
      <c r="B651" s="31"/>
      <c r="C651" s="32"/>
      <c r="D651" s="33"/>
      <c r="E651" s="33"/>
      <c r="F651" s="33"/>
      <c r="G651" s="33"/>
      <c r="H651" s="34"/>
      <c r="I651" s="34"/>
      <c r="J651" s="34"/>
      <c r="K651" s="30"/>
    </row>
    <row r="652">
      <c r="A652" s="30"/>
      <c r="B652" s="31"/>
      <c r="C652" s="32"/>
      <c r="D652" s="33"/>
      <c r="E652" s="33"/>
      <c r="F652" s="33"/>
      <c r="G652" s="33"/>
      <c r="H652" s="34"/>
      <c r="I652" s="34"/>
      <c r="J652" s="34"/>
      <c r="K652" s="30"/>
    </row>
    <row r="653">
      <c r="A653" s="30"/>
      <c r="B653" s="31"/>
      <c r="C653" s="32"/>
      <c r="D653" s="33"/>
      <c r="E653" s="33"/>
      <c r="F653" s="33"/>
      <c r="G653" s="33"/>
      <c r="H653" s="34"/>
      <c r="I653" s="34"/>
      <c r="J653" s="34"/>
      <c r="K653" s="30"/>
    </row>
    <row r="654">
      <c r="A654" s="30"/>
      <c r="B654" s="31"/>
      <c r="C654" s="32"/>
      <c r="D654" s="33"/>
      <c r="E654" s="33"/>
      <c r="F654" s="33"/>
      <c r="G654" s="33"/>
      <c r="H654" s="34"/>
      <c r="I654" s="34"/>
      <c r="J654" s="34"/>
      <c r="K654" s="30"/>
    </row>
    <row r="655">
      <c r="A655" s="30"/>
      <c r="B655" s="31"/>
      <c r="C655" s="32"/>
      <c r="D655" s="33"/>
      <c r="E655" s="33"/>
      <c r="F655" s="33"/>
      <c r="G655" s="33"/>
      <c r="H655" s="34"/>
      <c r="I655" s="34"/>
      <c r="J655" s="34"/>
      <c r="K655" s="30"/>
    </row>
    <row r="656">
      <c r="A656" s="30"/>
      <c r="B656" s="31"/>
      <c r="C656" s="32"/>
      <c r="D656" s="33"/>
      <c r="E656" s="33"/>
      <c r="F656" s="33"/>
      <c r="G656" s="33"/>
      <c r="H656" s="34"/>
      <c r="I656" s="34"/>
      <c r="J656" s="34"/>
      <c r="K656" s="30"/>
    </row>
    <row r="657">
      <c r="A657" s="30"/>
      <c r="B657" s="31"/>
      <c r="C657" s="32"/>
      <c r="D657" s="33"/>
      <c r="E657" s="33"/>
      <c r="F657" s="33"/>
      <c r="G657" s="33"/>
      <c r="H657" s="34"/>
      <c r="I657" s="34"/>
      <c r="J657" s="34"/>
      <c r="K657" s="30"/>
    </row>
    <row r="658">
      <c r="A658" s="30"/>
      <c r="B658" s="31"/>
      <c r="C658" s="32"/>
      <c r="D658" s="33"/>
      <c r="E658" s="33"/>
      <c r="F658" s="33"/>
      <c r="G658" s="33"/>
      <c r="H658" s="34"/>
      <c r="I658" s="34"/>
      <c r="J658" s="34"/>
      <c r="K658" s="30"/>
    </row>
    <row r="659">
      <c r="A659" s="30"/>
      <c r="B659" s="31"/>
      <c r="C659" s="32"/>
      <c r="D659" s="33"/>
      <c r="E659" s="33"/>
      <c r="F659" s="33"/>
      <c r="G659" s="33"/>
      <c r="H659" s="34"/>
      <c r="I659" s="34"/>
      <c r="J659" s="34"/>
      <c r="K659" s="30"/>
    </row>
    <row r="660">
      <c r="A660" s="30"/>
      <c r="B660" s="31"/>
      <c r="C660" s="32"/>
      <c r="D660" s="33"/>
      <c r="E660" s="33"/>
      <c r="F660" s="33"/>
      <c r="G660" s="33"/>
      <c r="H660" s="34"/>
      <c r="I660" s="34"/>
      <c r="J660" s="34"/>
      <c r="K660" s="30"/>
    </row>
    <row r="661">
      <c r="A661" s="30"/>
      <c r="B661" s="31"/>
      <c r="C661" s="32"/>
      <c r="D661" s="33"/>
      <c r="E661" s="33"/>
      <c r="F661" s="33"/>
      <c r="G661" s="33"/>
      <c r="H661" s="34"/>
      <c r="I661" s="34"/>
      <c r="J661" s="34"/>
      <c r="K661" s="30"/>
    </row>
    <row r="662">
      <c r="A662" s="30"/>
      <c r="B662" s="31"/>
      <c r="C662" s="32"/>
      <c r="D662" s="33"/>
      <c r="E662" s="33"/>
      <c r="F662" s="33"/>
      <c r="G662" s="33"/>
      <c r="H662" s="34"/>
      <c r="I662" s="34"/>
      <c r="J662" s="34"/>
      <c r="K662" s="30"/>
    </row>
    <row r="663">
      <c r="A663" s="30"/>
      <c r="B663" s="31"/>
      <c r="C663" s="32"/>
      <c r="D663" s="33"/>
      <c r="E663" s="33"/>
      <c r="F663" s="33"/>
      <c r="G663" s="33"/>
      <c r="H663" s="34"/>
      <c r="I663" s="34"/>
      <c r="J663" s="34"/>
      <c r="K663" s="30"/>
    </row>
    <row r="664">
      <c r="A664" s="30"/>
      <c r="B664" s="31"/>
      <c r="C664" s="32"/>
      <c r="D664" s="33"/>
      <c r="E664" s="33"/>
      <c r="F664" s="33"/>
      <c r="G664" s="33"/>
      <c r="H664" s="34"/>
      <c r="I664" s="34"/>
      <c r="J664" s="34"/>
      <c r="K664" s="30"/>
    </row>
    <row r="665">
      <c r="A665" s="30"/>
      <c r="B665" s="31"/>
      <c r="C665" s="32"/>
      <c r="D665" s="33"/>
      <c r="E665" s="33"/>
      <c r="F665" s="33"/>
      <c r="G665" s="33"/>
      <c r="H665" s="34"/>
      <c r="I665" s="34"/>
      <c r="J665" s="34"/>
      <c r="K665" s="30"/>
    </row>
    <row r="666">
      <c r="A666" s="30"/>
      <c r="B666" s="31"/>
      <c r="C666" s="32"/>
      <c r="D666" s="33"/>
      <c r="E666" s="33"/>
      <c r="F666" s="33"/>
      <c r="G666" s="33"/>
      <c r="H666" s="34"/>
      <c r="I666" s="34"/>
      <c r="J666" s="34"/>
      <c r="K666" s="30"/>
    </row>
    <row r="667">
      <c r="A667" s="30"/>
      <c r="B667" s="31"/>
      <c r="C667" s="32"/>
      <c r="D667" s="33"/>
      <c r="E667" s="33"/>
      <c r="F667" s="33"/>
      <c r="G667" s="33"/>
      <c r="H667" s="34"/>
      <c r="I667" s="34"/>
      <c r="J667" s="34"/>
      <c r="K667" s="30"/>
    </row>
    <row r="668">
      <c r="A668" s="30"/>
      <c r="B668" s="31"/>
      <c r="C668" s="32"/>
      <c r="D668" s="33"/>
      <c r="E668" s="33"/>
      <c r="F668" s="33"/>
      <c r="G668" s="33"/>
      <c r="H668" s="34"/>
      <c r="I668" s="34"/>
      <c r="J668" s="34"/>
      <c r="K668" s="30"/>
    </row>
    <row r="669">
      <c r="A669" s="30"/>
      <c r="B669" s="31"/>
      <c r="C669" s="32"/>
      <c r="D669" s="33"/>
      <c r="E669" s="33"/>
      <c r="F669" s="33"/>
      <c r="G669" s="33"/>
      <c r="H669" s="34"/>
      <c r="I669" s="34"/>
      <c r="J669" s="34"/>
      <c r="K669" s="30"/>
    </row>
    <row r="670">
      <c r="A670" s="30"/>
      <c r="B670" s="31"/>
      <c r="C670" s="32"/>
      <c r="D670" s="33"/>
      <c r="E670" s="33"/>
      <c r="F670" s="33"/>
      <c r="G670" s="33"/>
      <c r="H670" s="34"/>
      <c r="I670" s="34"/>
      <c r="J670" s="34"/>
      <c r="K670" s="30"/>
    </row>
    <row r="671">
      <c r="A671" s="30"/>
      <c r="B671" s="31"/>
      <c r="C671" s="32"/>
      <c r="D671" s="33"/>
      <c r="E671" s="33"/>
      <c r="F671" s="33"/>
      <c r="G671" s="33"/>
      <c r="H671" s="34"/>
      <c r="I671" s="34"/>
      <c r="J671" s="34"/>
      <c r="K671" s="30"/>
    </row>
    <row r="672">
      <c r="A672" s="30"/>
      <c r="B672" s="31"/>
      <c r="C672" s="32"/>
      <c r="D672" s="33"/>
      <c r="E672" s="33"/>
      <c r="F672" s="33"/>
      <c r="G672" s="33"/>
      <c r="H672" s="34"/>
      <c r="I672" s="34"/>
      <c r="J672" s="34"/>
      <c r="K672" s="30"/>
    </row>
    <row r="673">
      <c r="A673" s="30"/>
      <c r="B673" s="31"/>
      <c r="C673" s="32"/>
      <c r="D673" s="33"/>
      <c r="E673" s="33"/>
      <c r="F673" s="33"/>
      <c r="G673" s="33"/>
      <c r="H673" s="34"/>
      <c r="I673" s="34"/>
      <c r="J673" s="34"/>
      <c r="K673" s="30"/>
    </row>
    <row r="674">
      <c r="A674" s="30"/>
      <c r="B674" s="31"/>
      <c r="C674" s="32"/>
      <c r="D674" s="33"/>
      <c r="E674" s="33"/>
      <c r="F674" s="33"/>
      <c r="G674" s="33"/>
      <c r="H674" s="34"/>
      <c r="I674" s="34"/>
      <c r="J674" s="34"/>
      <c r="K674" s="30"/>
    </row>
    <row r="675">
      <c r="A675" s="30"/>
      <c r="B675" s="31"/>
      <c r="C675" s="32"/>
      <c r="D675" s="33"/>
      <c r="E675" s="33"/>
      <c r="F675" s="33"/>
      <c r="G675" s="33"/>
      <c r="H675" s="34"/>
      <c r="I675" s="34"/>
      <c r="J675" s="34"/>
      <c r="K675" s="30"/>
    </row>
    <row r="676">
      <c r="A676" s="30"/>
      <c r="B676" s="31"/>
      <c r="C676" s="32"/>
      <c r="D676" s="33"/>
      <c r="E676" s="33"/>
      <c r="F676" s="33"/>
      <c r="G676" s="33"/>
      <c r="H676" s="34"/>
      <c r="I676" s="34"/>
      <c r="J676" s="34"/>
      <c r="K676" s="30"/>
    </row>
    <row r="677">
      <c r="A677" s="30"/>
      <c r="B677" s="31"/>
      <c r="C677" s="32"/>
      <c r="D677" s="33"/>
      <c r="E677" s="33"/>
      <c r="F677" s="33"/>
      <c r="G677" s="33"/>
      <c r="H677" s="34"/>
      <c r="I677" s="34"/>
      <c r="J677" s="34"/>
      <c r="K677" s="30"/>
    </row>
    <row r="678">
      <c r="A678" s="30"/>
      <c r="B678" s="31"/>
      <c r="C678" s="32"/>
      <c r="D678" s="33"/>
      <c r="E678" s="33"/>
      <c r="F678" s="33"/>
      <c r="G678" s="33"/>
      <c r="H678" s="34"/>
      <c r="I678" s="34"/>
      <c r="J678" s="34"/>
      <c r="K678" s="30"/>
    </row>
    <row r="679">
      <c r="A679" s="30"/>
      <c r="B679" s="31"/>
      <c r="C679" s="32"/>
      <c r="D679" s="33"/>
      <c r="E679" s="33"/>
      <c r="F679" s="33"/>
      <c r="G679" s="33"/>
      <c r="H679" s="34"/>
      <c r="I679" s="34"/>
      <c r="J679" s="34"/>
      <c r="K679" s="30"/>
    </row>
    <row r="680">
      <c r="A680" s="30"/>
      <c r="B680" s="31"/>
      <c r="C680" s="32"/>
      <c r="D680" s="33"/>
      <c r="E680" s="33"/>
      <c r="F680" s="33"/>
      <c r="G680" s="33"/>
      <c r="H680" s="34"/>
      <c r="I680" s="34"/>
      <c r="J680" s="34"/>
      <c r="K680" s="30"/>
    </row>
    <row r="681">
      <c r="A681" s="30"/>
      <c r="B681" s="31"/>
      <c r="C681" s="32"/>
      <c r="D681" s="33"/>
      <c r="E681" s="33"/>
      <c r="F681" s="33"/>
      <c r="G681" s="33"/>
      <c r="H681" s="34"/>
      <c r="I681" s="34"/>
      <c r="J681" s="34"/>
      <c r="K681" s="30"/>
    </row>
    <row r="682">
      <c r="A682" s="30"/>
      <c r="B682" s="31"/>
      <c r="C682" s="32"/>
      <c r="D682" s="33"/>
      <c r="E682" s="33"/>
      <c r="F682" s="33"/>
      <c r="G682" s="33"/>
      <c r="H682" s="34"/>
      <c r="I682" s="34"/>
      <c r="J682" s="34"/>
      <c r="K682" s="30"/>
    </row>
    <row r="683">
      <c r="A683" s="30"/>
      <c r="B683" s="31"/>
      <c r="C683" s="32"/>
      <c r="D683" s="33"/>
      <c r="E683" s="33"/>
      <c r="F683" s="33"/>
      <c r="G683" s="33"/>
      <c r="H683" s="34"/>
      <c r="I683" s="34"/>
      <c r="J683" s="34"/>
      <c r="K683" s="30"/>
    </row>
    <row r="684">
      <c r="A684" s="30"/>
      <c r="B684" s="31"/>
      <c r="C684" s="32"/>
      <c r="D684" s="33"/>
      <c r="E684" s="33"/>
      <c r="F684" s="33"/>
      <c r="G684" s="33"/>
      <c r="H684" s="34"/>
      <c r="I684" s="34"/>
      <c r="J684" s="34"/>
      <c r="K684" s="30"/>
    </row>
    <row r="685">
      <c r="A685" s="30"/>
      <c r="B685" s="31"/>
      <c r="C685" s="32"/>
      <c r="D685" s="33"/>
      <c r="E685" s="33"/>
      <c r="F685" s="33"/>
      <c r="G685" s="33"/>
      <c r="H685" s="34"/>
      <c r="I685" s="34"/>
      <c r="J685" s="34"/>
      <c r="K685" s="30"/>
    </row>
    <row r="686">
      <c r="A686" s="30"/>
      <c r="B686" s="31"/>
      <c r="C686" s="32"/>
      <c r="D686" s="33"/>
      <c r="E686" s="33"/>
      <c r="F686" s="33"/>
      <c r="G686" s="33"/>
      <c r="H686" s="34"/>
      <c r="I686" s="34"/>
      <c r="J686" s="34"/>
      <c r="K686" s="30"/>
    </row>
    <row r="687">
      <c r="A687" s="30"/>
      <c r="B687" s="31"/>
      <c r="C687" s="32"/>
      <c r="D687" s="33"/>
      <c r="E687" s="33"/>
      <c r="F687" s="33"/>
      <c r="G687" s="33"/>
      <c r="H687" s="34"/>
      <c r="I687" s="34"/>
      <c r="J687" s="34"/>
      <c r="K687" s="30"/>
    </row>
    <row r="688">
      <c r="A688" s="30"/>
      <c r="B688" s="31"/>
      <c r="C688" s="32"/>
      <c r="D688" s="33"/>
      <c r="E688" s="33"/>
      <c r="F688" s="33"/>
      <c r="G688" s="33"/>
      <c r="H688" s="34"/>
      <c r="I688" s="34"/>
      <c r="J688" s="34"/>
      <c r="K688" s="30"/>
    </row>
    <row r="689">
      <c r="A689" s="30"/>
      <c r="B689" s="31"/>
      <c r="C689" s="32"/>
      <c r="D689" s="33"/>
      <c r="E689" s="33"/>
      <c r="F689" s="33"/>
      <c r="G689" s="33"/>
      <c r="H689" s="34"/>
      <c r="I689" s="34"/>
      <c r="J689" s="34"/>
      <c r="K689" s="30"/>
    </row>
    <row r="690">
      <c r="A690" s="30"/>
      <c r="B690" s="31"/>
      <c r="C690" s="32"/>
      <c r="D690" s="33"/>
      <c r="E690" s="33"/>
      <c r="F690" s="33"/>
      <c r="G690" s="33"/>
      <c r="H690" s="34"/>
      <c r="I690" s="34"/>
      <c r="J690" s="34"/>
      <c r="K690" s="30"/>
    </row>
    <row r="691">
      <c r="A691" s="30"/>
      <c r="B691" s="31"/>
      <c r="C691" s="32"/>
      <c r="D691" s="33"/>
      <c r="E691" s="33"/>
      <c r="F691" s="33"/>
      <c r="G691" s="33"/>
      <c r="H691" s="34"/>
      <c r="I691" s="34"/>
      <c r="J691" s="34"/>
      <c r="K691" s="30"/>
    </row>
    <row r="692">
      <c r="A692" s="30"/>
      <c r="B692" s="31"/>
      <c r="C692" s="32"/>
      <c r="D692" s="33"/>
      <c r="E692" s="33"/>
      <c r="F692" s="33"/>
      <c r="G692" s="33"/>
      <c r="H692" s="34"/>
      <c r="I692" s="34"/>
      <c r="J692" s="34"/>
      <c r="K692" s="30"/>
    </row>
    <row r="693">
      <c r="A693" s="30"/>
      <c r="B693" s="31"/>
      <c r="C693" s="32"/>
      <c r="D693" s="33"/>
      <c r="E693" s="33"/>
      <c r="F693" s="33"/>
      <c r="G693" s="33"/>
      <c r="H693" s="34"/>
      <c r="I693" s="34"/>
      <c r="J693" s="34"/>
      <c r="K693" s="30"/>
    </row>
    <row r="694">
      <c r="A694" s="30"/>
      <c r="B694" s="31"/>
      <c r="C694" s="32"/>
      <c r="D694" s="33"/>
      <c r="E694" s="33"/>
      <c r="F694" s="33"/>
      <c r="G694" s="33"/>
      <c r="H694" s="34"/>
      <c r="I694" s="34"/>
      <c r="J694" s="34"/>
      <c r="K694" s="30"/>
    </row>
    <row r="695">
      <c r="A695" s="30"/>
      <c r="B695" s="31"/>
      <c r="C695" s="32"/>
      <c r="D695" s="33"/>
      <c r="E695" s="33"/>
      <c r="F695" s="33"/>
      <c r="G695" s="33"/>
      <c r="H695" s="34"/>
      <c r="I695" s="34"/>
      <c r="J695" s="34"/>
      <c r="K695" s="30"/>
    </row>
    <row r="696">
      <c r="A696" s="30"/>
      <c r="B696" s="31"/>
      <c r="C696" s="32"/>
      <c r="D696" s="33"/>
      <c r="E696" s="33"/>
      <c r="F696" s="33"/>
      <c r="G696" s="33"/>
      <c r="H696" s="34"/>
      <c r="I696" s="34"/>
      <c r="J696" s="34"/>
      <c r="K696" s="30"/>
    </row>
    <row r="697">
      <c r="A697" s="30"/>
      <c r="B697" s="31"/>
      <c r="C697" s="32"/>
      <c r="D697" s="33"/>
      <c r="E697" s="33"/>
      <c r="F697" s="33"/>
      <c r="G697" s="33"/>
      <c r="H697" s="34"/>
      <c r="I697" s="34"/>
      <c r="J697" s="34"/>
      <c r="K697" s="30"/>
    </row>
    <row r="698">
      <c r="A698" s="30"/>
      <c r="B698" s="31"/>
      <c r="C698" s="32"/>
      <c r="D698" s="33"/>
      <c r="E698" s="33"/>
      <c r="F698" s="33"/>
      <c r="G698" s="33"/>
      <c r="H698" s="34"/>
      <c r="I698" s="34"/>
      <c r="J698" s="34"/>
      <c r="K698" s="30"/>
    </row>
    <row r="699">
      <c r="A699" s="30"/>
      <c r="B699" s="31"/>
      <c r="C699" s="32"/>
      <c r="D699" s="33"/>
      <c r="E699" s="33"/>
      <c r="F699" s="33"/>
      <c r="G699" s="33"/>
      <c r="H699" s="34"/>
      <c r="I699" s="34"/>
      <c r="J699" s="34"/>
      <c r="K699" s="30"/>
    </row>
    <row r="700">
      <c r="A700" s="30"/>
      <c r="B700" s="31"/>
      <c r="C700" s="32"/>
      <c r="D700" s="33"/>
      <c r="E700" s="33"/>
      <c r="F700" s="33"/>
      <c r="G700" s="33"/>
      <c r="H700" s="34"/>
      <c r="I700" s="34"/>
      <c r="J700" s="34"/>
      <c r="K700" s="30"/>
    </row>
    <row r="701">
      <c r="A701" s="30"/>
      <c r="B701" s="31"/>
      <c r="C701" s="32"/>
      <c r="D701" s="33"/>
      <c r="E701" s="33"/>
      <c r="F701" s="33"/>
      <c r="G701" s="33"/>
      <c r="H701" s="34"/>
      <c r="I701" s="34"/>
      <c r="J701" s="34"/>
      <c r="K701" s="30"/>
    </row>
    <row r="702">
      <c r="A702" s="30"/>
      <c r="B702" s="31"/>
      <c r="C702" s="32"/>
      <c r="D702" s="33"/>
      <c r="E702" s="33"/>
      <c r="F702" s="33"/>
      <c r="G702" s="33"/>
      <c r="H702" s="34"/>
      <c r="I702" s="34"/>
      <c r="J702" s="34"/>
      <c r="K702" s="30"/>
    </row>
    <row r="703">
      <c r="A703" s="30"/>
      <c r="B703" s="31"/>
      <c r="C703" s="32"/>
      <c r="D703" s="33"/>
      <c r="E703" s="33"/>
      <c r="F703" s="33"/>
      <c r="G703" s="33"/>
      <c r="H703" s="34"/>
      <c r="I703" s="34"/>
      <c r="J703" s="34"/>
      <c r="K703" s="30"/>
    </row>
    <row r="704">
      <c r="A704" s="30"/>
      <c r="B704" s="31"/>
      <c r="C704" s="32"/>
      <c r="D704" s="33"/>
      <c r="E704" s="33"/>
      <c r="F704" s="33"/>
      <c r="G704" s="33"/>
      <c r="H704" s="34"/>
      <c r="I704" s="34"/>
      <c r="J704" s="34"/>
      <c r="K704" s="30"/>
    </row>
    <row r="705">
      <c r="A705" s="30"/>
      <c r="B705" s="31"/>
      <c r="C705" s="32"/>
      <c r="D705" s="33"/>
      <c r="E705" s="33"/>
      <c r="F705" s="33"/>
      <c r="G705" s="33"/>
      <c r="H705" s="34"/>
      <c r="I705" s="34"/>
      <c r="J705" s="34"/>
      <c r="K705" s="30"/>
    </row>
    <row r="706">
      <c r="A706" s="30"/>
      <c r="B706" s="31"/>
      <c r="C706" s="32"/>
      <c r="D706" s="33"/>
      <c r="E706" s="33"/>
      <c r="F706" s="33"/>
      <c r="G706" s="33"/>
      <c r="H706" s="34"/>
      <c r="I706" s="34"/>
      <c r="J706" s="34"/>
      <c r="K706" s="30"/>
    </row>
    <row r="707">
      <c r="A707" s="30"/>
      <c r="B707" s="31"/>
      <c r="C707" s="32"/>
      <c r="D707" s="33"/>
      <c r="E707" s="33"/>
      <c r="F707" s="33"/>
      <c r="G707" s="33"/>
      <c r="H707" s="34"/>
      <c r="I707" s="34"/>
      <c r="J707" s="34"/>
      <c r="K707" s="30"/>
    </row>
    <row r="708">
      <c r="A708" s="30"/>
      <c r="B708" s="31"/>
      <c r="C708" s="32"/>
      <c r="D708" s="33"/>
      <c r="E708" s="33"/>
      <c r="F708" s="33"/>
      <c r="G708" s="33"/>
      <c r="H708" s="34"/>
      <c r="I708" s="34"/>
      <c r="J708" s="34"/>
      <c r="K708" s="30"/>
    </row>
    <row r="709">
      <c r="A709" s="30"/>
      <c r="B709" s="31"/>
      <c r="C709" s="32"/>
      <c r="D709" s="33"/>
      <c r="E709" s="33"/>
      <c r="F709" s="33"/>
      <c r="G709" s="33"/>
      <c r="H709" s="34"/>
      <c r="I709" s="34"/>
      <c r="J709" s="34"/>
      <c r="K709" s="30"/>
    </row>
    <row r="710">
      <c r="A710" s="30"/>
      <c r="B710" s="31"/>
      <c r="C710" s="32"/>
      <c r="D710" s="33"/>
      <c r="E710" s="33"/>
      <c r="F710" s="33"/>
      <c r="G710" s="33"/>
      <c r="H710" s="34"/>
      <c r="I710" s="34"/>
      <c r="J710" s="34"/>
      <c r="K710" s="30"/>
    </row>
    <row r="711">
      <c r="A711" s="30"/>
      <c r="B711" s="31"/>
      <c r="C711" s="32"/>
      <c r="D711" s="33"/>
      <c r="E711" s="33"/>
      <c r="F711" s="33"/>
      <c r="G711" s="33"/>
      <c r="H711" s="34"/>
      <c r="I711" s="34"/>
      <c r="J711" s="34"/>
      <c r="K711" s="30"/>
    </row>
    <row r="712">
      <c r="A712" s="30"/>
      <c r="B712" s="31"/>
      <c r="C712" s="32"/>
      <c r="D712" s="33"/>
      <c r="E712" s="33"/>
      <c r="F712" s="33"/>
      <c r="G712" s="33"/>
      <c r="H712" s="34"/>
      <c r="I712" s="34"/>
      <c r="J712" s="34"/>
      <c r="K712" s="30"/>
    </row>
    <row r="713">
      <c r="A713" s="30"/>
      <c r="B713" s="31"/>
      <c r="C713" s="32"/>
      <c r="D713" s="33"/>
      <c r="E713" s="33"/>
      <c r="F713" s="33"/>
      <c r="G713" s="33"/>
      <c r="H713" s="34"/>
      <c r="I713" s="34"/>
      <c r="J713" s="34"/>
      <c r="K713" s="30"/>
    </row>
    <row r="714">
      <c r="A714" s="30"/>
      <c r="B714" s="31"/>
      <c r="C714" s="32"/>
      <c r="D714" s="33"/>
      <c r="E714" s="33"/>
      <c r="F714" s="33"/>
      <c r="G714" s="33"/>
      <c r="H714" s="34"/>
      <c r="I714" s="34"/>
      <c r="J714" s="34"/>
      <c r="K714" s="30"/>
    </row>
    <row r="715">
      <c r="A715" s="30"/>
      <c r="B715" s="31"/>
      <c r="C715" s="32"/>
      <c r="D715" s="33"/>
      <c r="E715" s="33"/>
      <c r="F715" s="33"/>
      <c r="G715" s="33"/>
      <c r="H715" s="34"/>
      <c r="I715" s="34"/>
      <c r="J715" s="34"/>
      <c r="K715" s="30"/>
    </row>
    <row r="716">
      <c r="A716" s="30"/>
      <c r="B716" s="31"/>
      <c r="C716" s="32"/>
      <c r="D716" s="33"/>
      <c r="E716" s="33"/>
      <c r="F716" s="33"/>
      <c r="G716" s="33"/>
      <c r="H716" s="34"/>
      <c r="I716" s="34"/>
      <c r="J716" s="34"/>
      <c r="K716" s="30"/>
    </row>
    <row r="717">
      <c r="A717" s="30"/>
      <c r="B717" s="31"/>
      <c r="C717" s="32"/>
      <c r="D717" s="33"/>
      <c r="E717" s="33"/>
      <c r="F717" s="33"/>
      <c r="G717" s="33"/>
      <c r="H717" s="34"/>
      <c r="I717" s="34"/>
      <c r="J717" s="34"/>
      <c r="K717" s="30"/>
    </row>
    <row r="718">
      <c r="A718" s="30"/>
      <c r="B718" s="31"/>
      <c r="C718" s="32"/>
      <c r="D718" s="33"/>
      <c r="E718" s="33"/>
      <c r="F718" s="33"/>
      <c r="G718" s="33"/>
      <c r="H718" s="34"/>
      <c r="I718" s="34"/>
      <c r="J718" s="34"/>
      <c r="K718" s="30"/>
    </row>
    <row r="719">
      <c r="A719" s="30"/>
      <c r="B719" s="31"/>
      <c r="C719" s="32"/>
      <c r="D719" s="33"/>
      <c r="E719" s="33"/>
      <c r="F719" s="33"/>
      <c r="G719" s="33"/>
      <c r="H719" s="34"/>
      <c r="I719" s="34"/>
      <c r="J719" s="34"/>
      <c r="K719" s="30"/>
    </row>
    <row r="720">
      <c r="A720" s="30"/>
      <c r="B720" s="31"/>
      <c r="C720" s="32"/>
      <c r="D720" s="33"/>
      <c r="E720" s="33"/>
      <c r="F720" s="33"/>
      <c r="G720" s="33"/>
      <c r="H720" s="34"/>
      <c r="I720" s="34"/>
      <c r="J720" s="34"/>
      <c r="K720" s="30"/>
    </row>
    <row r="721">
      <c r="A721" s="30"/>
      <c r="B721" s="31"/>
      <c r="C721" s="32"/>
      <c r="D721" s="33"/>
      <c r="E721" s="33"/>
      <c r="F721" s="33"/>
      <c r="G721" s="33"/>
      <c r="H721" s="34"/>
      <c r="I721" s="34"/>
      <c r="J721" s="34"/>
      <c r="K721" s="30"/>
    </row>
    <row r="722">
      <c r="A722" s="30"/>
      <c r="B722" s="31"/>
      <c r="C722" s="32"/>
      <c r="D722" s="33"/>
      <c r="E722" s="33"/>
      <c r="F722" s="33"/>
      <c r="G722" s="33"/>
      <c r="H722" s="34"/>
      <c r="I722" s="34"/>
      <c r="J722" s="34"/>
      <c r="K722" s="30"/>
    </row>
    <row r="723">
      <c r="A723" s="30"/>
      <c r="B723" s="31"/>
      <c r="C723" s="32"/>
      <c r="D723" s="33"/>
      <c r="E723" s="33"/>
      <c r="F723" s="33"/>
      <c r="G723" s="33"/>
      <c r="H723" s="34"/>
      <c r="I723" s="34"/>
      <c r="J723" s="34"/>
      <c r="K723" s="30"/>
    </row>
    <row r="724">
      <c r="A724" s="30"/>
      <c r="B724" s="31"/>
      <c r="C724" s="32"/>
      <c r="D724" s="33"/>
      <c r="E724" s="33"/>
      <c r="F724" s="33"/>
      <c r="G724" s="33"/>
      <c r="H724" s="34"/>
      <c r="I724" s="34"/>
      <c r="J724" s="34"/>
      <c r="K724" s="30"/>
    </row>
    <row r="725">
      <c r="A725" s="30"/>
      <c r="B725" s="31"/>
      <c r="C725" s="32"/>
      <c r="D725" s="33"/>
      <c r="E725" s="33"/>
      <c r="F725" s="33"/>
      <c r="G725" s="33"/>
      <c r="H725" s="34"/>
      <c r="I725" s="34"/>
      <c r="J725" s="34"/>
      <c r="K725" s="30"/>
    </row>
    <row r="726">
      <c r="A726" s="30"/>
      <c r="B726" s="31"/>
      <c r="C726" s="32"/>
      <c r="D726" s="33"/>
      <c r="E726" s="33"/>
      <c r="F726" s="33"/>
      <c r="G726" s="33"/>
      <c r="H726" s="34"/>
      <c r="I726" s="34"/>
      <c r="J726" s="34"/>
      <c r="K726" s="30"/>
    </row>
    <row r="727">
      <c r="A727" s="30"/>
      <c r="B727" s="31"/>
      <c r="C727" s="32"/>
      <c r="D727" s="33"/>
      <c r="E727" s="33"/>
      <c r="F727" s="33"/>
      <c r="G727" s="33"/>
      <c r="H727" s="34"/>
      <c r="I727" s="34"/>
      <c r="J727" s="34"/>
      <c r="K727" s="30"/>
    </row>
    <row r="728">
      <c r="A728" s="30"/>
      <c r="B728" s="31"/>
      <c r="C728" s="32"/>
      <c r="D728" s="33"/>
      <c r="E728" s="33"/>
      <c r="F728" s="33"/>
      <c r="G728" s="33"/>
      <c r="H728" s="34"/>
      <c r="I728" s="34"/>
      <c r="J728" s="34"/>
      <c r="K728" s="30"/>
    </row>
    <row r="729">
      <c r="A729" s="30"/>
      <c r="B729" s="31"/>
      <c r="C729" s="32"/>
      <c r="D729" s="33"/>
      <c r="E729" s="33"/>
      <c r="F729" s="33"/>
      <c r="G729" s="33"/>
      <c r="H729" s="34"/>
      <c r="I729" s="34"/>
      <c r="J729" s="34"/>
      <c r="K729" s="30"/>
    </row>
    <row r="730">
      <c r="A730" s="30"/>
      <c r="B730" s="31"/>
      <c r="C730" s="32"/>
      <c r="D730" s="33"/>
      <c r="E730" s="33"/>
      <c r="F730" s="33"/>
      <c r="G730" s="33"/>
      <c r="H730" s="34"/>
      <c r="I730" s="34"/>
      <c r="J730" s="34"/>
      <c r="K730" s="30"/>
    </row>
    <row r="731">
      <c r="A731" s="30"/>
      <c r="B731" s="31"/>
      <c r="C731" s="32"/>
      <c r="D731" s="33"/>
      <c r="E731" s="33"/>
      <c r="F731" s="33"/>
      <c r="G731" s="33"/>
      <c r="H731" s="34"/>
      <c r="I731" s="34"/>
      <c r="J731" s="34"/>
      <c r="K731" s="30"/>
    </row>
    <row r="732">
      <c r="A732" s="30"/>
      <c r="B732" s="31"/>
      <c r="C732" s="32"/>
      <c r="D732" s="33"/>
      <c r="E732" s="33"/>
      <c r="F732" s="33"/>
      <c r="G732" s="33"/>
      <c r="H732" s="34"/>
      <c r="I732" s="34"/>
      <c r="J732" s="34"/>
      <c r="K732" s="30"/>
    </row>
    <row r="733">
      <c r="A733" s="30"/>
      <c r="B733" s="31"/>
      <c r="C733" s="32"/>
      <c r="D733" s="33"/>
      <c r="E733" s="33"/>
      <c r="F733" s="33"/>
      <c r="G733" s="33"/>
      <c r="H733" s="34"/>
      <c r="I733" s="34"/>
      <c r="J733" s="34"/>
      <c r="K733" s="30"/>
    </row>
    <row r="734">
      <c r="A734" s="30"/>
      <c r="B734" s="31"/>
      <c r="C734" s="32"/>
      <c r="D734" s="33"/>
      <c r="E734" s="33"/>
      <c r="F734" s="33"/>
      <c r="G734" s="33"/>
      <c r="H734" s="34"/>
      <c r="I734" s="34"/>
      <c r="J734" s="34"/>
      <c r="K734" s="30"/>
    </row>
    <row r="735">
      <c r="A735" s="30"/>
      <c r="B735" s="31"/>
      <c r="C735" s="32"/>
      <c r="D735" s="33"/>
      <c r="E735" s="33"/>
      <c r="F735" s="33"/>
      <c r="G735" s="33"/>
      <c r="H735" s="34"/>
      <c r="I735" s="34"/>
      <c r="J735" s="34"/>
      <c r="K735" s="30"/>
    </row>
    <row r="736">
      <c r="A736" s="30"/>
      <c r="B736" s="31"/>
      <c r="C736" s="32"/>
      <c r="D736" s="33"/>
      <c r="E736" s="33"/>
      <c r="F736" s="33"/>
      <c r="G736" s="33"/>
      <c r="H736" s="34"/>
      <c r="I736" s="34"/>
      <c r="J736" s="34"/>
      <c r="K736" s="30"/>
    </row>
    <row r="737">
      <c r="A737" s="30"/>
      <c r="B737" s="31"/>
      <c r="C737" s="32"/>
      <c r="D737" s="33"/>
      <c r="E737" s="33"/>
      <c r="F737" s="33"/>
      <c r="G737" s="33"/>
      <c r="H737" s="34"/>
      <c r="I737" s="34"/>
      <c r="J737" s="34"/>
      <c r="K737" s="30"/>
    </row>
    <row r="738">
      <c r="A738" s="30"/>
      <c r="B738" s="31"/>
      <c r="C738" s="32"/>
      <c r="D738" s="33"/>
      <c r="E738" s="33"/>
      <c r="F738" s="33"/>
      <c r="G738" s="33"/>
      <c r="H738" s="34"/>
      <c r="I738" s="34"/>
      <c r="J738" s="34"/>
      <c r="K738" s="30"/>
    </row>
    <row r="739">
      <c r="A739" s="30"/>
      <c r="B739" s="31"/>
      <c r="C739" s="32"/>
      <c r="D739" s="33"/>
      <c r="E739" s="33"/>
      <c r="F739" s="33"/>
      <c r="G739" s="33"/>
      <c r="H739" s="34"/>
      <c r="I739" s="34"/>
      <c r="J739" s="34"/>
      <c r="K739" s="30"/>
    </row>
    <row r="740">
      <c r="A740" s="30"/>
      <c r="B740" s="31"/>
      <c r="C740" s="32"/>
      <c r="D740" s="33"/>
      <c r="E740" s="33"/>
      <c r="F740" s="33"/>
      <c r="G740" s="33"/>
      <c r="H740" s="34"/>
      <c r="I740" s="34"/>
      <c r="J740" s="34"/>
      <c r="K740" s="30"/>
    </row>
    <row r="741">
      <c r="A741" s="30"/>
      <c r="B741" s="31"/>
      <c r="C741" s="32"/>
      <c r="D741" s="33"/>
      <c r="E741" s="33"/>
      <c r="F741" s="33"/>
      <c r="G741" s="33"/>
      <c r="H741" s="34"/>
      <c r="I741" s="34"/>
      <c r="J741" s="34"/>
      <c r="K741" s="30"/>
    </row>
    <row r="742">
      <c r="A742" s="30"/>
      <c r="B742" s="31"/>
      <c r="C742" s="32"/>
      <c r="D742" s="33"/>
      <c r="E742" s="33"/>
      <c r="F742" s="33"/>
      <c r="G742" s="33"/>
      <c r="H742" s="34"/>
      <c r="I742" s="34"/>
      <c r="J742" s="34"/>
      <c r="K742" s="30"/>
    </row>
    <row r="743">
      <c r="A743" s="30"/>
      <c r="B743" s="31"/>
      <c r="C743" s="32"/>
      <c r="D743" s="33"/>
      <c r="E743" s="33"/>
      <c r="F743" s="33"/>
      <c r="G743" s="33"/>
      <c r="H743" s="34"/>
      <c r="I743" s="34"/>
      <c r="J743" s="34"/>
      <c r="K743" s="30"/>
    </row>
    <row r="744">
      <c r="A744" s="30"/>
      <c r="B744" s="31"/>
      <c r="C744" s="32"/>
      <c r="D744" s="33"/>
      <c r="E744" s="33"/>
      <c r="F744" s="33"/>
      <c r="G744" s="33"/>
      <c r="H744" s="34"/>
      <c r="I744" s="34"/>
      <c r="J744" s="34"/>
      <c r="K744" s="30"/>
    </row>
    <row r="745">
      <c r="A745" s="30"/>
      <c r="B745" s="31"/>
      <c r="C745" s="32"/>
      <c r="D745" s="33"/>
      <c r="E745" s="33"/>
      <c r="F745" s="33"/>
      <c r="G745" s="33"/>
      <c r="H745" s="34"/>
      <c r="I745" s="34"/>
      <c r="J745" s="34"/>
      <c r="K745" s="30"/>
    </row>
    <row r="746">
      <c r="A746" s="30"/>
      <c r="B746" s="31"/>
      <c r="C746" s="32"/>
      <c r="D746" s="33"/>
      <c r="E746" s="33"/>
      <c r="F746" s="33"/>
      <c r="G746" s="33"/>
      <c r="H746" s="34"/>
      <c r="I746" s="34"/>
      <c r="J746" s="34"/>
      <c r="K746" s="30"/>
    </row>
    <row r="747">
      <c r="A747" s="30"/>
      <c r="B747" s="31"/>
      <c r="C747" s="32"/>
      <c r="D747" s="33"/>
      <c r="E747" s="33"/>
      <c r="F747" s="33"/>
      <c r="G747" s="33"/>
      <c r="H747" s="34"/>
      <c r="I747" s="34"/>
      <c r="J747" s="34"/>
      <c r="K747" s="30"/>
    </row>
    <row r="748">
      <c r="A748" s="30"/>
      <c r="B748" s="31"/>
      <c r="C748" s="32"/>
      <c r="D748" s="33"/>
      <c r="E748" s="33"/>
      <c r="F748" s="33"/>
      <c r="G748" s="33"/>
      <c r="H748" s="34"/>
      <c r="I748" s="34"/>
      <c r="J748" s="34"/>
      <c r="K748" s="30"/>
    </row>
    <row r="749">
      <c r="A749" s="30"/>
      <c r="B749" s="31"/>
      <c r="C749" s="32"/>
      <c r="D749" s="33"/>
      <c r="E749" s="33"/>
      <c r="F749" s="33"/>
      <c r="G749" s="33"/>
      <c r="H749" s="34"/>
      <c r="I749" s="34"/>
      <c r="J749" s="34"/>
      <c r="K749" s="30"/>
    </row>
    <row r="750">
      <c r="A750" s="30"/>
      <c r="B750" s="31"/>
      <c r="C750" s="32"/>
      <c r="D750" s="33"/>
      <c r="E750" s="33"/>
      <c r="F750" s="33"/>
      <c r="G750" s="33"/>
      <c r="H750" s="34"/>
      <c r="I750" s="34"/>
      <c r="J750" s="34"/>
      <c r="K750" s="30"/>
    </row>
    <row r="751">
      <c r="A751" s="30"/>
      <c r="B751" s="31"/>
      <c r="C751" s="32"/>
      <c r="D751" s="33"/>
      <c r="E751" s="33"/>
      <c r="F751" s="33"/>
      <c r="G751" s="33"/>
      <c r="H751" s="34"/>
      <c r="I751" s="34"/>
      <c r="J751" s="34"/>
      <c r="K751" s="30"/>
    </row>
    <row r="752">
      <c r="A752" s="30"/>
      <c r="B752" s="31"/>
      <c r="C752" s="32"/>
      <c r="D752" s="33"/>
      <c r="E752" s="33"/>
      <c r="F752" s="33"/>
      <c r="G752" s="33"/>
      <c r="H752" s="34"/>
      <c r="I752" s="34"/>
      <c r="J752" s="34"/>
      <c r="K752" s="30"/>
    </row>
    <row r="753">
      <c r="A753" s="30"/>
      <c r="B753" s="31"/>
      <c r="C753" s="32"/>
      <c r="D753" s="33"/>
      <c r="E753" s="33"/>
      <c r="F753" s="33"/>
      <c r="G753" s="33"/>
      <c r="H753" s="34"/>
      <c r="I753" s="34"/>
      <c r="J753" s="34"/>
      <c r="K753" s="30"/>
    </row>
    <row r="754">
      <c r="A754" s="30"/>
      <c r="B754" s="31"/>
      <c r="C754" s="32"/>
      <c r="D754" s="33"/>
      <c r="E754" s="33"/>
      <c r="F754" s="33"/>
      <c r="G754" s="33"/>
      <c r="H754" s="34"/>
      <c r="I754" s="34"/>
      <c r="J754" s="34"/>
      <c r="K754" s="30"/>
    </row>
    <row r="755">
      <c r="A755" s="30"/>
      <c r="B755" s="31"/>
      <c r="C755" s="32"/>
      <c r="D755" s="33"/>
      <c r="E755" s="33"/>
      <c r="F755" s="33"/>
      <c r="G755" s="33"/>
      <c r="H755" s="34"/>
      <c r="I755" s="34"/>
      <c r="J755" s="34"/>
      <c r="K755" s="30"/>
    </row>
    <row r="756">
      <c r="A756" s="30"/>
      <c r="B756" s="31"/>
      <c r="C756" s="32"/>
      <c r="D756" s="33"/>
      <c r="E756" s="33"/>
      <c r="F756" s="33"/>
      <c r="G756" s="33"/>
      <c r="H756" s="34"/>
      <c r="I756" s="34"/>
      <c r="J756" s="34"/>
      <c r="K756" s="30"/>
    </row>
    <row r="757">
      <c r="A757" s="30"/>
      <c r="B757" s="31"/>
      <c r="C757" s="32"/>
      <c r="D757" s="33"/>
      <c r="E757" s="33"/>
      <c r="F757" s="33"/>
      <c r="G757" s="33"/>
      <c r="H757" s="34"/>
      <c r="I757" s="34"/>
      <c r="J757" s="34"/>
      <c r="K757" s="30"/>
    </row>
    <row r="758">
      <c r="A758" s="30"/>
      <c r="B758" s="31"/>
      <c r="C758" s="32"/>
      <c r="D758" s="33"/>
      <c r="E758" s="33"/>
      <c r="F758" s="33"/>
      <c r="G758" s="33"/>
      <c r="H758" s="34"/>
      <c r="I758" s="34"/>
      <c r="J758" s="34"/>
      <c r="K758" s="30"/>
    </row>
    <row r="759">
      <c r="A759" s="30"/>
      <c r="B759" s="31"/>
      <c r="C759" s="32"/>
      <c r="D759" s="33"/>
      <c r="E759" s="33"/>
      <c r="F759" s="33"/>
      <c r="G759" s="33"/>
      <c r="H759" s="34"/>
      <c r="I759" s="34"/>
      <c r="J759" s="34"/>
      <c r="K759" s="30"/>
    </row>
    <row r="760">
      <c r="A760" s="30"/>
      <c r="B760" s="31"/>
      <c r="C760" s="32"/>
      <c r="D760" s="33"/>
      <c r="E760" s="33"/>
      <c r="F760" s="33"/>
      <c r="G760" s="33"/>
      <c r="H760" s="34"/>
      <c r="I760" s="34"/>
      <c r="J760" s="34"/>
      <c r="K760" s="30"/>
    </row>
    <row r="761">
      <c r="A761" s="30"/>
      <c r="B761" s="31"/>
      <c r="C761" s="32"/>
      <c r="D761" s="33"/>
      <c r="E761" s="33"/>
      <c r="F761" s="33"/>
      <c r="G761" s="33"/>
      <c r="H761" s="34"/>
      <c r="I761" s="34"/>
      <c r="J761" s="34"/>
      <c r="K761" s="30"/>
    </row>
    <row r="762">
      <c r="A762" s="30"/>
      <c r="B762" s="31"/>
      <c r="C762" s="32"/>
      <c r="D762" s="33"/>
      <c r="E762" s="33"/>
      <c r="F762" s="33"/>
      <c r="G762" s="33"/>
      <c r="H762" s="34"/>
      <c r="I762" s="34"/>
      <c r="J762" s="34"/>
      <c r="K762" s="30"/>
    </row>
    <row r="763">
      <c r="A763" s="30"/>
      <c r="B763" s="31"/>
      <c r="C763" s="32"/>
      <c r="D763" s="33"/>
      <c r="E763" s="33"/>
      <c r="F763" s="33"/>
      <c r="G763" s="33"/>
      <c r="H763" s="34"/>
      <c r="I763" s="34"/>
      <c r="J763" s="34"/>
      <c r="K763" s="30"/>
    </row>
    <row r="764">
      <c r="A764" s="30"/>
      <c r="B764" s="31"/>
      <c r="C764" s="32"/>
      <c r="D764" s="33"/>
      <c r="E764" s="33"/>
      <c r="F764" s="33"/>
      <c r="G764" s="33"/>
      <c r="H764" s="34"/>
      <c r="I764" s="34"/>
      <c r="J764" s="34"/>
      <c r="K764" s="30"/>
    </row>
    <row r="765">
      <c r="A765" s="30"/>
      <c r="B765" s="31"/>
      <c r="C765" s="32"/>
      <c r="D765" s="33"/>
      <c r="E765" s="33"/>
      <c r="F765" s="33"/>
      <c r="G765" s="33"/>
      <c r="H765" s="34"/>
      <c r="I765" s="34"/>
      <c r="J765" s="34"/>
      <c r="K765" s="30"/>
    </row>
    <row r="766">
      <c r="A766" s="30"/>
      <c r="B766" s="31"/>
      <c r="C766" s="32"/>
      <c r="D766" s="33"/>
      <c r="E766" s="33"/>
      <c r="F766" s="33"/>
      <c r="G766" s="33"/>
      <c r="H766" s="34"/>
      <c r="I766" s="34"/>
      <c r="J766" s="34"/>
      <c r="K766" s="30"/>
    </row>
    <row r="767">
      <c r="A767" s="30"/>
      <c r="B767" s="31"/>
      <c r="C767" s="32"/>
      <c r="D767" s="33"/>
      <c r="E767" s="33"/>
      <c r="F767" s="33"/>
      <c r="G767" s="33"/>
      <c r="H767" s="34"/>
      <c r="I767" s="34"/>
      <c r="J767" s="34"/>
      <c r="K767" s="30"/>
    </row>
    <row r="768">
      <c r="A768" s="30"/>
      <c r="B768" s="31"/>
      <c r="C768" s="32"/>
      <c r="D768" s="33"/>
      <c r="E768" s="33"/>
      <c r="F768" s="33"/>
      <c r="G768" s="33"/>
      <c r="H768" s="34"/>
      <c r="I768" s="34"/>
      <c r="J768" s="34"/>
      <c r="K768" s="30"/>
    </row>
    <row r="769">
      <c r="A769" s="30"/>
      <c r="B769" s="31"/>
      <c r="C769" s="32"/>
      <c r="D769" s="33"/>
      <c r="E769" s="33"/>
      <c r="F769" s="33"/>
      <c r="G769" s="33"/>
      <c r="H769" s="34"/>
      <c r="I769" s="34"/>
      <c r="J769" s="34"/>
      <c r="K769" s="30"/>
    </row>
    <row r="770">
      <c r="A770" s="30"/>
      <c r="B770" s="31"/>
      <c r="C770" s="32"/>
      <c r="D770" s="33"/>
      <c r="E770" s="33"/>
      <c r="F770" s="33"/>
      <c r="G770" s="33"/>
      <c r="H770" s="34"/>
      <c r="I770" s="34"/>
      <c r="J770" s="34"/>
      <c r="K770" s="30"/>
    </row>
    <row r="771">
      <c r="A771" s="30"/>
      <c r="B771" s="31"/>
      <c r="C771" s="32"/>
      <c r="D771" s="33"/>
      <c r="E771" s="33"/>
      <c r="F771" s="33"/>
      <c r="G771" s="33"/>
      <c r="H771" s="34"/>
      <c r="I771" s="34"/>
      <c r="J771" s="34"/>
      <c r="K771" s="30"/>
    </row>
    <row r="772">
      <c r="A772" s="30"/>
      <c r="B772" s="31"/>
      <c r="C772" s="32"/>
      <c r="D772" s="33"/>
      <c r="E772" s="33"/>
      <c r="F772" s="33"/>
      <c r="G772" s="33"/>
      <c r="H772" s="34"/>
      <c r="I772" s="34"/>
      <c r="J772" s="34"/>
      <c r="K772" s="30"/>
    </row>
    <row r="773">
      <c r="A773" s="30"/>
      <c r="B773" s="31"/>
      <c r="C773" s="32"/>
      <c r="D773" s="33"/>
      <c r="E773" s="33"/>
      <c r="F773" s="33"/>
      <c r="G773" s="33"/>
      <c r="H773" s="34"/>
      <c r="I773" s="34"/>
      <c r="J773" s="34"/>
      <c r="K773" s="30"/>
    </row>
    <row r="774">
      <c r="A774" s="30"/>
      <c r="B774" s="31"/>
      <c r="C774" s="32"/>
      <c r="D774" s="33"/>
      <c r="E774" s="33"/>
      <c r="F774" s="33"/>
      <c r="G774" s="33"/>
      <c r="H774" s="34"/>
      <c r="I774" s="34"/>
      <c r="J774" s="34"/>
      <c r="K774" s="30"/>
    </row>
    <row r="775">
      <c r="A775" s="30"/>
      <c r="B775" s="31"/>
      <c r="C775" s="32"/>
      <c r="D775" s="33"/>
      <c r="E775" s="33"/>
      <c r="F775" s="33"/>
      <c r="G775" s="33"/>
      <c r="H775" s="34"/>
      <c r="I775" s="34"/>
      <c r="J775" s="34"/>
      <c r="K775" s="30"/>
    </row>
    <row r="776">
      <c r="A776" s="30"/>
      <c r="B776" s="31"/>
      <c r="C776" s="32"/>
      <c r="D776" s="33"/>
      <c r="E776" s="33"/>
      <c r="F776" s="33"/>
      <c r="G776" s="33"/>
      <c r="H776" s="34"/>
      <c r="I776" s="34"/>
      <c r="J776" s="34"/>
      <c r="K776" s="30"/>
    </row>
    <row r="777">
      <c r="A777" s="30"/>
      <c r="B777" s="31"/>
      <c r="C777" s="32"/>
      <c r="D777" s="33"/>
      <c r="E777" s="33"/>
      <c r="F777" s="33"/>
      <c r="G777" s="33"/>
      <c r="H777" s="34"/>
      <c r="I777" s="34"/>
      <c r="J777" s="34"/>
      <c r="K777" s="30"/>
    </row>
    <row r="778">
      <c r="A778" s="30"/>
      <c r="B778" s="31"/>
      <c r="C778" s="32"/>
      <c r="D778" s="33"/>
      <c r="E778" s="33"/>
      <c r="F778" s="33"/>
      <c r="G778" s="33"/>
      <c r="H778" s="34"/>
      <c r="I778" s="34"/>
      <c r="J778" s="34"/>
      <c r="K778" s="30"/>
    </row>
    <row r="779">
      <c r="A779" s="30"/>
      <c r="B779" s="31"/>
      <c r="C779" s="32"/>
      <c r="D779" s="33"/>
      <c r="E779" s="33"/>
      <c r="F779" s="33"/>
      <c r="G779" s="33"/>
      <c r="H779" s="34"/>
      <c r="I779" s="34"/>
      <c r="J779" s="34"/>
      <c r="K779" s="30"/>
    </row>
    <row r="780">
      <c r="A780" s="30"/>
      <c r="B780" s="31"/>
      <c r="C780" s="32"/>
      <c r="D780" s="33"/>
      <c r="E780" s="33"/>
      <c r="F780" s="33"/>
      <c r="G780" s="33"/>
      <c r="H780" s="34"/>
      <c r="I780" s="34"/>
      <c r="J780" s="34"/>
      <c r="K780" s="30"/>
    </row>
    <row r="781">
      <c r="A781" s="30"/>
      <c r="B781" s="31"/>
      <c r="C781" s="32"/>
      <c r="D781" s="33"/>
      <c r="E781" s="33"/>
      <c r="F781" s="33"/>
      <c r="G781" s="33"/>
      <c r="H781" s="34"/>
      <c r="I781" s="34"/>
      <c r="J781" s="34"/>
      <c r="K781" s="30"/>
    </row>
    <row r="782">
      <c r="A782" s="30"/>
      <c r="B782" s="31"/>
      <c r="C782" s="32"/>
      <c r="D782" s="33"/>
      <c r="E782" s="33"/>
      <c r="F782" s="33"/>
      <c r="G782" s="33"/>
      <c r="H782" s="34"/>
      <c r="I782" s="34"/>
      <c r="J782" s="34"/>
      <c r="K782" s="30"/>
    </row>
    <row r="783">
      <c r="A783" s="30"/>
      <c r="B783" s="31"/>
      <c r="C783" s="32"/>
      <c r="D783" s="33"/>
      <c r="E783" s="33"/>
      <c r="F783" s="33"/>
      <c r="G783" s="33"/>
      <c r="H783" s="34"/>
      <c r="I783" s="34"/>
      <c r="J783" s="34"/>
      <c r="K783" s="30"/>
    </row>
    <row r="784">
      <c r="A784" s="30"/>
      <c r="B784" s="31"/>
      <c r="C784" s="32"/>
      <c r="D784" s="33"/>
      <c r="E784" s="33"/>
      <c r="F784" s="33"/>
      <c r="G784" s="33"/>
      <c r="H784" s="34"/>
      <c r="I784" s="34"/>
      <c r="J784" s="34"/>
      <c r="K784" s="30"/>
    </row>
    <row r="785">
      <c r="A785" s="30"/>
      <c r="B785" s="31"/>
      <c r="C785" s="32"/>
      <c r="D785" s="33"/>
      <c r="E785" s="33"/>
      <c r="F785" s="33"/>
      <c r="G785" s="33"/>
      <c r="H785" s="34"/>
      <c r="I785" s="34"/>
      <c r="J785" s="34"/>
      <c r="K785" s="30"/>
    </row>
    <row r="786">
      <c r="A786" s="30"/>
      <c r="B786" s="31"/>
      <c r="C786" s="32"/>
      <c r="D786" s="33"/>
      <c r="E786" s="33"/>
      <c r="F786" s="33"/>
      <c r="G786" s="33"/>
      <c r="H786" s="34"/>
      <c r="I786" s="34"/>
      <c r="J786" s="34"/>
      <c r="K786" s="30"/>
    </row>
    <row r="787">
      <c r="A787" s="30"/>
      <c r="B787" s="31"/>
      <c r="C787" s="32"/>
      <c r="D787" s="33"/>
      <c r="E787" s="33"/>
      <c r="F787" s="33"/>
      <c r="G787" s="33"/>
      <c r="H787" s="34"/>
      <c r="I787" s="34"/>
      <c r="J787" s="34"/>
      <c r="K787" s="30"/>
    </row>
    <row r="788">
      <c r="A788" s="30"/>
      <c r="B788" s="31"/>
      <c r="C788" s="32"/>
      <c r="D788" s="33"/>
      <c r="E788" s="33"/>
      <c r="F788" s="33"/>
      <c r="G788" s="33"/>
      <c r="H788" s="34"/>
      <c r="I788" s="34"/>
      <c r="J788" s="34"/>
      <c r="K788" s="30"/>
    </row>
    <row r="789">
      <c r="A789" s="30"/>
      <c r="B789" s="31"/>
      <c r="C789" s="32"/>
      <c r="D789" s="33"/>
      <c r="E789" s="33"/>
      <c r="F789" s="33"/>
      <c r="G789" s="33"/>
      <c r="H789" s="34"/>
      <c r="I789" s="34"/>
      <c r="J789" s="34"/>
      <c r="K789" s="30"/>
    </row>
    <row r="790">
      <c r="A790" s="30"/>
      <c r="B790" s="31"/>
      <c r="C790" s="32"/>
      <c r="D790" s="33"/>
      <c r="E790" s="33"/>
      <c r="F790" s="33"/>
      <c r="G790" s="33"/>
      <c r="H790" s="34"/>
      <c r="I790" s="34"/>
      <c r="J790" s="34"/>
      <c r="K790" s="30"/>
    </row>
    <row r="791">
      <c r="A791" s="30"/>
      <c r="B791" s="31"/>
      <c r="C791" s="32"/>
      <c r="D791" s="33"/>
      <c r="E791" s="33"/>
      <c r="F791" s="33"/>
      <c r="G791" s="33"/>
      <c r="H791" s="34"/>
      <c r="I791" s="34"/>
      <c r="J791" s="34"/>
      <c r="K791" s="30"/>
    </row>
    <row r="792">
      <c r="A792" s="30"/>
      <c r="B792" s="31"/>
      <c r="C792" s="32"/>
      <c r="D792" s="33"/>
      <c r="E792" s="33"/>
      <c r="F792" s="33"/>
      <c r="G792" s="33"/>
      <c r="H792" s="34"/>
      <c r="I792" s="34"/>
      <c r="J792" s="34"/>
      <c r="K792" s="30"/>
    </row>
    <row r="793">
      <c r="A793" s="30"/>
      <c r="B793" s="31"/>
      <c r="C793" s="32"/>
      <c r="D793" s="33"/>
      <c r="E793" s="33"/>
      <c r="F793" s="33"/>
      <c r="G793" s="33"/>
      <c r="H793" s="34"/>
      <c r="I793" s="34"/>
      <c r="J793" s="34"/>
      <c r="K793" s="30"/>
    </row>
    <row r="794">
      <c r="A794" s="30"/>
      <c r="B794" s="31"/>
      <c r="C794" s="32"/>
      <c r="D794" s="33"/>
      <c r="E794" s="33"/>
      <c r="F794" s="33"/>
      <c r="G794" s="33"/>
      <c r="H794" s="34"/>
      <c r="I794" s="34"/>
      <c r="J794" s="34"/>
      <c r="K794" s="30"/>
    </row>
    <row r="795">
      <c r="A795" s="30"/>
      <c r="B795" s="31"/>
      <c r="C795" s="32"/>
      <c r="D795" s="33"/>
      <c r="E795" s="33"/>
      <c r="F795" s="33"/>
      <c r="G795" s="33"/>
      <c r="H795" s="34"/>
      <c r="I795" s="34"/>
      <c r="J795" s="34"/>
      <c r="K795" s="30"/>
    </row>
    <row r="796">
      <c r="A796" s="30"/>
      <c r="B796" s="31"/>
      <c r="C796" s="32"/>
      <c r="D796" s="33"/>
      <c r="E796" s="33"/>
      <c r="F796" s="33"/>
      <c r="G796" s="33"/>
      <c r="H796" s="34"/>
      <c r="I796" s="34"/>
      <c r="J796" s="34"/>
      <c r="K796" s="30"/>
    </row>
    <row r="797">
      <c r="A797" s="30"/>
      <c r="B797" s="31"/>
      <c r="C797" s="32"/>
      <c r="D797" s="33"/>
      <c r="E797" s="33"/>
      <c r="F797" s="33"/>
      <c r="G797" s="33"/>
      <c r="H797" s="34"/>
      <c r="I797" s="34"/>
      <c r="J797" s="34"/>
      <c r="K797" s="30"/>
    </row>
    <row r="798">
      <c r="A798" s="30"/>
      <c r="B798" s="31"/>
      <c r="C798" s="32"/>
      <c r="D798" s="33"/>
      <c r="E798" s="33"/>
      <c r="F798" s="33"/>
      <c r="G798" s="33"/>
      <c r="H798" s="34"/>
      <c r="I798" s="34"/>
      <c r="J798" s="34"/>
      <c r="K798" s="30"/>
    </row>
    <row r="799">
      <c r="A799" s="30"/>
      <c r="B799" s="31"/>
      <c r="C799" s="32"/>
      <c r="D799" s="33"/>
      <c r="E799" s="33"/>
      <c r="F799" s="33"/>
      <c r="G799" s="33"/>
      <c r="H799" s="34"/>
      <c r="I799" s="34"/>
      <c r="J799" s="34"/>
      <c r="K799" s="30"/>
    </row>
    <row r="800">
      <c r="A800" s="30"/>
      <c r="B800" s="31"/>
      <c r="C800" s="32"/>
      <c r="D800" s="33"/>
      <c r="E800" s="33"/>
      <c r="F800" s="33"/>
      <c r="G800" s="33"/>
      <c r="H800" s="34"/>
      <c r="I800" s="34"/>
      <c r="J800" s="34"/>
      <c r="K800" s="30"/>
    </row>
    <row r="801">
      <c r="A801" s="30"/>
      <c r="B801" s="31"/>
      <c r="C801" s="32"/>
      <c r="D801" s="33"/>
      <c r="E801" s="33"/>
      <c r="F801" s="33"/>
      <c r="G801" s="33"/>
      <c r="H801" s="34"/>
      <c r="I801" s="34"/>
      <c r="J801" s="34"/>
      <c r="K801" s="30"/>
    </row>
    <row r="802">
      <c r="A802" s="30"/>
      <c r="B802" s="31"/>
      <c r="C802" s="32"/>
      <c r="D802" s="33"/>
      <c r="E802" s="33"/>
      <c r="F802" s="33"/>
      <c r="G802" s="33"/>
      <c r="H802" s="34"/>
      <c r="I802" s="34"/>
      <c r="J802" s="34"/>
      <c r="K802" s="30"/>
    </row>
    <row r="803">
      <c r="A803" s="30"/>
      <c r="B803" s="31"/>
      <c r="C803" s="32"/>
      <c r="D803" s="33"/>
      <c r="E803" s="33"/>
      <c r="F803" s="33"/>
      <c r="G803" s="33"/>
      <c r="H803" s="34"/>
      <c r="I803" s="34"/>
      <c r="J803" s="34"/>
      <c r="K803" s="30"/>
    </row>
    <row r="804">
      <c r="A804" s="30"/>
      <c r="B804" s="31"/>
      <c r="C804" s="32"/>
      <c r="D804" s="33"/>
      <c r="E804" s="33"/>
      <c r="F804" s="33"/>
      <c r="G804" s="33"/>
      <c r="H804" s="34"/>
      <c r="I804" s="34"/>
      <c r="J804" s="34"/>
      <c r="K804" s="30"/>
    </row>
    <row r="805">
      <c r="A805" s="30"/>
      <c r="B805" s="31"/>
      <c r="C805" s="32"/>
      <c r="D805" s="33"/>
      <c r="E805" s="33"/>
      <c r="F805" s="33"/>
      <c r="G805" s="33"/>
      <c r="H805" s="34"/>
      <c r="I805" s="34"/>
      <c r="J805" s="34"/>
      <c r="K805" s="30"/>
    </row>
    <row r="806">
      <c r="A806" s="30"/>
      <c r="B806" s="31"/>
      <c r="C806" s="32"/>
      <c r="D806" s="33"/>
      <c r="E806" s="33"/>
      <c r="F806" s="33"/>
      <c r="G806" s="33"/>
      <c r="H806" s="34"/>
      <c r="I806" s="34"/>
      <c r="J806" s="34"/>
      <c r="K806" s="30"/>
    </row>
    <row r="807">
      <c r="A807" s="30"/>
      <c r="B807" s="31"/>
      <c r="C807" s="32"/>
      <c r="D807" s="33"/>
      <c r="E807" s="33"/>
      <c r="F807" s="33"/>
      <c r="G807" s="33"/>
      <c r="H807" s="34"/>
      <c r="I807" s="34"/>
      <c r="J807" s="34"/>
      <c r="K807" s="30"/>
    </row>
    <row r="808">
      <c r="A808" s="30"/>
      <c r="B808" s="31"/>
      <c r="C808" s="32"/>
      <c r="D808" s="33"/>
      <c r="E808" s="33"/>
      <c r="F808" s="33"/>
      <c r="G808" s="33"/>
      <c r="H808" s="34"/>
      <c r="I808" s="34"/>
      <c r="J808" s="34"/>
      <c r="K808" s="30"/>
    </row>
    <row r="809">
      <c r="A809" s="30"/>
      <c r="B809" s="31"/>
      <c r="C809" s="32"/>
      <c r="D809" s="33"/>
      <c r="E809" s="33"/>
      <c r="F809" s="33"/>
      <c r="G809" s="33"/>
      <c r="H809" s="34"/>
      <c r="I809" s="34"/>
      <c r="J809" s="34"/>
      <c r="K809" s="30"/>
    </row>
    <row r="810">
      <c r="A810" s="30"/>
      <c r="B810" s="31"/>
      <c r="C810" s="32"/>
      <c r="D810" s="33"/>
      <c r="E810" s="33"/>
      <c r="F810" s="33"/>
      <c r="G810" s="33"/>
      <c r="H810" s="34"/>
      <c r="I810" s="34"/>
      <c r="J810" s="34"/>
      <c r="K810" s="30"/>
    </row>
    <row r="811">
      <c r="A811" s="30"/>
      <c r="B811" s="31"/>
      <c r="C811" s="32"/>
      <c r="D811" s="33"/>
      <c r="E811" s="33"/>
      <c r="F811" s="33"/>
      <c r="G811" s="33"/>
      <c r="H811" s="34"/>
      <c r="I811" s="34"/>
      <c r="J811" s="34"/>
      <c r="K811" s="30"/>
    </row>
    <row r="812">
      <c r="A812" s="30"/>
      <c r="B812" s="31"/>
      <c r="C812" s="32"/>
      <c r="D812" s="33"/>
      <c r="E812" s="33"/>
      <c r="F812" s="33"/>
      <c r="G812" s="33"/>
      <c r="H812" s="34"/>
      <c r="I812" s="34"/>
      <c r="J812" s="34"/>
      <c r="K812" s="30"/>
    </row>
    <row r="813">
      <c r="A813" s="30"/>
      <c r="B813" s="31"/>
      <c r="C813" s="32"/>
      <c r="D813" s="33"/>
      <c r="E813" s="33"/>
      <c r="F813" s="33"/>
      <c r="G813" s="33"/>
      <c r="H813" s="34"/>
      <c r="I813" s="34"/>
      <c r="J813" s="34"/>
      <c r="K813" s="30"/>
    </row>
    <row r="814">
      <c r="A814" s="30"/>
      <c r="B814" s="31"/>
      <c r="C814" s="32"/>
      <c r="D814" s="33"/>
      <c r="E814" s="33"/>
      <c r="F814" s="33"/>
      <c r="G814" s="33"/>
      <c r="H814" s="34"/>
      <c r="I814" s="34"/>
      <c r="J814" s="34"/>
      <c r="K814" s="30"/>
    </row>
    <row r="815">
      <c r="A815" s="30"/>
      <c r="B815" s="31"/>
      <c r="C815" s="32"/>
      <c r="D815" s="33"/>
      <c r="E815" s="33"/>
      <c r="F815" s="33"/>
      <c r="G815" s="33"/>
      <c r="H815" s="34"/>
      <c r="I815" s="34"/>
      <c r="J815" s="34"/>
      <c r="K815" s="30"/>
    </row>
    <row r="816">
      <c r="A816" s="30"/>
      <c r="B816" s="31"/>
      <c r="C816" s="32"/>
      <c r="D816" s="33"/>
      <c r="E816" s="33"/>
      <c r="F816" s="33"/>
      <c r="G816" s="33"/>
      <c r="H816" s="34"/>
      <c r="I816" s="34"/>
      <c r="J816" s="34"/>
      <c r="K816" s="30"/>
    </row>
    <row r="817">
      <c r="A817" s="30"/>
      <c r="B817" s="31"/>
      <c r="C817" s="32"/>
      <c r="D817" s="33"/>
      <c r="E817" s="33"/>
      <c r="F817" s="33"/>
      <c r="G817" s="33"/>
      <c r="H817" s="34"/>
      <c r="I817" s="34"/>
      <c r="J817" s="34"/>
      <c r="K817" s="30"/>
    </row>
    <row r="818">
      <c r="A818" s="30"/>
      <c r="B818" s="31"/>
      <c r="C818" s="32"/>
      <c r="D818" s="33"/>
      <c r="E818" s="33"/>
      <c r="F818" s="33"/>
      <c r="G818" s="33"/>
      <c r="H818" s="34"/>
      <c r="I818" s="34"/>
      <c r="J818" s="34"/>
      <c r="K818" s="30"/>
    </row>
    <row r="819">
      <c r="A819" s="30"/>
      <c r="B819" s="31"/>
      <c r="C819" s="32"/>
      <c r="D819" s="33"/>
      <c r="E819" s="33"/>
      <c r="F819" s="33"/>
      <c r="G819" s="33"/>
      <c r="H819" s="34"/>
      <c r="I819" s="34"/>
      <c r="J819" s="34"/>
      <c r="K819" s="30"/>
    </row>
    <row r="820">
      <c r="A820" s="30"/>
      <c r="B820" s="31"/>
      <c r="C820" s="32"/>
      <c r="D820" s="33"/>
      <c r="E820" s="33"/>
      <c r="F820" s="33"/>
      <c r="G820" s="33"/>
      <c r="H820" s="34"/>
      <c r="I820" s="34"/>
      <c r="J820" s="34"/>
      <c r="K820" s="30"/>
    </row>
    <row r="821">
      <c r="A821" s="30"/>
      <c r="B821" s="31"/>
      <c r="C821" s="32"/>
      <c r="D821" s="33"/>
      <c r="E821" s="33"/>
      <c r="F821" s="33"/>
      <c r="G821" s="33"/>
      <c r="H821" s="34"/>
      <c r="I821" s="34"/>
      <c r="J821" s="34"/>
      <c r="K821" s="30"/>
    </row>
    <row r="822">
      <c r="A822" s="30"/>
      <c r="B822" s="31"/>
      <c r="C822" s="32"/>
      <c r="D822" s="33"/>
      <c r="E822" s="33"/>
      <c r="F822" s="33"/>
      <c r="G822" s="33"/>
      <c r="H822" s="34"/>
      <c r="I822" s="34"/>
      <c r="J822" s="34"/>
      <c r="K822" s="30"/>
    </row>
    <row r="823">
      <c r="A823" s="30"/>
      <c r="B823" s="31"/>
      <c r="C823" s="32"/>
      <c r="D823" s="33"/>
      <c r="E823" s="33"/>
      <c r="F823" s="33"/>
      <c r="G823" s="33"/>
      <c r="H823" s="34"/>
      <c r="I823" s="34"/>
      <c r="J823" s="34"/>
      <c r="K823" s="30"/>
    </row>
    <row r="824">
      <c r="A824" s="30"/>
      <c r="B824" s="31"/>
      <c r="C824" s="32"/>
      <c r="D824" s="33"/>
      <c r="E824" s="33"/>
      <c r="F824" s="33"/>
      <c r="G824" s="33"/>
      <c r="H824" s="34"/>
      <c r="I824" s="34"/>
      <c r="J824" s="34"/>
      <c r="K824" s="30"/>
    </row>
    <row r="825">
      <c r="A825" s="30"/>
      <c r="B825" s="31"/>
      <c r="C825" s="32"/>
      <c r="D825" s="33"/>
      <c r="E825" s="33"/>
      <c r="F825" s="33"/>
      <c r="G825" s="33"/>
      <c r="H825" s="34"/>
      <c r="I825" s="34"/>
      <c r="J825" s="34"/>
      <c r="K825" s="30"/>
    </row>
    <row r="826">
      <c r="A826" s="30"/>
      <c r="B826" s="31"/>
      <c r="C826" s="32"/>
      <c r="D826" s="33"/>
      <c r="E826" s="33"/>
      <c r="F826" s="33"/>
      <c r="G826" s="33"/>
      <c r="H826" s="34"/>
      <c r="I826" s="34"/>
      <c r="J826" s="34"/>
      <c r="K826" s="30"/>
    </row>
    <row r="827">
      <c r="A827" s="30"/>
      <c r="B827" s="31"/>
      <c r="C827" s="32"/>
      <c r="D827" s="33"/>
      <c r="E827" s="33"/>
      <c r="F827" s="33"/>
      <c r="G827" s="33"/>
      <c r="H827" s="34"/>
      <c r="I827" s="34"/>
      <c r="J827" s="34"/>
      <c r="K827" s="30"/>
    </row>
    <row r="828">
      <c r="A828" s="30"/>
      <c r="B828" s="31"/>
      <c r="C828" s="32"/>
      <c r="D828" s="33"/>
      <c r="E828" s="33"/>
      <c r="F828" s="33"/>
      <c r="G828" s="33"/>
      <c r="H828" s="34"/>
      <c r="I828" s="34"/>
      <c r="J828" s="34"/>
      <c r="K828" s="30"/>
    </row>
    <row r="829">
      <c r="A829" s="30"/>
      <c r="B829" s="31"/>
      <c r="C829" s="32"/>
      <c r="D829" s="33"/>
      <c r="E829" s="33"/>
      <c r="F829" s="33"/>
      <c r="G829" s="33"/>
      <c r="H829" s="34"/>
      <c r="I829" s="34"/>
      <c r="J829" s="34"/>
      <c r="K829" s="30"/>
    </row>
    <row r="830">
      <c r="A830" s="30"/>
      <c r="B830" s="31"/>
      <c r="C830" s="32"/>
      <c r="D830" s="33"/>
      <c r="E830" s="33"/>
      <c r="F830" s="33"/>
      <c r="G830" s="33"/>
      <c r="H830" s="34"/>
      <c r="I830" s="34"/>
      <c r="J830" s="34"/>
      <c r="K830" s="30"/>
    </row>
    <row r="831">
      <c r="A831" s="30"/>
      <c r="B831" s="31"/>
      <c r="C831" s="32"/>
      <c r="D831" s="33"/>
      <c r="E831" s="33"/>
      <c r="F831" s="33"/>
      <c r="G831" s="33"/>
      <c r="H831" s="34"/>
      <c r="I831" s="34"/>
      <c r="J831" s="34"/>
      <c r="K831" s="30"/>
    </row>
    <row r="832">
      <c r="A832" s="30"/>
      <c r="B832" s="31"/>
      <c r="C832" s="32"/>
      <c r="D832" s="33"/>
      <c r="E832" s="33"/>
      <c r="F832" s="33"/>
      <c r="G832" s="33"/>
      <c r="H832" s="34"/>
      <c r="I832" s="34"/>
      <c r="J832" s="34"/>
      <c r="K832" s="30"/>
    </row>
    <row r="833">
      <c r="A833" s="30"/>
      <c r="B833" s="31"/>
      <c r="C833" s="32"/>
      <c r="D833" s="33"/>
      <c r="E833" s="33"/>
      <c r="F833" s="33"/>
      <c r="G833" s="33"/>
      <c r="H833" s="34"/>
      <c r="I833" s="34"/>
      <c r="J833" s="34"/>
      <c r="K833" s="30"/>
    </row>
    <row r="834">
      <c r="A834" s="30"/>
      <c r="B834" s="31"/>
      <c r="C834" s="32"/>
      <c r="D834" s="33"/>
      <c r="E834" s="33"/>
      <c r="F834" s="33"/>
      <c r="G834" s="33"/>
      <c r="H834" s="34"/>
      <c r="I834" s="34"/>
      <c r="J834" s="34"/>
      <c r="K834" s="30"/>
    </row>
    <row r="835">
      <c r="A835" s="30"/>
      <c r="B835" s="31"/>
      <c r="C835" s="32"/>
      <c r="D835" s="33"/>
      <c r="E835" s="33"/>
      <c r="F835" s="33"/>
      <c r="G835" s="33"/>
      <c r="H835" s="34"/>
      <c r="I835" s="34"/>
      <c r="J835" s="34"/>
      <c r="K835" s="30"/>
    </row>
    <row r="836">
      <c r="A836" s="30"/>
      <c r="B836" s="31"/>
      <c r="C836" s="32"/>
      <c r="D836" s="33"/>
      <c r="E836" s="33"/>
      <c r="F836" s="33"/>
      <c r="G836" s="33"/>
      <c r="H836" s="34"/>
      <c r="I836" s="34"/>
      <c r="J836" s="34"/>
      <c r="K836" s="30"/>
    </row>
    <row r="837">
      <c r="A837" s="30"/>
      <c r="B837" s="31"/>
      <c r="C837" s="32"/>
      <c r="D837" s="33"/>
      <c r="E837" s="33"/>
      <c r="F837" s="33"/>
      <c r="G837" s="33"/>
      <c r="H837" s="34"/>
      <c r="I837" s="34"/>
      <c r="J837" s="34"/>
      <c r="K837" s="30"/>
    </row>
    <row r="838">
      <c r="A838" s="30"/>
      <c r="B838" s="31"/>
      <c r="C838" s="32"/>
      <c r="D838" s="33"/>
      <c r="E838" s="33"/>
      <c r="F838" s="33"/>
      <c r="G838" s="33"/>
      <c r="H838" s="34"/>
      <c r="I838" s="34"/>
      <c r="J838" s="34"/>
      <c r="K838" s="30"/>
    </row>
    <row r="839">
      <c r="A839" s="30"/>
      <c r="B839" s="31"/>
      <c r="C839" s="32"/>
      <c r="D839" s="33"/>
      <c r="E839" s="33"/>
      <c r="F839" s="33"/>
      <c r="G839" s="33"/>
      <c r="H839" s="34"/>
      <c r="I839" s="34"/>
      <c r="J839" s="34"/>
      <c r="K839" s="30"/>
    </row>
    <row r="840">
      <c r="A840" s="30"/>
      <c r="B840" s="31"/>
      <c r="C840" s="32"/>
      <c r="D840" s="33"/>
      <c r="E840" s="33"/>
      <c r="F840" s="33"/>
      <c r="G840" s="33"/>
      <c r="H840" s="34"/>
      <c r="I840" s="34"/>
      <c r="J840" s="34"/>
      <c r="K840" s="30"/>
    </row>
    <row r="841">
      <c r="A841" s="30"/>
      <c r="B841" s="31"/>
      <c r="C841" s="32"/>
      <c r="D841" s="33"/>
      <c r="E841" s="33"/>
      <c r="F841" s="33"/>
      <c r="G841" s="33"/>
      <c r="H841" s="34"/>
      <c r="I841" s="34"/>
      <c r="J841" s="34"/>
      <c r="K841" s="30"/>
    </row>
    <row r="842">
      <c r="A842" s="30"/>
      <c r="B842" s="31"/>
      <c r="C842" s="32"/>
      <c r="D842" s="33"/>
      <c r="E842" s="33"/>
      <c r="F842" s="33"/>
      <c r="G842" s="33"/>
      <c r="H842" s="34"/>
      <c r="I842" s="34"/>
      <c r="J842" s="34"/>
      <c r="K842" s="30"/>
    </row>
    <row r="843">
      <c r="A843" s="30"/>
      <c r="B843" s="31"/>
      <c r="C843" s="32"/>
      <c r="D843" s="33"/>
      <c r="E843" s="33"/>
      <c r="F843" s="33"/>
      <c r="G843" s="33"/>
      <c r="H843" s="34"/>
      <c r="I843" s="34"/>
      <c r="J843" s="34"/>
      <c r="K843" s="30"/>
    </row>
    <row r="844">
      <c r="A844" s="30"/>
      <c r="B844" s="31"/>
      <c r="C844" s="32"/>
      <c r="D844" s="33"/>
      <c r="E844" s="33"/>
      <c r="F844" s="33"/>
      <c r="G844" s="33"/>
      <c r="H844" s="34"/>
      <c r="I844" s="34"/>
      <c r="J844" s="34"/>
      <c r="K844" s="30"/>
    </row>
    <row r="845">
      <c r="A845" s="30"/>
      <c r="B845" s="31"/>
      <c r="C845" s="32"/>
      <c r="D845" s="33"/>
      <c r="E845" s="33"/>
      <c r="F845" s="33"/>
      <c r="G845" s="33"/>
      <c r="H845" s="34"/>
      <c r="I845" s="34"/>
      <c r="J845" s="34"/>
      <c r="K845" s="30"/>
    </row>
    <row r="846">
      <c r="A846" s="30"/>
      <c r="B846" s="31"/>
      <c r="C846" s="32"/>
      <c r="D846" s="33"/>
      <c r="E846" s="33"/>
      <c r="F846" s="33"/>
      <c r="G846" s="33"/>
      <c r="H846" s="34"/>
      <c r="I846" s="34"/>
      <c r="J846" s="34"/>
      <c r="K846" s="30"/>
    </row>
    <row r="847">
      <c r="A847" s="30"/>
      <c r="B847" s="31"/>
      <c r="C847" s="32"/>
      <c r="D847" s="33"/>
      <c r="E847" s="33"/>
      <c r="F847" s="33"/>
      <c r="G847" s="33"/>
      <c r="H847" s="34"/>
      <c r="I847" s="34"/>
      <c r="J847" s="34"/>
      <c r="K847" s="30"/>
    </row>
    <row r="848">
      <c r="A848" s="30"/>
      <c r="B848" s="31"/>
      <c r="C848" s="32"/>
      <c r="D848" s="33"/>
      <c r="E848" s="33"/>
      <c r="F848" s="33"/>
      <c r="G848" s="33"/>
      <c r="H848" s="34"/>
      <c r="I848" s="34"/>
      <c r="J848" s="34"/>
      <c r="K848" s="30"/>
    </row>
    <row r="849">
      <c r="A849" s="30"/>
      <c r="B849" s="31"/>
      <c r="C849" s="32"/>
      <c r="D849" s="33"/>
      <c r="E849" s="33"/>
      <c r="F849" s="33"/>
      <c r="G849" s="33"/>
      <c r="H849" s="34"/>
      <c r="I849" s="34"/>
      <c r="J849" s="34"/>
      <c r="K849" s="30"/>
    </row>
    <row r="850">
      <c r="A850" s="30"/>
      <c r="B850" s="31"/>
      <c r="C850" s="32"/>
      <c r="D850" s="33"/>
      <c r="E850" s="33"/>
      <c r="F850" s="33"/>
      <c r="G850" s="33"/>
      <c r="H850" s="34"/>
      <c r="I850" s="34"/>
      <c r="J850" s="34"/>
      <c r="K850" s="30"/>
    </row>
    <row r="851">
      <c r="A851" s="30"/>
      <c r="B851" s="31"/>
      <c r="C851" s="32"/>
      <c r="D851" s="33"/>
      <c r="E851" s="33"/>
      <c r="F851" s="33"/>
      <c r="G851" s="33"/>
      <c r="H851" s="34"/>
      <c r="I851" s="34"/>
      <c r="J851" s="34"/>
      <c r="K851" s="30"/>
    </row>
    <row r="852">
      <c r="A852" s="30"/>
      <c r="B852" s="31"/>
      <c r="C852" s="32"/>
      <c r="D852" s="33"/>
      <c r="E852" s="33"/>
      <c r="F852" s="33"/>
      <c r="G852" s="33"/>
      <c r="H852" s="34"/>
      <c r="I852" s="34"/>
      <c r="J852" s="34"/>
      <c r="K852" s="30"/>
    </row>
    <row r="853">
      <c r="A853" s="30"/>
      <c r="B853" s="31"/>
      <c r="C853" s="32"/>
      <c r="D853" s="33"/>
      <c r="E853" s="33"/>
      <c r="F853" s="33"/>
      <c r="G853" s="33"/>
      <c r="H853" s="34"/>
      <c r="I853" s="34"/>
      <c r="J853" s="34"/>
      <c r="K853" s="30"/>
    </row>
    <row r="854">
      <c r="A854" s="30"/>
      <c r="B854" s="31"/>
      <c r="C854" s="32"/>
      <c r="D854" s="33"/>
      <c r="E854" s="33"/>
      <c r="F854" s="33"/>
      <c r="G854" s="33"/>
      <c r="H854" s="34"/>
      <c r="I854" s="34"/>
      <c r="J854" s="34"/>
      <c r="K854" s="30"/>
    </row>
    <row r="855">
      <c r="A855" s="30"/>
      <c r="B855" s="31"/>
      <c r="C855" s="32"/>
      <c r="D855" s="33"/>
      <c r="E855" s="33"/>
      <c r="F855" s="33"/>
      <c r="G855" s="33"/>
      <c r="H855" s="34"/>
      <c r="I855" s="34"/>
      <c r="J855" s="34"/>
      <c r="K855" s="30"/>
    </row>
    <row r="856">
      <c r="A856" s="30"/>
      <c r="B856" s="31"/>
      <c r="C856" s="32"/>
      <c r="D856" s="33"/>
      <c r="E856" s="33"/>
      <c r="F856" s="33"/>
      <c r="G856" s="33"/>
      <c r="H856" s="34"/>
      <c r="I856" s="34"/>
      <c r="J856" s="34"/>
      <c r="K856" s="30"/>
    </row>
    <row r="857">
      <c r="A857" s="30"/>
      <c r="B857" s="31"/>
      <c r="C857" s="32"/>
      <c r="D857" s="33"/>
      <c r="E857" s="33"/>
      <c r="F857" s="33"/>
      <c r="G857" s="33"/>
      <c r="H857" s="34"/>
      <c r="I857" s="34"/>
      <c r="J857" s="34"/>
      <c r="K857" s="30"/>
    </row>
    <row r="858">
      <c r="A858" s="30"/>
      <c r="B858" s="31"/>
      <c r="C858" s="32"/>
      <c r="D858" s="33"/>
      <c r="E858" s="33"/>
      <c r="F858" s="33"/>
      <c r="G858" s="33"/>
      <c r="H858" s="34"/>
      <c r="I858" s="34"/>
      <c r="J858" s="34"/>
      <c r="K858" s="30"/>
    </row>
    <row r="859">
      <c r="A859" s="30"/>
      <c r="B859" s="31"/>
      <c r="C859" s="32"/>
      <c r="D859" s="33"/>
      <c r="E859" s="33"/>
      <c r="F859" s="33"/>
      <c r="G859" s="33"/>
      <c r="H859" s="34"/>
      <c r="I859" s="34"/>
      <c r="J859" s="34"/>
      <c r="K859" s="30"/>
    </row>
    <row r="860">
      <c r="A860" s="30"/>
      <c r="B860" s="31"/>
      <c r="C860" s="32"/>
      <c r="D860" s="33"/>
      <c r="E860" s="33"/>
      <c r="F860" s="33"/>
      <c r="G860" s="33"/>
      <c r="H860" s="34"/>
      <c r="I860" s="34"/>
      <c r="J860" s="34"/>
      <c r="K860" s="30"/>
    </row>
    <row r="861">
      <c r="A861" s="30"/>
      <c r="B861" s="31"/>
      <c r="C861" s="32"/>
      <c r="D861" s="33"/>
      <c r="E861" s="33"/>
      <c r="F861" s="33"/>
      <c r="G861" s="33"/>
      <c r="H861" s="34"/>
      <c r="I861" s="34"/>
      <c r="J861" s="34"/>
      <c r="K861" s="30"/>
    </row>
    <row r="862">
      <c r="A862" s="30"/>
      <c r="B862" s="31"/>
      <c r="C862" s="32"/>
      <c r="D862" s="33"/>
      <c r="E862" s="33"/>
      <c r="F862" s="33"/>
      <c r="G862" s="33"/>
      <c r="H862" s="34"/>
      <c r="I862" s="34"/>
      <c r="J862" s="34"/>
      <c r="K862" s="30"/>
    </row>
    <row r="863">
      <c r="A863" s="30"/>
      <c r="B863" s="31"/>
      <c r="C863" s="32"/>
      <c r="D863" s="33"/>
      <c r="E863" s="33"/>
      <c r="F863" s="33"/>
      <c r="G863" s="33"/>
      <c r="H863" s="34"/>
      <c r="I863" s="34"/>
      <c r="J863" s="34"/>
      <c r="K863" s="30"/>
    </row>
    <row r="864">
      <c r="A864" s="30"/>
      <c r="B864" s="31"/>
      <c r="C864" s="32"/>
      <c r="D864" s="33"/>
      <c r="E864" s="33"/>
      <c r="F864" s="33"/>
      <c r="G864" s="33"/>
      <c r="H864" s="34"/>
      <c r="I864" s="34"/>
      <c r="J864" s="34"/>
      <c r="K864" s="30"/>
    </row>
    <row r="865">
      <c r="A865" s="30"/>
      <c r="B865" s="31"/>
      <c r="C865" s="32"/>
      <c r="D865" s="33"/>
      <c r="E865" s="33"/>
      <c r="F865" s="33"/>
      <c r="G865" s="33"/>
      <c r="H865" s="34"/>
      <c r="I865" s="34"/>
      <c r="J865" s="34"/>
      <c r="K865" s="30"/>
    </row>
    <row r="866">
      <c r="A866" s="30"/>
      <c r="B866" s="31"/>
      <c r="C866" s="32"/>
      <c r="D866" s="33"/>
      <c r="E866" s="33"/>
      <c r="F866" s="33"/>
      <c r="G866" s="33"/>
      <c r="H866" s="34"/>
      <c r="I866" s="34"/>
      <c r="J866" s="34"/>
      <c r="K866" s="30"/>
    </row>
    <row r="867">
      <c r="A867" s="30"/>
      <c r="B867" s="31"/>
      <c r="C867" s="32"/>
      <c r="D867" s="33"/>
      <c r="E867" s="33"/>
      <c r="F867" s="33"/>
      <c r="G867" s="33"/>
      <c r="H867" s="34"/>
      <c r="I867" s="34"/>
      <c r="J867" s="34"/>
      <c r="K867" s="30"/>
    </row>
    <row r="868">
      <c r="A868" s="30"/>
      <c r="B868" s="31"/>
      <c r="C868" s="32"/>
      <c r="D868" s="33"/>
      <c r="E868" s="33"/>
      <c r="F868" s="33"/>
      <c r="G868" s="33"/>
      <c r="H868" s="34"/>
      <c r="I868" s="34"/>
      <c r="J868" s="34"/>
      <c r="K868" s="30"/>
    </row>
    <row r="869">
      <c r="A869" s="30"/>
      <c r="B869" s="31"/>
      <c r="C869" s="32"/>
      <c r="D869" s="33"/>
      <c r="E869" s="33"/>
      <c r="F869" s="33"/>
      <c r="G869" s="33"/>
      <c r="H869" s="34"/>
      <c r="I869" s="34"/>
      <c r="J869" s="34"/>
      <c r="K869" s="30"/>
    </row>
    <row r="870">
      <c r="A870" s="30"/>
      <c r="B870" s="31"/>
      <c r="C870" s="32"/>
      <c r="D870" s="33"/>
      <c r="E870" s="33"/>
      <c r="F870" s="33"/>
      <c r="G870" s="33"/>
      <c r="H870" s="34"/>
      <c r="I870" s="34"/>
      <c r="J870" s="34"/>
      <c r="K870" s="30"/>
    </row>
    <row r="871">
      <c r="A871" s="30"/>
      <c r="B871" s="31"/>
      <c r="C871" s="32"/>
      <c r="D871" s="33"/>
      <c r="E871" s="33"/>
      <c r="F871" s="33"/>
      <c r="G871" s="33"/>
      <c r="H871" s="34"/>
      <c r="I871" s="34"/>
      <c r="J871" s="34"/>
      <c r="K871" s="30"/>
    </row>
    <row r="872">
      <c r="A872" s="30"/>
      <c r="B872" s="31"/>
      <c r="C872" s="32"/>
      <c r="D872" s="33"/>
      <c r="E872" s="33"/>
      <c r="F872" s="33"/>
      <c r="G872" s="33"/>
      <c r="H872" s="34"/>
      <c r="I872" s="34"/>
      <c r="J872" s="34"/>
      <c r="K872" s="30"/>
    </row>
    <row r="873">
      <c r="A873" s="30"/>
      <c r="B873" s="31"/>
      <c r="C873" s="32"/>
      <c r="D873" s="33"/>
      <c r="E873" s="33"/>
      <c r="F873" s="33"/>
      <c r="G873" s="33"/>
      <c r="H873" s="34"/>
      <c r="I873" s="34"/>
      <c r="J873" s="34"/>
      <c r="K873" s="30"/>
    </row>
    <row r="874">
      <c r="A874" s="30"/>
      <c r="B874" s="31"/>
      <c r="C874" s="32"/>
      <c r="D874" s="33"/>
      <c r="E874" s="33"/>
      <c r="F874" s="33"/>
      <c r="G874" s="33"/>
      <c r="H874" s="34"/>
      <c r="I874" s="34"/>
      <c r="J874" s="34"/>
      <c r="K874" s="30"/>
    </row>
    <row r="875">
      <c r="A875" s="30"/>
      <c r="B875" s="31"/>
      <c r="C875" s="32"/>
      <c r="D875" s="33"/>
      <c r="E875" s="33"/>
      <c r="F875" s="33"/>
      <c r="G875" s="33"/>
      <c r="H875" s="34"/>
      <c r="I875" s="34"/>
      <c r="J875" s="34"/>
      <c r="K875" s="30"/>
    </row>
    <row r="876">
      <c r="A876" s="30"/>
      <c r="B876" s="31"/>
      <c r="C876" s="32"/>
      <c r="D876" s="33"/>
      <c r="E876" s="33"/>
      <c r="F876" s="33"/>
      <c r="G876" s="33"/>
      <c r="H876" s="34"/>
      <c r="I876" s="34"/>
      <c r="J876" s="34"/>
      <c r="K876" s="30"/>
    </row>
    <row r="877">
      <c r="A877" s="30"/>
      <c r="B877" s="31"/>
      <c r="C877" s="32"/>
      <c r="D877" s="33"/>
      <c r="E877" s="33"/>
      <c r="F877" s="33"/>
      <c r="G877" s="33"/>
      <c r="H877" s="34"/>
      <c r="I877" s="34"/>
      <c r="J877" s="34"/>
      <c r="K877" s="30"/>
    </row>
    <row r="878">
      <c r="A878" s="30"/>
      <c r="B878" s="31"/>
      <c r="C878" s="32"/>
      <c r="D878" s="33"/>
      <c r="E878" s="33"/>
      <c r="F878" s="33"/>
      <c r="G878" s="33"/>
      <c r="H878" s="34"/>
      <c r="I878" s="34"/>
      <c r="J878" s="34"/>
      <c r="K878" s="30"/>
    </row>
    <row r="879">
      <c r="A879" s="30"/>
      <c r="B879" s="31"/>
      <c r="C879" s="32"/>
      <c r="D879" s="33"/>
      <c r="E879" s="33"/>
      <c r="F879" s="33"/>
      <c r="G879" s="33"/>
      <c r="H879" s="34"/>
      <c r="I879" s="34"/>
      <c r="J879" s="34"/>
      <c r="K879" s="30"/>
    </row>
    <row r="880">
      <c r="A880" s="30"/>
      <c r="B880" s="31"/>
      <c r="C880" s="32"/>
      <c r="D880" s="33"/>
      <c r="E880" s="33"/>
      <c r="F880" s="33"/>
      <c r="G880" s="33"/>
      <c r="H880" s="34"/>
      <c r="I880" s="34"/>
      <c r="J880" s="34"/>
      <c r="K880" s="30"/>
    </row>
    <row r="881">
      <c r="A881" s="30"/>
      <c r="B881" s="31"/>
      <c r="C881" s="32"/>
      <c r="D881" s="33"/>
      <c r="E881" s="33"/>
      <c r="F881" s="33"/>
      <c r="G881" s="33"/>
      <c r="H881" s="34"/>
      <c r="I881" s="34"/>
      <c r="J881" s="34"/>
      <c r="K881" s="30"/>
    </row>
    <row r="882">
      <c r="A882" s="30"/>
      <c r="B882" s="31"/>
      <c r="C882" s="32"/>
      <c r="D882" s="33"/>
      <c r="E882" s="33"/>
      <c r="F882" s="33"/>
      <c r="G882" s="33"/>
      <c r="H882" s="34"/>
      <c r="I882" s="34"/>
      <c r="J882" s="34"/>
      <c r="K882" s="30"/>
    </row>
    <row r="883">
      <c r="A883" s="30"/>
      <c r="B883" s="31"/>
      <c r="C883" s="32"/>
      <c r="D883" s="33"/>
      <c r="E883" s="33"/>
      <c r="F883" s="33"/>
      <c r="G883" s="33"/>
      <c r="H883" s="34"/>
      <c r="I883" s="34"/>
      <c r="J883" s="34"/>
      <c r="K883" s="30"/>
    </row>
    <row r="884">
      <c r="A884" s="30"/>
      <c r="B884" s="31"/>
      <c r="C884" s="32"/>
      <c r="D884" s="33"/>
      <c r="E884" s="33"/>
      <c r="F884" s="33"/>
      <c r="G884" s="33"/>
      <c r="H884" s="34"/>
      <c r="I884" s="34"/>
      <c r="J884" s="34"/>
      <c r="K884" s="30"/>
    </row>
    <row r="885">
      <c r="A885" s="30"/>
      <c r="B885" s="31"/>
      <c r="C885" s="32"/>
      <c r="D885" s="33"/>
      <c r="E885" s="33"/>
      <c r="F885" s="33"/>
      <c r="G885" s="33"/>
      <c r="H885" s="34"/>
      <c r="I885" s="34"/>
      <c r="J885" s="34"/>
      <c r="K885" s="30"/>
    </row>
    <row r="886">
      <c r="A886" s="30"/>
      <c r="B886" s="31"/>
      <c r="C886" s="32"/>
      <c r="D886" s="33"/>
      <c r="E886" s="33"/>
      <c r="F886" s="33"/>
      <c r="G886" s="33"/>
      <c r="H886" s="34"/>
      <c r="I886" s="34"/>
      <c r="J886" s="34"/>
      <c r="K886" s="30"/>
    </row>
    <row r="887">
      <c r="A887" s="30"/>
      <c r="B887" s="31"/>
      <c r="C887" s="32"/>
      <c r="D887" s="33"/>
      <c r="E887" s="33"/>
      <c r="F887" s="33"/>
      <c r="G887" s="33"/>
      <c r="H887" s="34"/>
      <c r="I887" s="34"/>
      <c r="J887" s="34"/>
      <c r="K887" s="30"/>
    </row>
    <row r="888">
      <c r="A888" s="30"/>
      <c r="B888" s="31"/>
      <c r="C888" s="32"/>
      <c r="D888" s="33"/>
      <c r="E888" s="33"/>
      <c r="F888" s="33"/>
      <c r="G888" s="33"/>
      <c r="H888" s="34"/>
      <c r="I888" s="34"/>
      <c r="J888" s="34"/>
      <c r="K888" s="30"/>
    </row>
    <row r="889">
      <c r="A889" s="30"/>
      <c r="B889" s="31"/>
      <c r="C889" s="32"/>
      <c r="D889" s="33"/>
      <c r="E889" s="33"/>
      <c r="F889" s="33"/>
      <c r="G889" s="33"/>
      <c r="H889" s="34"/>
      <c r="I889" s="34"/>
      <c r="J889" s="34"/>
      <c r="K889" s="30"/>
    </row>
    <row r="890">
      <c r="A890" s="30"/>
      <c r="B890" s="31"/>
      <c r="C890" s="32"/>
      <c r="D890" s="33"/>
      <c r="E890" s="33"/>
      <c r="F890" s="33"/>
      <c r="G890" s="33"/>
      <c r="H890" s="34"/>
      <c r="I890" s="34"/>
      <c r="J890" s="34"/>
      <c r="K890" s="30"/>
    </row>
    <row r="891">
      <c r="A891" s="30"/>
      <c r="B891" s="31"/>
      <c r="C891" s="32"/>
      <c r="D891" s="33"/>
      <c r="E891" s="33"/>
      <c r="F891" s="33"/>
      <c r="G891" s="33"/>
      <c r="H891" s="34"/>
      <c r="I891" s="34"/>
      <c r="J891" s="34"/>
      <c r="K891" s="30"/>
    </row>
    <row r="892">
      <c r="A892" s="30"/>
      <c r="B892" s="31"/>
      <c r="C892" s="32"/>
      <c r="D892" s="33"/>
      <c r="E892" s="33"/>
      <c r="F892" s="33"/>
      <c r="G892" s="33"/>
      <c r="H892" s="34"/>
      <c r="I892" s="34"/>
      <c r="J892" s="34"/>
      <c r="K892" s="30"/>
    </row>
    <row r="893">
      <c r="A893" s="30"/>
      <c r="B893" s="31"/>
      <c r="C893" s="32"/>
      <c r="D893" s="33"/>
      <c r="E893" s="33"/>
      <c r="F893" s="33"/>
      <c r="G893" s="33"/>
      <c r="H893" s="34"/>
      <c r="I893" s="34"/>
      <c r="J893" s="34"/>
      <c r="K893" s="30"/>
    </row>
    <row r="894">
      <c r="A894" s="30"/>
      <c r="B894" s="31"/>
      <c r="C894" s="32"/>
      <c r="D894" s="33"/>
      <c r="E894" s="33"/>
      <c r="F894" s="33"/>
      <c r="G894" s="33"/>
      <c r="H894" s="34"/>
      <c r="I894" s="34"/>
      <c r="J894" s="34"/>
      <c r="K894" s="30"/>
    </row>
    <row r="895">
      <c r="A895" s="30"/>
      <c r="B895" s="31"/>
      <c r="C895" s="32"/>
      <c r="D895" s="33"/>
      <c r="E895" s="33"/>
      <c r="F895" s="33"/>
      <c r="G895" s="33"/>
      <c r="H895" s="34"/>
      <c r="I895" s="34"/>
      <c r="J895" s="34"/>
      <c r="K895" s="30"/>
    </row>
    <row r="896">
      <c r="A896" s="30"/>
      <c r="B896" s="31"/>
      <c r="C896" s="32"/>
      <c r="D896" s="33"/>
      <c r="E896" s="33"/>
      <c r="F896" s="33"/>
      <c r="G896" s="33"/>
      <c r="H896" s="34"/>
      <c r="I896" s="34"/>
      <c r="J896" s="34"/>
      <c r="K896" s="30"/>
    </row>
    <row r="897">
      <c r="A897" s="30"/>
      <c r="B897" s="31"/>
      <c r="C897" s="32"/>
      <c r="D897" s="33"/>
      <c r="E897" s="33"/>
      <c r="F897" s="33"/>
      <c r="G897" s="33"/>
      <c r="H897" s="34"/>
      <c r="I897" s="34"/>
      <c r="J897" s="34"/>
      <c r="K897" s="30"/>
    </row>
    <row r="898">
      <c r="A898" s="30"/>
      <c r="B898" s="31"/>
      <c r="C898" s="32"/>
      <c r="D898" s="33"/>
      <c r="E898" s="33"/>
      <c r="F898" s="33"/>
      <c r="G898" s="33"/>
      <c r="H898" s="34"/>
      <c r="I898" s="34"/>
      <c r="J898" s="34"/>
      <c r="K898" s="30"/>
    </row>
    <row r="899">
      <c r="A899" s="30"/>
      <c r="B899" s="31"/>
      <c r="C899" s="32"/>
      <c r="D899" s="33"/>
      <c r="E899" s="33"/>
      <c r="F899" s="33"/>
      <c r="G899" s="33"/>
      <c r="H899" s="34"/>
      <c r="I899" s="34"/>
      <c r="J899" s="34"/>
      <c r="K899" s="30"/>
    </row>
    <row r="900">
      <c r="A900" s="30"/>
      <c r="B900" s="31"/>
      <c r="C900" s="32"/>
      <c r="D900" s="33"/>
      <c r="E900" s="33"/>
      <c r="F900" s="33"/>
      <c r="G900" s="33"/>
      <c r="H900" s="34"/>
      <c r="I900" s="34"/>
      <c r="J900" s="34"/>
      <c r="K900" s="30"/>
    </row>
    <row r="901">
      <c r="A901" s="30"/>
      <c r="B901" s="31"/>
      <c r="C901" s="32"/>
      <c r="D901" s="33"/>
      <c r="E901" s="33"/>
      <c r="F901" s="33"/>
      <c r="G901" s="33"/>
      <c r="H901" s="34"/>
      <c r="I901" s="34"/>
      <c r="J901" s="34"/>
      <c r="K901" s="30"/>
    </row>
    <row r="902">
      <c r="A902" s="30"/>
      <c r="B902" s="31"/>
      <c r="C902" s="32"/>
      <c r="D902" s="33"/>
      <c r="E902" s="33"/>
      <c r="F902" s="33"/>
      <c r="G902" s="33"/>
      <c r="H902" s="34"/>
      <c r="I902" s="34"/>
      <c r="J902" s="34"/>
      <c r="K902" s="30"/>
    </row>
    <row r="903">
      <c r="A903" s="30"/>
      <c r="B903" s="31"/>
      <c r="C903" s="32"/>
      <c r="D903" s="33"/>
      <c r="E903" s="33"/>
      <c r="F903" s="33"/>
      <c r="G903" s="33"/>
      <c r="H903" s="34"/>
      <c r="I903" s="34"/>
      <c r="J903" s="34"/>
      <c r="K903" s="30"/>
    </row>
    <row r="904">
      <c r="A904" s="30"/>
      <c r="B904" s="31"/>
      <c r="C904" s="32"/>
      <c r="D904" s="33"/>
      <c r="E904" s="33"/>
      <c r="F904" s="33"/>
      <c r="G904" s="33"/>
      <c r="H904" s="34"/>
      <c r="I904" s="34"/>
      <c r="J904" s="34"/>
      <c r="K904" s="30"/>
    </row>
    <row r="905">
      <c r="A905" s="30"/>
      <c r="B905" s="31"/>
      <c r="C905" s="32"/>
      <c r="D905" s="33"/>
      <c r="E905" s="33"/>
      <c r="F905" s="33"/>
      <c r="G905" s="33"/>
      <c r="H905" s="34"/>
      <c r="I905" s="34"/>
      <c r="J905" s="34"/>
      <c r="K905" s="30"/>
    </row>
    <row r="906">
      <c r="A906" s="30"/>
      <c r="B906" s="31"/>
      <c r="C906" s="32"/>
      <c r="D906" s="33"/>
      <c r="E906" s="33"/>
      <c r="F906" s="33"/>
      <c r="G906" s="33"/>
      <c r="H906" s="34"/>
      <c r="I906" s="34"/>
      <c r="J906" s="34"/>
      <c r="K906" s="30"/>
    </row>
    <row r="907">
      <c r="A907" s="30"/>
      <c r="B907" s="31"/>
      <c r="C907" s="32"/>
      <c r="D907" s="33"/>
      <c r="E907" s="33"/>
      <c r="F907" s="33"/>
      <c r="G907" s="33"/>
      <c r="H907" s="34"/>
      <c r="I907" s="34"/>
      <c r="J907" s="34"/>
      <c r="K907" s="30"/>
    </row>
    <row r="908">
      <c r="A908" s="30"/>
      <c r="B908" s="31"/>
      <c r="C908" s="32"/>
      <c r="D908" s="33"/>
      <c r="E908" s="33"/>
      <c r="F908" s="33"/>
      <c r="G908" s="33"/>
      <c r="H908" s="34"/>
      <c r="I908" s="34"/>
      <c r="J908" s="34"/>
      <c r="K908" s="30"/>
    </row>
    <row r="909">
      <c r="A909" s="30"/>
      <c r="B909" s="31"/>
      <c r="C909" s="32"/>
      <c r="D909" s="33"/>
      <c r="E909" s="33"/>
      <c r="F909" s="33"/>
      <c r="G909" s="33"/>
      <c r="H909" s="34"/>
      <c r="I909" s="34"/>
      <c r="J909" s="34"/>
      <c r="K909" s="30"/>
    </row>
    <row r="910">
      <c r="A910" s="30"/>
      <c r="B910" s="31"/>
      <c r="C910" s="32"/>
      <c r="D910" s="33"/>
      <c r="E910" s="33"/>
      <c r="F910" s="33"/>
      <c r="G910" s="33"/>
      <c r="H910" s="34"/>
      <c r="I910" s="34"/>
      <c r="J910" s="34"/>
      <c r="K910" s="30"/>
    </row>
    <row r="911">
      <c r="A911" s="30"/>
      <c r="B911" s="31"/>
      <c r="C911" s="32"/>
      <c r="D911" s="33"/>
      <c r="E911" s="33"/>
      <c r="F911" s="33"/>
      <c r="G911" s="33"/>
      <c r="H911" s="34"/>
      <c r="I911" s="34"/>
      <c r="J911" s="34"/>
      <c r="K911" s="30"/>
    </row>
    <row r="912">
      <c r="A912" s="30"/>
      <c r="B912" s="31"/>
      <c r="C912" s="32"/>
      <c r="D912" s="33"/>
      <c r="E912" s="33"/>
      <c r="F912" s="33"/>
      <c r="G912" s="33"/>
      <c r="H912" s="34"/>
      <c r="I912" s="34"/>
      <c r="J912" s="34"/>
      <c r="K912" s="30"/>
    </row>
    <row r="913">
      <c r="A913" s="30"/>
      <c r="B913" s="31"/>
      <c r="C913" s="32"/>
      <c r="D913" s="33"/>
      <c r="E913" s="33"/>
      <c r="F913" s="33"/>
      <c r="G913" s="33"/>
      <c r="H913" s="34"/>
      <c r="I913" s="34"/>
      <c r="J913" s="34"/>
      <c r="K913" s="30"/>
    </row>
    <row r="914">
      <c r="A914" s="30"/>
      <c r="B914" s="31"/>
      <c r="C914" s="32"/>
      <c r="D914" s="33"/>
      <c r="E914" s="33"/>
      <c r="F914" s="33"/>
      <c r="G914" s="33"/>
      <c r="H914" s="34"/>
      <c r="I914" s="34"/>
      <c r="J914" s="34"/>
      <c r="K914" s="30"/>
    </row>
    <row r="915">
      <c r="A915" s="30"/>
      <c r="B915" s="31"/>
      <c r="C915" s="32"/>
      <c r="D915" s="33"/>
      <c r="E915" s="33"/>
      <c r="F915" s="33"/>
      <c r="G915" s="33"/>
      <c r="H915" s="34"/>
      <c r="I915" s="34"/>
      <c r="J915" s="34"/>
      <c r="K915" s="30"/>
    </row>
    <row r="916">
      <c r="A916" s="30"/>
      <c r="B916" s="31"/>
      <c r="C916" s="32"/>
      <c r="D916" s="33"/>
      <c r="E916" s="33"/>
      <c r="F916" s="33"/>
      <c r="G916" s="33"/>
      <c r="H916" s="34"/>
      <c r="I916" s="34"/>
      <c r="J916" s="34"/>
      <c r="K916" s="30"/>
    </row>
    <row r="917">
      <c r="A917" s="30"/>
      <c r="B917" s="31"/>
      <c r="C917" s="32"/>
      <c r="D917" s="33"/>
      <c r="E917" s="33"/>
      <c r="F917" s="33"/>
      <c r="G917" s="33"/>
      <c r="H917" s="34"/>
      <c r="I917" s="34"/>
      <c r="J917" s="34"/>
      <c r="K917" s="30"/>
    </row>
    <row r="918">
      <c r="A918" s="30"/>
      <c r="B918" s="31"/>
      <c r="C918" s="32"/>
      <c r="D918" s="33"/>
      <c r="E918" s="33"/>
      <c r="F918" s="33"/>
      <c r="G918" s="33"/>
      <c r="H918" s="34"/>
      <c r="I918" s="34"/>
      <c r="J918" s="34"/>
      <c r="K918" s="30"/>
    </row>
    <row r="919">
      <c r="A919" s="30"/>
      <c r="B919" s="31"/>
      <c r="C919" s="32"/>
      <c r="D919" s="33"/>
      <c r="E919" s="33"/>
      <c r="F919" s="33"/>
      <c r="G919" s="33"/>
      <c r="H919" s="34"/>
      <c r="I919" s="34"/>
      <c r="J919" s="34"/>
      <c r="K919" s="30"/>
    </row>
    <row r="920">
      <c r="A920" s="30"/>
      <c r="B920" s="31"/>
      <c r="C920" s="32"/>
      <c r="D920" s="33"/>
      <c r="E920" s="33"/>
      <c r="F920" s="33"/>
      <c r="G920" s="33"/>
      <c r="H920" s="34"/>
      <c r="I920" s="34"/>
      <c r="J920" s="34"/>
      <c r="K920" s="30"/>
    </row>
    <row r="921">
      <c r="A921" s="30"/>
      <c r="B921" s="31"/>
      <c r="C921" s="32"/>
      <c r="D921" s="33"/>
      <c r="E921" s="33"/>
      <c r="F921" s="33"/>
      <c r="G921" s="33"/>
      <c r="H921" s="34"/>
      <c r="I921" s="34"/>
      <c r="J921" s="34"/>
      <c r="K921" s="30"/>
    </row>
    <row r="922">
      <c r="A922" s="30"/>
      <c r="B922" s="31"/>
      <c r="C922" s="32"/>
      <c r="D922" s="33"/>
      <c r="E922" s="33"/>
      <c r="F922" s="33"/>
      <c r="G922" s="33"/>
      <c r="H922" s="34"/>
      <c r="I922" s="34"/>
      <c r="J922" s="34"/>
      <c r="K922" s="30"/>
    </row>
    <row r="923">
      <c r="A923" s="30"/>
      <c r="B923" s="31"/>
      <c r="C923" s="32"/>
      <c r="D923" s="33"/>
      <c r="E923" s="33"/>
      <c r="F923" s="33"/>
      <c r="G923" s="33"/>
      <c r="H923" s="34"/>
      <c r="I923" s="34"/>
      <c r="J923" s="34"/>
      <c r="K923" s="30"/>
    </row>
    <row r="924">
      <c r="A924" s="30"/>
      <c r="B924" s="31"/>
      <c r="C924" s="32"/>
      <c r="D924" s="33"/>
      <c r="E924" s="33"/>
      <c r="F924" s="33"/>
      <c r="G924" s="33"/>
      <c r="H924" s="34"/>
      <c r="I924" s="34"/>
      <c r="J924" s="34"/>
      <c r="K924" s="30"/>
    </row>
    <row r="925">
      <c r="A925" s="30"/>
      <c r="B925" s="31"/>
      <c r="C925" s="32"/>
      <c r="D925" s="33"/>
      <c r="E925" s="33"/>
      <c r="F925" s="33"/>
      <c r="G925" s="33"/>
      <c r="H925" s="34"/>
      <c r="I925" s="34"/>
      <c r="J925" s="34"/>
      <c r="K925" s="30"/>
    </row>
    <row r="926">
      <c r="A926" s="30"/>
      <c r="B926" s="31"/>
      <c r="C926" s="32"/>
      <c r="D926" s="33"/>
      <c r="E926" s="33"/>
      <c r="F926" s="33"/>
      <c r="G926" s="33"/>
      <c r="H926" s="34"/>
      <c r="I926" s="34"/>
      <c r="J926" s="34"/>
      <c r="K926" s="30"/>
    </row>
    <row r="927">
      <c r="A927" s="30"/>
      <c r="B927" s="31"/>
      <c r="C927" s="32"/>
      <c r="D927" s="33"/>
      <c r="E927" s="33"/>
      <c r="F927" s="33"/>
      <c r="G927" s="33"/>
      <c r="H927" s="34"/>
      <c r="I927" s="34"/>
      <c r="J927" s="34"/>
      <c r="K927" s="30"/>
    </row>
    <row r="928">
      <c r="A928" s="30"/>
      <c r="B928" s="31"/>
      <c r="C928" s="32"/>
      <c r="D928" s="33"/>
      <c r="E928" s="33"/>
      <c r="F928" s="33"/>
      <c r="G928" s="33"/>
      <c r="H928" s="34"/>
      <c r="I928" s="34"/>
      <c r="J928" s="34"/>
      <c r="K928" s="30"/>
    </row>
    <row r="929">
      <c r="A929" s="30"/>
      <c r="B929" s="31"/>
      <c r="C929" s="32"/>
      <c r="D929" s="33"/>
      <c r="E929" s="33"/>
      <c r="F929" s="33"/>
      <c r="G929" s="33"/>
      <c r="H929" s="34"/>
      <c r="I929" s="34"/>
      <c r="J929" s="34"/>
      <c r="K929" s="30"/>
    </row>
    <row r="930">
      <c r="A930" s="30"/>
      <c r="B930" s="31"/>
      <c r="C930" s="32"/>
      <c r="D930" s="33"/>
      <c r="E930" s="33"/>
      <c r="F930" s="33"/>
      <c r="G930" s="33"/>
      <c r="H930" s="34"/>
      <c r="I930" s="34"/>
      <c r="J930" s="34"/>
      <c r="K930" s="30"/>
    </row>
    <row r="931">
      <c r="A931" s="30"/>
      <c r="B931" s="31"/>
      <c r="C931" s="32"/>
      <c r="D931" s="33"/>
      <c r="E931" s="33"/>
      <c r="F931" s="33"/>
      <c r="G931" s="33"/>
      <c r="H931" s="34"/>
      <c r="I931" s="34"/>
      <c r="J931" s="34"/>
      <c r="K931" s="30"/>
    </row>
    <row r="932">
      <c r="A932" s="30"/>
      <c r="B932" s="31"/>
      <c r="C932" s="32"/>
      <c r="D932" s="33"/>
      <c r="E932" s="33"/>
      <c r="F932" s="33"/>
      <c r="G932" s="33"/>
      <c r="H932" s="34"/>
      <c r="I932" s="34"/>
      <c r="J932" s="34"/>
      <c r="K932" s="30"/>
    </row>
    <row r="933">
      <c r="A933" s="30"/>
      <c r="B933" s="31"/>
      <c r="C933" s="32"/>
      <c r="D933" s="33"/>
      <c r="E933" s="33"/>
      <c r="F933" s="33"/>
      <c r="G933" s="33"/>
      <c r="H933" s="34"/>
      <c r="I933" s="34"/>
      <c r="J933" s="34"/>
      <c r="K933" s="30"/>
    </row>
    <row r="934">
      <c r="A934" s="30"/>
      <c r="B934" s="31"/>
      <c r="C934" s="32"/>
      <c r="D934" s="33"/>
      <c r="E934" s="33"/>
      <c r="F934" s="33"/>
      <c r="G934" s="33"/>
      <c r="H934" s="34"/>
      <c r="I934" s="34"/>
      <c r="J934" s="34"/>
      <c r="K934" s="30"/>
    </row>
    <row r="935">
      <c r="A935" s="30"/>
      <c r="B935" s="31"/>
      <c r="C935" s="32"/>
      <c r="D935" s="33"/>
      <c r="E935" s="33"/>
      <c r="F935" s="33"/>
      <c r="G935" s="33"/>
      <c r="H935" s="34"/>
      <c r="I935" s="34"/>
      <c r="J935" s="34"/>
      <c r="K935" s="30"/>
    </row>
    <row r="936">
      <c r="A936" s="30"/>
      <c r="B936" s="31"/>
      <c r="C936" s="32"/>
      <c r="D936" s="33"/>
      <c r="E936" s="33"/>
      <c r="F936" s="33"/>
      <c r="G936" s="33"/>
      <c r="H936" s="34"/>
      <c r="I936" s="34"/>
      <c r="J936" s="34"/>
      <c r="K936" s="30"/>
    </row>
    <row r="937">
      <c r="A937" s="30"/>
      <c r="B937" s="31"/>
      <c r="C937" s="32"/>
      <c r="D937" s="33"/>
      <c r="E937" s="33"/>
      <c r="F937" s="33"/>
      <c r="G937" s="33"/>
      <c r="H937" s="34"/>
      <c r="I937" s="34"/>
      <c r="J937" s="34"/>
      <c r="K937" s="30"/>
    </row>
    <row r="938">
      <c r="A938" s="30"/>
      <c r="B938" s="31"/>
      <c r="C938" s="32"/>
      <c r="D938" s="33"/>
      <c r="E938" s="33"/>
      <c r="F938" s="33"/>
      <c r="G938" s="33"/>
      <c r="H938" s="34"/>
      <c r="I938" s="34"/>
      <c r="J938" s="34"/>
      <c r="K938" s="30"/>
    </row>
    <row r="939">
      <c r="A939" s="30"/>
      <c r="B939" s="31"/>
      <c r="C939" s="32"/>
      <c r="D939" s="33"/>
      <c r="E939" s="33"/>
      <c r="F939" s="33"/>
      <c r="G939" s="33"/>
      <c r="H939" s="34"/>
      <c r="I939" s="34"/>
      <c r="J939" s="34"/>
      <c r="K939" s="30"/>
    </row>
    <row r="940">
      <c r="A940" s="30"/>
      <c r="B940" s="31"/>
      <c r="C940" s="32"/>
      <c r="D940" s="33"/>
      <c r="E940" s="33"/>
      <c r="F940" s="33"/>
      <c r="G940" s="33"/>
      <c r="H940" s="34"/>
      <c r="I940" s="34"/>
      <c r="J940" s="34"/>
      <c r="K940" s="30"/>
    </row>
    <row r="941">
      <c r="A941" s="30"/>
      <c r="B941" s="31"/>
      <c r="C941" s="32"/>
      <c r="D941" s="33"/>
      <c r="E941" s="33"/>
      <c r="F941" s="33"/>
      <c r="G941" s="33"/>
      <c r="H941" s="34"/>
      <c r="I941" s="34"/>
      <c r="J941" s="34"/>
      <c r="K941" s="30"/>
    </row>
    <row r="942">
      <c r="A942" s="30"/>
      <c r="B942" s="31"/>
      <c r="C942" s="32"/>
      <c r="D942" s="33"/>
      <c r="E942" s="33"/>
      <c r="F942" s="33"/>
      <c r="G942" s="33"/>
      <c r="H942" s="34"/>
      <c r="I942" s="34"/>
      <c r="J942" s="34"/>
      <c r="K942" s="30"/>
    </row>
    <row r="943">
      <c r="A943" s="30"/>
      <c r="B943" s="31"/>
      <c r="C943" s="32"/>
      <c r="D943" s="33"/>
      <c r="E943" s="33"/>
      <c r="F943" s="33"/>
      <c r="G943" s="33"/>
      <c r="H943" s="34"/>
      <c r="I943" s="34"/>
      <c r="J943" s="34"/>
      <c r="K943" s="30"/>
    </row>
    <row r="944">
      <c r="A944" s="30"/>
      <c r="B944" s="31"/>
      <c r="C944" s="32"/>
      <c r="D944" s="33"/>
      <c r="E944" s="33"/>
      <c r="F944" s="33"/>
      <c r="G944" s="33"/>
      <c r="H944" s="34"/>
      <c r="I944" s="34"/>
      <c r="J944" s="34"/>
      <c r="K944" s="30"/>
    </row>
    <row r="945">
      <c r="A945" s="30"/>
      <c r="B945" s="31"/>
      <c r="C945" s="32"/>
      <c r="D945" s="33"/>
      <c r="E945" s="33"/>
      <c r="F945" s="33"/>
      <c r="G945" s="33"/>
      <c r="H945" s="34"/>
      <c r="I945" s="34"/>
      <c r="J945" s="34"/>
      <c r="K945" s="30"/>
    </row>
    <row r="946">
      <c r="A946" s="30"/>
      <c r="B946" s="31"/>
      <c r="C946" s="32"/>
      <c r="D946" s="33"/>
      <c r="E946" s="33"/>
      <c r="F946" s="33"/>
      <c r="G946" s="33"/>
      <c r="H946" s="34"/>
      <c r="I946" s="34"/>
      <c r="J946" s="34"/>
      <c r="K946" s="30"/>
    </row>
    <row r="947">
      <c r="A947" s="30"/>
      <c r="B947" s="31"/>
      <c r="C947" s="32"/>
      <c r="D947" s="33"/>
      <c r="E947" s="33"/>
      <c r="F947" s="33"/>
      <c r="G947" s="33"/>
      <c r="H947" s="34"/>
      <c r="I947" s="34"/>
      <c r="J947" s="34"/>
      <c r="K947" s="30"/>
    </row>
    <row r="948">
      <c r="A948" s="30"/>
      <c r="B948" s="31"/>
      <c r="C948" s="32"/>
      <c r="D948" s="33"/>
      <c r="E948" s="33"/>
      <c r="F948" s="33"/>
      <c r="G948" s="33"/>
      <c r="H948" s="34"/>
      <c r="I948" s="34"/>
      <c r="J948" s="34"/>
      <c r="K948" s="30"/>
    </row>
    <row r="949">
      <c r="A949" s="30"/>
      <c r="B949" s="31"/>
      <c r="C949" s="32"/>
      <c r="D949" s="33"/>
      <c r="E949" s="33"/>
      <c r="F949" s="33"/>
      <c r="G949" s="33"/>
      <c r="H949" s="34"/>
      <c r="I949" s="34"/>
      <c r="J949" s="34"/>
      <c r="K949" s="30"/>
    </row>
    <row r="950">
      <c r="A950" s="30"/>
      <c r="B950" s="31"/>
      <c r="C950" s="32"/>
      <c r="D950" s="33"/>
      <c r="E950" s="33"/>
      <c r="F950" s="33"/>
      <c r="G950" s="33"/>
      <c r="H950" s="34"/>
      <c r="I950" s="34"/>
      <c r="J950" s="34"/>
      <c r="K950" s="30"/>
    </row>
    <row r="951">
      <c r="A951" s="30"/>
      <c r="B951" s="31"/>
      <c r="C951" s="32"/>
      <c r="D951" s="33"/>
      <c r="E951" s="33"/>
      <c r="F951" s="33"/>
      <c r="G951" s="33"/>
      <c r="H951" s="34"/>
      <c r="I951" s="34"/>
      <c r="J951" s="34"/>
      <c r="K951" s="30"/>
    </row>
    <row r="952">
      <c r="A952" s="30"/>
      <c r="B952" s="31"/>
      <c r="C952" s="32"/>
      <c r="D952" s="33"/>
      <c r="E952" s="33"/>
      <c r="F952" s="33"/>
      <c r="G952" s="33"/>
      <c r="H952" s="34"/>
      <c r="I952" s="34"/>
      <c r="J952" s="34"/>
      <c r="K952" s="30"/>
    </row>
    <row r="953">
      <c r="A953" s="30"/>
      <c r="B953" s="31"/>
      <c r="C953" s="32"/>
      <c r="D953" s="33"/>
      <c r="E953" s="33"/>
      <c r="F953" s="33"/>
      <c r="G953" s="33"/>
      <c r="H953" s="34"/>
      <c r="I953" s="34"/>
      <c r="J953" s="34"/>
      <c r="K953" s="30"/>
    </row>
    <row r="954">
      <c r="A954" s="30"/>
      <c r="B954" s="31"/>
      <c r="C954" s="32"/>
      <c r="D954" s="33"/>
      <c r="E954" s="33"/>
      <c r="F954" s="33"/>
      <c r="G954" s="33"/>
      <c r="H954" s="34"/>
      <c r="I954" s="34"/>
      <c r="J954" s="34"/>
      <c r="K954" s="30"/>
    </row>
    <row r="955">
      <c r="A955" s="30"/>
      <c r="B955" s="31"/>
      <c r="C955" s="32"/>
      <c r="D955" s="33"/>
      <c r="E955" s="33"/>
      <c r="F955" s="33"/>
      <c r="G955" s="33"/>
      <c r="H955" s="34"/>
      <c r="I955" s="34"/>
      <c r="J955" s="34"/>
      <c r="K955" s="30"/>
    </row>
    <row r="956">
      <c r="A956" s="30"/>
      <c r="B956" s="31"/>
      <c r="C956" s="32"/>
      <c r="D956" s="33"/>
      <c r="E956" s="33"/>
      <c r="F956" s="33"/>
      <c r="G956" s="33"/>
      <c r="H956" s="34"/>
      <c r="I956" s="34"/>
      <c r="J956" s="34"/>
      <c r="K956" s="30"/>
    </row>
    <row r="957">
      <c r="A957" s="30"/>
      <c r="B957" s="31"/>
      <c r="C957" s="32"/>
      <c r="D957" s="33"/>
      <c r="E957" s="33"/>
      <c r="F957" s="33"/>
      <c r="G957" s="33"/>
      <c r="H957" s="34"/>
      <c r="I957" s="34"/>
      <c r="J957" s="34"/>
      <c r="K957" s="30"/>
    </row>
    <row r="958">
      <c r="A958" s="30"/>
      <c r="B958" s="31"/>
      <c r="C958" s="32"/>
      <c r="D958" s="33"/>
      <c r="E958" s="33"/>
      <c r="F958" s="33"/>
      <c r="G958" s="33"/>
      <c r="H958" s="34"/>
      <c r="I958" s="34"/>
      <c r="J958" s="34"/>
      <c r="K958" s="30"/>
    </row>
    <row r="959">
      <c r="A959" s="30"/>
      <c r="B959" s="31"/>
      <c r="C959" s="32"/>
      <c r="D959" s="33"/>
      <c r="E959" s="33"/>
      <c r="F959" s="33"/>
      <c r="G959" s="33"/>
      <c r="H959" s="34"/>
      <c r="I959" s="34"/>
      <c r="J959" s="34"/>
      <c r="K959" s="30"/>
    </row>
    <row r="960">
      <c r="A960" s="30"/>
      <c r="B960" s="31"/>
      <c r="C960" s="32"/>
      <c r="D960" s="33"/>
      <c r="E960" s="33"/>
      <c r="F960" s="33"/>
      <c r="G960" s="33"/>
      <c r="H960" s="34"/>
      <c r="I960" s="34"/>
      <c r="J960" s="34"/>
      <c r="K960" s="30"/>
    </row>
    <row r="961">
      <c r="A961" s="30"/>
      <c r="B961" s="31"/>
      <c r="C961" s="32"/>
      <c r="D961" s="33"/>
      <c r="E961" s="33"/>
      <c r="F961" s="33"/>
      <c r="G961" s="33"/>
      <c r="H961" s="34"/>
      <c r="I961" s="34"/>
      <c r="J961" s="34"/>
      <c r="K961" s="30"/>
    </row>
    <row r="962">
      <c r="A962" s="30"/>
      <c r="B962" s="31"/>
      <c r="C962" s="32"/>
      <c r="D962" s="33"/>
      <c r="E962" s="33"/>
      <c r="F962" s="33"/>
      <c r="G962" s="33"/>
      <c r="H962" s="34"/>
      <c r="I962" s="34"/>
      <c r="J962" s="34"/>
      <c r="K962" s="30"/>
    </row>
    <row r="963">
      <c r="A963" s="30"/>
      <c r="B963" s="31"/>
      <c r="C963" s="32"/>
      <c r="D963" s="33"/>
      <c r="E963" s="33"/>
      <c r="F963" s="33"/>
      <c r="G963" s="33"/>
      <c r="H963" s="34"/>
      <c r="I963" s="34"/>
      <c r="J963" s="34"/>
      <c r="K963" s="30"/>
    </row>
    <row r="964">
      <c r="A964" s="30"/>
      <c r="B964" s="31"/>
      <c r="C964" s="32"/>
      <c r="D964" s="33"/>
      <c r="E964" s="33"/>
      <c r="F964" s="33"/>
      <c r="G964" s="33"/>
      <c r="H964" s="34"/>
      <c r="I964" s="34"/>
      <c r="J964" s="34"/>
      <c r="K964" s="30"/>
    </row>
    <row r="965">
      <c r="A965" s="30"/>
      <c r="B965" s="31"/>
      <c r="C965" s="32"/>
      <c r="D965" s="33"/>
      <c r="E965" s="33"/>
      <c r="F965" s="33"/>
      <c r="G965" s="33"/>
      <c r="H965" s="34"/>
      <c r="I965" s="34"/>
      <c r="J965" s="34"/>
      <c r="K965" s="30"/>
    </row>
    <row r="966">
      <c r="A966" s="30"/>
      <c r="B966" s="31"/>
      <c r="C966" s="32"/>
      <c r="D966" s="33"/>
      <c r="E966" s="33"/>
      <c r="F966" s="33"/>
      <c r="G966" s="33"/>
      <c r="H966" s="34"/>
      <c r="I966" s="34"/>
      <c r="J966" s="34"/>
      <c r="K966" s="30"/>
    </row>
    <row r="967">
      <c r="A967" s="30"/>
      <c r="B967" s="31"/>
      <c r="C967" s="32"/>
      <c r="D967" s="33"/>
      <c r="E967" s="33"/>
      <c r="F967" s="33"/>
      <c r="G967" s="33"/>
      <c r="H967" s="34"/>
      <c r="I967" s="34"/>
      <c r="J967" s="34"/>
      <c r="K967" s="30"/>
    </row>
    <row r="968">
      <c r="A968" s="30"/>
      <c r="B968" s="31"/>
      <c r="C968" s="32"/>
      <c r="D968" s="33"/>
      <c r="E968" s="33"/>
      <c r="F968" s="33"/>
      <c r="G968" s="33"/>
      <c r="H968" s="34"/>
      <c r="I968" s="34"/>
      <c r="J968" s="34"/>
      <c r="K968" s="30"/>
    </row>
    <row r="969">
      <c r="A969" s="30"/>
      <c r="B969" s="31"/>
      <c r="C969" s="32"/>
      <c r="D969" s="33"/>
      <c r="E969" s="33"/>
      <c r="F969" s="33"/>
      <c r="G969" s="33"/>
      <c r="H969" s="34"/>
      <c r="I969" s="34"/>
      <c r="J969" s="34"/>
      <c r="K969" s="30"/>
    </row>
    <row r="970">
      <c r="A970" s="30"/>
      <c r="B970" s="31"/>
      <c r="C970" s="32"/>
      <c r="D970" s="33"/>
      <c r="E970" s="33"/>
      <c r="F970" s="33"/>
      <c r="G970" s="33"/>
      <c r="H970" s="34"/>
      <c r="I970" s="34"/>
      <c r="J970" s="34"/>
      <c r="K970" s="30"/>
    </row>
    <row r="971">
      <c r="A971" s="30"/>
      <c r="B971" s="31"/>
      <c r="C971" s="32"/>
      <c r="D971" s="33"/>
      <c r="E971" s="33"/>
      <c r="F971" s="33"/>
      <c r="G971" s="33"/>
      <c r="H971" s="34"/>
      <c r="I971" s="34"/>
      <c r="J971" s="34"/>
      <c r="K971" s="30"/>
    </row>
    <row r="972">
      <c r="A972" s="30"/>
      <c r="B972" s="31"/>
      <c r="C972" s="32"/>
      <c r="D972" s="33"/>
      <c r="E972" s="33"/>
      <c r="F972" s="33"/>
      <c r="G972" s="33"/>
      <c r="H972" s="34"/>
      <c r="I972" s="34"/>
      <c r="J972" s="34"/>
      <c r="K972" s="30"/>
    </row>
    <row r="973">
      <c r="A973" s="30"/>
      <c r="B973" s="31"/>
      <c r="C973" s="32"/>
      <c r="D973" s="33"/>
      <c r="E973" s="33"/>
      <c r="F973" s="33"/>
      <c r="G973" s="33"/>
      <c r="H973" s="34"/>
      <c r="I973" s="34"/>
      <c r="J973" s="34"/>
      <c r="K973" s="30"/>
    </row>
    <row r="974">
      <c r="A974" s="30"/>
      <c r="B974" s="31"/>
      <c r="C974" s="32"/>
      <c r="D974" s="33"/>
      <c r="E974" s="33"/>
      <c r="F974" s="33"/>
      <c r="G974" s="33"/>
      <c r="H974" s="34"/>
      <c r="I974" s="34"/>
      <c r="J974" s="34"/>
      <c r="K974" s="30"/>
    </row>
    <row r="975">
      <c r="A975" s="30"/>
      <c r="B975" s="31"/>
      <c r="C975" s="32"/>
      <c r="D975" s="33"/>
      <c r="E975" s="33"/>
      <c r="F975" s="33"/>
      <c r="G975" s="33"/>
      <c r="H975" s="34"/>
      <c r="I975" s="34"/>
      <c r="J975" s="34"/>
      <c r="K975" s="30"/>
    </row>
    <row r="976">
      <c r="A976" s="30"/>
      <c r="B976" s="31"/>
      <c r="C976" s="32"/>
      <c r="D976" s="33"/>
      <c r="E976" s="33"/>
      <c r="F976" s="33"/>
      <c r="G976" s="33"/>
      <c r="H976" s="34"/>
      <c r="I976" s="34"/>
      <c r="J976" s="34"/>
      <c r="K976" s="30"/>
    </row>
    <row r="977">
      <c r="A977" s="30"/>
      <c r="B977" s="31"/>
      <c r="C977" s="32"/>
      <c r="D977" s="33"/>
      <c r="E977" s="33"/>
      <c r="F977" s="33"/>
      <c r="G977" s="33"/>
      <c r="H977" s="34"/>
      <c r="I977" s="34"/>
      <c r="J977" s="34"/>
      <c r="K977" s="30"/>
    </row>
    <row r="978">
      <c r="A978" s="30"/>
      <c r="B978" s="31"/>
      <c r="C978" s="32"/>
      <c r="D978" s="33"/>
      <c r="E978" s="33"/>
      <c r="F978" s="33"/>
      <c r="G978" s="33"/>
      <c r="H978" s="34"/>
      <c r="I978" s="34"/>
      <c r="J978" s="34"/>
      <c r="K978" s="30"/>
    </row>
    <row r="979">
      <c r="A979" s="30"/>
      <c r="B979" s="31"/>
      <c r="C979" s="32"/>
      <c r="D979" s="33"/>
      <c r="E979" s="33"/>
      <c r="F979" s="33"/>
      <c r="G979" s="33"/>
      <c r="H979" s="34"/>
      <c r="I979" s="34"/>
      <c r="J979" s="34"/>
      <c r="K979" s="30"/>
    </row>
    <row r="980">
      <c r="A980" s="30"/>
      <c r="B980" s="31"/>
      <c r="C980" s="32"/>
      <c r="D980" s="33"/>
      <c r="E980" s="33"/>
      <c r="F980" s="33"/>
      <c r="G980" s="33"/>
      <c r="H980" s="34"/>
      <c r="I980" s="34"/>
      <c r="J980" s="34"/>
      <c r="K980" s="30"/>
    </row>
    <row r="981">
      <c r="A981" s="30"/>
      <c r="B981" s="31"/>
      <c r="C981" s="32"/>
      <c r="D981" s="33"/>
      <c r="E981" s="33"/>
      <c r="F981" s="33"/>
      <c r="G981" s="33"/>
      <c r="H981" s="34"/>
      <c r="I981" s="34"/>
      <c r="J981" s="34"/>
      <c r="K981" s="30"/>
    </row>
    <row r="982">
      <c r="A982" s="30"/>
      <c r="B982" s="31"/>
      <c r="C982" s="32"/>
      <c r="D982" s="33"/>
      <c r="E982" s="33"/>
      <c r="F982" s="33"/>
      <c r="G982" s="33"/>
      <c r="H982" s="34"/>
      <c r="I982" s="34"/>
      <c r="J982" s="34"/>
      <c r="K982" s="30"/>
    </row>
    <row r="983">
      <c r="A983" s="30"/>
      <c r="B983" s="31"/>
      <c r="C983" s="32"/>
      <c r="D983" s="33"/>
      <c r="E983" s="33"/>
      <c r="F983" s="33"/>
      <c r="G983" s="33"/>
      <c r="H983" s="34"/>
      <c r="I983" s="34"/>
      <c r="J983" s="34"/>
      <c r="K983" s="30"/>
    </row>
    <row r="984">
      <c r="A984" s="30"/>
      <c r="B984" s="31"/>
      <c r="C984" s="32"/>
      <c r="D984" s="33"/>
      <c r="E984" s="33"/>
      <c r="F984" s="33"/>
      <c r="G984" s="33"/>
      <c r="H984" s="34"/>
      <c r="I984" s="34"/>
      <c r="J984" s="34"/>
      <c r="K984" s="30"/>
    </row>
    <row r="985">
      <c r="A985" s="30"/>
      <c r="B985" s="31"/>
      <c r="C985" s="32"/>
      <c r="D985" s="33"/>
      <c r="E985" s="33"/>
      <c r="F985" s="33"/>
      <c r="G985" s="33"/>
      <c r="H985" s="34"/>
      <c r="I985" s="34"/>
      <c r="J985" s="34"/>
      <c r="K985" s="30"/>
    </row>
    <row r="986">
      <c r="A986" s="30"/>
      <c r="B986" s="31"/>
      <c r="C986" s="32"/>
      <c r="D986" s="33"/>
      <c r="E986" s="33"/>
      <c r="F986" s="33"/>
      <c r="G986" s="33"/>
      <c r="H986" s="34"/>
      <c r="I986" s="34"/>
      <c r="J986" s="34"/>
      <c r="K986" s="30"/>
    </row>
    <row r="987">
      <c r="A987" s="30"/>
      <c r="B987" s="31"/>
      <c r="C987" s="32"/>
      <c r="D987" s="33"/>
      <c r="E987" s="33"/>
      <c r="F987" s="33"/>
      <c r="G987" s="33"/>
      <c r="H987" s="34"/>
      <c r="I987" s="34"/>
      <c r="J987" s="34"/>
      <c r="K987" s="30"/>
    </row>
    <row r="988">
      <c r="A988" s="30"/>
      <c r="B988" s="31"/>
      <c r="C988" s="32"/>
      <c r="D988" s="33"/>
      <c r="E988" s="33"/>
      <c r="F988" s="33"/>
      <c r="G988" s="33"/>
      <c r="H988" s="34"/>
      <c r="I988" s="34"/>
      <c r="J988" s="34"/>
      <c r="K988" s="30"/>
    </row>
    <row r="989">
      <c r="A989" s="30"/>
      <c r="B989" s="31"/>
      <c r="C989" s="32"/>
      <c r="D989" s="33"/>
      <c r="E989" s="33"/>
      <c r="F989" s="33"/>
      <c r="G989" s="33"/>
      <c r="H989" s="34"/>
      <c r="I989" s="34"/>
      <c r="J989" s="34"/>
      <c r="K989" s="30"/>
    </row>
    <row r="990">
      <c r="A990" s="30"/>
      <c r="B990" s="31"/>
      <c r="C990" s="32"/>
      <c r="D990" s="33"/>
      <c r="E990" s="33"/>
      <c r="F990" s="33"/>
      <c r="G990" s="33"/>
      <c r="H990" s="34"/>
      <c r="I990" s="34"/>
      <c r="J990" s="34"/>
      <c r="K990" s="30"/>
    </row>
    <row r="991">
      <c r="A991" s="30"/>
      <c r="B991" s="31"/>
      <c r="C991" s="32"/>
      <c r="D991" s="33"/>
      <c r="E991" s="33"/>
      <c r="F991" s="33"/>
      <c r="G991" s="33"/>
      <c r="H991" s="34"/>
      <c r="I991" s="34"/>
      <c r="J991" s="34"/>
      <c r="K991" s="30"/>
    </row>
    <row r="992">
      <c r="A992" s="30"/>
      <c r="B992" s="31"/>
      <c r="C992" s="32"/>
      <c r="D992" s="33"/>
      <c r="E992" s="33"/>
      <c r="F992" s="33"/>
      <c r="G992" s="33"/>
      <c r="H992" s="34"/>
      <c r="I992" s="34"/>
      <c r="J992" s="34"/>
      <c r="K992" s="30"/>
    </row>
    <row r="993">
      <c r="A993" s="30"/>
      <c r="B993" s="31"/>
      <c r="C993" s="32"/>
      <c r="D993" s="33"/>
      <c r="E993" s="33"/>
      <c r="F993" s="33"/>
      <c r="G993" s="33"/>
      <c r="H993" s="34"/>
      <c r="I993" s="34"/>
      <c r="J993" s="34"/>
      <c r="K993" s="30"/>
    </row>
    <row r="994">
      <c r="A994" s="30"/>
      <c r="B994" s="31"/>
      <c r="C994" s="32"/>
      <c r="D994" s="33"/>
      <c r="E994" s="33"/>
      <c r="F994" s="33"/>
      <c r="G994" s="33"/>
      <c r="H994" s="34"/>
      <c r="I994" s="34"/>
      <c r="J994" s="34"/>
      <c r="K994" s="30"/>
    </row>
    <row r="995">
      <c r="A995" s="30"/>
      <c r="B995" s="31"/>
      <c r="C995" s="32"/>
      <c r="D995" s="33"/>
      <c r="E995" s="33"/>
      <c r="F995" s="33"/>
      <c r="G995" s="33"/>
      <c r="H995" s="34"/>
      <c r="I995" s="34"/>
      <c r="J995" s="34"/>
      <c r="K995" s="30"/>
    </row>
    <row r="996">
      <c r="A996" s="30"/>
      <c r="B996" s="31"/>
      <c r="C996" s="32"/>
      <c r="D996" s="33"/>
      <c r="E996" s="33"/>
      <c r="F996" s="33"/>
      <c r="G996" s="33"/>
      <c r="H996" s="34"/>
      <c r="I996" s="34"/>
      <c r="J996" s="34"/>
      <c r="K996" s="30"/>
    </row>
    <row r="997">
      <c r="A997" s="30"/>
      <c r="B997" s="31"/>
      <c r="C997" s="32"/>
      <c r="D997" s="33"/>
      <c r="E997" s="33"/>
      <c r="F997" s="33"/>
      <c r="G997" s="33"/>
      <c r="H997" s="34"/>
      <c r="I997" s="34"/>
      <c r="J997" s="34"/>
      <c r="K997" s="30"/>
    </row>
  </sheetData>
  <mergeCells count="2">
    <mergeCell ref="A1:B1"/>
    <mergeCell ref="E1:K1"/>
  </mergeCells>
  <hyperlinks>
    <hyperlink r:id="rId2" location="gid=0&amp;range=G23:J29" ref="A1"/>
  </hyperlinks>
  <drawing r:id="rId3"/>
  <legacy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63"/>
    <col customWidth="1" min="2" max="2" width="10.5"/>
    <col customWidth="1" min="3" max="3" width="14.13"/>
    <col customWidth="1" min="4" max="6" width="11.25"/>
    <col customWidth="1" min="7" max="7" width="13.63"/>
    <col customWidth="1" min="8" max="8" width="13.0"/>
  </cols>
  <sheetData>
    <row r="1">
      <c r="A1" s="1" t="s">
        <v>0</v>
      </c>
      <c r="C1" s="3"/>
      <c r="D1" s="3"/>
      <c r="E1" s="35" t="s">
        <v>2</v>
      </c>
      <c r="F1" s="36"/>
      <c r="G1" s="36"/>
      <c r="H1" s="36"/>
    </row>
    <row r="2">
      <c r="A2" s="5"/>
      <c r="B2" s="3"/>
      <c r="C2" s="3"/>
      <c r="D2" s="3"/>
      <c r="E2" s="37" t="s">
        <v>3</v>
      </c>
      <c r="F2" s="38"/>
      <c r="G2" s="38"/>
      <c r="H2" s="38"/>
    </row>
    <row r="3">
      <c r="A3" s="5"/>
      <c r="B3" s="3"/>
      <c r="C3" s="3"/>
      <c r="D3" s="3"/>
      <c r="E3" s="39" t="s">
        <v>4</v>
      </c>
      <c r="F3" s="40"/>
      <c r="G3" s="40"/>
      <c r="H3" s="40"/>
    </row>
    <row r="4">
      <c r="A4" s="5"/>
      <c r="B4" s="3"/>
      <c r="C4" s="3"/>
      <c r="D4" s="3"/>
      <c r="E4" s="41" t="s">
        <v>5</v>
      </c>
    </row>
    <row r="5" ht="67.5" customHeight="1">
      <c r="A5" s="42" t="str">
        <f>IFERROR(__xludf.DUMMYFUNCTION("IMPORTRANGE(""https://docs.google.com/spreadsheets/d/1a0LQVvC7fbgDeBJKsHxrCV4h_m3RijC2QSYwdDga1WU/edit?gid=388049081#gid=388049081"",""VED Decks!L:S"")"),"Nome Deck")</f>
        <v>Nome Deck</v>
      </c>
      <c r="B5" s="43" t="str">
        <f>IFERROR(__xludf.DUMMYFUNCTION("""COMPUTED_VALUE"""),"Partidas Jogadas")</f>
        <v>Partidas Jogadas</v>
      </c>
      <c r="C5" s="43" t="str">
        <f>IFERROR(__xludf.DUMMYFUNCTION("""COMPUTED_VALUE"""),"Pontos Alcançados")</f>
        <v>Pontos Alcançados</v>
      </c>
      <c r="D5" s="43" t="str">
        <f>IFERROR(__xludf.DUMMYFUNCTION("""COMPUTED_VALUE"""),"Vitórias")</f>
        <v>Vitórias</v>
      </c>
      <c r="E5" s="43" t="str">
        <f>IFERROR(__xludf.DUMMYFUNCTION("""COMPUTED_VALUE"""),"Empates")</f>
        <v>Empates</v>
      </c>
      <c r="F5" s="43" t="str">
        <f>IFERROR(__xludf.DUMMYFUNCTION("""COMPUTED_VALUE"""),"Derrotas")</f>
        <v>Derrotas</v>
      </c>
      <c r="G5" s="44" t="str">
        <f>IFERROR(__xludf.DUMMYFUNCTION("""COMPUTED_VALUE"""),"% Win Rate")</f>
        <v>% Win Rate</v>
      </c>
      <c r="H5" s="43" t="str">
        <f>IFERROR(__xludf.DUMMYFUNCTION("""COMPUTED_VALUE"""),"Risco de Banimento")</f>
        <v>Risco de Banimento</v>
      </c>
    </row>
    <row r="6">
      <c r="A6" s="45" t="str">
        <f>IFERROR(__xludf.DUMMYFUNCTION("""COMPUTED_VALUE"""),"Lorehold Spirit")</f>
        <v>Lorehold Spirit</v>
      </c>
      <c r="B6" s="23">
        <f>IFERROR(__xludf.DUMMYFUNCTION("""COMPUTED_VALUE"""),29.0)</f>
        <v>29</v>
      </c>
      <c r="C6" s="23">
        <f>IFERROR(__xludf.DUMMYFUNCTION("""COMPUTED_VALUE"""),39.0)</f>
        <v>39</v>
      </c>
      <c r="D6" s="23">
        <f>IFERROR(__xludf.DUMMYFUNCTION("""COMPUTED_VALUE"""),8.0)</f>
        <v>8</v>
      </c>
      <c r="E6" s="23">
        <f>IFERROR(__xludf.DUMMYFUNCTION("""COMPUTED_VALUE"""),15.0)</f>
        <v>15</v>
      </c>
      <c r="F6" s="23">
        <f>IFERROR(__xludf.DUMMYFUNCTION("""COMPUTED_VALUE"""),6.0)</f>
        <v>6</v>
      </c>
      <c r="G6" s="28">
        <f>IFERROR(__xludf.DUMMYFUNCTION("""COMPUTED_VALUE"""),0.27586206896551724)</f>
        <v>0.275862069</v>
      </c>
      <c r="H6" s="23" t="str">
        <f>IFERROR(__xludf.DUMMYFUNCTION("""COMPUTED_VALUE"""),"Alto")</f>
        <v>Alto</v>
      </c>
    </row>
    <row r="7">
      <c r="A7" s="45" t="str">
        <f>IFERROR(__xludf.DUMMYFUNCTION("""COMPUTED_VALUE"""),"Creative Energy")</f>
        <v>Creative Energy</v>
      </c>
      <c r="B7" s="23">
        <f>IFERROR(__xludf.DUMMYFUNCTION("""COMPUTED_VALUE"""),27.0)</f>
        <v>27</v>
      </c>
      <c r="C7" s="23">
        <f>IFERROR(__xludf.DUMMYFUNCTION("""COMPUTED_VALUE"""),20.0)</f>
        <v>20</v>
      </c>
      <c r="D7" s="23">
        <f>IFERROR(__xludf.DUMMYFUNCTION("""COMPUTED_VALUE"""),4.0)</f>
        <v>4</v>
      </c>
      <c r="E7" s="23">
        <f>IFERROR(__xludf.DUMMYFUNCTION("""COMPUTED_VALUE"""),8.0)</f>
        <v>8</v>
      </c>
      <c r="F7" s="23">
        <f>IFERROR(__xludf.DUMMYFUNCTION("""COMPUTED_VALUE"""),15.0)</f>
        <v>15</v>
      </c>
      <c r="G7" s="28">
        <f>IFERROR(__xludf.DUMMYFUNCTION("""COMPUTED_VALUE"""),0.14814814814814814)</f>
        <v>0.1481481481</v>
      </c>
      <c r="H7" s="23" t="str">
        <f>IFERROR(__xludf.DUMMYFUNCTION("""COMPUTED_VALUE"""),"Médio")</f>
        <v>Médio</v>
      </c>
    </row>
    <row r="8">
      <c r="A8" s="45" t="str">
        <f>IFERROR(__xludf.DUMMYFUNCTION("""COMPUTED_VALUE"""),"Dance of the Elements")</f>
        <v>Dance of the Elements</v>
      </c>
      <c r="B8" s="23">
        <f>IFERROR(__xludf.DUMMYFUNCTION("""COMPUTED_VALUE"""),24.0)</f>
        <v>24</v>
      </c>
      <c r="C8" s="23">
        <f>IFERROR(__xludf.DUMMYFUNCTION("""COMPUTED_VALUE"""),20.0)</f>
        <v>20</v>
      </c>
      <c r="D8" s="23">
        <f>IFERROR(__xludf.DUMMYFUNCTION("""COMPUTED_VALUE"""),4.0)</f>
        <v>4</v>
      </c>
      <c r="E8" s="23">
        <f>IFERROR(__xludf.DUMMYFUNCTION("""COMPUTED_VALUE"""),8.0)</f>
        <v>8</v>
      </c>
      <c r="F8" s="23">
        <f>IFERROR(__xludf.DUMMYFUNCTION("""COMPUTED_VALUE"""),12.0)</f>
        <v>12</v>
      </c>
      <c r="G8" s="28">
        <f>IFERROR(__xludf.DUMMYFUNCTION("""COMPUTED_VALUE"""),0.16666666666666666)</f>
        <v>0.1666666667</v>
      </c>
      <c r="H8" s="23" t="str">
        <f>IFERROR(__xludf.DUMMYFUNCTION("""COMPUTED_VALUE"""),"Médio")</f>
        <v>Médio</v>
      </c>
    </row>
    <row r="9">
      <c r="A9" s="45" t="str">
        <f>IFERROR(__xludf.DUMMYFUNCTION("""COMPUTED_VALUE"""),"Endless Punishment")</f>
        <v>Endless Punishment</v>
      </c>
      <c r="B9" s="23">
        <f>IFERROR(__xludf.DUMMYFUNCTION("""COMPUTED_VALUE"""),21.0)</f>
        <v>21</v>
      </c>
      <c r="C9" s="23">
        <f>IFERROR(__xludf.DUMMYFUNCTION("""COMPUTED_VALUE"""),24.0)</f>
        <v>24</v>
      </c>
      <c r="D9" s="23">
        <f>IFERROR(__xludf.DUMMYFUNCTION("""COMPUTED_VALUE"""),7.0)</f>
        <v>7</v>
      </c>
      <c r="E9" s="23">
        <f>IFERROR(__xludf.DUMMYFUNCTION("""COMPUTED_VALUE"""),3.0)</f>
        <v>3</v>
      </c>
      <c r="F9" s="23">
        <f>IFERROR(__xludf.DUMMYFUNCTION("""COMPUTED_VALUE"""),11.0)</f>
        <v>11</v>
      </c>
      <c r="G9" s="28">
        <f>IFERROR(__xludf.DUMMYFUNCTION("""COMPUTED_VALUE"""),0.3333333333333333)</f>
        <v>0.3333333333</v>
      </c>
      <c r="H9" s="23" t="str">
        <f>IFERROR(__xludf.DUMMYFUNCTION("""COMPUTED_VALUE"""),"Alto")</f>
        <v>Alto</v>
      </c>
    </row>
    <row r="10">
      <c r="A10" s="45" t="str">
        <f>IFERROR(__xludf.DUMMYFUNCTION("""COMPUTED_VALUE"""),"Quick Draw")</f>
        <v>Quick Draw</v>
      </c>
      <c r="B10" s="23">
        <f>IFERROR(__xludf.DUMMYFUNCTION("""COMPUTED_VALUE"""),20.0)</f>
        <v>20</v>
      </c>
      <c r="C10" s="23">
        <f>IFERROR(__xludf.DUMMYFUNCTION("""COMPUTED_VALUE"""),28.0)</f>
        <v>28</v>
      </c>
      <c r="D10" s="23">
        <f>IFERROR(__xludf.DUMMYFUNCTION("""COMPUTED_VALUE"""),8.0)</f>
        <v>8</v>
      </c>
      <c r="E10" s="23">
        <f>IFERROR(__xludf.DUMMYFUNCTION("""COMPUTED_VALUE"""),4.0)</f>
        <v>4</v>
      </c>
      <c r="F10" s="23">
        <f>IFERROR(__xludf.DUMMYFUNCTION("""COMPUTED_VALUE"""),8.0)</f>
        <v>8</v>
      </c>
      <c r="G10" s="28">
        <f>IFERROR(__xludf.DUMMYFUNCTION("""COMPUTED_VALUE"""),0.4)</f>
        <v>0.4</v>
      </c>
      <c r="H10" s="23" t="str">
        <f>IFERROR(__xludf.DUMMYFUNCTION("""COMPUTED_VALUE"""),"Alto")</f>
        <v>Alto</v>
      </c>
    </row>
    <row r="11">
      <c r="A11" s="45" t="str">
        <f>IFERROR(__xludf.DUMMYFUNCTION("""COMPUTED_VALUE"""),"Quandrix Unlimited")</f>
        <v>Quandrix Unlimited</v>
      </c>
      <c r="B11" s="23">
        <f>IFERROR(__xludf.DUMMYFUNCTION("""COMPUTED_VALUE"""),20.0)</f>
        <v>20</v>
      </c>
      <c r="C11" s="23">
        <f>IFERROR(__xludf.DUMMYFUNCTION("""COMPUTED_VALUE"""),21.0)</f>
        <v>21</v>
      </c>
      <c r="D11" s="23">
        <f>IFERROR(__xludf.DUMMYFUNCTION("""COMPUTED_VALUE"""),6.0)</f>
        <v>6</v>
      </c>
      <c r="E11" s="23">
        <f>IFERROR(__xludf.DUMMYFUNCTION("""COMPUTED_VALUE"""),3.0)</f>
        <v>3</v>
      </c>
      <c r="F11" s="23">
        <f>IFERROR(__xludf.DUMMYFUNCTION("""COMPUTED_VALUE"""),11.0)</f>
        <v>11</v>
      </c>
      <c r="G11" s="28">
        <f>IFERROR(__xludf.DUMMYFUNCTION("""COMPUTED_VALUE"""),0.3)</f>
        <v>0.3</v>
      </c>
      <c r="H11" s="23" t="str">
        <f>IFERROR(__xludf.DUMMYFUNCTION("""COMPUTED_VALUE"""),"Médio")</f>
        <v>Médio</v>
      </c>
    </row>
    <row r="12">
      <c r="A12" s="45" t="str">
        <f>IFERROR(__xludf.DUMMYFUNCTION("""COMPUTED_VALUE"""),"Scions &amp; Spellcraft")</f>
        <v>Scions &amp; Spellcraft</v>
      </c>
      <c r="B12" s="23">
        <f>IFERROR(__xludf.DUMMYFUNCTION("""COMPUTED_VALUE"""),18.0)</f>
        <v>18</v>
      </c>
      <c r="C12" s="23">
        <f>IFERROR(__xludf.DUMMYFUNCTION("""COMPUTED_VALUE"""),9.0)</f>
        <v>9</v>
      </c>
      <c r="D12" s="23">
        <f>IFERROR(__xludf.DUMMYFUNCTION("""COMPUTED_VALUE"""),1.0)</f>
        <v>1</v>
      </c>
      <c r="E12" s="23">
        <f>IFERROR(__xludf.DUMMYFUNCTION("""COMPUTED_VALUE"""),6.0)</f>
        <v>6</v>
      </c>
      <c r="F12" s="23">
        <f>IFERROR(__xludf.DUMMYFUNCTION("""COMPUTED_VALUE"""),11.0)</f>
        <v>11</v>
      </c>
      <c r="G12" s="28">
        <f>IFERROR(__xludf.DUMMYFUNCTION("""COMPUTED_VALUE"""),0.05555555555555555)</f>
        <v>0.05555555556</v>
      </c>
      <c r="H12" s="23" t="str">
        <f>IFERROR(__xludf.DUMMYFUNCTION("""COMPUTED_VALUE"""),"Baixo")</f>
        <v>Baixo</v>
      </c>
    </row>
    <row r="13">
      <c r="A13" s="45" t="str">
        <f>IFERROR(__xludf.DUMMYFUNCTION("""COMPUTED_VALUE"""),"Corrupting Influence")</f>
        <v>Corrupting Influence</v>
      </c>
      <c r="B13" s="23">
        <f>IFERROR(__xludf.DUMMYFUNCTION("""COMPUTED_VALUE"""),16.0)</f>
        <v>16</v>
      </c>
      <c r="C13" s="23">
        <f>IFERROR(__xludf.DUMMYFUNCTION("""COMPUTED_VALUE"""),19.0)</f>
        <v>19</v>
      </c>
      <c r="D13" s="23">
        <f>IFERROR(__xludf.DUMMYFUNCTION("""COMPUTED_VALUE"""),5.0)</f>
        <v>5</v>
      </c>
      <c r="E13" s="23">
        <f>IFERROR(__xludf.DUMMYFUNCTION("""COMPUTED_VALUE"""),4.0)</f>
        <v>4</v>
      </c>
      <c r="F13" s="23">
        <f>IFERROR(__xludf.DUMMYFUNCTION("""COMPUTED_VALUE"""),7.0)</f>
        <v>7</v>
      </c>
      <c r="G13" s="28">
        <f>IFERROR(__xludf.DUMMYFUNCTION("""COMPUTED_VALUE"""),0.3125)</f>
        <v>0.3125</v>
      </c>
      <c r="H13" s="23" t="str">
        <f>IFERROR(__xludf.DUMMYFUNCTION("""COMPUTED_VALUE"""),"Médio")</f>
        <v>Médio</v>
      </c>
    </row>
    <row r="14">
      <c r="A14" s="45" t="str">
        <f>IFERROR(__xludf.DUMMYFUNCTION("""COMPUTED_VALUE"""),"Cavalry Charge")</f>
        <v>Cavalry Charge</v>
      </c>
      <c r="B14" s="23">
        <f>IFERROR(__xludf.DUMMYFUNCTION("""COMPUTED_VALUE"""),16.0)</f>
        <v>16</v>
      </c>
      <c r="C14" s="23">
        <f>IFERROR(__xludf.DUMMYFUNCTION("""COMPUTED_VALUE"""),15.0)</f>
        <v>15</v>
      </c>
      <c r="D14" s="23">
        <f>IFERROR(__xludf.DUMMYFUNCTION("""COMPUTED_VALUE"""),4.0)</f>
        <v>4</v>
      </c>
      <c r="E14" s="23">
        <f>IFERROR(__xludf.DUMMYFUNCTION("""COMPUTED_VALUE"""),3.0)</f>
        <v>3</v>
      </c>
      <c r="F14" s="23">
        <f>IFERROR(__xludf.DUMMYFUNCTION("""COMPUTED_VALUE"""),9.0)</f>
        <v>9</v>
      </c>
      <c r="G14" s="28">
        <f>IFERROR(__xludf.DUMMYFUNCTION("""COMPUTED_VALUE"""),0.25)</f>
        <v>0.25</v>
      </c>
      <c r="H14" s="23" t="str">
        <f>IFERROR(__xludf.DUMMYFUNCTION("""COMPUTED_VALUE"""),"Médio")</f>
        <v>Médio</v>
      </c>
    </row>
    <row r="15">
      <c r="A15" s="45" t="str">
        <f>IFERROR(__xludf.DUMMYFUNCTION("""COMPUTED_VALUE"""),"Turtle Power!")</f>
        <v>Turtle Power!</v>
      </c>
      <c r="B15" s="23">
        <f>IFERROR(__xludf.DUMMYFUNCTION("""COMPUTED_VALUE"""),14.0)</f>
        <v>14</v>
      </c>
      <c r="C15" s="23">
        <f>IFERROR(__xludf.DUMMYFUNCTION("""COMPUTED_VALUE"""),3.0)</f>
        <v>3</v>
      </c>
      <c r="D15" s="23">
        <f>IFERROR(__xludf.DUMMYFUNCTION("""COMPUTED_VALUE"""),0.0)</f>
        <v>0</v>
      </c>
      <c r="E15" s="23">
        <f>IFERROR(__xludf.DUMMYFUNCTION("""COMPUTED_VALUE"""),3.0)</f>
        <v>3</v>
      </c>
      <c r="F15" s="23">
        <f>IFERROR(__xludf.DUMMYFUNCTION("""COMPUTED_VALUE"""),11.0)</f>
        <v>11</v>
      </c>
      <c r="G15" s="28">
        <f>IFERROR(__xludf.DUMMYFUNCTION("""COMPUTED_VALUE"""),0.0)</f>
        <v>0</v>
      </c>
      <c r="H15" s="23" t="str">
        <f>IFERROR(__xludf.DUMMYFUNCTION("""COMPUTED_VALUE"""),"Baixo")</f>
        <v>Baixo</v>
      </c>
    </row>
    <row r="16">
      <c r="A16" s="45" t="str">
        <f>IFERROR(__xludf.DUMMYFUNCTION("""COMPUTED_VALUE"""),"Blight Curse")</f>
        <v>Blight Curse</v>
      </c>
      <c r="B16" s="23">
        <f>IFERROR(__xludf.DUMMYFUNCTION("""COMPUTED_VALUE"""),14.0)</f>
        <v>14</v>
      </c>
      <c r="C16" s="23">
        <f>IFERROR(__xludf.DUMMYFUNCTION("""COMPUTED_VALUE"""),7.0)</f>
        <v>7</v>
      </c>
      <c r="D16" s="23">
        <f>IFERROR(__xludf.DUMMYFUNCTION("""COMPUTED_VALUE"""),1.0)</f>
        <v>1</v>
      </c>
      <c r="E16" s="23">
        <f>IFERROR(__xludf.DUMMYFUNCTION("""COMPUTED_VALUE"""),4.0)</f>
        <v>4</v>
      </c>
      <c r="F16" s="23">
        <f>IFERROR(__xludf.DUMMYFUNCTION("""COMPUTED_VALUE"""),9.0)</f>
        <v>9</v>
      </c>
      <c r="G16" s="28">
        <f>IFERROR(__xludf.DUMMYFUNCTION("""COMPUTED_VALUE"""),0.07142857142857142)</f>
        <v>0.07142857143</v>
      </c>
      <c r="H16" s="23" t="str">
        <f>IFERROR(__xludf.DUMMYFUNCTION("""COMPUTED_VALUE"""),"Baixo")</f>
        <v>Baixo</v>
      </c>
    </row>
    <row r="17">
      <c r="A17" s="45" t="str">
        <f>IFERROR(__xludf.DUMMYFUNCTION("""COMPUTED_VALUE"""),"Sultai Arisen")</f>
        <v>Sultai Arisen</v>
      </c>
      <c r="B17" s="23">
        <f>IFERROR(__xludf.DUMMYFUNCTION("""COMPUTED_VALUE"""),13.0)</f>
        <v>13</v>
      </c>
      <c r="C17" s="23">
        <f>IFERROR(__xludf.DUMMYFUNCTION("""COMPUTED_VALUE"""),10.0)</f>
        <v>10</v>
      </c>
      <c r="D17" s="23">
        <f>IFERROR(__xludf.DUMMYFUNCTION("""COMPUTED_VALUE"""),1.0)</f>
        <v>1</v>
      </c>
      <c r="E17" s="23">
        <f>IFERROR(__xludf.DUMMYFUNCTION("""COMPUTED_VALUE"""),7.0)</f>
        <v>7</v>
      </c>
      <c r="F17" s="23">
        <f>IFERROR(__xludf.DUMMYFUNCTION("""COMPUTED_VALUE"""),5.0)</f>
        <v>5</v>
      </c>
      <c r="G17" s="28">
        <f>IFERROR(__xludf.DUMMYFUNCTION("""COMPUTED_VALUE"""),0.07692307692307693)</f>
        <v>0.07692307692</v>
      </c>
      <c r="H17" s="23" t="str">
        <f>IFERROR(__xludf.DUMMYFUNCTION("""COMPUTED_VALUE"""),"Baixo")</f>
        <v>Baixo</v>
      </c>
    </row>
    <row r="18">
      <c r="A18" s="45" t="str">
        <f>IFERROR(__xludf.DUMMYFUNCTION("""COMPUTED_VALUE"""),"Revival Trance")</f>
        <v>Revival Trance</v>
      </c>
      <c r="B18" s="23">
        <f>IFERROR(__xludf.DUMMYFUNCTION("""COMPUTED_VALUE"""),13.0)</f>
        <v>13</v>
      </c>
      <c r="C18" s="23">
        <f>IFERROR(__xludf.DUMMYFUNCTION("""COMPUTED_VALUE"""),11.0)</f>
        <v>11</v>
      </c>
      <c r="D18" s="23">
        <f>IFERROR(__xludf.DUMMYFUNCTION("""COMPUTED_VALUE"""),1.0)</f>
        <v>1</v>
      </c>
      <c r="E18" s="23">
        <f>IFERROR(__xludf.DUMMYFUNCTION("""COMPUTED_VALUE"""),8.0)</f>
        <v>8</v>
      </c>
      <c r="F18" s="23">
        <f>IFERROR(__xludf.DUMMYFUNCTION("""COMPUTED_VALUE"""),4.0)</f>
        <v>4</v>
      </c>
      <c r="G18" s="28">
        <f>IFERROR(__xludf.DUMMYFUNCTION("""COMPUTED_VALUE"""),0.07692307692307693)</f>
        <v>0.07692307692</v>
      </c>
      <c r="H18" s="23" t="str">
        <f>IFERROR(__xludf.DUMMYFUNCTION("""COMPUTED_VALUE"""),"Baixo")</f>
        <v>Baixo</v>
      </c>
    </row>
    <row r="19">
      <c r="A19" s="45" t="str">
        <f>IFERROR(__xludf.DUMMYFUNCTION("""COMPUTED_VALUE"""),"Jeskai Striker")</f>
        <v>Jeskai Striker</v>
      </c>
      <c r="B19" s="23">
        <f>IFERROR(__xludf.DUMMYFUNCTION("""COMPUTED_VALUE"""),13.0)</f>
        <v>13</v>
      </c>
      <c r="C19" s="23">
        <f>IFERROR(__xludf.DUMMYFUNCTION("""COMPUTED_VALUE"""),15.0)</f>
        <v>15</v>
      </c>
      <c r="D19" s="23">
        <f>IFERROR(__xludf.DUMMYFUNCTION("""COMPUTED_VALUE"""),3.0)</f>
        <v>3</v>
      </c>
      <c r="E19" s="23">
        <f>IFERROR(__xludf.DUMMYFUNCTION("""COMPUTED_VALUE"""),6.0)</f>
        <v>6</v>
      </c>
      <c r="F19" s="23">
        <f>IFERROR(__xludf.DUMMYFUNCTION("""COMPUTED_VALUE"""),4.0)</f>
        <v>4</v>
      </c>
      <c r="G19" s="28">
        <f>IFERROR(__xludf.DUMMYFUNCTION("""COMPUTED_VALUE"""),0.23076923076923078)</f>
        <v>0.2307692308</v>
      </c>
      <c r="H19" s="23" t="str">
        <f>IFERROR(__xludf.DUMMYFUNCTION("""COMPUTED_VALUE"""),"Médio")</f>
        <v>Médio</v>
      </c>
    </row>
    <row r="20">
      <c r="A20" s="45" t="str">
        <f>IFERROR(__xludf.DUMMYFUNCTION("""COMPUTED_VALUE"""),"Blood Rites")</f>
        <v>Blood Rites</v>
      </c>
      <c r="B20" s="23">
        <f>IFERROR(__xludf.DUMMYFUNCTION("""COMPUTED_VALUE"""),13.0)</f>
        <v>13</v>
      </c>
      <c r="C20" s="23">
        <f>IFERROR(__xludf.DUMMYFUNCTION("""COMPUTED_VALUE"""),5.0)</f>
        <v>5</v>
      </c>
      <c r="D20" s="23">
        <f>IFERROR(__xludf.DUMMYFUNCTION("""COMPUTED_VALUE"""),0.0)</f>
        <v>0</v>
      </c>
      <c r="E20" s="23">
        <f>IFERROR(__xludf.DUMMYFUNCTION("""COMPUTED_VALUE"""),5.0)</f>
        <v>5</v>
      </c>
      <c r="F20" s="23">
        <f>IFERROR(__xludf.DUMMYFUNCTION("""COMPUTED_VALUE"""),8.0)</f>
        <v>8</v>
      </c>
      <c r="G20" s="28">
        <f>IFERROR(__xludf.DUMMYFUNCTION("""COMPUTED_VALUE"""),0.0)</f>
        <v>0</v>
      </c>
      <c r="H20" s="23" t="str">
        <f>IFERROR(__xludf.DUMMYFUNCTION("""COMPUTED_VALUE"""),"Baixo")</f>
        <v>Baixo</v>
      </c>
    </row>
    <row r="21">
      <c r="A21" s="45" t="str">
        <f>IFERROR(__xludf.DUMMYFUNCTION("""COMPUTED_VALUE"""),"Witherbloom Pestilence")</f>
        <v>Witherbloom Pestilence</v>
      </c>
      <c r="B21" s="23">
        <f>IFERROR(__xludf.DUMMYFUNCTION("""COMPUTED_VALUE"""),12.0)</f>
        <v>12</v>
      </c>
      <c r="C21" s="23">
        <f>IFERROR(__xludf.DUMMYFUNCTION("""COMPUTED_VALUE"""),4.0)</f>
        <v>4</v>
      </c>
      <c r="D21" s="23">
        <f>IFERROR(__xludf.DUMMYFUNCTION("""COMPUTED_VALUE"""),0.0)</f>
        <v>0</v>
      </c>
      <c r="E21" s="23">
        <f>IFERROR(__xludf.DUMMYFUNCTION("""COMPUTED_VALUE"""),4.0)</f>
        <v>4</v>
      </c>
      <c r="F21" s="23">
        <f>IFERROR(__xludf.DUMMYFUNCTION("""COMPUTED_VALUE"""),8.0)</f>
        <v>8</v>
      </c>
      <c r="G21" s="28">
        <f>IFERROR(__xludf.DUMMYFUNCTION("""COMPUTED_VALUE"""),0.0)</f>
        <v>0</v>
      </c>
      <c r="H21" s="23" t="str">
        <f>IFERROR(__xludf.DUMMYFUNCTION("""COMPUTED_VALUE"""),"Baixo")</f>
        <v>Baixo</v>
      </c>
    </row>
    <row r="22">
      <c r="A22" s="45" t="str">
        <f>IFERROR(__xludf.DUMMYFUNCTION("""COMPUTED_VALUE"""),"Temur Roar")</f>
        <v>Temur Roar</v>
      </c>
      <c r="B22" s="23">
        <f>IFERROR(__xludf.DUMMYFUNCTION("""COMPUTED_VALUE"""),12.0)</f>
        <v>12</v>
      </c>
      <c r="C22" s="23">
        <f>IFERROR(__xludf.DUMMYFUNCTION("""COMPUTED_VALUE"""),8.0)</f>
        <v>8</v>
      </c>
      <c r="D22" s="23">
        <f>IFERROR(__xludf.DUMMYFUNCTION("""COMPUTED_VALUE"""),1.0)</f>
        <v>1</v>
      </c>
      <c r="E22" s="23">
        <f>IFERROR(__xludf.DUMMYFUNCTION("""COMPUTED_VALUE"""),5.0)</f>
        <v>5</v>
      </c>
      <c r="F22" s="23">
        <f>IFERROR(__xludf.DUMMYFUNCTION("""COMPUTED_VALUE"""),6.0)</f>
        <v>6</v>
      </c>
      <c r="G22" s="28">
        <f>IFERROR(__xludf.DUMMYFUNCTION("""COMPUTED_VALUE"""),0.08333333333333333)</f>
        <v>0.08333333333</v>
      </c>
      <c r="H22" s="23" t="str">
        <f>IFERROR(__xludf.DUMMYFUNCTION("""COMPUTED_VALUE"""),"Baixo")</f>
        <v>Baixo</v>
      </c>
    </row>
    <row r="23">
      <c r="A23" s="45" t="str">
        <f>IFERROR(__xludf.DUMMYFUNCTION("""COMPUTED_VALUE"""),"Counter Blitz")</f>
        <v>Counter Blitz</v>
      </c>
      <c r="B23" s="23">
        <f>IFERROR(__xludf.DUMMYFUNCTION("""COMPUTED_VALUE"""),12.0)</f>
        <v>12</v>
      </c>
      <c r="C23" s="23">
        <f>IFERROR(__xludf.DUMMYFUNCTION("""COMPUTED_VALUE"""),5.0)</f>
        <v>5</v>
      </c>
      <c r="D23" s="23">
        <f>IFERROR(__xludf.DUMMYFUNCTION("""COMPUTED_VALUE"""),1.0)</f>
        <v>1</v>
      </c>
      <c r="E23" s="23">
        <f>IFERROR(__xludf.DUMMYFUNCTION("""COMPUTED_VALUE"""),2.0)</f>
        <v>2</v>
      </c>
      <c r="F23" s="23">
        <f>IFERROR(__xludf.DUMMYFUNCTION("""COMPUTED_VALUE"""),9.0)</f>
        <v>9</v>
      </c>
      <c r="G23" s="28">
        <f>IFERROR(__xludf.DUMMYFUNCTION("""COMPUTED_VALUE"""),0.08333333333333333)</f>
        <v>0.08333333333</v>
      </c>
      <c r="H23" s="23" t="str">
        <f>IFERROR(__xludf.DUMMYFUNCTION("""COMPUTED_VALUE"""),"Baixo")</f>
        <v>Baixo</v>
      </c>
    </row>
    <row r="24">
      <c r="A24" s="45" t="str">
        <f>IFERROR(__xludf.DUMMYFUNCTION("""COMPUTED_VALUE"""),"Squirreled Away")</f>
        <v>Squirreled Away</v>
      </c>
      <c r="B24" s="23">
        <f>IFERROR(__xludf.DUMMYFUNCTION("""COMPUTED_VALUE"""),11.0)</f>
        <v>11</v>
      </c>
      <c r="C24" s="23">
        <f>IFERROR(__xludf.DUMMYFUNCTION("""COMPUTED_VALUE"""),13.0)</f>
        <v>13</v>
      </c>
      <c r="D24" s="23">
        <f>IFERROR(__xludf.DUMMYFUNCTION("""COMPUTED_VALUE"""),4.0)</f>
        <v>4</v>
      </c>
      <c r="E24" s="23">
        <f>IFERROR(__xludf.DUMMYFUNCTION("""COMPUTED_VALUE"""),1.0)</f>
        <v>1</v>
      </c>
      <c r="F24" s="23">
        <f>IFERROR(__xludf.DUMMYFUNCTION("""COMPUTED_VALUE"""),6.0)</f>
        <v>6</v>
      </c>
      <c r="G24" s="28">
        <f>IFERROR(__xludf.DUMMYFUNCTION("""COMPUTED_VALUE"""),0.36363636363636365)</f>
        <v>0.3636363636</v>
      </c>
      <c r="H24" s="23" t="str">
        <f>IFERROR(__xludf.DUMMYFUNCTION("""COMPUTED_VALUE"""),"Baixo")</f>
        <v>Baixo</v>
      </c>
    </row>
    <row r="25">
      <c r="A25" s="45" t="str">
        <f>IFERROR(__xludf.DUMMYFUNCTION("""COMPUTED_VALUE"""),"Explorers of the Deep")</f>
        <v>Explorers of the Deep</v>
      </c>
      <c r="B25" s="23">
        <f>IFERROR(__xludf.DUMMYFUNCTION("""COMPUTED_VALUE"""),11.0)</f>
        <v>11</v>
      </c>
      <c r="C25" s="23">
        <f>IFERROR(__xludf.DUMMYFUNCTION("""COMPUTED_VALUE"""),9.0)</f>
        <v>9</v>
      </c>
      <c r="D25" s="23">
        <f>IFERROR(__xludf.DUMMYFUNCTION("""COMPUTED_VALUE"""),2.0)</f>
        <v>2</v>
      </c>
      <c r="E25" s="23">
        <f>IFERROR(__xludf.DUMMYFUNCTION("""COMPUTED_VALUE"""),3.0)</f>
        <v>3</v>
      </c>
      <c r="F25" s="23">
        <f>IFERROR(__xludf.DUMMYFUNCTION("""COMPUTED_VALUE"""),6.0)</f>
        <v>6</v>
      </c>
      <c r="G25" s="28">
        <f>IFERROR(__xludf.DUMMYFUNCTION("""COMPUTED_VALUE"""),0.18181818181818182)</f>
        <v>0.1818181818</v>
      </c>
      <c r="H25" s="23" t="str">
        <f>IFERROR(__xludf.DUMMYFUNCTION("""COMPUTED_VALUE"""),"Baixo")</f>
        <v>Baixo</v>
      </c>
    </row>
    <row r="26">
      <c r="A26" s="45" t="str">
        <f>IFERROR(__xludf.DUMMYFUNCTION("""COMPUTED_VALUE"""),"World Shaper")</f>
        <v>World Shaper</v>
      </c>
      <c r="B26" s="23">
        <f>IFERROR(__xludf.DUMMYFUNCTION("""COMPUTED_VALUE"""),9.0)</f>
        <v>9</v>
      </c>
      <c r="C26" s="23">
        <f>IFERROR(__xludf.DUMMYFUNCTION("""COMPUTED_VALUE"""),6.0)</f>
        <v>6</v>
      </c>
      <c r="D26" s="23">
        <f>IFERROR(__xludf.DUMMYFUNCTION("""COMPUTED_VALUE"""),2.0)</f>
        <v>2</v>
      </c>
      <c r="E26" s="23">
        <f>IFERROR(__xludf.DUMMYFUNCTION("""COMPUTED_VALUE"""),0.0)</f>
        <v>0</v>
      </c>
      <c r="F26" s="23">
        <f>IFERROR(__xludf.DUMMYFUNCTION("""COMPUTED_VALUE"""),7.0)</f>
        <v>7</v>
      </c>
      <c r="G26" s="28">
        <f>IFERROR(__xludf.DUMMYFUNCTION("""COMPUTED_VALUE"""),0.2222222222222222)</f>
        <v>0.2222222222</v>
      </c>
      <c r="H26" s="23" t="str">
        <f>IFERROR(__xludf.DUMMYFUNCTION("""COMPUTED_VALUE"""),"Baixo")</f>
        <v>Baixo</v>
      </c>
    </row>
    <row r="27">
      <c r="A27" s="45" t="str">
        <f>IFERROR(__xludf.DUMMYFUNCTION("""COMPUTED_VALUE"""),"Veloci-ramp-tor")</f>
        <v>Veloci-ramp-tor</v>
      </c>
      <c r="B27" s="23">
        <f>IFERROR(__xludf.DUMMYFUNCTION("""COMPUTED_VALUE"""),8.0)</f>
        <v>8</v>
      </c>
      <c r="C27" s="23">
        <f>IFERROR(__xludf.DUMMYFUNCTION("""COMPUTED_VALUE"""),3.0)</f>
        <v>3</v>
      </c>
      <c r="D27" s="23">
        <f>IFERROR(__xludf.DUMMYFUNCTION("""COMPUTED_VALUE"""),0.0)</f>
        <v>0</v>
      </c>
      <c r="E27" s="23">
        <f>IFERROR(__xludf.DUMMYFUNCTION("""COMPUTED_VALUE"""),3.0)</f>
        <v>3</v>
      </c>
      <c r="F27" s="23">
        <f>IFERROR(__xludf.DUMMYFUNCTION("""COMPUTED_VALUE"""),5.0)</f>
        <v>5</v>
      </c>
      <c r="G27" s="28">
        <f>IFERROR(__xludf.DUMMYFUNCTION("""COMPUTED_VALUE"""),0.0)</f>
        <v>0</v>
      </c>
      <c r="H27" s="23" t="str">
        <f>IFERROR(__xludf.DUMMYFUNCTION("""COMPUTED_VALUE"""),"Baixo")</f>
        <v>Baixo</v>
      </c>
    </row>
    <row r="28">
      <c r="A28" s="45" t="str">
        <f>IFERROR(__xludf.DUMMYFUNCTION("""COMPUTED_VALUE"""),"Counter Intelligence")</f>
        <v>Counter Intelligence</v>
      </c>
      <c r="B28" s="23">
        <f>IFERROR(__xludf.DUMMYFUNCTION("""COMPUTED_VALUE"""),8.0)</f>
        <v>8</v>
      </c>
      <c r="C28" s="23">
        <f>IFERROR(__xludf.DUMMYFUNCTION("""COMPUTED_VALUE"""),2.0)</f>
        <v>2</v>
      </c>
      <c r="D28" s="23">
        <f>IFERROR(__xludf.DUMMYFUNCTION("""COMPUTED_VALUE"""),0.0)</f>
        <v>0</v>
      </c>
      <c r="E28" s="23">
        <f>IFERROR(__xludf.DUMMYFUNCTION("""COMPUTED_VALUE"""),2.0)</f>
        <v>2</v>
      </c>
      <c r="F28" s="23">
        <f>IFERROR(__xludf.DUMMYFUNCTION("""COMPUTED_VALUE"""),6.0)</f>
        <v>6</v>
      </c>
      <c r="G28" s="28">
        <f>IFERROR(__xludf.DUMMYFUNCTION("""COMPUTED_VALUE"""),0.0)</f>
        <v>0</v>
      </c>
      <c r="H28" s="23" t="str">
        <f>IFERROR(__xludf.DUMMYFUNCTION("""COMPUTED_VALUE"""),"Baixo")</f>
        <v>Baixo</v>
      </c>
    </row>
    <row r="29">
      <c r="A29" s="45" t="str">
        <f>IFERROR(__xludf.DUMMYFUNCTION("""COMPUTED_VALUE"""),"Legends' Legacy")</f>
        <v>Legends' Legacy</v>
      </c>
      <c r="B29" s="23">
        <f>IFERROR(__xludf.DUMMYFUNCTION("""COMPUTED_VALUE"""),7.0)</f>
        <v>7</v>
      </c>
      <c r="C29" s="23">
        <f>IFERROR(__xludf.DUMMYFUNCTION("""COMPUTED_VALUE"""),2.0)</f>
        <v>2</v>
      </c>
      <c r="D29" s="23">
        <f>IFERROR(__xludf.DUMMYFUNCTION("""COMPUTED_VALUE"""),0.0)</f>
        <v>0</v>
      </c>
      <c r="E29" s="23">
        <f>IFERROR(__xludf.DUMMYFUNCTION("""COMPUTED_VALUE"""),2.0)</f>
        <v>2</v>
      </c>
      <c r="F29" s="23">
        <f>IFERROR(__xludf.DUMMYFUNCTION("""COMPUTED_VALUE"""),5.0)</f>
        <v>5</v>
      </c>
      <c r="G29" s="28">
        <f>IFERROR(__xludf.DUMMYFUNCTION("""COMPUTED_VALUE"""),0.0)</f>
        <v>0</v>
      </c>
      <c r="H29" s="23" t="str">
        <f>IFERROR(__xludf.DUMMYFUNCTION("""COMPUTED_VALUE"""),"Baixo")</f>
        <v>Baixo</v>
      </c>
    </row>
    <row r="30">
      <c r="A30" s="45" t="str">
        <f>IFERROR(__xludf.DUMMYFUNCTION("""COMPUTED_VALUE"""),"Deep Clue Sea")</f>
        <v>Deep Clue Sea</v>
      </c>
      <c r="B30" s="23">
        <f>IFERROR(__xludf.DUMMYFUNCTION("""COMPUTED_VALUE"""),7.0)</f>
        <v>7</v>
      </c>
      <c r="C30" s="23">
        <f>IFERROR(__xludf.DUMMYFUNCTION("""COMPUTED_VALUE"""),7.0)</f>
        <v>7</v>
      </c>
      <c r="D30" s="23">
        <f>IFERROR(__xludf.DUMMYFUNCTION("""COMPUTED_VALUE"""),2.0)</f>
        <v>2</v>
      </c>
      <c r="E30" s="23">
        <f>IFERROR(__xludf.DUMMYFUNCTION("""COMPUTED_VALUE"""),1.0)</f>
        <v>1</v>
      </c>
      <c r="F30" s="23">
        <f>IFERROR(__xludf.DUMMYFUNCTION("""COMPUTED_VALUE"""),4.0)</f>
        <v>4</v>
      </c>
      <c r="G30" s="28">
        <f>IFERROR(__xludf.DUMMYFUNCTION("""COMPUTED_VALUE"""),0.2857142857142857)</f>
        <v>0.2857142857</v>
      </c>
      <c r="H30" s="23" t="str">
        <f>IFERROR(__xludf.DUMMYFUNCTION("""COMPUTED_VALUE"""),"Baixo")</f>
        <v>Baixo</v>
      </c>
    </row>
    <row r="31">
      <c r="A31" s="45" t="str">
        <f>IFERROR(__xludf.DUMMYFUNCTION("""COMPUTED_VALUE"""),"Virtue and Valor")</f>
        <v>Virtue and Valor</v>
      </c>
      <c r="B31" s="23">
        <f>IFERROR(__xludf.DUMMYFUNCTION("""COMPUTED_VALUE"""),6.0)</f>
        <v>6</v>
      </c>
      <c r="C31" s="23">
        <f>IFERROR(__xludf.DUMMYFUNCTION("""COMPUTED_VALUE"""),10.0)</f>
        <v>10</v>
      </c>
      <c r="D31" s="23">
        <f>IFERROR(__xludf.DUMMYFUNCTION("""COMPUTED_VALUE"""),2.0)</f>
        <v>2</v>
      </c>
      <c r="E31" s="23">
        <f>IFERROR(__xludf.DUMMYFUNCTION("""COMPUTED_VALUE"""),4.0)</f>
        <v>4</v>
      </c>
      <c r="F31" s="23">
        <f>IFERROR(__xludf.DUMMYFUNCTION("""COMPUTED_VALUE"""),0.0)</f>
        <v>0</v>
      </c>
      <c r="G31" s="28">
        <f>IFERROR(__xludf.DUMMYFUNCTION("""COMPUTED_VALUE"""),0.3333333333333333)</f>
        <v>0.3333333333</v>
      </c>
      <c r="H31" s="23" t="str">
        <f>IFERROR(__xludf.DUMMYFUNCTION("""COMPUTED_VALUE"""),"Baixo")</f>
        <v>Baixo</v>
      </c>
    </row>
    <row r="32">
      <c r="A32" s="45" t="str">
        <f>IFERROR(__xludf.DUMMYFUNCTION("""COMPUTED_VALUE"""),"Tinker Time")</f>
        <v>Tinker Time</v>
      </c>
      <c r="B32" s="23">
        <f>IFERROR(__xludf.DUMMYFUNCTION("""COMPUTED_VALUE"""),6.0)</f>
        <v>6</v>
      </c>
      <c r="C32" s="23">
        <f>IFERROR(__xludf.DUMMYFUNCTION("""COMPUTED_VALUE"""),5.0)</f>
        <v>5</v>
      </c>
      <c r="D32" s="23">
        <f>IFERROR(__xludf.DUMMYFUNCTION("""COMPUTED_VALUE"""),1.0)</f>
        <v>1</v>
      </c>
      <c r="E32" s="23">
        <f>IFERROR(__xludf.DUMMYFUNCTION("""COMPUTED_VALUE"""),2.0)</f>
        <v>2</v>
      </c>
      <c r="F32" s="23">
        <f>IFERROR(__xludf.DUMMYFUNCTION("""COMPUTED_VALUE"""),3.0)</f>
        <v>3</v>
      </c>
      <c r="G32" s="28">
        <f>IFERROR(__xludf.DUMMYFUNCTION("""COMPUTED_VALUE"""),0.16666666666666666)</f>
        <v>0.1666666667</v>
      </c>
      <c r="H32" s="23" t="str">
        <f>IFERROR(__xludf.DUMMYFUNCTION("""COMPUTED_VALUE"""),"Baixo")</f>
        <v>Baixo</v>
      </c>
    </row>
    <row r="33">
      <c r="A33" s="45" t="str">
        <f>IFERROR(__xludf.DUMMYFUNCTION("""COMPUTED_VALUE"""),"Riders of Rohan")</f>
        <v>Riders of Rohan</v>
      </c>
      <c r="B33" s="23">
        <f>IFERROR(__xludf.DUMMYFUNCTION("""COMPUTED_VALUE"""),6.0)</f>
        <v>6</v>
      </c>
      <c r="C33" s="23">
        <f>IFERROR(__xludf.DUMMYFUNCTION("""COMPUTED_VALUE"""),7.0)</f>
        <v>7</v>
      </c>
      <c r="D33" s="23">
        <f>IFERROR(__xludf.DUMMYFUNCTION("""COMPUTED_VALUE"""),2.0)</f>
        <v>2</v>
      </c>
      <c r="E33" s="23">
        <f>IFERROR(__xludf.DUMMYFUNCTION("""COMPUTED_VALUE"""),1.0)</f>
        <v>1</v>
      </c>
      <c r="F33" s="23">
        <f>IFERROR(__xludf.DUMMYFUNCTION("""COMPUTED_VALUE"""),3.0)</f>
        <v>3</v>
      </c>
      <c r="G33" s="28">
        <f>IFERROR(__xludf.DUMMYFUNCTION("""COMPUTED_VALUE"""),0.3333333333333333)</f>
        <v>0.3333333333</v>
      </c>
      <c r="H33" s="23" t="str">
        <f>IFERROR(__xludf.DUMMYFUNCTION("""COMPUTED_VALUE"""),"Baixo")</f>
        <v>Baixo</v>
      </c>
    </row>
    <row r="34">
      <c r="A34" s="45" t="str">
        <f>IFERROR(__xludf.DUMMYFUNCTION("""COMPUTED_VALUE"""),"Family Matters")</f>
        <v>Family Matters</v>
      </c>
      <c r="B34" s="23">
        <f>IFERROR(__xludf.DUMMYFUNCTION("""COMPUTED_VALUE"""),6.0)</f>
        <v>6</v>
      </c>
      <c r="C34" s="23">
        <f>IFERROR(__xludf.DUMMYFUNCTION("""COMPUTED_VALUE"""),4.0)</f>
        <v>4</v>
      </c>
      <c r="D34" s="23">
        <f>IFERROR(__xludf.DUMMYFUNCTION("""COMPUTED_VALUE"""),1.0)</f>
        <v>1</v>
      </c>
      <c r="E34" s="23">
        <f>IFERROR(__xludf.DUMMYFUNCTION("""COMPUTED_VALUE"""),1.0)</f>
        <v>1</v>
      </c>
      <c r="F34" s="23">
        <f>IFERROR(__xludf.DUMMYFUNCTION("""COMPUTED_VALUE"""),4.0)</f>
        <v>4</v>
      </c>
      <c r="G34" s="28">
        <f>IFERROR(__xludf.DUMMYFUNCTION("""COMPUTED_VALUE"""),0.16666666666666666)</f>
        <v>0.1666666667</v>
      </c>
      <c r="H34" s="23" t="str">
        <f>IFERROR(__xludf.DUMMYFUNCTION("""COMPUTED_VALUE"""),"Baixo")</f>
        <v>Baixo</v>
      </c>
    </row>
    <row r="35">
      <c r="A35" s="45" t="str">
        <f>IFERROR(__xludf.DUMMYFUNCTION("""COMPUTED_VALUE"""),"Reap the Tides")</f>
        <v>Reap the Tides</v>
      </c>
      <c r="B35" s="23">
        <f>IFERROR(__xludf.DUMMYFUNCTION("""COMPUTED_VALUE"""),5.0)</f>
        <v>5</v>
      </c>
      <c r="C35" s="23">
        <f>IFERROR(__xludf.DUMMYFUNCTION("""COMPUTED_VALUE"""),11.0)</f>
        <v>11</v>
      </c>
      <c r="D35" s="23">
        <f>IFERROR(__xludf.DUMMYFUNCTION("""COMPUTED_VALUE"""),3.0)</f>
        <v>3</v>
      </c>
      <c r="E35" s="23">
        <f>IFERROR(__xludf.DUMMYFUNCTION("""COMPUTED_VALUE"""),2.0)</f>
        <v>2</v>
      </c>
      <c r="F35" s="23">
        <f>IFERROR(__xludf.DUMMYFUNCTION("""COMPUTED_VALUE"""),0.0)</f>
        <v>0</v>
      </c>
      <c r="G35" s="28">
        <f>IFERROR(__xludf.DUMMYFUNCTION("""COMPUTED_VALUE"""),0.6)</f>
        <v>0.6</v>
      </c>
      <c r="H35" s="23" t="str">
        <f>IFERROR(__xludf.DUMMYFUNCTION("""COMPUTED_VALUE"""),"Baixo")</f>
        <v>Baixo</v>
      </c>
    </row>
    <row r="36">
      <c r="A36" s="45" t="str">
        <f>IFERROR(__xludf.DUMMYFUNCTION("""COMPUTED_VALUE"""),"Prismari Artistry")</f>
        <v>Prismari Artistry</v>
      </c>
      <c r="B36" s="23">
        <f>IFERROR(__xludf.DUMMYFUNCTION("""COMPUTED_VALUE"""),5.0)</f>
        <v>5</v>
      </c>
      <c r="C36" s="23">
        <f>IFERROR(__xludf.DUMMYFUNCTION("""COMPUTED_VALUE"""),3.0)</f>
        <v>3</v>
      </c>
      <c r="D36" s="23">
        <f>IFERROR(__xludf.DUMMYFUNCTION("""COMPUTED_VALUE"""),1.0)</f>
        <v>1</v>
      </c>
      <c r="E36" s="23">
        <f>IFERROR(__xludf.DUMMYFUNCTION("""COMPUTED_VALUE"""),0.0)</f>
        <v>0</v>
      </c>
      <c r="F36" s="23">
        <f>IFERROR(__xludf.DUMMYFUNCTION("""COMPUTED_VALUE"""),4.0)</f>
        <v>4</v>
      </c>
      <c r="G36" s="28">
        <f>IFERROR(__xludf.DUMMYFUNCTION("""COMPUTED_VALUE"""),0.2)</f>
        <v>0.2</v>
      </c>
      <c r="H36" s="23" t="str">
        <f>IFERROR(__xludf.DUMMYFUNCTION("""COMPUTED_VALUE"""),"Baixo")</f>
        <v>Baixo</v>
      </c>
    </row>
    <row r="37">
      <c r="A37" s="45" t="str">
        <f>IFERROR(__xludf.DUMMYFUNCTION("""COMPUTED_VALUE"""),"Food and Fellowship")</f>
        <v>Food and Fellowship</v>
      </c>
      <c r="B37" s="23">
        <f>IFERROR(__xludf.DUMMYFUNCTION("""COMPUTED_VALUE"""),5.0)</f>
        <v>5</v>
      </c>
      <c r="C37" s="23">
        <f>IFERROR(__xludf.DUMMYFUNCTION("""COMPUTED_VALUE"""),2.0)</f>
        <v>2</v>
      </c>
      <c r="D37" s="23">
        <f>IFERROR(__xludf.DUMMYFUNCTION("""COMPUTED_VALUE"""),0.0)</f>
        <v>0</v>
      </c>
      <c r="E37" s="23">
        <f>IFERROR(__xludf.DUMMYFUNCTION("""COMPUTED_VALUE"""),2.0)</f>
        <v>2</v>
      </c>
      <c r="F37" s="23">
        <f>IFERROR(__xludf.DUMMYFUNCTION("""COMPUTED_VALUE"""),3.0)</f>
        <v>3</v>
      </c>
      <c r="G37" s="28">
        <f>IFERROR(__xludf.DUMMYFUNCTION("""COMPUTED_VALUE"""),0.0)</f>
        <v>0</v>
      </c>
      <c r="H37" s="23" t="str">
        <f>IFERROR(__xludf.DUMMYFUNCTION("""COMPUTED_VALUE"""),"Baixo")</f>
        <v>Baixo</v>
      </c>
    </row>
    <row r="38">
      <c r="A38" s="45" t="str">
        <f>IFERROR(__xludf.DUMMYFUNCTION("""COMPUTED_VALUE"""),"Blame Game")</f>
        <v>Blame Game</v>
      </c>
      <c r="B38" s="23">
        <f>IFERROR(__xludf.DUMMYFUNCTION("""COMPUTED_VALUE"""),5.0)</f>
        <v>5</v>
      </c>
      <c r="C38" s="23">
        <f>IFERROR(__xludf.DUMMYFUNCTION("""COMPUTED_VALUE"""),4.0)</f>
        <v>4</v>
      </c>
      <c r="D38" s="23">
        <f>IFERROR(__xludf.DUMMYFUNCTION("""COMPUTED_VALUE"""),1.0)</f>
        <v>1</v>
      </c>
      <c r="E38" s="23">
        <f>IFERROR(__xludf.DUMMYFUNCTION("""COMPUTED_VALUE"""),1.0)</f>
        <v>1</v>
      </c>
      <c r="F38" s="23">
        <f>IFERROR(__xludf.DUMMYFUNCTION("""COMPUTED_VALUE"""),3.0)</f>
        <v>3</v>
      </c>
      <c r="G38" s="28">
        <f>IFERROR(__xludf.DUMMYFUNCTION("""COMPUTED_VALUE"""),0.2)</f>
        <v>0.2</v>
      </c>
      <c r="H38" s="23" t="str">
        <f>IFERROR(__xludf.DUMMYFUNCTION("""COMPUTED_VALUE"""),"Baixo")</f>
        <v>Baixo</v>
      </c>
    </row>
    <row r="39">
      <c r="A39" s="45" t="str">
        <f>IFERROR(__xludf.DUMMYFUNCTION("""COMPUTED_VALUE"""),"Silverquill Influence")</f>
        <v>Silverquill Influence</v>
      </c>
      <c r="B39" s="23">
        <f>IFERROR(__xludf.DUMMYFUNCTION("""COMPUTED_VALUE"""),4.0)</f>
        <v>4</v>
      </c>
      <c r="C39" s="23">
        <f>IFERROR(__xludf.DUMMYFUNCTION("""COMPUTED_VALUE"""),4.0)</f>
        <v>4</v>
      </c>
      <c r="D39" s="23">
        <f>IFERROR(__xludf.DUMMYFUNCTION("""COMPUTED_VALUE"""),1.0)</f>
        <v>1</v>
      </c>
      <c r="E39" s="23">
        <f>IFERROR(__xludf.DUMMYFUNCTION("""COMPUTED_VALUE"""),1.0)</f>
        <v>1</v>
      </c>
      <c r="F39" s="23">
        <f>IFERROR(__xludf.DUMMYFUNCTION("""COMPUTED_VALUE"""),2.0)</f>
        <v>2</v>
      </c>
      <c r="G39" s="28">
        <f>IFERROR(__xludf.DUMMYFUNCTION("""COMPUTED_VALUE"""),0.25)</f>
        <v>0.25</v>
      </c>
      <c r="H39" s="23" t="str">
        <f>IFERROR(__xludf.DUMMYFUNCTION("""COMPUTED_VALUE"""),"Baixo")</f>
        <v>Baixo</v>
      </c>
    </row>
    <row r="40">
      <c r="A40" s="45" t="str">
        <f>IFERROR(__xludf.DUMMYFUNCTION("""COMPUTED_VALUE"""),"Party Time")</f>
        <v>Party Time</v>
      </c>
      <c r="B40" s="23">
        <f>IFERROR(__xludf.DUMMYFUNCTION("""COMPUTED_VALUE"""),4.0)</f>
        <v>4</v>
      </c>
      <c r="C40" s="23">
        <f>IFERROR(__xludf.DUMMYFUNCTION("""COMPUTED_VALUE"""),7.0)</f>
        <v>7</v>
      </c>
      <c r="D40" s="23">
        <f>IFERROR(__xludf.DUMMYFUNCTION("""COMPUTED_VALUE"""),2.0)</f>
        <v>2</v>
      </c>
      <c r="E40" s="23">
        <f>IFERROR(__xludf.DUMMYFUNCTION("""COMPUTED_VALUE"""),1.0)</f>
        <v>1</v>
      </c>
      <c r="F40" s="23">
        <f>IFERROR(__xludf.DUMMYFUNCTION("""COMPUTED_VALUE"""),1.0)</f>
        <v>1</v>
      </c>
      <c r="G40" s="28">
        <f>IFERROR(__xludf.DUMMYFUNCTION("""COMPUTED_VALUE"""),0.5)</f>
        <v>0.5</v>
      </c>
      <c r="H40" s="23" t="str">
        <f>IFERROR(__xludf.DUMMYFUNCTION("""COMPUTED_VALUE"""),"Baixo")</f>
        <v>Baixo</v>
      </c>
    </row>
    <row r="41">
      <c r="A41" s="45" t="str">
        <f>IFERROR(__xludf.DUMMYFUNCTION("""COMPUTED_VALUE"""),"Wakanda Forever")</f>
        <v>Wakanda Forever</v>
      </c>
      <c r="B41" s="23">
        <f>IFERROR(__xludf.DUMMYFUNCTION("""COMPUTED_VALUE"""),3.0)</f>
        <v>3</v>
      </c>
      <c r="C41" s="23">
        <f>IFERROR(__xludf.DUMMYFUNCTION("""COMPUTED_VALUE"""),2.0)</f>
        <v>2</v>
      </c>
      <c r="D41" s="23">
        <f>IFERROR(__xludf.DUMMYFUNCTION("""COMPUTED_VALUE"""),0.0)</f>
        <v>0</v>
      </c>
      <c r="E41" s="23">
        <f>IFERROR(__xludf.DUMMYFUNCTION("""COMPUTED_VALUE"""),2.0)</f>
        <v>2</v>
      </c>
      <c r="F41" s="23">
        <f>IFERROR(__xludf.DUMMYFUNCTION("""COMPUTED_VALUE"""),1.0)</f>
        <v>1</v>
      </c>
      <c r="G41" s="28">
        <f>IFERROR(__xludf.DUMMYFUNCTION("""COMPUTED_VALUE"""),0.0)</f>
        <v>0</v>
      </c>
      <c r="H41" s="23" t="str">
        <f>IFERROR(__xludf.DUMMYFUNCTION("""COMPUTED_VALUE"""),"Baixo")</f>
        <v>Baixo</v>
      </c>
    </row>
    <row r="42">
      <c r="A42" s="45" t="str">
        <f>IFERROR(__xludf.DUMMYFUNCTION("""COMPUTED_VALUE"""),"Timey-Wimey")</f>
        <v>Timey-Wimey</v>
      </c>
      <c r="B42" s="23">
        <f>IFERROR(__xludf.DUMMYFUNCTION("""COMPUTED_VALUE"""),3.0)</f>
        <v>3</v>
      </c>
      <c r="C42" s="23">
        <f>IFERROR(__xludf.DUMMYFUNCTION("""COMPUTED_VALUE"""),2.0)</f>
        <v>2</v>
      </c>
      <c r="D42" s="23">
        <f>IFERROR(__xludf.DUMMYFUNCTION("""COMPUTED_VALUE"""),0.0)</f>
        <v>0</v>
      </c>
      <c r="E42" s="23">
        <f>IFERROR(__xludf.DUMMYFUNCTION("""COMPUTED_VALUE"""),2.0)</f>
        <v>2</v>
      </c>
      <c r="F42" s="23">
        <f>IFERROR(__xludf.DUMMYFUNCTION("""COMPUTED_VALUE"""),1.0)</f>
        <v>1</v>
      </c>
      <c r="G42" s="28">
        <f>IFERROR(__xludf.DUMMYFUNCTION("""COMPUTED_VALUE"""),0.0)</f>
        <v>0</v>
      </c>
      <c r="H42" s="23" t="str">
        <f>IFERROR(__xludf.DUMMYFUNCTION("""COMPUTED_VALUE"""),"Baixo")</f>
        <v>Baixo</v>
      </c>
    </row>
    <row r="43">
      <c r="A43" s="45" t="str">
        <f>IFERROR(__xludf.DUMMYFUNCTION("""COMPUTED_VALUE"""),"The Hosts of Mordor")</f>
        <v>The Hosts of Mordor</v>
      </c>
      <c r="B43" s="23">
        <f>IFERROR(__xludf.DUMMYFUNCTION("""COMPUTED_VALUE"""),3.0)</f>
        <v>3</v>
      </c>
      <c r="C43" s="23">
        <f>IFERROR(__xludf.DUMMYFUNCTION("""COMPUTED_VALUE"""),1.0)</f>
        <v>1</v>
      </c>
      <c r="D43" s="23">
        <f>IFERROR(__xludf.DUMMYFUNCTION("""COMPUTED_VALUE"""),0.0)</f>
        <v>0</v>
      </c>
      <c r="E43" s="23">
        <f>IFERROR(__xludf.DUMMYFUNCTION("""COMPUTED_VALUE"""),1.0)</f>
        <v>1</v>
      </c>
      <c r="F43" s="23">
        <f>IFERROR(__xludf.DUMMYFUNCTION("""COMPUTED_VALUE"""),2.0)</f>
        <v>2</v>
      </c>
      <c r="G43" s="28">
        <f>IFERROR(__xludf.DUMMYFUNCTION("""COMPUTED_VALUE"""),0.0)</f>
        <v>0</v>
      </c>
      <c r="H43" s="23" t="str">
        <f>IFERROR(__xludf.DUMMYFUNCTION("""COMPUTED_VALUE"""),"Baixo")</f>
        <v>Baixo</v>
      </c>
    </row>
    <row r="44">
      <c r="A44" s="45" t="str">
        <f>IFERROR(__xludf.DUMMYFUNCTION("""COMPUTED_VALUE"""),"Spirit Squadron")</f>
        <v>Spirit Squadron</v>
      </c>
      <c r="B44" s="23">
        <f>IFERROR(__xludf.DUMMYFUNCTION("""COMPUTED_VALUE"""),3.0)</f>
        <v>3</v>
      </c>
      <c r="C44" s="23">
        <f>IFERROR(__xludf.DUMMYFUNCTION("""COMPUTED_VALUE"""),1.0)</f>
        <v>1</v>
      </c>
      <c r="D44" s="23">
        <f>IFERROR(__xludf.DUMMYFUNCTION("""COMPUTED_VALUE"""),0.0)</f>
        <v>0</v>
      </c>
      <c r="E44" s="23">
        <f>IFERROR(__xludf.DUMMYFUNCTION("""COMPUTED_VALUE"""),1.0)</f>
        <v>1</v>
      </c>
      <c r="F44" s="23">
        <f>IFERROR(__xludf.DUMMYFUNCTION("""COMPUTED_VALUE"""),2.0)</f>
        <v>2</v>
      </c>
      <c r="G44" s="28">
        <f>IFERROR(__xludf.DUMMYFUNCTION("""COMPUTED_VALUE"""),0.0)</f>
        <v>0</v>
      </c>
      <c r="H44" s="23" t="str">
        <f>IFERROR(__xludf.DUMMYFUNCTION("""COMPUTED_VALUE"""),"Baixo")</f>
        <v>Baixo</v>
      </c>
    </row>
    <row r="45">
      <c r="A45" s="45" t="str">
        <f>IFERROR(__xludf.DUMMYFUNCTION("""COMPUTED_VALUE"""),"Scrappy Survivors")</f>
        <v>Scrappy Survivors</v>
      </c>
      <c r="B45" s="23">
        <f>IFERROR(__xludf.DUMMYFUNCTION("""COMPUTED_VALUE"""),3.0)</f>
        <v>3</v>
      </c>
      <c r="C45" s="23">
        <f>IFERROR(__xludf.DUMMYFUNCTION("""COMPUTED_VALUE"""),3.0)</f>
        <v>3</v>
      </c>
      <c r="D45" s="23">
        <f>IFERROR(__xludf.DUMMYFUNCTION("""COMPUTED_VALUE"""),1.0)</f>
        <v>1</v>
      </c>
      <c r="E45" s="23">
        <f>IFERROR(__xludf.DUMMYFUNCTION("""COMPUTED_VALUE"""),0.0)</f>
        <v>0</v>
      </c>
      <c r="F45" s="23">
        <f>IFERROR(__xludf.DUMMYFUNCTION("""COMPUTED_VALUE"""),2.0)</f>
        <v>2</v>
      </c>
      <c r="G45" s="28">
        <f>IFERROR(__xludf.DUMMYFUNCTION("""COMPUTED_VALUE"""),0.3333333333333333)</f>
        <v>0.3333333333</v>
      </c>
      <c r="H45" s="23" t="str">
        <f>IFERROR(__xludf.DUMMYFUNCTION("""COMPUTED_VALUE"""),"Baixo")</f>
        <v>Baixo</v>
      </c>
    </row>
    <row r="46">
      <c r="A46" s="45" t="str">
        <f>IFERROR(__xludf.DUMMYFUNCTION("""COMPUTED_VALUE"""),"Science!")</f>
        <v>Science!</v>
      </c>
      <c r="B46" s="23">
        <f>IFERROR(__xludf.DUMMYFUNCTION("""COMPUTED_VALUE"""),3.0)</f>
        <v>3</v>
      </c>
      <c r="C46" s="23">
        <f>IFERROR(__xludf.DUMMYFUNCTION("""COMPUTED_VALUE"""),0.0)</f>
        <v>0</v>
      </c>
      <c r="D46" s="23">
        <f>IFERROR(__xludf.DUMMYFUNCTION("""COMPUTED_VALUE"""),0.0)</f>
        <v>0</v>
      </c>
      <c r="E46" s="23">
        <f>IFERROR(__xludf.DUMMYFUNCTION("""COMPUTED_VALUE"""),0.0)</f>
        <v>0</v>
      </c>
      <c r="F46" s="23">
        <f>IFERROR(__xludf.DUMMYFUNCTION("""COMPUTED_VALUE"""),3.0)</f>
        <v>3</v>
      </c>
      <c r="G46" s="28">
        <f>IFERROR(__xludf.DUMMYFUNCTION("""COMPUTED_VALUE"""),0.0)</f>
        <v>0</v>
      </c>
      <c r="H46" s="23" t="str">
        <f>IFERROR(__xludf.DUMMYFUNCTION("""COMPUTED_VALUE"""),"Baixo")</f>
        <v>Baixo</v>
      </c>
    </row>
    <row r="47">
      <c r="A47" s="45" t="str">
        <f>IFERROR(__xludf.DUMMYFUNCTION("""COMPUTED_VALUE"""),"Rebellion Rising")</f>
        <v>Rebellion Rising</v>
      </c>
      <c r="B47" s="23">
        <f>IFERROR(__xludf.DUMMYFUNCTION("""COMPUTED_VALUE"""),3.0)</f>
        <v>3</v>
      </c>
      <c r="C47" s="23">
        <f>IFERROR(__xludf.DUMMYFUNCTION("""COMPUTED_VALUE"""),3.0)</f>
        <v>3</v>
      </c>
      <c r="D47" s="23">
        <f>IFERROR(__xludf.DUMMYFUNCTION("""COMPUTED_VALUE"""),1.0)</f>
        <v>1</v>
      </c>
      <c r="E47" s="23">
        <f>IFERROR(__xludf.DUMMYFUNCTION("""COMPUTED_VALUE"""),0.0)</f>
        <v>0</v>
      </c>
      <c r="F47" s="23">
        <f>IFERROR(__xludf.DUMMYFUNCTION("""COMPUTED_VALUE"""),2.0)</f>
        <v>2</v>
      </c>
      <c r="G47" s="28">
        <f>IFERROR(__xludf.DUMMYFUNCTION("""COMPUTED_VALUE"""),0.3333333333333333)</f>
        <v>0.3333333333</v>
      </c>
      <c r="H47" s="23" t="str">
        <f>IFERROR(__xludf.DUMMYFUNCTION("""COMPUTED_VALUE"""),"Baixo")</f>
        <v>Baixo</v>
      </c>
    </row>
    <row r="48">
      <c r="A48" s="45" t="str">
        <f>IFERROR(__xludf.DUMMYFUNCTION("""COMPUTED_VALUE"""),"Prismari Performance")</f>
        <v>Prismari Performance</v>
      </c>
      <c r="B48" s="23">
        <f>IFERROR(__xludf.DUMMYFUNCTION("""COMPUTED_VALUE"""),3.0)</f>
        <v>3</v>
      </c>
      <c r="C48" s="23">
        <f>IFERROR(__xludf.DUMMYFUNCTION("""COMPUTED_VALUE"""),2.0)</f>
        <v>2</v>
      </c>
      <c r="D48" s="23">
        <f>IFERROR(__xludf.DUMMYFUNCTION("""COMPUTED_VALUE"""),0.0)</f>
        <v>0</v>
      </c>
      <c r="E48" s="23">
        <f>IFERROR(__xludf.DUMMYFUNCTION("""COMPUTED_VALUE"""),2.0)</f>
        <v>2</v>
      </c>
      <c r="F48" s="23">
        <f>IFERROR(__xludf.DUMMYFUNCTION("""COMPUTED_VALUE"""),1.0)</f>
        <v>1</v>
      </c>
      <c r="G48" s="28">
        <f>IFERROR(__xludf.DUMMYFUNCTION("""COMPUTED_VALUE"""),0.0)</f>
        <v>0</v>
      </c>
      <c r="H48" s="23" t="str">
        <f>IFERROR(__xludf.DUMMYFUNCTION("""COMPUTED_VALUE"""),"Baixo")</f>
        <v>Baixo</v>
      </c>
    </row>
    <row r="49">
      <c r="A49" s="45" t="str">
        <f>IFERROR(__xludf.DUMMYFUNCTION("""COMPUTED_VALUE"""),"Mutant Menace")</f>
        <v>Mutant Menace</v>
      </c>
      <c r="B49" s="23">
        <f>IFERROR(__xludf.DUMMYFUNCTION("""COMPUTED_VALUE"""),3.0)</f>
        <v>3</v>
      </c>
      <c r="C49" s="23">
        <f>IFERROR(__xludf.DUMMYFUNCTION("""COMPUTED_VALUE"""),0.0)</f>
        <v>0</v>
      </c>
      <c r="D49" s="23">
        <f>IFERROR(__xludf.DUMMYFUNCTION("""COMPUTED_VALUE"""),0.0)</f>
        <v>0</v>
      </c>
      <c r="E49" s="23">
        <f>IFERROR(__xludf.DUMMYFUNCTION("""COMPUTED_VALUE"""),0.0)</f>
        <v>0</v>
      </c>
      <c r="F49" s="23">
        <f>IFERROR(__xludf.DUMMYFUNCTION("""COMPUTED_VALUE"""),3.0)</f>
        <v>3</v>
      </c>
      <c r="G49" s="28">
        <f>IFERROR(__xludf.DUMMYFUNCTION("""COMPUTED_VALUE"""),0.0)</f>
        <v>0</v>
      </c>
      <c r="H49" s="23" t="str">
        <f>IFERROR(__xludf.DUMMYFUNCTION("""COMPUTED_VALUE"""),"Baixo")</f>
        <v>Baixo</v>
      </c>
    </row>
    <row r="50">
      <c r="A50" s="45" t="str">
        <f>IFERROR(__xludf.DUMMYFUNCTION("""COMPUTED_VALUE"""),"Eldrazi Unbound")</f>
        <v>Eldrazi Unbound</v>
      </c>
      <c r="B50" s="23">
        <f>IFERROR(__xludf.DUMMYFUNCTION("""COMPUTED_VALUE"""),3.0)</f>
        <v>3</v>
      </c>
      <c r="C50" s="23">
        <f>IFERROR(__xludf.DUMMYFUNCTION("""COMPUTED_VALUE"""),3.0)</f>
        <v>3</v>
      </c>
      <c r="D50" s="23">
        <f>IFERROR(__xludf.DUMMYFUNCTION("""COMPUTED_VALUE"""),0.0)</f>
        <v>0</v>
      </c>
      <c r="E50" s="23">
        <f>IFERROR(__xludf.DUMMYFUNCTION("""COMPUTED_VALUE"""),3.0)</f>
        <v>3</v>
      </c>
      <c r="F50" s="23">
        <f>IFERROR(__xludf.DUMMYFUNCTION("""COMPUTED_VALUE"""),0.0)</f>
        <v>0</v>
      </c>
      <c r="G50" s="28">
        <f>IFERROR(__xludf.DUMMYFUNCTION("""COMPUTED_VALUE"""),0.0)</f>
        <v>0</v>
      </c>
      <c r="H50" s="23" t="str">
        <f>IFERROR(__xludf.DUMMYFUNCTION("""COMPUTED_VALUE"""),"Baixo")</f>
        <v>Baixo</v>
      </c>
    </row>
    <row r="51">
      <c r="A51" s="45" t="str">
        <f>IFERROR(__xludf.DUMMYFUNCTION("""COMPUTED_VALUE"""),"Eldrazi Incursion")</f>
        <v>Eldrazi Incursion</v>
      </c>
      <c r="B51" s="23">
        <f>IFERROR(__xludf.DUMMYFUNCTION("""COMPUTED_VALUE"""),3.0)</f>
        <v>3</v>
      </c>
      <c r="C51" s="23">
        <f>IFERROR(__xludf.DUMMYFUNCTION("""COMPUTED_VALUE"""),2.0)</f>
        <v>2</v>
      </c>
      <c r="D51" s="23">
        <f>IFERROR(__xludf.DUMMYFUNCTION("""COMPUTED_VALUE"""),0.0)</f>
        <v>0</v>
      </c>
      <c r="E51" s="23">
        <f>IFERROR(__xludf.DUMMYFUNCTION("""COMPUTED_VALUE"""),2.0)</f>
        <v>2</v>
      </c>
      <c r="F51" s="23">
        <f>IFERROR(__xludf.DUMMYFUNCTION("""COMPUTED_VALUE"""),1.0)</f>
        <v>1</v>
      </c>
      <c r="G51" s="28">
        <f>IFERROR(__xludf.DUMMYFUNCTION("""COMPUTED_VALUE"""),0.0)</f>
        <v>0</v>
      </c>
      <c r="H51" s="23" t="str">
        <f>IFERROR(__xludf.DUMMYFUNCTION("""COMPUTED_VALUE"""),"Baixo")</f>
        <v>Baixo</v>
      </c>
    </row>
    <row r="52">
      <c r="A52" s="45" t="str">
        <f>IFERROR(__xludf.DUMMYFUNCTION("""COMPUTED_VALUE"""),"Doom Prevails")</f>
        <v>Doom Prevails</v>
      </c>
      <c r="B52" s="23">
        <f>IFERROR(__xludf.DUMMYFUNCTION("""COMPUTED_VALUE"""),3.0)</f>
        <v>3</v>
      </c>
      <c r="C52" s="23">
        <f>IFERROR(__xludf.DUMMYFUNCTION("""COMPUTED_VALUE"""),4.0)</f>
        <v>4</v>
      </c>
      <c r="D52" s="23">
        <f>IFERROR(__xludf.DUMMYFUNCTION("""COMPUTED_VALUE"""),1.0)</f>
        <v>1</v>
      </c>
      <c r="E52" s="23">
        <f>IFERROR(__xludf.DUMMYFUNCTION("""COMPUTED_VALUE"""),1.0)</f>
        <v>1</v>
      </c>
      <c r="F52" s="23">
        <f>IFERROR(__xludf.DUMMYFUNCTION("""COMPUTED_VALUE"""),1.0)</f>
        <v>1</v>
      </c>
      <c r="G52" s="28">
        <f>IFERROR(__xludf.DUMMYFUNCTION("""COMPUTED_VALUE"""),0.3333333333333333)</f>
        <v>0.3333333333</v>
      </c>
      <c r="H52" s="23" t="str">
        <f>IFERROR(__xludf.DUMMYFUNCTION("""COMPUTED_VALUE"""),"Baixo")</f>
        <v>Baixo</v>
      </c>
    </row>
    <row r="53">
      <c r="A53" s="45" t="str">
        <f>IFERROR(__xludf.DUMMYFUNCTION("""COMPUTED_VALUE"""),"Cabaretti Cacophony")</f>
        <v>Cabaretti Cacophony</v>
      </c>
      <c r="B53" s="23">
        <f>IFERROR(__xludf.DUMMYFUNCTION("""COMPUTED_VALUE"""),3.0)</f>
        <v>3</v>
      </c>
      <c r="C53" s="23">
        <f>IFERROR(__xludf.DUMMYFUNCTION("""COMPUTED_VALUE"""),3.0)</f>
        <v>3</v>
      </c>
      <c r="D53" s="23">
        <f>IFERROR(__xludf.DUMMYFUNCTION("""COMPUTED_VALUE"""),1.0)</f>
        <v>1</v>
      </c>
      <c r="E53" s="23">
        <f>IFERROR(__xludf.DUMMYFUNCTION("""COMPUTED_VALUE"""),0.0)</f>
        <v>0</v>
      </c>
      <c r="F53" s="23">
        <f>IFERROR(__xludf.DUMMYFUNCTION("""COMPUTED_VALUE"""),2.0)</f>
        <v>2</v>
      </c>
      <c r="G53" s="28">
        <f>IFERROR(__xludf.DUMMYFUNCTION("""COMPUTED_VALUE"""),0.3333333333333333)</f>
        <v>0.3333333333</v>
      </c>
      <c r="H53" s="23" t="str">
        <f>IFERROR(__xludf.DUMMYFUNCTION("""COMPUTED_VALUE"""),"Baixo")</f>
        <v>Baixo</v>
      </c>
    </row>
    <row r="54">
      <c r="A54" s="45" t="str">
        <f>IFERROR(__xludf.DUMMYFUNCTION("""COMPUTED_VALUE"""),"Arcane Maelstrom")</f>
        <v>Arcane Maelstrom</v>
      </c>
      <c r="B54" s="23">
        <f>IFERROR(__xludf.DUMMYFUNCTION("""COMPUTED_VALUE"""),3.0)</f>
        <v>3</v>
      </c>
      <c r="C54" s="23">
        <f>IFERROR(__xludf.DUMMYFUNCTION("""COMPUTED_VALUE"""),0.0)</f>
        <v>0</v>
      </c>
      <c r="D54" s="23">
        <f>IFERROR(__xludf.DUMMYFUNCTION("""COMPUTED_VALUE"""),0.0)</f>
        <v>0</v>
      </c>
      <c r="E54" s="23">
        <f>IFERROR(__xludf.DUMMYFUNCTION("""COMPUTED_VALUE"""),0.0)</f>
        <v>0</v>
      </c>
      <c r="F54" s="23">
        <f>IFERROR(__xludf.DUMMYFUNCTION("""COMPUTED_VALUE"""),3.0)</f>
        <v>3</v>
      </c>
      <c r="G54" s="28">
        <f>IFERROR(__xludf.DUMMYFUNCTION("""COMPUTED_VALUE"""),0.0)</f>
        <v>0</v>
      </c>
      <c r="H54" s="23" t="str">
        <f>IFERROR(__xludf.DUMMYFUNCTION("""COMPUTED_VALUE"""),"Baixo")</f>
        <v>Baixo</v>
      </c>
    </row>
    <row r="55">
      <c r="A55" s="45" t="str">
        <f>IFERROR(__xludf.DUMMYFUNCTION("""COMPUTED_VALUE"""),"Animated Army")</f>
        <v>Animated Army</v>
      </c>
      <c r="B55" s="23">
        <f>IFERROR(__xludf.DUMMYFUNCTION("""COMPUTED_VALUE"""),3.0)</f>
        <v>3</v>
      </c>
      <c r="C55" s="23">
        <f>IFERROR(__xludf.DUMMYFUNCTION("""COMPUTED_VALUE"""),3.0)</f>
        <v>3</v>
      </c>
      <c r="D55" s="23">
        <f>IFERROR(__xludf.DUMMYFUNCTION("""COMPUTED_VALUE"""),0.0)</f>
        <v>0</v>
      </c>
      <c r="E55" s="23">
        <f>IFERROR(__xludf.DUMMYFUNCTION("""COMPUTED_VALUE"""),3.0)</f>
        <v>3</v>
      </c>
      <c r="F55" s="23">
        <f>IFERROR(__xludf.DUMMYFUNCTION("""COMPUTED_VALUE"""),0.0)</f>
        <v>0</v>
      </c>
      <c r="G55" s="28">
        <f>IFERROR(__xludf.DUMMYFUNCTION("""COMPUTED_VALUE"""),0.0)</f>
        <v>0</v>
      </c>
      <c r="H55" s="23" t="str">
        <f>IFERROR(__xludf.DUMMYFUNCTION("""COMPUTED_VALUE"""),"Baixo")</f>
        <v>Baixo</v>
      </c>
    </row>
    <row r="56">
      <c r="A56" s="45" t="str">
        <f>IFERROR(__xludf.DUMMYFUNCTION("""COMPUTED_VALUE"""),"Ahoy Mateys")</f>
        <v>Ahoy Mateys</v>
      </c>
      <c r="B56" s="23">
        <f>IFERROR(__xludf.DUMMYFUNCTION("""COMPUTED_VALUE"""),3.0)</f>
        <v>3</v>
      </c>
      <c r="C56" s="23">
        <f>IFERROR(__xludf.DUMMYFUNCTION("""COMPUTED_VALUE"""),2.0)</f>
        <v>2</v>
      </c>
      <c r="D56" s="23">
        <f>IFERROR(__xludf.DUMMYFUNCTION("""COMPUTED_VALUE"""),0.0)</f>
        <v>0</v>
      </c>
      <c r="E56" s="23">
        <f>IFERROR(__xludf.DUMMYFUNCTION("""COMPUTED_VALUE"""),2.0)</f>
        <v>2</v>
      </c>
      <c r="F56" s="23">
        <f>IFERROR(__xludf.DUMMYFUNCTION("""COMPUTED_VALUE"""),1.0)</f>
        <v>1</v>
      </c>
      <c r="G56" s="28">
        <f>IFERROR(__xludf.DUMMYFUNCTION("""COMPUTED_VALUE"""),0.0)</f>
        <v>0</v>
      </c>
      <c r="H56" s="23" t="str">
        <f>IFERROR(__xludf.DUMMYFUNCTION("""COMPUTED_VALUE"""),"Baixo")</f>
        <v>Baixo</v>
      </c>
    </row>
    <row r="57">
      <c r="A57" s="45" t="str">
        <f>IFERROR(__xludf.DUMMYFUNCTION("""COMPUTED_VALUE"""),"The Ruinous Powers")</f>
        <v>The Ruinous Powers</v>
      </c>
      <c r="B57" s="23">
        <f>IFERROR(__xludf.DUMMYFUNCTION("""COMPUTED_VALUE"""),2.0)</f>
        <v>2</v>
      </c>
      <c r="C57" s="23">
        <f>IFERROR(__xludf.DUMMYFUNCTION("""COMPUTED_VALUE"""),1.0)</f>
        <v>1</v>
      </c>
      <c r="D57" s="23">
        <f>IFERROR(__xludf.DUMMYFUNCTION("""COMPUTED_VALUE"""),0.0)</f>
        <v>0</v>
      </c>
      <c r="E57" s="23">
        <f>IFERROR(__xludf.DUMMYFUNCTION("""COMPUTED_VALUE"""),1.0)</f>
        <v>1</v>
      </c>
      <c r="F57" s="23">
        <f>IFERROR(__xludf.DUMMYFUNCTION("""COMPUTED_VALUE"""),1.0)</f>
        <v>1</v>
      </c>
      <c r="G57" s="28">
        <f>IFERROR(__xludf.DUMMYFUNCTION("""COMPUTED_VALUE"""),0.0)</f>
        <v>0</v>
      </c>
      <c r="H57" s="23" t="str">
        <f>IFERROR(__xludf.DUMMYFUNCTION("""COMPUTED_VALUE"""),"Baixo")</f>
        <v>Baixo</v>
      </c>
    </row>
    <row r="58">
      <c r="A58" s="45" t="str">
        <f>IFERROR(__xludf.DUMMYFUNCTION("""COMPUTED_VALUE"""),"Primal Genesis")</f>
        <v>Primal Genesis</v>
      </c>
      <c r="B58" s="23">
        <f>IFERROR(__xludf.DUMMYFUNCTION("""COMPUTED_VALUE"""),2.0)</f>
        <v>2</v>
      </c>
      <c r="C58" s="23">
        <f>IFERROR(__xludf.DUMMYFUNCTION("""COMPUTED_VALUE"""),0.0)</f>
        <v>0</v>
      </c>
      <c r="D58" s="23">
        <f>IFERROR(__xludf.DUMMYFUNCTION("""COMPUTED_VALUE"""),0.0)</f>
        <v>0</v>
      </c>
      <c r="E58" s="23">
        <f>IFERROR(__xludf.DUMMYFUNCTION("""COMPUTED_VALUE"""),0.0)</f>
        <v>0</v>
      </c>
      <c r="F58" s="23">
        <f>IFERROR(__xludf.DUMMYFUNCTION("""COMPUTED_VALUE"""),2.0)</f>
        <v>2</v>
      </c>
      <c r="G58" s="28">
        <f>IFERROR(__xludf.DUMMYFUNCTION("""COMPUTED_VALUE"""),0.0)</f>
        <v>0</v>
      </c>
      <c r="H58" s="23" t="str">
        <f>IFERROR(__xludf.DUMMYFUNCTION("""COMPUTED_VALUE"""),"Baixo")</f>
        <v>Baixo</v>
      </c>
    </row>
    <row r="59">
      <c r="A59" s="45" t="str">
        <f>IFERROR(__xludf.DUMMYFUNCTION("""COMPUTED_VALUE"""),"Power Hungry")</f>
        <v>Power Hungry</v>
      </c>
      <c r="B59" s="23">
        <f>IFERROR(__xludf.DUMMYFUNCTION("""COMPUTED_VALUE"""),2.0)</f>
        <v>2</v>
      </c>
      <c r="C59" s="23">
        <f>IFERROR(__xludf.DUMMYFUNCTION("""COMPUTED_VALUE"""),0.0)</f>
        <v>0</v>
      </c>
      <c r="D59" s="23">
        <f>IFERROR(__xludf.DUMMYFUNCTION("""COMPUTED_VALUE"""),0.0)</f>
        <v>0</v>
      </c>
      <c r="E59" s="23">
        <f>IFERROR(__xludf.DUMMYFUNCTION("""COMPUTED_VALUE"""),0.0)</f>
        <v>0</v>
      </c>
      <c r="F59" s="23">
        <f>IFERROR(__xludf.DUMMYFUNCTION("""COMPUTED_VALUE"""),2.0)</f>
        <v>2</v>
      </c>
      <c r="G59" s="28">
        <f>IFERROR(__xludf.DUMMYFUNCTION("""COMPUTED_VALUE"""),0.0)</f>
        <v>0</v>
      </c>
      <c r="H59" s="23" t="str">
        <f>IFERROR(__xludf.DUMMYFUNCTION("""COMPUTED_VALUE"""),"Baixo")</f>
        <v>Baixo</v>
      </c>
    </row>
    <row r="60">
      <c r="A60" s="45" t="str">
        <f>IFERROR(__xludf.DUMMYFUNCTION("""COMPUTED_VALUE"""),"Limit Break")</f>
        <v>Limit Break</v>
      </c>
      <c r="B60" s="23">
        <f>IFERROR(__xludf.DUMMYFUNCTION("""COMPUTED_VALUE"""),2.0)</f>
        <v>2</v>
      </c>
      <c r="C60" s="23">
        <f>IFERROR(__xludf.DUMMYFUNCTION("""COMPUTED_VALUE"""),1.0)</f>
        <v>1</v>
      </c>
      <c r="D60" s="23">
        <f>IFERROR(__xludf.DUMMYFUNCTION("""COMPUTED_VALUE"""),0.0)</f>
        <v>0</v>
      </c>
      <c r="E60" s="23">
        <f>IFERROR(__xludf.DUMMYFUNCTION("""COMPUTED_VALUE"""),1.0)</f>
        <v>1</v>
      </c>
      <c r="F60" s="23">
        <f>IFERROR(__xludf.DUMMYFUNCTION("""COMPUTED_VALUE"""),1.0)</f>
        <v>1</v>
      </c>
      <c r="G60" s="28">
        <f>IFERROR(__xludf.DUMMYFUNCTION("""COMPUTED_VALUE"""),0.0)</f>
        <v>0</v>
      </c>
      <c r="H60" s="23" t="str">
        <f>IFERROR(__xludf.DUMMYFUNCTION("""COMPUTED_VALUE"""),"Baixo")</f>
        <v>Baixo</v>
      </c>
    </row>
    <row r="61">
      <c r="A61" s="45" t="str">
        <f>IFERROR(__xludf.DUMMYFUNCTION("""COMPUTED_VALUE"""),"Buckle Up")</f>
        <v>Buckle Up</v>
      </c>
      <c r="B61" s="23">
        <f>IFERROR(__xludf.DUMMYFUNCTION("""COMPUTED_VALUE"""),2.0)</f>
        <v>2</v>
      </c>
      <c r="C61" s="23">
        <f>IFERROR(__xludf.DUMMYFUNCTION("""COMPUTED_VALUE"""),1.0)</f>
        <v>1</v>
      </c>
      <c r="D61" s="23">
        <f>IFERROR(__xludf.DUMMYFUNCTION("""COMPUTED_VALUE"""),0.0)</f>
        <v>0</v>
      </c>
      <c r="E61" s="23">
        <f>IFERROR(__xludf.DUMMYFUNCTION("""COMPUTED_VALUE"""),1.0)</f>
        <v>1</v>
      </c>
      <c r="F61" s="23">
        <f>IFERROR(__xludf.DUMMYFUNCTION("""COMPUTED_VALUE"""),1.0)</f>
        <v>1</v>
      </c>
      <c r="G61" s="28">
        <f>IFERROR(__xludf.DUMMYFUNCTION("""COMPUTED_VALUE"""),0.0)</f>
        <v>0</v>
      </c>
      <c r="H61" s="23" t="str">
        <f>IFERROR(__xludf.DUMMYFUNCTION("""COMPUTED_VALUE"""),"Baixo")</f>
        <v>Baixo</v>
      </c>
    </row>
    <row r="62">
      <c r="A62" s="45" t="str">
        <f>IFERROR(__xludf.DUMMYFUNCTION("""COMPUTED_VALUE"""),"Peace Offering")</f>
        <v>Peace Offering</v>
      </c>
      <c r="B62" s="23">
        <f>IFERROR(__xludf.DUMMYFUNCTION("""COMPUTED_VALUE"""),1.0)</f>
        <v>1</v>
      </c>
      <c r="C62" s="23">
        <f>IFERROR(__xludf.DUMMYFUNCTION("""COMPUTED_VALUE"""),0.0)</f>
        <v>0</v>
      </c>
      <c r="D62" s="23">
        <f>IFERROR(__xludf.DUMMYFUNCTION("""COMPUTED_VALUE"""),0.0)</f>
        <v>0</v>
      </c>
      <c r="E62" s="23">
        <f>IFERROR(__xludf.DUMMYFUNCTION("""COMPUTED_VALUE"""),0.0)</f>
        <v>0</v>
      </c>
      <c r="F62" s="23">
        <f>IFERROR(__xludf.DUMMYFUNCTION("""COMPUTED_VALUE"""),1.0)</f>
        <v>1</v>
      </c>
      <c r="G62" s="28">
        <f>IFERROR(__xludf.DUMMYFUNCTION("""COMPUTED_VALUE"""),0.0)</f>
        <v>0</v>
      </c>
      <c r="H62" s="23" t="str">
        <f>IFERROR(__xludf.DUMMYFUNCTION("""COMPUTED_VALUE"""),"Baixo")</f>
        <v>Baixo</v>
      </c>
    </row>
    <row r="63">
      <c r="A63" s="45" t="str">
        <f>IFERROR(__xludf.DUMMYFUNCTION("""COMPUTED_VALUE"""),"Enduring Enchantments")</f>
        <v>Enduring Enchantments</v>
      </c>
      <c r="B63" s="23">
        <f>IFERROR(__xludf.DUMMYFUNCTION("""COMPUTED_VALUE"""),1.0)</f>
        <v>1</v>
      </c>
      <c r="C63" s="23">
        <f>IFERROR(__xludf.DUMMYFUNCTION("""COMPUTED_VALUE"""),1.0)</f>
        <v>1</v>
      </c>
      <c r="D63" s="23">
        <f>IFERROR(__xludf.DUMMYFUNCTION("""COMPUTED_VALUE"""),0.0)</f>
        <v>0</v>
      </c>
      <c r="E63" s="23">
        <f>IFERROR(__xludf.DUMMYFUNCTION("""COMPUTED_VALUE"""),1.0)</f>
        <v>1</v>
      </c>
      <c r="F63" s="23">
        <f>IFERROR(__xludf.DUMMYFUNCTION("""COMPUTED_VALUE"""),0.0)</f>
        <v>0</v>
      </c>
      <c r="G63" s="28">
        <f>IFERROR(__xludf.DUMMYFUNCTION("""COMPUTED_VALUE"""),0.0)</f>
        <v>0</v>
      </c>
      <c r="H63" s="23" t="str">
        <f>IFERROR(__xludf.DUMMYFUNCTION("""COMPUTED_VALUE"""),"Baixo")</f>
        <v>Baixo</v>
      </c>
    </row>
    <row r="64">
      <c r="A64" s="45"/>
      <c r="B64" s="23"/>
      <c r="C64" s="23"/>
      <c r="D64" s="23"/>
      <c r="E64" s="23"/>
      <c r="F64" s="23"/>
      <c r="G64" s="28" t="str">
        <f>IFERROR(__xludf.DUMMYFUNCTION("""COMPUTED_VALUE"""),"")</f>
        <v/>
      </c>
      <c r="H64" s="23" t="str">
        <f>IFERROR(__xludf.DUMMYFUNCTION("""COMPUTED_VALUE"""),"")</f>
        <v/>
      </c>
    </row>
    <row r="65">
      <c r="A65" s="45"/>
      <c r="B65" s="23"/>
      <c r="C65" s="23"/>
      <c r="D65" s="23"/>
      <c r="E65" s="23"/>
      <c r="F65" s="23"/>
      <c r="G65" s="28" t="str">
        <f>IFERROR(__xludf.DUMMYFUNCTION("""COMPUTED_VALUE"""),"")</f>
        <v/>
      </c>
      <c r="H65" s="23" t="str">
        <f>IFERROR(__xludf.DUMMYFUNCTION("""COMPUTED_VALUE"""),"")</f>
        <v/>
      </c>
    </row>
    <row r="66">
      <c r="A66" s="45"/>
      <c r="B66" s="23"/>
      <c r="C66" s="23"/>
      <c r="D66" s="23"/>
      <c r="E66" s="23"/>
      <c r="F66" s="23"/>
      <c r="G66" s="28" t="str">
        <f>IFERROR(__xludf.DUMMYFUNCTION("""COMPUTED_VALUE"""),"")</f>
        <v/>
      </c>
      <c r="H66" s="23" t="str">
        <f>IFERROR(__xludf.DUMMYFUNCTION("""COMPUTED_VALUE"""),"")</f>
        <v/>
      </c>
    </row>
    <row r="67">
      <c r="A67" s="45"/>
      <c r="B67" s="23"/>
      <c r="C67" s="23"/>
      <c r="D67" s="23"/>
      <c r="E67" s="23"/>
      <c r="F67" s="23"/>
      <c r="G67" s="28" t="str">
        <f>IFERROR(__xludf.DUMMYFUNCTION("""COMPUTED_VALUE"""),"")</f>
        <v/>
      </c>
      <c r="H67" s="23" t="str">
        <f>IFERROR(__xludf.DUMMYFUNCTION("""COMPUTED_VALUE"""),"")</f>
        <v/>
      </c>
    </row>
    <row r="68">
      <c r="A68" s="45"/>
      <c r="B68" s="23"/>
      <c r="C68" s="23"/>
      <c r="D68" s="23"/>
      <c r="E68" s="23"/>
      <c r="F68" s="23"/>
      <c r="G68" s="28" t="str">
        <f>IFERROR(__xludf.DUMMYFUNCTION("""COMPUTED_VALUE"""),"")</f>
        <v/>
      </c>
      <c r="H68" s="23" t="str">
        <f>IFERROR(__xludf.DUMMYFUNCTION("""COMPUTED_VALUE"""),"")</f>
        <v/>
      </c>
    </row>
    <row r="69">
      <c r="A69" s="45"/>
      <c r="B69" s="23"/>
      <c r="C69" s="23"/>
      <c r="D69" s="23"/>
      <c r="E69" s="23"/>
      <c r="F69" s="23"/>
      <c r="G69" s="28" t="str">
        <f>IFERROR(__xludf.DUMMYFUNCTION("""COMPUTED_VALUE"""),"")</f>
        <v/>
      </c>
      <c r="H69" s="23" t="str">
        <f>IFERROR(__xludf.DUMMYFUNCTION("""COMPUTED_VALUE"""),"")</f>
        <v/>
      </c>
    </row>
    <row r="70">
      <c r="A70" s="45"/>
      <c r="B70" s="23"/>
      <c r="C70" s="23"/>
      <c r="D70" s="23"/>
      <c r="E70" s="23"/>
      <c r="F70" s="23"/>
      <c r="G70" s="28" t="str">
        <f>IFERROR(__xludf.DUMMYFUNCTION("""COMPUTED_VALUE"""),"")</f>
        <v/>
      </c>
      <c r="H70" s="23" t="str">
        <f>IFERROR(__xludf.DUMMYFUNCTION("""COMPUTED_VALUE"""),"")</f>
        <v/>
      </c>
    </row>
    <row r="71">
      <c r="A71" s="45"/>
      <c r="B71" s="23"/>
      <c r="C71" s="23"/>
      <c r="D71" s="23"/>
      <c r="E71" s="23"/>
      <c r="F71" s="23"/>
      <c r="G71" s="28" t="str">
        <f>IFERROR(__xludf.DUMMYFUNCTION("""COMPUTED_VALUE"""),"")</f>
        <v/>
      </c>
      <c r="H71" s="23" t="str">
        <f>IFERROR(__xludf.DUMMYFUNCTION("""COMPUTED_VALUE"""),"")</f>
        <v/>
      </c>
    </row>
    <row r="72">
      <c r="A72" s="45"/>
      <c r="B72" s="23"/>
      <c r="C72" s="23"/>
      <c r="D72" s="23"/>
      <c r="E72" s="23"/>
      <c r="F72" s="23"/>
      <c r="G72" s="28" t="str">
        <f>IFERROR(__xludf.DUMMYFUNCTION("""COMPUTED_VALUE"""),"")</f>
        <v/>
      </c>
      <c r="H72" s="23" t="str">
        <f>IFERROR(__xludf.DUMMYFUNCTION("""COMPUTED_VALUE"""),"")</f>
        <v/>
      </c>
    </row>
    <row r="73">
      <c r="A73" s="45"/>
      <c r="B73" s="23"/>
      <c r="C73" s="23"/>
      <c r="D73" s="23"/>
      <c r="E73" s="23"/>
      <c r="F73" s="23"/>
      <c r="G73" s="28" t="str">
        <f>IFERROR(__xludf.DUMMYFUNCTION("""COMPUTED_VALUE"""),"")</f>
        <v/>
      </c>
      <c r="H73" s="23" t="str">
        <f>IFERROR(__xludf.DUMMYFUNCTION("""COMPUTED_VALUE"""),"")</f>
        <v/>
      </c>
    </row>
    <row r="74">
      <c r="A74" s="45"/>
      <c r="B74" s="23"/>
      <c r="C74" s="23"/>
      <c r="D74" s="23"/>
      <c r="E74" s="23"/>
      <c r="F74" s="23"/>
      <c r="G74" s="28" t="str">
        <f>IFERROR(__xludf.DUMMYFUNCTION("""COMPUTED_VALUE"""),"")</f>
        <v/>
      </c>
      <c r="H74" s="23" t="str">
        <f>IFERROR(__xludf.DUMMYFUNCTION("""COMPUTED_VALUE"""),"")</f>
        <v/>
      </c>
    </row>
    <row r="75">
      <c r="A75" s="45"/>
      <c r="B75" s="23"/>
      <c r="C75" s="23"/>
      <c r="D75" s="23"/>
      <c r="E75" s="23"/>
      <c r="F75" s="23"/>
      <c r="G75" s="28" t="str">
        <f>IFERROR(__xludf.DUMMYFUNCTION("""COMPUTED_VALUE"""),"")</f>
        <v/>
      </c>
      <c r="H75" s="23" t="str">
        <f>IFERROR(__xludf.DUMMYFUNCTION("""COMPUTED_VALUE"""),"")</f>
        <v/>
      </c>
    </row>
    <row r="76">
      <c r="A76" s="45"/>
      <c r="B76" s="23"/>
      <c r="C76" s="23"/>
      <c r="D76" s="23"/>
      <c r="E76" s="23"/>
      <c r="F76" s="23"/>
      <c r="G76" s="28" t="str">
        <f>IFERROR(__xludf.DUMMYFUNCTION("""COMPUTED_VALUE"""),"")</f>
        <v/>
      </c>
      <c r="H76" s="23" t="str">
        <f>IFERROR(__xludf.DUMMYFUNCTION("""COMPUTED_VALUE"""),"")</f>
        <v/>
      </c>
    </row>
    <row r="77">
      <c r="A77" s="45"/>
      <c r="B77" s="23"/>
      <c r="C77" s="23"/>
      <c r="D77" s="23"/>
      <c r="E77" s="23"/>
      <c r="F77" s="23"/>
      <c r="G77" s="28" t="str">
        <f>IFERROR(__xludf.DUMMYFUNCTION("""COMPUTED_VALUE"""),"")</f>
        <v/>
      </c>
      <c r="H77" s="23" t="str">
        <f>IFERROR(__xludf.DUMMYFUNCTION("""COMPUTED_VALUE"""),"")</f>
        <v/>
      </c>
    </row>
    <row r="78">
      <c r="A78" s="45"/>
      <c r="B78" s="23"/>
      <c r="C78" s="23"/>
      <c r="D78" s="23"/>
      <c r="E78" s="23"/>
      <c r="F78" s="23"/>
      <c r="G78" s="28" t="str">
        <f>IFERROR(__xludf.DUMMYFUNCTION("""COMPUTED_VALUE"""),"")</f>
        <v/>
      </c>
      <c r="H78" s="23" t="str">
        <f>IFERROR(__xludf.DUMMYFUNCTION("""COMPUTED_VALUE"""),"")</f>
        <v/>
      </c>
    </row>
    <row r="79">
      <c r="A79" s="45"/>
      <c r="B79" s="23"/>
      <c r="C79" s="23"/>
      <c r="D79" s="23"/>
      <c r="E79" s="23"/>
      <c r="F79" s="23"/>
      <c r="G79" s="28" t="str">
        <f>IFERROR(__xludf.DUMMYFUNCTION("""COMPUTED_VALUE"""),"")</f>
        <v/>
      </c>
      <c r="H79" s="23" t="str">
        <f>IFERROR(__xludf.DUMMYFUNCTION("""COMPUTED_VALUE"""),"")</f>
        <v/>
      </c>
    </row>
    <row r="80">
      <c r="A80" s="45"/>
      <c r="B80" s="23"/>
      <c r="C80" s="23"/>
      <c r="D80" s="23"/>
      <c r="E80" s="23"/>
      <c r="F80" s="23"/>
      <c r="G80" s="28" t="str">
        <f>IFERROR(__xludf.DUMMYFUNCTION("""COMPUTED_VALUE"""),"")</f>
        <v/>
      </c>
      <c r="H80" s="23" t="str">
        <f>IFERROR(__xludf.DUMMYFUNCTION("""COMPUTED_VALUE"""),"")</f>
        <v/>
      </c>
    </row>
    <row r="81">
      <c r="A81" s="45"/>
      <c r="B81" s="23"/>
      <c r="C81" s="23"/>
      <c r="D81" s="23"/>
      <c r="E81" s="23"/>
      <c r="F81" s="23"/>
      <c r="G81" s="28" t="str">
        <f>IFERROR(__xludf.DUMMYFUNCTION("""COMPUTED_VALUE"""),"")</f>
        <v/>
      </c>
      <c r="H81" s="23" t="str">
        <f>IFERROR(__xludf.DUMMYFUNCTION("""COMPUTED_VALUE"""),"")</f>
        <v/>
      </c>
    </row>
    <row r="82">
      <c r="A82" s="45"/>
      <c r="B82" s="23"/>
      <c r="C82" s="23"/>
      <c r="D82" s="23"/>
      <c r="E82" s="23"/>
      <c r="F82" s="23"/>
      <c r="G82" s="28" t="str">
        <f>IFERROR(__xludf.DUMMYFUNCTION("""COMPUTED_VALUE"""),"")</f>
        <v/>
      </c>
      <c r="H82" s="23" t="str">
        <f>IFERROR(__xludf.DUMMYFUNCTION("""COMPUTED_VALUE"""),"")</f>
        <v/>
      </c>
    </row>
    <row r="83">
      <c r="A83" s="45"/>
      <c r="B83" s="23"/>
      <c r="C83" s="23"/>
      <c r="D83" s="23"/>
      <c r="E83" s="23"/>
      <c r="F83" s="23"/>
      <c r="G83" s="28" t="str">
        <f>IFERROR(__xludf.DUMMYFUNCTION("""COMPUTED_VALUE"""),"")</f>
        <v/>
      </c>
      <c r="H83" s="23" t="str">
        <f>IFERROR(__xludf.DUMMYFUNCTION("""COMPUTED_VALUE"""),"")</f>
        <v/>
      </c>
    </row>
    <row r="84">
      <c r="A84" s="45"/>
      <c r="B84" s="23"/>
      <c r="C84" s="23"/>
      <c r="D84" s="23"/>
      <c r="E84" s="23"/>
      <c r="F84" s="23"/>
      <c r="G84" s="28" t="str">
        <f>IFERROR(__xludf.DUMMYFUNCTION("""COMPUTED_VALUE"""),"")</f>
        <v/>
      </c>
      <c r="H84" s="23" t="str">
        <f>IFERROR(__xludf.DUMMYFUNCTION("""COMPUTED_VALUE"""),"")</f>
        <v/>
      </c>
    </row>
    <row r="85">
      <c r="A85" s="45"/>
      <c r="B85" s="23"/>
      <c r="C85" s="23"/>
      <c r="D85" s="23"/>
      <c r="E85" s="23"/>
      <c r="F85" s="23"/>
      <c r="G85" s="28" t="str">
        <f>IFERROR(__xludf.DUMMYFUNCTION("""COMPUTED_VALUE"""),"")</f>
        <v/>
      </c>
      <c r="H85" s="23" t="str">
        <f>IFERROR(__xludf.DUMMYFUNCTION("""COMPUTED_VALUE"""),"")</f>
        <v/>
      </c>
    </row>
    <row r="86">
      <c r="A86" s="45"/>
      <c r="B86" s="23"/>
      <c r="C86" s="23"/>
      <c r="D86" s="23"/>
      <c r="E86" s="23"/>
      <c r="F86" s="23"/>
      <c r="G86" s="28" t="str">
        <f>IFERROR(__xludf.DUMMYFUNCTION("""COMPUTED_VALUE"""),"")</f>
        <v/>
      </c>
      <c r="H86" s="23" t="str">
        <f>IFERROR(__xludf.DUMMYFUNCTION("""COMPUTED_VALUE"""),"")</f>
        <v/>
      </c>
    </row>
    <row r="87">
      <c r="A87" s="45"/>
      <c r="B87" s="23"/>
      <c r="C87" s="23"/>
      <c r="D87" s="23"/>
      <c r="E87" s="23"/>
      <c r="F87" s="23"/>
      <c r="G87" s="28" t="str">
        <f>IFERROR(__xludf.DUMMYFUNCTION("""COMPUTED_VALUE"""),"")</f>
        <v/>
      </c>
      <c r="H87" s="23" t="str">
        <f>IFERROR(__xludf.DUMMYFUNCTION("""COMPUTED_VALUE"""),"")</f>
        <v/>
      </c>
    </row>
    <row r="88">
      <c r="A88" s="45"/>
      <c r="B88" s="23"/>
      <c r="C88" s="23"/>
      <c r="D88" s="23"/>
      <c r="E88" s="23"/>
      <c r="F88" s="23"/>
      <c r="G88" s="28" t="str">
        <f>IFERROR(__xludf.DUMMYFUNCTION("""COMPUTED_VALUE"""),"")</f>
        <v/>
      </c>
      <c r="H88" s="23" t="str">
        <f>IFERROR(__xludf.DUMMYFUNCTION("""COMPUTED_VALUE"""),"")</f>
        <v/>
      </c>
    </row>
    <row r="89">
      <c r="A89" s="45"/>
      <c r="B89" s="23"/>
      <c r="C89" s="23"/>
      <c r="D89" s="23"/>
      <c r="E89" s="23"/>
      <c r="F89" s="23"/>
      <c r="G89" s="28" t="str">
        <f>IFERROR(__xludf.DUMMYFUNCTION("""COMPUTED_VALUE"""),"")</f>
        <v/>
      </c>
      <c r="H89" s="23" t="str">
        <f>IFERROR(__xludf.DUMMYFUNCTION("""COMPUTED_VALUE"""),"")</f>
        <v/>
      </c>
    </row>
    <row r="90">
      <c r="A90" s="45"/>
      <c r="B90" s="23"/>
      <c r="C90" s="23"/>
      <c r="D90" s="23"/>
      <c r="E90" s="23"/>
      <c r="F90" s="23"/>
      <c r="G90" s="28" t="str">
        <f>IFERROR(__xludf.DUMMYFUNCTION("""COMPUTED_VALUE"""),"")</f>
        <v/>
      </c>
      <c r="H90" s="23" t="str">
        <f>IFERROR(__xludf.DUMMYFUNCTION("""COMPUTED_VALUE"""),"")</f>
        <v/>
      </c>
    </row>
    <row r="91">
      <c r="A91" s="45"/>
      <c r="B91" s="23"/>
      <c r="C91" s="23"/>
      <c r="D91" s="23"/>
      <c r="E91" s="23"/>
      <c r="F91" s="23"/>
      <c r="G91" s="28" t="str">
        <f>IFERROR(__xludf.DUMMYFUNCTION("""COMPUTED_VALUE"""),"")</f>
        <v/>
      </c>
      <c r="H91" s="23" t="str">
        <f>IFERROR(__xludf.DUMMYFUNCTION("""COMPUTED_VALUE"""),"")</f>
        <v/>
      </c>
    </row>
    <row r="92">
      <c r="A92" s="45"/>
      <c r="B92" s="23"/>
      <c r="C92" s="23"/>
      <c r="D92" s="23"/>
      <c r="E92" s="23"/>
      <c r="F92" s="23"/>
      <c r="G92" s="28" t="str">
        <f>IFERROR(__xludf.DUMMYFUNCTION("""COMPUTED_VALUE"""),"")</f>
        <v/>
      </c>
      <c r="H92" s="23" t="str">
        <f>IFERROR(__xludf.DUMMYFUNCTION("""COMPUTED_VALUE"""),"")</f>
        <v/>
      </c>
    </row>
    <row r="93">
      <c r="A93" s="45"/>
      <c r="B93" s="23"/>
      <c r="C93" s="23"/>
      <c r="D93" s="23"/>
      <c r="E93" s="23"/>
      <c r="F93" s="23"/>
      <c r="G93" s="28" t="str">
        <f>IFERROR(__xludf.DUMMYFUNCTION("""COMPUTED_VALUE"""),"")</f>
        <v/>
      </c>
      <c r="H93" s="23" t="str">
        <f>IFERROR(__xludf.DUMMYFUNCTION("""COMPUTED_VALUE"""),"")</f>
        <v/>
      </c>
    </row>
    <row r="94">
      <c r="A94" s="45"/>
      <c r="B94" s="23"/>
      <c r="C94" s="23"/>
      <c r="D94" s="23"/>
      <c r="E94" s="23"/>
      <c r="F94" s="23"/>
      <c r="G94" s="28" t="str">
        <f>IFERROR(__xludf.DUMMYFUNCTION("""COMPUTED_VALUE"""),"")</f>
        <v/>
      </c>
      <c r="H94" s="23" t="str">
        <f>IFERROR(__xludf.DUMMYFUNCTION("""COMPUTED_VALUE"""),"")</f>
        <v/>
      </c>
    </row>
    <row r="95">
      <c r="A95" s="45"/>
      <c r="B95" s="23"/>
      <c r="C95" s="23"/>
      <c r="D95" s="23"/>
      <c r="E95" s="23"/>
      <c r="F95" s="23"/>
      <c r="G95" s="28" t="str">
        <f>IFERROR(__xludf.DUMMYFUNCTION("""COMPUTED_VALUE"""),"")</f>
        <v/>
      </c>
      <c r="H95" s="23" t="str">
        <f>IFERROR(__xludf.DUMMYFUNCTION("""COMPUTED_VALUE"""),"")</f>
        <v/>
      </c>
    </row>
    <row r="96">
      <c r="A96" s="45"/>
      <c r="B96" s="23"/>
      <c r="C96" s="23"/>
      <c r="D96" s="23"/>
      <c r="E96" s="23"/>
      <c r="F96" s="23"/>
      <c r="G96" s="28" t="str">
        <f>IFERROR(__xludf.DUMMYFUNCTION("""COMPUTED_VALUE"""),"")</f>
        <v/>
      </c>
      <c r="H96" s="23" t="str">
        <f>IFERROR(__xludf.DUMMYFUNCTION("""COMPUTED_VALUE"""),"")</f>
        <v/>
      </c>
    </row>
    <row r="97">
      <c r="A97" s="45"/>
      <c r="B97" s="23"/>
      <c r="C97" s="23"/>
      <c r="D97" s="23"/>
      <c r="E97" s="23"/>
      <c r="F97" s="23"/>
      <c r="G97" s="28" t="str">
        <f>IFERROR(__xludf.DUMMYFUNCTION("""COMPUTED_VALUE"""),"")</f>
        <v/>
      </c>
      <c r="H97" s="23" t="str">
        <f>IFERROR(__xludf.DUMMYFUNCTION("""COMPUTED_VALUE"""),"")</f>
        <v/>
      </c>
    </row>
    <row r="98">
      <c r="A98" s="45"/>
      <c r="B98" s="23"/>
      <c r="C98" s="23"/>
      <c r="D98" s="23"/>
      <c r="E98" s="23"/>
      <c r="F98" s="23"/>
      <c r="G98" s="28" t="str">
        <f>IFERROR(__xludf.DUMMYFUNCTION("""COMPUTED_VALUE"""),"")</f>
        <v/>
      </c>
      <c r="H98" s="23" t="str">
        <f>IFERROR(__xludf.DUMMYFUNCTION("""COMPUTED_VALUE"""),"")</f>
        <v/>
      </c>
    </row>
    <row r="99">
      <c r="A99" s="45"/>
      <c r="B99" s="23"/>
      <c r="C99" s="23"/>
      <c r="D99" s="23"/>
      <c r="E99" s="23"/>
      <c r="F99" s="23"/>
      <c r="G99" s="28" t="str">
        <f>IFERROR(__xludf.DUMMYFUNCTION("""COMPUTED_VALUE"""),"")</f>
        <v/>
      </c>
      <c r="H99" s="23" t="str">
        <f>IFERROR(__xludf.DUMMYFUNCTION("""COMPUTED_VALUE"""),"")</f>
        <v/>
      </c>
    </row>
    <row r="100">
      <c r="A100" s="45"/>
      <c r="B100" s="23"/>
      <c r="C100" s="23"/>
      <c r="D100" s="23"/>
      <c r="E100" s="23"/>
      <c r="F100" s="23"/>
      <c r="G100" s="28" t="str">
        <f>IFERROR(__xludf.DUMMYFUNCTION("""COMPUTED_VALUE"""),"")</f>
        <v/>
      </c>
      <c r="H100" s="23" t="str">
        <f>IFERROR(__xludf.DUMMYFUNCTION("""COMPUTED_VALUE"""),"")</f>
        <v/>
      </c>
    </row>
    <row r="101">
      <c r="A101" s="45"/>
      <c r="B101" s="23"/>
      <c r="C101" s="23"/>
      <c r="D101" s="23"/>
      <c r="E101" s="23"/>
      <c r="F101" s="23"/>
      <c r="G101" s="28" t="str">
        <f>IFERROR(__xludf.DUMMYFUNCTION("""COMPUTED_VALUE"""),"")</f>
        <v/>
      </c>
      <c r="H101" s="23" t="str">
        <f>IFERROR(__xludf.DUMMYFUNCTION("""COMPUTED_VALUE"""),"")</f>
        <v/>
      </c>
    </row>
    <row r="102">
      <c r="A102" s="45"/>
      <c r="B102" s="23"/>
      <c r="C102" s="23"/>
      <c r="D102" s="23"/>
      <c r="E102" s="23"/>
      <c r="F102" s="23"/>
      <c r="G102" s="28" t="str">
        <f>IFERROR(__xludf.DUMMYFUNCTION("""COMPUTED_VALUE"""),"")</f>
        <v/>
      </c>
      <c r="H102" s="23" t="str">
        <f>IFERROR(__xludf.DUMMYFUNCTION("""COMPUTED_VALUE"""),"")</f>
        <v/>
      </c>
    </row>
    <row r="103">
      <c r="A103" s="45"/>
      <c r="B103" s="23"/>
      <c r="C103" s="23"/>
      <c r="D103" s="23"/>
      <c r="E103" s="23"/>
      <c r="F103" s="23"/>
      <c r="G103" s="28" t="str">
        <f>IFERROR(__xludf.DUMMYFUNCTION("""COMPUTED_VALUE"""),"")</f>
        <v/>
      </c>
      <c r="H103" s="23" t="str">
        <f>IFERROR(__xludf.DUMMYFUNCTION("""COMPUTED_VALUE"""),"")</f>
        <v/>
      </c>
    </row>
    <row r="104">
      <c r="A104" s="45"/>
      <c r="B104" s="23"/>
      <c r="C104" s="23"/>
      <c r="D104" s="23"/>
      <c r="E104" s="23"/>
      <c r="F104" s="23"/>
      <c r="G104" s="28" t="str">
        <f>IFERROR(__xludf.DUMMYFUNCTION("""COMPUTED_VALUE"""),"")</f>
        <v/>
      </c>
      <c r="H104" s="23" t="str">
        <f>IFERROR(__xludf.DUMMYFUNCTION("""COMPUTED_VALUE"""),"")</f>
        <v/>
      </c>
    </row>
    <row r="105">
      <c r="A105" s="45"/>
      <c r="B105" s="23"/>
      <c r="C105" s="23"/>
      <c r="D105" s="23"/>
      <c r="E105" s="23"/>
      <c r="F105" s="23"/>
      <c r="G105" s="28" t="str">
        <f>IFERROR(__xludf.DUMMYFUNCTION("""COMPUTED_VALUE"""),"")</f>
        <v/>
      </c>
      <c r="H105" s="23" t="str">
        <f>IFERROR(__xludf.DUMMYFUNCTION("""COMPUTED_VALUE"""),"")</f>
        <v/>
      </c>
    </row>
    <row r="106">
      <c r="A106" s="45"/>
      <c r="B106" s="23"/>
      <c r="C106" s="23"/>
      <c r="D106" s="23"/>
      <c r="E106" s="23"/>
      <c r="F106" s="23"/>
      <c r="G106" s="28" t="str">
        <f>IFERROR(__xludf.DUMMYFUNCTION("""COMPUTED_VALUE"""),"")</f>
        <v/>
      </c>
      <c r="H106" s="23" t="str">
        <f>IFERROR(__xludf.DUMMYFUNCTION("""COMPUTED_VALUE"""),"")</f>
        <v/>
      </c>
    </row>
    <row r="107">
      <c r="A107" s="45"/>
      <c r="B107" s="23"/>
      <c r="C107" s="23"/>
      <c r="D107" s="23"/>
      <c r="E107" s="23"/>
      <c r="F107" s="23"/>
      <c r="G107" s="28" t="str">
        <f>IFERROR(__xludf.DUMMYFUNCTION("""COMPUTED_VALUE"""),"")</f>
        <v/>
      </c>
      <c r="H107" s="23" t="str">
        <f>IFERROR(__xludf.DUMMYFUNCTION("""COMPUTED_VALUE"""),"")</f>
        <v/>
      </c>
    </row>
    <row r="108">
      <c r="A108" s="45"/>
      <c r="B108" s="23"/>
      <c r="C108" s="23"/>
      <c r="D108" s="23"/>
      <c r="E108" s="23"/>
      <c r="F108" s="23"/>
      <c r="G108" s="28" t="str">
        <f>IFERROR(__xludf.DUMMYFUNCTION("""COMPUTED_VALUE"""),"")</f>
        <v/>
      </c>
      <c r="H108" s="23" t="str">
        <f>IFERROR(__xludf.DUMMYFUNCTION("""COMPUTED_VALUE"""),"")</f>
        <v/>
      </c>
    </row>
    <row r="109">
      <c r="A109" s="45"/>
      <c r="B109" s="23"/>
      <c r="C109" s="23"/>
      <c r="D109" s="23"/>
      <c r="E109" s="23"/>
      <c r="F109" s="23"/>
      <c r="G109" s="28" t="str">
        <f>IFERROR(__xludf.DUMMYFUNCTION("""COMPUTED_VALUE"""),"")</f>
        <v/>
      </c>
      <c r="H109" s="23" t="str">
        <f>IFERROR(__xludf.DUMMYFUNCTION("""COMPUTED_VALUE"""),"")</f>
        <v/>
      </c>
    </row>
    <row r="110">
      <c r="A110" s="45"/>
      <c r="B110" s="23"/>
      <c r="C110" s="23"/>
      <c r="D110" s="23"/>
      <c r="E110" s="23"/>
      <c r="F110" s="23"/>
      <c r="G110" s="28" t="str">
        <f>IFERROR(__xludf.DUMMYFUNCTION("""COMPUTED_VALUE"""),"")</f>
        <v/>
      </c>
      <c r="H110" s="23" t="str">
        <f>IFERROR(__xludf.DUMMYFUNCTION("""COMPUTED_VALUE"""),"")</f>
        <v/>
      </c>
    </row>
    <row r="111">
      <c r="A111" s="45"/>
      <c r="B111" s="23"/>
      <c r="C111" s="23"/>
      <c r="D111" s="23"/>
      <c r="E111" s="23"/>
      <c r="F111" s="23"/>
      <c r="G111" s="28" t="str">
        <f>IFERROR(__xludf.DUMMYFUNCTION("""COMPUTED_VALUE"""),"")</f>
        <v/>
      </c>
      <c r="H111" s="23" t="str">
        <f>IFERROR(__xludf.DUMMYFUNCTION("""COMPUTED_VALUE"""),"")</f>
        <v/>
      </c>
    </row>
    <row r="112">
      <c r="A112" s="45"/>
      <c r="B112" s="23"/>
      <c r="C112" s="23"/>
      <c r="D112" s="23"/>
      <c r="E112" s="23"/>
      <c r="F112" s="23"/>
      <c r="G112" s="28" t="str">
        <f>IFERROR(__xludf.DUMMYFUNCTION("""COMPUTED_VALUE"""),"")</f>
        <v/>
      </c>
      <c r="H112" s="23" t="str">
        <f>IFERROR(__xludf.DUMMYFUNCTION("""COMPUTED_VALUE"""),"")</f>
        <v/>
      </c>
    </row>
    <row r="113">
      <c r="A113" s="45"/>
      <c r="B113" s="23"/>
      <c r="C113" s="23"/>
      <c r="D113" s="23"/>
      <c r="E113" s="23"/>
      <c r="F113" s="23"/>
      <c r="G113" s="28" t="str">
        <f>IFERROR(__xludf.DUMMYFUNCTION("""COMPUTED_VALUE"""),"")</f>
        <v/>
      </c>
      <c r="H113" s="23" t="str">
        <f>IFERROR(__xludf.DUMMYFUNCTION("""COMPUTED_VALUE"""),"")</f>
        <v/>
      </c>
    </row>
    <row r="114">
      <c r="A114" s="45"/>
      <c r="B114" s="23"/>
      <c r="C114" s="23"/>
      <c r="D114" s="23"/>
      <c r="E114" s="23"/>
      <c r="F114" s="23"/>
      <c r="G114" s="28" t="str">
        <f>IFERROR(__xludf.DUMMYFUNCTION("""COMPUTED_VALUE"""),"")</f>
        <v/>
      </c>
      <c r="H114" s="23" t="str">
        <f>IFERROR(__xludf.DUMMYFUNCTION("""COMPUTED_VALUE"""),"")</f>
        <v/>
      </c>
    </row>
    <row r="115">
      <c r="A115" s="45"/>
      <c r="B115" s="23"/>
      <c r="C115" s="23"/>
      <c r="D115" s="23"/>
      <c r="E115" s="23"/>
      <c r="F115" s="23"/>
      <c r="G115" s="28" t="str">
        <f>IFERROR(__xludf.DUMMYFUNCTION("""COMPUTED_VALUE"""),"")</f>
        <v/>
      </c>
      <c r="H115" s="23" t="str">
        <f>IFERROR(__xludf.DUMMYFUNCTION("""COMPUTED_VALUE"""),"")</f>
        <v/>
      </c>
    </row>
    <row r="116">
      <c r="A116" s="45"/>
      <c r="B116" s="23"/>
      <c r="C116" s="23"/>
      <c r="D116" s="23"/>
      <c r="E116" s="23"/>
      <c r="F116" s="23"/>
      <c r="G116" s="28" t="str">
        <f>IFERROR(__xludf.DUMMYFUNCTION("""COMPUTED_VALUE"""),"")</f>
        <v/>
      </c>
      <c r="H116" s="23" t="str">
        <f>IFERROR(__xludf.DUMMYFUNCTION("""COMPUTED_VALUE"""),"")</f>
        <v/>
      </c>
    </row>
    <row r="117">
      <c r="A117" s="45"/>
      <c r="B117" s="23"/>
      <c r="C117" s="23"/>
      <c r="D117" s="23"/>
      <c r="E117" s="23"/>
      <c r="F117" s="23"/>
      <c r="G117" s="28" t="str">
        <f>IFERROR(__xludf.DUMMYFUNCTION("""COMPUTED_VALUE"""),"")</f>
        <v/>
      </c>
      <c r="H117" s="23" t="str">
        <f>IFERROR(__xludf.DUMMYFUNCTION("""COMPUTED_VALUE"""),"")</f>
        <v/>
      </c>
    </row>
    <row r="118">
      <c r="A118" s="45"/>
      <c r="B118" s="23"/>
      <c r="C118" s="23"/>
      <c r="D118" s="23"/>
      <c r="E118" s="23"/>
      <c r="F118" s="23"/>
      <c r="G118" s="28" t="str">
        <f>IFERROR(__xludf.DUMMYFUNCTION("""COMPUTED_VALUE"""),"")</f>
        <v/>
      </c>
      <c r="H118" s="23" t="str">
        <f>IFERROR(__xludf.DUMMYFUNCTION("""COMPUTED_VALUE"""),"")</f>
        <v/>
      </c>
    </row>
    <row r="119">
      <c r="A119" s="45"/>
      <c r="B119" s="23"/>
      <c r="C119" s="23"/>
      <c r="D119" s="23"/>
      <c r="E119" s="23"/>
      <c r="F119" s="23"/>
      <c r="G119" s="28" t="str">
        <f>IFERROR(__xludf.DUMMYFUNCTION("""COMPUTED_VALUE"""),"")</f>
        <v/>
      </c>
      <c r="H119" s="23" t="str">
        <f>IFERROR(__xludf.DUMMYFUNCTION("""COMPUTED_VALUE"""),"")</f>
        <v/>
      </c>
    </row>
    <row r="120">
      <c r="A120" s="45"/>
      <c r="B120" s="23"/>
      <c r="C120" s="23"/>
      <c r="D120" s="23"/>
      <c r="E120" s="23"/>
      <c r="F120" s="23"/>
      <c r="G120" s="28" t="str">
        <f>IFERROR(__xludf.DUMMYFUNCTION("""COMPUTED_VALUE"""),"")</f>
        <v/>
      </c>
      <c r="H120" s="23" t="str">
        <f>IFERROR(__xludf.DUMMYFUNCTION("""COMPUTED_VALUE"""),"")</f>
        <v/>
      </c>
    </row>
    <row r="121">
      <c r="A121" s="45"/>
      <c r="B121" s="23"/>
      <c r="C121" s="23"/>
      <c r="D121" s="23"/>
      <c r="E121" s="23"/>
      <c r="F121" s="23"/>
      <c r="G121" s="28" t="str">
        <f>IFERROR(__xludf.DUMMYFUNCTION("""COMPUTED_VALUE"""),"")</f>
        <v/>
      </c>
      <c r="H121" s="23" t="str">
        <f>IFERROR(__xludf.DUMMYFUNCTION("""COMPUTED_VALUE"""),"")</f>
        <v/>
      </c>
    </row>
    <row r="122">
      <c r="A122" s="45"/>
      <c r="B122" s="23"/>
      <c r="C122" s="23"/>
      <c r="D122" s="23"/>
      <c r="E122" s="23"/>
      <c r="F122" s="23"/>
      <c r="G122" s="28" t="str">
        <f>IFERROR(__xludf.DUMMYFUNCTION("""COMPUTED_VALUE"""),"")</f>
        <v/>
      </c>
      <c r="H122" s="23" t="str">
        <f>IFERROR(__xludf.DUMMYFUNCTION("""COMPUTED_VALUE"""),"")</f>
        <v/>
      </c>
    </row>
    <row r="123">
      <c r="A123" s="45"/>
      <c r="B123" s="23"/>
      <c r="C123" s="23"/>
      <c r="D123" s="23"/>
      <c r="E123" s="23"/>
      <c r="F123" s="23"/>
      <c r="G123" s="28" t="str">
        <f>IFERROR(__xludf.DUMMYFUNCTION("""COMPUTED_VALUE"""),"")</f>
        <v/>
      </c>
      <c r="H123" s="23" t="str">
        <f>IFERROR(__xludf.DUMMYFUNCTION("""COMPUTED_VALUE"""),"")</f>
        <v/>
      </c>
    </row>
    <row r="124">
      <c r="A124" s="45"/>
      <c r="B124" s="23"/>
      <c r="C124" s="23"/>
      <c r="D124" s="23"/>
      <c r="E124" s="23"/>
      <c r="F124" s="23"/>
      <c r="G124" s="28" t="str">
        <f>IFERROR(__xludf.DUMMYFUNCTION("""COMPUTED_VALUE"""),"")</f>
        <v/>
      </c>
      <c r="H124" s="23" t="str">
        <f>IFERROR(__xludf.DUMMYFUNCTION("""COMPUTED_VALUE"""),"")</f>
        <v/>
      </c>
    </row>
    <row r="125">
      <c r="A125" s="45"/>
      <c r="B125" s="23"/>
      <c r="C125" s="23"/>
      <c r="D125" s="23"/>
      <c r="E125" s="23"/>
      <c r="F125" s="23"/>
      <c r="G125" s="28" t="str">
        <f>IFERROR(__xludf.DUMMYFUNCTION("""COMPUTED_VALUE"""),"")</f>
        <v/>
      </c>
      <c r="H125" s="23" t="str">
        <f>IFERROR(__xludf.DUMMYFUNCTION("""COMPUTED_VALUE"""),"")</f>
        <v/>
      </c>
    </row>
    <row r="126">
      <c r="A126" s="45"/>
      <c r="B126" s="23"/>
      <c r="C126" s="23"/>
      <c r="D126" s="23"/>
      <c r="E126" s="23"/>
      <c r="F126" s="23"/>
      <c r="G126" s="28" t="str">
        <f>IFERROR(__xludf.DUMMYFUNCTION("""COMPUTED_VALUE"""),"")</f>
        <v/>
      </c>
      <c r="H126" s="23" t="str">
        <f>IFERROR(__xludf.DUMMYFUNCTION("""COMPUTED_VALUE"""),"")</f>
        <v/>
      </c>
    </row>
    <row r="127">
      <c r="A127" s="45"/>
      <c r="B127" s="23"/>
      <c r="C127" s="23"/>
      <c r="D127" s="23"/>
      <c r="E127" s="23"/>
      <c r="F127" s="23"/>
      <c r="G127" s="28" t="str">
        <f>IFERROR(__xludf.DUMMYFUNCTION("""COMPUTED_VALUE"""),"")</f>
        <v/>
      </c>
      <c r="H127" s="23" t="str">
        <f>IFERROR(__xludf.DUMMYFUNCTION("""COMPUTED_VALUE"""),"")</f>
        <v/>
      </c>
    </row>
    <row r="128">
      <c r="A128" s="45"/>
      <c r="B128" s="23"/>
      <c r="C128" s="23"/>
      <c r="D128" s="23"/>
      <c r="E128" s="23"/>
      <c r="F128" s="23"/>
      <c r="G128" s="28" t="str">
        <f>IFERROR(__xludf.DUMMYFUNCTION("""COMPUTED_VALUE"""),"")</f>
        <v/>
      </c>
      <c r="H128" s="23" t="str">
        <f>IFERROR(__xludf.DUMMYFUNCTION("""COMPUTED_VALUE"""),"")</f>
        <v/>
      </c>
    </row>
    <row r="129">
      <c r="A129" s="45"/>
      <c r="B129" s="23"/>
      <c r="C129" s="23"/>
      <c r="D129" s="23"/>
      <c r="E129" s="23"/>
      <c r="F129" s="23"/>
      <c r="G129" s="28" t="str">
        <f>IFERROR(__xludf.DUMMYFUNCTION("""COMPUTED_VALUE"""),"")</f>
        <v/>
      </c>
      <c r="H129" s="23" t="str">
        <f>IFERROR(__xludf.DUMMYFUNCTION("""COMPUTED_VALUE"""),"")</f>
        <v/>
      </c>
    </row>
    <row r="130">
      <c r="A130" s="45"/>
      <c r="B130" s="23"/>
      <c r="C130" s="23"/>
      <c r="D130" s="23"/>
      <c r="E130" s="23"/>
      <c r="F130" s="23"/>
      <c r="G130" s="28" t="str">
        <f>IFERROR(__xludf.DUMMYFUNCTION("""COMPUTED_VALUE"""),"")</f>
        <v/>
      </c>
      <c r="H130" s="23" t="str">
        <f>IFERROR(__xludf.DUMMYFUNCTION("""COMPUTED_VALUE"""),"")</f>
        <v/>
      </c>
    </row>
    <row r="131">
      <c r="A131" s="45"/>
      <c r="B131" s="23"/>
      <c r="C131" s="23"/>
      <c r="D131" s="23"/>
      <c r="E131" s="23"/>
      <c r="F131" s="23"/>
      <c r="G131" s="28" t="str">
        <f>IFERROR(__xludf.DUMMYFUNCTION("""COMPUTED_VALUE"""),"")</f>
        <v/>
      </c>
      <c r="H131" s="23" t="str">
        <f>IFERROR(__xludf.DUMMYFUNCTION("""COMPUTED_VALUE"""),"")</f>
        <v/>
      </c>
    </row>
    <row r="132">
      <c r="A132" s="45"/>
      <c r="B132" s="23"/>
      <c r="C132" s="23"/>
      <c r="D132" s="23"/>
      <c r="E132" s="23"/>
      <c r="F132" s="23"/>
      <c r="G132" s="28" t="str">
        <f>IFERROR(__xludf.DUMMYFUNCTION("""COMPUTED_VALUE"""),"")</f>
        <v/>
      </c>
      <c r="H132" s="23" t="str">
        <f>IFERROR(__xludf.DUMMYFUNCTION("""COMPUTED_VALUE"""),"")</f>
        <v/>
      </c>
    </row>
    <row r="133">
      <c r="A133" s="45"/>
      <c r="B133" s="23"/>
      <c r="C133" s="23"/>
      <c r="D133" s="23"/>
      <c r="E133" s="23"/>
      <c r="F133" s="23"/>
      <c r="G133" s="28" t="str">
        <f>IFERROR(__xludf.DUMMYFUNCTION("""COMPUTED_VALUE"""),"")</f>
        <v/>
      </c>
      <c r="H133" s="23" t="str">
        <f>IFERROR(__xludf.DUMMYFUNCTION("""COMPUTED_VALUE"""),"")</f>
        <v/>
      </c>
    </row>
    <row r="134">
      <c r="A134" s="45"/>
      <c r="B134" s="23"/>
      <c r="C134" s="23"/>
      <c r="D134" s="23"/>
      <c r="E134" s="23"/>
      <c r="F134" s="23"/>
      <c r="G134" s="28" t="str">
        <f>IFERROR(__xludf.DUMMYFUNCTION("""COMPUTED_VALUE"""),"")</f>
        <v/>
      </c>
      <c r="H134" s="23" t="str">
        <f>IFERROR(__xludf.DUMMYFUNCTION("""COMPUTED_VALUE"""),"")</f>
        <v/>
      </c>
    </row>
    <row r="135">
      <c r="A135" s="45"/>
      <c r="B135" s="23"/>
      <c r="C135" s="23"/>
      <c r="D135" s="23"/>
      <c r="E135" s="23"/>
      <c r="F135" s="23"/>
      <c r="G135" s="28" t="str">
        <f>IFERROR(__xludf.DUMMYFUNCTION("""COMPUTED_VALUE"""),"")</f>
        <v/>
      </c>
      <c r="H135" s="23" t="str">
        <f>IFERROR(__xludf.DUMMYFUNCTION("""COMPUTED_VALUE"""),"")</f>
        <v/>
      </c>
    </row>
    <row r="136">
      <c r="A136" s="45"/>
      <c r="B136" s="23"/>
      <c r="C136" s="23"/>
      <c r="D136" s="23"/>
      <c r="E136" s="23"/>
      <c r="F136" s="23"/>
      <c r="G136" s="28" t="str">
        <f>IFERROR(__xludf.DUMMYFUNCTION("""COMPUTED_VALUE"""),"")</f>
        <v/>
      </c>
      <c r="H136" s="23" t="str">
        <f>IFERROR(__xludf.DUMMYFUNCTION("""COMPUTED_VALUE"""),"")</f>
        <v/>
      </c>
    </row>
    <row r="137">
      <c r="A137" s="45"/>
      <c r="B137" s="23"/>
      <c r="C137" s="23"/>
      <c r="D137" s="23"/>
      <c r="E137" s="23"/>
      <c r="F137" s="23"/>
      <c r="G137" s="28" t="str">
        <f>IFERROR(__xludf.DUMMYFUNCTION("""COMPUTED_VALUE"""),"")</f>
        <v/>
      </c>
      <c r="H137" s="23" t="str">
        <f>IFERROR(__xludf.DUMMYFUNCTION("""COMPUTED_VALUE"""),"")</f>
        <v/>
      </c>
    </row>
    <row r="138">
      <c r="A138" s="45"/>
      <c r="B138" s="23"/>
      <c r="C138" s="23"/>
      <c r="D138" s="23"/>
      <c r="E138" s="23"/>
      <c r="F138" s="23"/>
      <c r="G138" s="28" t="str">
        <f>IFERROR(__xludf.DUMMYFUNCTION("""COMPUTED_VALUE"""),"")</f>
        <v/>
      </c>
      <c r="H138" s="23" t="str">
        <f>IFERROR(__xludf.DUMMYFUNCTION("""COMPUTED_VALUE"""),"")</f>
        <v/>
      </c>
    </row>
    <row r="139">
      <c r="A139" s="45"/>
      <c r="B139" s="23"/>
      <c r="C139" s="23"/>
      <c r="D139" s="23"/>
      <c r="E139" s="23"/>
      <c r="F139" s="23"/>
      <c r="G139" s="28" t="str">
        <f>IFERROR(__xludf.DUMMYFUNCTION("""COMPUTED_VALUE"""),"")</f>
        <v/>
      </c>
      <c r="H139" s="23" t="str">
        <f>IFERROR(__xludf.DUMMYFUNCTION("""COMPUTED_VALUE"""),"")</f>
        <v/>
      </c>
    </row>
    <row r="140">
      <c r="A140" s="45"/>
      <c r="B140" s="23"/>
      <c r="C140" s="23"/>
      <c r="D140" s="23"/>
      <c r="E140" s="23"/>
      <c r="F140" s="23"/>
      <c r="G140" s="28" t="str">
        <f>IFERROR(__xludf.DUMMYFUNCTION("""COMPUTED_VALUE"""),"")</f>
        <v/>
      </c>
      <c r="H140" s="23" t="str">
        <f>IFERROR(__xludf.DUMMYFUNCTION("""COMPUTED_VALUE"""),"")</f>
        <v/>
      </c>
    </row>
    <row r="141">
      <c r="A141" s="45"/>
      <c r="B141" s="23"/>
      <c r="C141" s="23"/>
      <c r="D141" s="23"/>
      <c r="E141" s="23"/>
      <c r="F141" s="23"/>
      <c r="G141" s="28" t="str">
        <f>IFERROR(__xludf.DUMMYFUNCTION("""COMPUTED_VALUE"""),"")</f>
        <v/>
      </c>
      <c r="H141" s="23" t="str">
        <f>IFERROR(__xludf.DUMMYFUNCTION("""COMPUTED_VALUE"""),"")</f>
        <v/>
      </c>
    </row>
    <row r="142">
      <c r="A142" s="45"/>
      <c r="B142" s="23"/>
      <c r="C142" s="23"/>
      <c r="D142" s="23"/>
      <c r="E142" s="23"/>
      <c r="F142" s="23"/>
      <c r="G142" s="28" t="str">
        <f>IFERROR(__xludf.DUMMYFUNCTION("""COMPUTED_VALUE"""),"")</f>
        <v/>
      </c>
      <c r="H142" s="23" t="str">
        <f>IFERROR(__xludf.DUMMYFUNCTION("""COMPUTED_VALUE"""),"")</f>
        <v/>
      </c>
    </row>
    <row r="143">
      <c r="A143" s="45"/>
      <c r="B143" s="23"/>
      <c r="C143" s="23"/>
      <c r="D143" s="23"/>
      <c r="E143" s="23"/>
      <c r="F143" s="23"/>
      <c r="G143" s="28" t="str">
        <f>IFERROR(__xludf.DUMMYFUNCTION("""COMPUTED_VALUE"""),"")</f>
        <v/>
      </c>
      <c r="H143" s="23" t="str">
        <f>IFERROR(__xludf.DUMMYFUNCTION("""COMPUTED_VALUE"""),"")</f>
        <v/>
      </c>
    </row>
    <row r="144">
      <c r="A144" s="45"/>
      <c r="B144" s="23"/>
      <c r="C144" s="23"/>
      <c r="D144" s="23"/>
      <c r="E144" s="23"/>
      <c r="F144" s="23"/>
      <c r="G144" s="28" t="str">
        <f>IFERROR(__xludf.DUMMYFUNCTION("""COMPUTED_VALUE"""),"")</f>
        <v/>
      </c>
      <c r="H144" s="23" t="str">
        <f>IFERROR(__xludf.DUMMYFUNCTION("""COMPUTED_VALUE"""),"")</f>
        <v/>
      </c>
    </row>
    <row r="145">
      <c r="A145" s="45"/>
      <c r="B145" s="23"/>
      <c r="C145" s="23"/>
      <c r="D145" s="23"/>
      <c r="E145" s="23"/>
      <c r="F145" s="23"/>
      <c r="G145" s="28" t="str">
        <f>IFERROR(__xludf.DUMMYFUNCTION("""COMPUTED_VALUE"""),"")</f>
        <v/>
      </c>
      <c r="H145" s="23" t="str">
        <f>IFERROR(__xludf.DUMMYFUNCTION("""COMPUTED_VALUE"""),"")</f>
        <v/>
      </c>
    </row>
    <row r="146">
      <c r="A146" s="45"/>
      <c r="B146" s="23"/>
      <c r="C146" s="23"/>
      <c r="D146" s="23"/>
      <c r="E146" s="23"/>
      <c r="F146" s="23"/>
      <c r="G146" s="28" t="str">
        <f>IFERROR(__xludf.DUMMYFUNCTION("""COMPUTED_VALUE"""),"")</f>
        <v/>
      </c>
      <c r="H146" s="23" t="str">
        <f>IFERROR(__xludf.DUMMYFUNCTION("""COMPUTED_VALUE"""),"")</f>
        <v/>
      </c>
    </row>
    <row r="147">
      <c r="A147" s="45"/>
      <c r="B147" s="23"/>
      <c r="C147" s="23"/>
      <c r="D147" s="23"/>
      <c r="E147" s="23"/>
      <c r="F147" s="23"/>
      <c r="G147" s="28" t="str">
        <f>IFERROR(__xludf.DUMMYFUNCTION("""COMPUTED_VALUE"""),"")</f>
        <v/>
      </c>
      <c r="H147" s="23" t="str">
        <f>IFERROR(__xludf.DUMMYFUNCTION("""COMPUTED_VALUE"""),"")</f>
        <v/>
      </c>
    </row>
    <row r="148">
      <c r="A148" s="45"/>
      <c r="B148" s="23"/>
      <c r="C148" s="23"/>
      <c r="D148" s="23"/>
      <c r="E148" s="23"/>
      <c r="F148" s="23"/>
      <c r="G148" s="28" t="str">
        <f>IFERROR(__xludf.DUMMYFUNCTION("""COMPUTED_VALUE"""),"")</f>
        <v/>
      </c>
      <c r="H148" s="23" t="str">
        <f>IFERROR(__xludf.DUMMYFUNCTION("""COMPUTED_VALUE"""),"")</f>
        <v/>
      </c>
    </row>
    <row r="149">
      <c r="A149" s="45"/>
      <c r="B149" s="23"/>
      <c r="C149" s="23"/>
      <c r="D149" s="23"/>
      <c r="E149" s="23"/>
      <c r="F149" s="23"/>
      <c r="G149" s="28" t="str">
        <f>IFERROR(__xludf.DUMMYFUNCTION("""COMPUTED_VALUE"""),"")</f>
        <v/>
      </c>
      <c r="H149" s="23" t="str">
        <f>IFERROR(__xludf.DUMMYFUNCTION("""COMPUTED_VALUE"""),"")</f>
        <v/>
      </c>
    </row>
    <row r="150">
      <c r="A150" s="45"/>
      <c r="B150" s="23"/>
      <c r="C150" s="23"/>
      <c r="D150" s="23"/>
      <c r="E150" s="23"/>
      <c r="F150" s="23"/>
      <c r="G150" s="28" t="str">
        <f>IFERROR(__xludf.DUMMYFUNCTION("""COMPUTED_VALUE"""),"")</f>
        <v/>
      </c>
      <c r="H150" s="23" t="str">
        <f>IFERROR(__xludf.DUMMYFUNCTION("""COMPUTED_VALUE"""),"")</f>
        <v/>
      </c>
    </row>
    <row r="151">
      <c r="A151" s="45"/>
      <c r="B151" s="23"/>
      <c r="C151" s="23"/>
      <c r="D151" s="23"/>
      <c r="E151" s="23"/>
      <c r="F151" s="23"/>
      <c r="G151" s="28" t="str">
        <f>IFERROR(__xludf.DUMMYFUNCTION("""COMPUTED_VALUE"""),"")</f>
        <v/>
      </c>
      <c r="H151" s="23" t="str">
        <f>IFERROR(__xludf.DUMMYFUNCTION("""COMPUTED_VALUE"""),"")</f>
        <v/>
      </c>
    </row>
    <row r="152">
      <c r="A152" s="45"/>
      <c r="B152" s="23"/>
      <c r="C152" s="23"/>
      <c r="D152" s="23"/>
      <c r="E152" s="23"/>
      <c r="F152" s="23"/>
      <c r="G152" s="28" t="str">
        <f>IFERROR(__xludf.DUMMYFUNCTION("""COMPUTED_VALUE"""),"")</f>
        <v/>
      </c>
      <c r="H152" s="23" t="str">
        <f>IFERROR(__xludf.DUMMYFUNCTION("""COMPUTED_VALUE"""),"")</f>
        <v/>
      </c>
    </row>
    <row r="153">
      <c r="A153" s="45"/>
      <c r="B153" s="23"/>
      <c r="C153" s="23"/>
      <c r="D153" s="23"/>
      <c r="E153" s="23"/>
      <c r="F153" s="23"/>
      <c r="G153" s="28" t="str">
        <f>IFERROR(__xludf.DUMMYFUNCTION("""COMPUTED_VALUE"""),"")</f>
        <v/>
      </c>
      <c r="H153" s="23" t="str">
        <f>IFERROR(__xludf.DUMMYFUNCTION("""COMPUTED_VALUE"""),"")</f>
        <v/>
      </c>
    </row>
    <row r="154">
      <c r="A154" s="45"/>
      <c r="B154" s="23"/>
      <c r="C154" s="23"/>
      <c r="D154" s="23"/>
      <c r="E154" s="23"/>
      <c r="F154" s="23"/>
      <c r="G154" s="28" t="str">
        <f>IFERROR(__xludf.DUMMYFUNCTION("""COMPUTED_VALUE"""),"")</f>
        <v/>
      </c>
      <c r="H154" s="23" t="str">
        <f>IFERROR(__xludf.DUMMYFUNCTION("""COMPUTED_VALUE"""),"")</f>
        <v/>
      </c>
    </row>
    <row r="155">
      <c r="A155" s="45"/>
      <c r="B155" s="23"/>
      <c r="C155" s="23"/>
      <c r="D155" s="23"/>
      <c r="E155" s="23"/>
      <c r="F155" s="23"/>
      <c r="G155" s="28" t="str">
        <f>IFERROR(__xludf.DUMMYFUNCTION("""COMPUTED_VALUE"""),"")</f>
        <v/>
      </c>
      <c r="H155" s="23" t="str">
        <f>IFERROR(__xludf.DUMMYFUNCTION("""COMPUTED_VALUE"""),"")</f>
        <v/>
      </c>
    </row>
    <row r="156">
      <c r="A156" s="45"/>
      <c r="B156" s="23"/>
      <c r="C156" s="23"/>
      <c r="D156" s="23"/>
      <c r="E156" s="23"/>
      <c r="F156" s="23"/>
      <c r="G156" s="28" t="str">
        <f>IFERROR(__xludf.DUMMYFUNCTION("""COMPUTED_VALUE"""),"")</f>
        <v/>
      </c>
      <c r="H156" s="23" t="str">
        <f>IFERROR(__xludf.DUMMYFUNCTION("""COMPUTED_VALUE"""),"")</f>
        <v/>
      </c>
    </row>
    <row r="157">
      <c r="A157" s="45"/>
      <c r="B157" s="23"/>
      <c r="C157" s="23"/>
      <c r="D157" s="23"/>
      <c r="E157" s="23"/>
      <c r="F157" s="23"/>
      <c r="G157" s="28" t="str">
        <f>IFERROR(__xludf.DUMMYFUNCTION("""COMPUTED_VALUE"""),"")</f>
        <v/>
      </c>
      <c r="H157" s="23" t="str">
        <f>IFERROR(__xludf.DUMMYFUNCTION("""COMPUTED_VALUE"""),"")</f>
        <v/>
      </c>
    </row>
    <row r="158">
      <c r="A158" s="45"/>
      <c r="B158" s="23"/>
      <c r="C158" s="23"/>
      <c r="D158" s="23"/>
      <c r="E158" s="23"/>
      <c r="F158" s="23"/>
      <c r="G158" s="28" t="str">
        <f>IFERROR(__xludf.DUMMYFUNCTION("""COMPUTED_VALUE"""),"")</f>
        <v/>
      </c>
      <c r="H158" s="23" t="str">
        <f>IFERROR(__xludf.DUMMYFUNCTION("""COMPUTED_VALUE"""),"")</f>
        <v/>
      </c>
    </row>
    <row r="159">
      <c r="A159" s="45"/>
      <c r="B159" s="23"/>
      <c r="C159" s="23"/>
      <c r="D159" s="23"/>
      <c r="E159" s="23"/>
      <c r="F159" s="23"/>
      <c r="G159" s="28" t="str">
        <f>IFERROR(__xludf.DUMMYFUNCTION("""COMPUTED_VALUE"""),"")</f>
        <v/>
      </c>
      <c r="H159" s="23" t="str">
        <f>IFERROR(__xludf.DUMMYFUNCTION("""COMPUTED_VALUE"""),"")</f>
        <v/>
      </c>
    </row>
    <row r="160">
      <c r="A160" s="45"/>
      <c r="B160" s="23"/>
      <c r="C160" s="23"/>
      <c r="D160" s="23"/>
      <c r="E160" s="23"/>
      <c r="F160" s="23"/>
      <c r="G160" s="28" t="str">
        <f>IFERROR(__xludf.DUMMYFUNCTION("""COMPUTED_VALUE"""),"")</f>
        <v/>
      </c>
      <c r="H160" s="23" t="str">
        <f>IFERROR(__xludf.DUMMYFUNCTION("""COMPUTED_VALUE"""),"")</f>
        <v/>
      </c>
    </row>
    <row r="161">
      <c r="A161" s="45"/>
      <c r="B161" s="23"/>
      <c r="C161" s="23"/>
      <c r="D161" s="23"/>
      <c r="E161" s="23"/>
      <c r="F161" s="23"/>
      <c r="G161" s="28" t="str">
        <f>IFERROR(__xludf.DUMMYFUNCTION("""COMPUTED_VALUE"""),"")</f>
        <v/>
      </c>
      <c r="H161" s="23" t="str">
        <f>IFERROR(__xludf.DUMMYFUNCTION("""COMPUTED_VALUE"""),"")</f>
        <v/>
      </c>
    </row>
    <row r="162">
      <c r="A162" s="45"/>
      <c r="B162" s="23"/>
      <c r="C162" s="23"/>
      <c r="D162" s="23"/>
      <c r="E162" s="23"/>
      <c r="F162" s="23"/>
      <c r="G162" s="28" t="str">
        <f>IFERROR(__xludf.DUMMYFUNCTION("""COMPUTED_VALUE"""),"")</f>
        <v/>
      </c>
      <c r="H162" s="23" t="str">
        <f>IFERROR(__xludf.DUMMYFUNCTION("""COMPUTED_VALUE"""),"")</f>
        <v/>
      </c>
    </row>
    <row r="163">
      <c r="A163" s="45"/>
      <c r="B163" s="23"/>
      <c r="C163" s="23"/>
      <c r="D163" s="23"/>
      <c r="E163" s="23"/>
      <c r="F163" s="23"/>
      <c r="G163" s="28" t="str">
        <f>IFERROR(__xludf.DUMMYFUNCTION("""COMPUTED_VALUE"""),"")</f>
        <v/>
      </c>
      <c r="H163" s="23" t="str">
        <f>IFERROR(__xludf.DUMMYFUNCTION("""COMPUTED_VALUE"""),"")</f>
        <v/>
      </c>
    </row>
    <row r="164">
      <c r="A164" s="45"/>
      <c r="B164" s="23"/>
      <c r="C164" s="23"/>
      <c r="D164" s="23"/>
      <c r="E164" s="23"/>
      <c r="F164" s="23"/>
      <c r="G164" s="28" t="str">
        <f>IFERROR(__xludf.DUMMYFUNCTION("""COMPUTED_VALUE"""),"")</f>
        <v/>
      </c>
      <c r="H164" s="23" t="str">
        <f>IFERROR(__xludf.DUMMYFUNCTION("""COMPUTED_VALUE"""),"")</f>
        <v/>
      </c>
    </row>
    <row r="165">
      <c r="A165" s="45"/>
      <c r="B165" s="23"/>
      <c r="C165" s="23"/>
      <c r="D165" s="23"/>
      <c r="E165" s="23"/>
      <c r="F165" s="23"/>
      <c r="G165" s="28" t="str">
        <f>IFERROR(__xludf.DUMMYFUNCTION("""COMPUTED_VALUE"""),"")</f>
        <v/>
      </c>
      <c r="H165" s="23" t="str">
        <f>IFERROR(__xludf.DUMMYFUNCTION("""COMPUTED_VALUE"""),"")</f>
        <v/>
      </c>
    </row>
    <row r="166">
      <c r="A166" s="45"/>
      <c r="B166" s="23"/>
      <c r="C166" s="23"/>
      <c r="D166" s="23"/>
      <c r="E166" s="23"/>
      <c r="F166" s="23"/>
      <c r="G166" s="28" t="str">
        <f>IFERROR(__xludf.DUMMYFUNCTION("""COMPUTED_VALUE"""),"")</f>
        <v/>
      </c>
      <c r="H166" s="23" t="str">
        <f>IFERROR(__xludf.DUMMYFUNCTION("""COMPUTED_VALUE"""),"")</f>
        <v/>
      </c>
    </row>
    <row r="167">
      <c r="A167" s="45"/>
      <c r="B167" s="23"/>
      <c r="C167" s="23"/>
      <c r="D167" s="23"/>
      <c r="E167" s="23"/>
      <c r="F167" s="23"/>
      <c r="G167" s="28" t="str">
        <f>IFERROR(__xludf.DUMMYFUNCTION("""COMPUTED_VALUE"""),"")</f>
        <v/>
      </c>
      <c r="H167" s="23" t="str">
        <f>IFERROR(__xludf.DUMMYFUNCTION("""COMPUTED_VALUE"""),"")</f>
        <v/>
      </c>
    </row>
    <row r="168">
      <c r="A168" s="45"/>
      <c r="B168" s="23"/>
      <c r="C168" s="23"/>
      <c r="D168" s="23"/>
      <c r="E168" s="23"/>
      <c r="F168" s="23"/>
      <c r="G168" s="28" t="str">
        <f>IFERROR(__xludf.DUMMYFUNCTION("""COMPUTED_VALUE"""),"")</f>
        <v/>
      </c>
      <c r="H168" s="23" t="str">
        <f>IFERROR(__xludf.DUMMYFUNCTION("""COMPUTED_VALUE"""),"")</f>
        <v/>
      </c>
    </row>
    <row r="169">
      <c r="A169" s="45"/>
      <c r="B169" s="23"/>
      <c r="C169" s="23"/>
      <c r="D169" s="23"/>
      <c r="E169" s="23"/>
      <c r="F169" s="23"/>
      <c r="G169" s="28" t="str">
        <f>IFERROR(__xludf.DUMMYFUNCTION("""COMPUTED_VALUE"""),"")</f>
        <v/>
      </c>
      <c r="H169" s="23" t="str">
        <f>IFERROR(__xludf.DUMMYFUNCTION("""COMPUTED_VALUE"""),"")</f>
        <v/>
      </c>
    </row>
    <row r="170">
      <c r="A170" s="45"/>
      <c r="B170" s="23"/>
      <c r="C170" s="23"/>
      <c r="D170" s="23"/>
      <c r="E170" s="23"/>
      <c r="F170" s="23"/>
      <c r="G170" s="28" t="str">
        <f>IFERROR(__xludf.DUMMYFUNCTION("""COMPUTED_VALUE"""),"")</f>
        <v/>
      </c>
      <c r="H170" s="23" t="str">
        <f>IFERROR(__xludf.DUMMYFUNCTION("""COMPUTED_VALUE"""),"")</f>
        <v/>
      </c>
    </row>
    <row r="171">
      <c r="A171" s="45"/>
      <c r="B171" s="23"/>
      <c r="C171" s="23"/>
      <c r="D171" s="23"/>
      <c r="E171" s="23"/>
      <c r="F171" s="23"/>
      <c r="G171" s="28" t="str">
        <f>IFERROR(__xludf.DUMMYFUNCTION("""COMPUTED_VALUE"""),"")</f>
        <v/>
      </c>
      <c r="H171" s="23" t="str">
        <f>IFERROR(__xludf.DUMMYFUNCTION("""COMPUTED_VALUE"""),"")</f>
        <v/>
      </c>
    </row>
    <row r="172">
      <c r="A172" s="45"/>
      <c r="B172" s="23"/>
      <c r="C172" s="23"/>
      <c r="D172" s="23"/>
      <c r="E172" s="23"/>
      <c r="F172" s="23"/>
      <c r="G172" s="28" t="str">
        <f>IFERROR(__xludf.DUMMYFUNCTION("""COMPUTED_VALUE"""),"")</f>
        <v/>
      </c>
      <c r="H172" s="23" t="str">
        <f>IFERROR(__xludf.DUMMYFUNCTION("""COMPUTED_VALUE"""),"")</f>
        <v/>
      </c>
    </row>
    <row r="173">
      <c r="A173" s="45"/>
      <c r="B173" s="23"/>
      <c r="C173" s="23"/>
      <c r="D173" s="23"/>
      <c r="E173" s="23"/>
      <c r="F173" s="23"/>
      <c r="G173" s="28" t="str">
        <f>IFERROR(__xludf.DUMMYFUNCTION("""COMPUTED_VALUE"""),"")</f>
        <v/>
      </c>
      <c r="H173" s="23" t="str">
        <f>IFERROR(__xludf.DUMMYFUNCTION("""COMPUTED_VALUE"""),"")</f>
        <v/>
      </c>
    </row>
    <row r="174">
      <c r="A174" s="45"/>
      <c r="B174" s="23"/>
      <c r="C174" s="23"/>
      <c r="D174" s="23"/>
      <c r="E174" s="23"/>
      <c r="F174" s="23"/>
      <c r="G174" s="28" t="str">
        <f>IFERROR(__xludf.DUMMYFUNCTION("""COMPUTED_VALUE"""),"")</f>
        <v/>
      </c>
      <c r="H174" s="23" t="str">
        <f>IFERROR(__xludf.DUMMYFUNCTION("""COMPUTED_VALUE"""),"")</f>
        <v/>
      </c>
    </row>
    <row r="175">
      <c r="A175" s="45"/>
      <c r="B175" s="23"/>
      <c r="C175" s="23"/>
      <c r="D175" s="23"/>
      <c r="E175" s="23"/>
      <c r="F175" s="23"/>
      <c r="G175" s="28" t="str">
        <f>IFERROR(__xludf.DUMMYFUNCTION("""COMPUTED_VALUE"""),"")</f>
        <v/>
      </c>
      <c r="H175" s="23" t="str">
        <f>IFERROR(__xludf.DUMMYFUNCTION("""COMPUTED_VALUE"""),"")</f>
        <v/>
      </c>
    </row>
    <row r="176">
      <c r="A176" s="45"/>
      <c r="B176" s="23"/>
      <c r="C176" s="23"/>
      <c r="D176" s="23"/>
      <c r="E176" s="23"/>
      <c r="F176" s="23"/>
      <c r="G176" s="28" t="str">
        <f>IFERROR(__xludf.DUMMYFUNCTION("""COMPUTED_VALUE"""),"")</f>
        <v/>
      </c>
      <c r="H176" s="23" t="str">
        <f>IFERROR(__xludf.DUMMYFUNCTION("""COMPUTED_VALUE"""),"")</f>
        <v/>
      </c>
    </row>
    <row r="177">
      <c r="A177" s="45"/>
      <c r="B177" s="23"/>
      <c r="C177" s="23"/>
      <c r="D177" s="23"/>
      <c r="E177" s="23"/>
      <c r="F177" s="23"/>
      <c r="G177" s="28" t="str">
        <f>IFERROR(__xludf.DUMMYFUNCTION("""COMPUTED_VALUE"""),"")</f>
        <v/>
      </c>
      <c r="H177" s="23" t="str">
        <f>IFERROR(__xludf.DUMMYFUNCTION("""COMPUTED_VALUE"""),"")</f>
        <v/>
      </c>
    </row>
    <row r="178">
      <c r="A178" s="45"/>
      <c r="B178" s="23"/>
      <c r="C178" s="23"/>
      <c r="D178" s="23"/>
      <c r="E178" s="23"/>
      <c r="F178" s="23"/>
      <c r="G178" s="28" t="str">
        <f>IFERROR(__xludf.DUMMYFUNCTION("""COMPUTED_VALUE"""),"")</f>
        <v/>
      </c>
      <c r="H178" s="23" t="str">
        <f>IFERROR(__xludf.DUMMYFUNCTION("""COMPUTED_VALUE"""),"")</f>
        <v/>
      </c>
    </row>
    <row r="179">
      <c r="A179" s="45"/>
      <c r="B179" s="23"/>
      <c r="C179" s="23"/>
      <c r="D179" s="23"/>
      <c r="E179" s="23"/>
      <c r="F179" s="23"/>
      <c r="G179" s="28" t="str">
        <f>IFERROR(__xludf.DUMMYFUNCTION("""COMPUTED_VALUE"""),"")</f>
        <v/>
      </c>
      <c r="H179" s="23" t="str">
        <f>IFERROR(__xludf.DUMMYFUNCTION("""COMPUTED_VALUE"""),"")</f>
        <v/>
      </c>
    </row>
    <row r="180">
      <c r="A180" s="45"/>
      <c r="B180" s="23"/>
      <c r="C180" s="23"/>
      <c r="D180" s="23"/>
      <c r="E180" s="23"/>
      <c r="F180" s="23"/>
      <c r="G180" s="28" t="str">
        <f>IFERROR(__xludf.DUMMYFUNCTION("""COMPUTED_VALUE"""),"")</f>
        <v/>
      </c>
      <c r="H180" s="23" t="str">
        <f>IFERROR(__xludf.DUMMYFUNCTION("""COMPUTED_VALUE"""),"")</f>
        <v/>
      </c>
    </row>
    <row r="181">
      <c r="A181" s="45"/>
      <c r="B181" s="23"/>
      <c r="C181" s="23"/>
      <c r="D181" s="23"/>
      <c r="E181" s="23"/>
      <c r="F181" s="23"/>
      <c r="G181" s="28" t="str">
        <f>IFERROR(__xludf.DUMMYFUNCTION("""COMPUTED_VALUE"""),"")</f>
        <v/>
      </c>
      <c r="H181" s="23" t="str">
        <f>IFERROR(__xludf.DUMMYFUNCTION("""COMPUTED_VALUE"""),"")</f>
        <v/>
      </c>
    </row>
    <row r="182">
      <c r="A182" s="45"/>
      <c r="B182" s="23"/>
      <c r="C182" s="23"/>
      <c r="D182" s="23"/>
      <c r="E182" s="23"/>
      <c r="F182" s="23"/>
      <c r="G182" s="28" t="str">
        <f>IFERROR(__xludf.DUMMYFUNCTION("""COMPUTED_VALUE"""),"")</f>
        <v/>
      </c>
      <c r="H182" s="23" t="str">
        <f>IFERROR(__xludf.DUMMYFUNCTION("""COMPUTED_VALUE"""),"")</f>
        <v/>
      </c>
    </row>
    <row r="183">
      <c r="A183" s="45"/>
      <c r="B183" s="23"/>
      <c r="C183" s="23"/>
      <c r="D183" s="23"/>
      <c r="E183" s="23"/>
      <c r="F183" s="23"/>
      <c r="G183" s="28" t="str">
        <f>IFERROR(__xludf.DUMMYFUNCTION("""COMPUTED_VALUE"""),"")</f>
        <v/>
      </c>
      <c r="H183" s="23" t="str">
        <f>IFERROR(__xludf.DUMMYFUNCTION("""COMPUTED_VALUE"""),"")</f>
        <v/>
      </c>
    </row>
    <row r="184">
      <c r="A184" s="45"/>
      <c r="B184" s="23"/>
      <c r="C184" s="23"/>
      <c r="D184" s="23"/>
      <c r="E184" s="23"/>
      <c r="F184" s="23"/>
      <c r="G184" s="28" t="str">
        <f>IFERROR(__xludf.DUMMYFUNCTION("""COMPUTED_VALUE"""),"")</f>
        <v/>
      </c>
      <c r="H184" s="23" t="str">
        <f>IFERROR(__xludf.DUMMYFUNCTION("""COMPUTED_VALUE"""),"")</f>
        <v/>
      </c>
    </row>
    <row r="185">
      <c r="A185" s="45"/>
      <c r="B185" s="23"/>
      <c r="C185" s="23"/>
      <c r="D185" s="23"/>
      <c r="E185" s="23"/>
      <c r="F185" s="23"/>
      <c r="G185" s="28" t="str">
        <f>IFERROR(__xludf.DUMMYFUNCTION("""COMPUTED_VALUE"""),"")</f>
        <v/>
      </c>
      <c r="H185" s="23" t="str">
        <f>IFERROR(__xludf.DUMMYFUNCTION("""COMPUTED_VALUE"""),"")</f>
        <v/>
      </c>
    </row>
    <row r="186">
      <c r="A186" s="45"/>
      <c r="B186" s="23"/>
      <c r="C186" s="23"/>
      <c r="D186" s="23"/>
      <c r="E186" s="23"/>
      <c r="F186" s="23"/>
      <c r="G186" s="28" t="str">
        <f>IFERROR(__xludf.DUMMYFUNCTION("""COMPUTED_VALUE"""),"")</f>
        <v/>
      </c>
      <c r="H186" s="23" t="str">
        <f>IFERROR(__xludf.DUMMYFUNCTION("""COMPUTED_VALUE"""),"")</f>
        <v/>
      </c>
    </row>
    <row r="187">
      <c r="A187" s="45"/>
      <c r="B187" s="23"/>
      <c r="C187" s="23"/>
      <c r="D187" s="23"/>
      <c r="E187" s="23"/>
      <c r="F187" s="23"/>
      <c r="G187" s="28" t="str">
        <f>IFERROR(__xludf.DUMMYFUNCTION("""COMPUTED_VALUE"""),"")</f>
        <v/>
      </c>
      <c r="H187" s="23" t="str">
        <f>IFERROR(__xludf.DUMMYFUNCTION("""COMPUTED_VALUE"""),"")</f>
        <v/>
      </c>
    </row>
    <row r="188">
      <c r="A188" s="45"/>
      <c r="B188" s="23"/>
      <c r="C188" s="23"/>
      <c r="D188" s="23"/>
      <c r="E188" s="23"/>
      <c r="F188" s="23"/>
      <c r="G188" s="28" t="str">
        <f>IFERROR(__xludf.DUMMYFUNCTION("""COMPUTED_VALUE"""),"")</f>
        <v/>
      </c>
      <c r="H188" s="23" t="str">
        <f>IFERROR(__xludf.DUMMYFUNCTION("""COMPUTED_VALUE"""),"")</f>
        <v/>
      </c>
    </row>
    <row r="189">
      <c r="A189" s="45"/>
      <c r="B189" s="23"/>
      <c r="C189" s="23"/>
      <c r="D189" s="23"/>
      <c r="E189" s="23"/>
      <c r="F189" s="23"/>
      <c r="G189" s="28" t="str">
        <f>IFERROR(__xludf.DUMMYFUNCTION("""COMPUTED_VALUE"""),"")</f>
        <v/>
      </c>
      <c r="H189" s="23" t="str">
        <f>IFERROR(__xludf.DUMMYFUNCTION("""COMPUTED_VALUE"""),"")</f>
        <v/>
      </c>
    </row>
    <row r="190">
      <c r="A190" s="45"/>
      <c r="B190" s="23"/>
      <c r="C190" s="23"/>
      <c r="D190" s="23"/>
      <c r="E190" s="23"/>
      <c r="F190" s="23"/>
      <c r="G190" s="28" t="str">
        <f>IFERROR(__xludf.DUMMYFUNCTION("""COMPUTED_VALUE"""),"")</f>
        <v/>
      </c>
      <c r="H190" s="23" t="str">
        <f>IFERROR(__xludf.DUMMYFUNCTION("""COMPUTED_VALUE"""),"")</f>
        <v/>
      </c>
    </row>
    <row r="191">
      <c r="A191" s="45"/>
      <c r="B191" s="23"/>
      <c r="C191" s="23"/>
      <c r="D191" s="23"/>
      <c r="E191" s="23"/>
      <c r="F191" s="23"/>
      <c r="G191" s="28" t="str">
        <f>IFERROR(__xludf.DUMMYFUNCTION("""COMPUTED_VALUE"""),"")</f>
        <v/>
      </c>
      <c r="H191" s="23" t="str">
        <f>IFERROR(__xludf.DUMMYFUNCTION("""COMPUTED_VALUE"""),"")</f>
        <v/>
      </c>
    </row>
    <row r="192">
      <c r="A192" s="45"/>
      <c r="B192" s="23"/>
      <c r="C192" s="23"/>
      <c r="D192" s="23"/>
      <c r="E192" s="23"/>
      <c r="F192" s="23"/>
      <c r="G192" s="28" t="str">
        <f>IFERROR(__xludf.DUMMYFUNCTION("""COMPUTED_VALUE"""),"")</f>
        <v/>
      </c>
      <c r="H192" s="23" t="str">
        <f>IFERROR(__xludf.DUMMYFUNCTION("""COMPUTED_VALUE"""),"")</f>
        <v/>
      </c>
    </row>
    <row r="193">
      <c r="A193" s="45"/>
      <c r="B193" s="23"/>
      <c r="C193" s="23"/>
      <c r="D193" s="23"/>
      <c r="E193" s="23"/>
      <c r="F193" s="23"/>
      <c r="G193" s="28" t="str">
        <f>IFERROR(__xludf.DUMMYFUNCTION("""COMPUTED_VALUE"""),"")</f>
        <v/>
      </c>
      <c r="H193" s="23" t="str">
        <f>IFERROR(__xludf.DUMMYFUNCTION("""COMPUTED_VALUE"""),"")</f>
        <v/>
      </c>
    </row>
    <row r="194">
      <c r="A194" s="45"/>
      <c r="B194" s="23"/>
      <c r="C194" s="23"/>
      <c r="D194" s="23"/>
      <c r="E194" s="23"/>
      <c r="F194" s="23"/>
      <c r="G194" s="28" t="str">
        <f>IFERROR(__xludf.DUMMYFUNCTION("""COMPUTED_VALUE"""),"")</f>
        <v/>
      </c>
      <c r="H194" s="23" t="str">
        <f>IFERROR(__xludf.DUMMYFUNCTION("""COMPUTED_VALUE"""),"")</f>
        <v/>
      </c>
    </row>
    <row r="195">
      <c r="A195" s="45"/>
      <c r="B195" s="23"/>
      <c r="C195" s="23"/>
      <c r="D195" s="23"/>
      <c r="E195" s="23"/>
      <c r="F195" s="23"/>
      <c r="G195" s="28" t="str">
        <f>IFERROR(__xludf.DUMMYFUNCTION("""COMPUTED_VALUE"""),"")</f>
        <v/>
      </c>
      <c r="H195" s="23" t="str">
        <f>IFERROR(__xludf.DUMMYFUNCTION("""COMPUTED_VALUE"""),"")</f>
        <v/>
      </c>
    </row>
    <row r="196">
      <c r="A196" s="45"/>
      <c r="B196" s="23"/>
      <c r="C196" s="23"/>
      <c r="D196" s="23"/>
      <c r="E196" s="23"/>
      <c r="F196" s="23"/>
      <c r="G196" s="28" t="str">
        <f>IFERROR(__xludf.DUMMYFUNCTION("""COMPUTED_VALUE"""),"")</f>
        <v/>
      </c>
      <c r="H196" s="23" t="str">
        <f>IFERROR(__xludf.DUMMYFUNCTION("""COMPUTED_VALUE"""),"")</f>
        <v/>
      </c>
    </row>
    <row r="197">
      <c r="A197" s="45"/>
      <c r="B197" s="23"/>
      <c r="C197" s="23"/>
      <c r="D197" s="23"/>
      <c r="E197" s="23"/>
      <c r="F197" s="23"/>
      <c r="G197" s="28" t="str">
        <f>IFERROR(__xludf.DUMMYFUNCTION("""COMPUTED_VALUE"""),"")</f>
        <v/>
      </c>
      <c r="H197" s="23" t="str">
        <f>IFERROR(__xludf.DUMMYFUNCTION("""COMPUTED_VALUE"""),"")</f>
        <v/>
      </c>
    </row>
    <row r="198">
      <c r="A198" s="45"/>
      <c r="B198" s="23"/>
      <c r="C198" s="23"/>
      <c r="D198" s="23"/>
      <c r="E198" s="23"/>
      <c r="F198" s="23"/>
      <c r="G198" s="28" t="str">
        <f>IFERROR(__xludf.DUMMYFUNCTION("""COMPUTED_VALUE"""),"")</f>
        <v/>
      </c>
      <c r="H198" s="23" t="str">
        <f>IFERROR(__xludf.DUMMYFUNCTION("""COMPUTED_VALUE"""),"")</f>
        <v/>
      </c>
    </row>
    <row r="199">
      <c r="A199" s="45"/>
      <c r="B199" s="23"/>
      <c r="C199" s="23"/>
      <c r="D199" s="23"/>
      <c r="E199" s="23"/>
      <c r="F199" s="23"/>
      <c r="G199" s="28" t="str">
        <f>IFERROR(__xludf.DUMMYFUNCTION("""COMPUTED_VALUE"""),"")</f>
        <v/>
      </c>
      <c r="H199" s="23" t="str">
        <f>IFERROR(__xludf.DUMMYFUNCTION("""COMPUTED_VALUE"""),"")</f>
        <v/>
      </c>
    </row>
    <row r="200">
      <c r="A200" s="45"/>
      <c r="B200" s="23"/>
      <c r="C200" s="23"/>
      <c r="D200" s="23"/>
      <c r="E200" s="23"/>
      <c r="F200" s="23"/>
      <c r="G200" s="28" t="str">
        <f>IFERROR(__xludf.DUMMYFUNCTION("""COMPUTED_VALUE"""),"")</f>
        <v/>
      </c>
      <c r="H200" s="23" t="str">
        <f>IFERROR(__xludf.DUMMYFUNCTION("""COMPUTED_VALUE"""),"")</f>
        <v/>
      </c>
    </row>
    <row r="201">
      <c r="A201" s="45"/>
      <c r="B201" s="23"/>
      <c r="C201" s="23"/>
      <c r="D201" s="23"/>
      <c r="E201" s="23"/>
      <c r="F201" s="23"/>
      <c r="G201" s="28" t="str">
        <f>IFERROR(__xludf.DUMMYFUNCTION("""COMPUTED_VALUE"""),"")</f>
        <v/>
      </c>
      <c r="H201" s="23" t="str">
        <f>IFERROR(__xludf.DUMMYFUNCTION("""COMPUTED_VALUE"""),"")</f>
        <v/>
      </c>
    </row>
    <row r="202">
      <c r="A202" s="45"/>
      <c r="B202" s="23"/>
      <c r="C202" s="23"/>
      <c r="D202" s="23"/>
      <c r="E202" s="23"/>
      <c r="F202" s="23"/>
      <c r="G202" s="28" t="str">
        <f>IFERROR(__xludf.DUMMYFUNCTION("""COMPUTED_VALUE"""),"")</f>
        <v/>
      </c>
      <c r="H202" s="23" t="str">
        <f>IFERROR(__xludf.DUMMYFUNCTION("""COMPUTED_VALUE"""),"")</f>
        <v/>
      </c>
    </row>
    <row r="203">
      <c r="A203" s="45"/>
      <c r="B203" s="23"/>
      <c r="C203" s="23"/>
      <c r="D203" s="23"/>
      <c r="E203" s="23"/>
      <c r="F203" s="23"/>
      <c r="G203" s="28" t="str">
        <f>IFERROR(__xludf.DUMMYFUNCTION("""COMPUTED_VALUE"""),"")</f>
        <v/>
      </c>
      <c r="H203" s="23" t="str">
        <f>IFERROR(__xludf.DUMMYFUNCTION("""COMPUTED_VALUE"""),"")</f>
        <v/>
      </c>
    </row>
    <row r="204">
      <c r="A204" s="45"/>
      <c r="B204" s="23"/>
      <c r="C204" s="23"/>
      <c r="D204" s="23"/>
      <c r="E204" s="23"/>
      <c r="F204" s="23"/>
      <c r="G204" s="28" t="str">
        <f>IFERROR(__xludf.DUMMYFUNCTION("""COMPUTED_VALUE"""),"")</f>
        <v/>
      </c>
      <c r="H204" s="23" t="str">
        <f>IFERROR(__xludf.DUMMYFUNCTION("""COMPUTED_VALUE"""),"")</f>
        <v/>
      </c>
    </row>
    <row r="205">
      <c r="A205" s="45"/>
      <c r="B205" s="23"/>
      <c r="C205" s="23"/>
      <c r="D205" s="23"/>
      <c r="E205" s="23"/>
      <c r="F205" s="23"/>
      <c r="G205" s="28" t="str">
        <f>IFERROR(__xludf.DUMMYFUNCTION("""COMPUTED_VALUE"""),"")</f>
        <v/>
      </c>
      <c r="H205" s="23" t="str">
        <f>IFERROR(__xludf.DUMMYFUNCTION("""COMPUTED_VALUE"""),"")</f>
        <v/>
      </c>
    </row>
    <row r="206">
      <c r="A206" s="45"/>
      <c r="B206" s="23"/>
      <c r="C206" s="23"/>
      <c r="D206" s="23"/>
      <c r="E206" s="23"/>
      <c r="F206" s="23"/>
      <c r="G206" s="28" t="str">
        <f>IFERROR(__xludf.DUMMYFUNCTION("""COMPUTED_VALUE"""),"")</f>
        <v/>
      </c>
      <c r="H206" s="23" t="str">
        <f>IFERROR(__xludf.DUMMYFUNCTION("""COMPUTED_VALUE"""),"")</f>
        <v/>
      </c>
    </row>
    <row r="207">
      <c r="A207" s="45"/>
      <c r="B207" s="23"/>
      <c r="C207" s="23"/>
      <c r="D207" s="23"/>
      <c r="E207" s="23"/>
      <c r="F207" s="23"/>
      <c r="G207" s="28" t="str">
        <f>IFERROR(__xludf.DUMMYFUNCTION("""COMPUTED_VALUE"""),"")</f>
        <v/>
      </c>
      <c r="H207" s="23" t="str">
        <f>IFERROR(__xludf.DUMMYFUNCTION("""COMPUTED_VALUE"""),"")</f>
        <v/>
      </c>
    </row>
    <row r="208">
      <c r="A208" s="45"/>
      <c r="B208" s="23"/>
      <c r="C208" s="23"/>
      <c r="D208" s="23"/>
      <c r="E208" s="23"/>
      <c r="F208" s="23"/>
      <c r="G208" s="28" t="str">
        <f>IFERROR(__xludf.DUMMYFUNCTION("""COMPUTED_VALUE"""),"")</f>
        <v/>
      </c>
      <c r="H208" s="23" t="str">
        <f>IFERROR(__xludf.DUMMYFUNCTION("""COMPUTED_VALUE"""),"")</f>
        <v/>
      </c>
    </row>
    <row r="209">
      <c r="A209" s="45"/>
      <c r="B209" s="23"/>
      <c r="C209" s="23"/>
      <c r="D209" s="23"/>
      <c r="E209" s="23"/>
      <c r="F209" s="23"/>
      <c r="G209" s="28" t="str">
        <f>IFERROR(__xludf.DUMMYFUNCTION("""COMPUTED_VALUE"""),"")</f>
        <v/>
      </c>
      <c r="H209" s="23" t="str">
        <f>IFERROR(__xludf.DUMMYFUNCTION("""COMPUTED_VALUE"""),"")</f>
        <v/>
      </c>
    </row>
    <row r="210">
      <c r="A210" s="45"/>
      <c r="B210" s="23"/>
      <c r="C210" s="23"/>
      <c r="D210" s="23"/>
      <c r="E210" s="23"/>
      <c r="F210" s="23"/>
      <c r="G210" s="28" t="str">
        <f>IFERROR(__xludf.DUMMYFUNCTION("""COMPUTED_VALUE"""),"")</f>
        <v/>
      </c>
      <c r="H210" s="23" t="str">
        <f>IFERROR(__xludf.DUMMYFUNCTION("""COMPUTED_VALUE"""),"")</f>
        <v/>
      </c>
    </row>
    <row r="211">
      <c r="A211" s="45"/>
      <c r="B211" s="23"/>
      <c r="C211" s="23"/>
      <c r="D211" s="23"/>
      <c r="E211" s="23"/>
      <c r="F211" s="23"/>
      <c r="G211" s="28" t="str">
        <f>IFERROR(__xludf.DUMMYFUNCTION("""COMPUTED_VALUE"""),"")</f>
        <v/>
      </c>
      <c r="H211" s="23" t="str">
        <f>IFERROR(__xludf.DUMMYFUNCTION("""COMPUTED_VALUE"""),"")</f>
        <v/>
      </c>
    </row>
    <row r="212">
      <c r="A212" s="45"/>
      <c r="B212" s="23"/>
      <c r="C212" s="23"/>
      <c r="D212" s="23"/>
      <c r="E212" s="23"/>
      <c r="F212" s="23"/>
      <c r="G212" s="28" t="str">
        <f>IFERROR(__xludf.DUMMYFUNCTION("""COMPUTED_VALUE"""),"")</f>
        <v/>
      </c>
      <c r="H212" s="23" t="str">
        <f>IFERROR(__xludf.DUMMYFUNCTION("""COMPUTED_VALUE"""),"")</f>
        <v/>
      </c>
    </row>
    <row r="213">
      <c r="A213" s="45"/>
      <c r="B213" s="23"/>
      <c r="C213" s="23"/>
      <c r="D213" s="23"/>
      <c r="E213" s="23"/>
      <c r="F213" s="23"/>
      <c r="G213" s="28" t="str">
        <f>IFERROR(__xludf.DUMMYFUNCTION("""COMPUTED_VALUE"""),"")</f>
        <v/>
      </c>
      <c r="H213" s="23" t="str">
        <f>IFERROR(__xludf.DUMMYFUNCTION("""COMPUTED_VALUE"""),"")</f>
        <v/>
      </c>
    </row>
    <row r="214">
      <c r="A214" s="45"/>
      <c r="B214" s="23"/>
      <c r="C214" s="23"/>
      <c r="D214" s="23"/>
      <c r="E214" s="23"/>
      <c r="F214" s="23"/>
      <c r="G214" s="28" t="str">
        <f>IFERROR(__xludf.DUMMYFUNCTION("""COMPUTED_VALUE"""),"")</f>
        <v/>
      </c>
      <c r="H214" s="23" t="str">
        <f>IFERROR(__xludf.DUMMYFUNCTION("""COMPUTED_VALUE"""),"")</f>
        <v/>
      </c>
    </row>
    <row r="215">
      <c r="A215" s="45"/>
      <c r="B215" s="23"/>
      <c r="C215" s="23"/>
      <c r="D215" s="23"/>
      <c r="E215" s="23"/>
      <c r="F215" s="23"/>
      <c r="G215" s="28" t="str">
        <f>IFERROR(__xludf.DUMMYFUNCTION("""COMPUTED_VALUE"""),"")</f>
        <v/>
      </c>
      <c r="H215" s="23" t="str">
        <f>IFERROR(__xludf.DUMMYFUNCTION("""COMPUTED_VALUE"""),"")</f>
        <v/>
      </c>
    </row>
    <row r="216">
      <c r="A216" s="45"/>
      <c r="B216" s="23"/>
      <c r="C216" s="23"/>
      <c r="D216" s="23"/>
      <c r="E216" s="23"/>
      <c r="F216" s="23"/>
      <c r="G216" s="28" t="str">
        <f>IFERROR(__xludf.DUMMYFUNCTION("""COMPUTED_VALUE"""),"")</f>
        <v/>
      </c>
      <c r="H216" s="23" t="str">
        <f>IFERROR(__xludf.DUMMYFUNCTION("""COMPUTED_VALUE"""),"")</f>
        <v/>
      </c>
    </row>
    <row r="217">
      <c r="A217" s="45"/>
      <c r="B217" s="23"/>
      <c r="C217" s="23"/>
      <c r="D217" s="23"/>
      <c r="E217" s="23"/>
      <c r="F217" s="23"/>
      <c r="G217" s="28" t="str">
        <f>IFERROR(__xludf.DUMMYFUNCTION("""COMPUTED_VALUE"""),"")</f>
        <v/>
      </c>
      <c r="H217" s="23" t="str">
        <f>IFERROR(__xludf.DUMMYFUNCTION("""COMPUTED_VALUE"""),"")</f>
        <v/>
      </c>
    </row>
    <row r="218">
      <c r="A218" s="45"/>
      <c r="B218" s="23"/>
      <c r="C218" s="23"/>
      <c r="D218" s="23"/>
      <c r="E218" s="23"/>
      <c r="F218" s="23"/>
      <c r="G218" s="28" t="str">
        <f>IFERROR(__xludf.DUMMYFUNCTION("""COMPUTED_VALUE"""),"")</f>
        <v/>
      </c>
      <c r="H218" s="23" t="str">
        <f>IFERROR(__xludf.DUMMYFUNCTION("""COMPUTED_VALUE"""),"")</f>
        <v/>
      </c>
    </row>
    <row r="219">
      <c r="A219" s="45"/>
      <c r="B219" s="23"/>
      <c r="C219" s="23"/>
      <c r="D219" s="23"/>
      <c r="E219" s="23"/>
      <c r="F219" s="23"/>
      <c r="G219" s="28" t="str">
        <f>IFERROR(__xludf.DUMMYFUNCTION("""COMPUTED_VALUE"""),"")</f>
        <v/>
      </c>
      <c r="H219" s="23" t="str">
        <f>IFERROR(__xludf.DUMMYFUNCTION("""COMPUTED_VALUE"""),"")</f>
        <v/>
      </c>
    </row>
    <row r="220">
      <c r="A220" s="45"/>
      <c r="B220" s="23"/>
      <c r="C220" s="23"/>
      <c r="D220" s="23"/>
      <c r="E220" s="23"/>
      <c r="F220" s="23"/>
      <c r="G220" s="28" t="str">
        <f>IFERROR(__xludf.DUMMYFUNCTION("""COMPUTED_VALUE"""),"")</f>
        <v/>
      </c>
      <c r="H220" s="23" t="str">
        <f>IFERROR(__xludf.DUMMYFUNCTION("""COMPUTED_VALUE"""),"")</f>
        <v/>
      </c>
    </row>
    <row r="221">
      <c r="A221" s="45"/>
      <c r="B221" s="23"/>
      <c r="C221" s="23"/>
      <c r="D221" s="23"/>
      <c r="E221" s="23"/>
      <c r="F221" s="23"/>
      <c r="G221" s="28" t="str">
        <f>IFERROR(__xludf.DUMMYFUNCTION("""COMPUTED_VALUE"""),"")</f>
        <v/>
      </c>
      <c r="H221" s="23" t="str">
        <f>IFERROR(__xludf.DUMMYFUNCTION("""COMPUTED_VALUE"""),"")</f>
        <v/>
      </c>
    </row>
    <row r="222">
      <c r="A222" s="45"/>
      <c r="B222" s="23"/>
      <c r="C222" s="23"/>
      <c r="D222" s="23"/>
      <c r="E222" s="23"/>
      <c r="F222" s="23"/>
      <c r="G222" s="28" t="str">
        <f>IFERROR(__xludf.DUMMYFUNCTION("""COMPUTED_VALUE"""),"")</f>
        <v/>
      </c>
      <c r="H222" s="23" t="str">
        <f>IFERROR(__xludf.DUMMYFUNCTION("""COMPUTED_VALUE"""),"")</f>
        <v/>
      </c>
    </row>
    <row r="223">
      <c r="A223" s="45"/>
      <c r="B223" s="23"/>
      <c r="C223" s="23"/>
      <c r="D223" s="23"/>
      <c r="E223" s="23"/>
      <c r="F223" s="23"/>
      <c r="G223" s="28" t="str">
        <f>IFERROR(__xludf.DUMMYFUNCTION("""COMPUTED_VALUE"""),"")</f>
        <v/>
      </c>
      <c r="H223" s="23" t="str">
        <f>IFERROR(__xludf.DUMMYFUNCTION("""COMPUTED_VALUE"""),"")</f>
        <v/>
      </c>
    </row>
    <row r="224">
      <c r="A224" s="45"/>
      <c r="B224" s="23"/>
      <c r="C224" s="23"/>
      <c r="D224" s="23"/>
      <c r="E224" s="23"/>
      <c r="F224" s="23"/>
      <c r="G224" s="28" t="str">
        <f>IFERROR(__xludf.DUMMYFUNCTION("""COMPUTED_VALUE"""),"")</f>
        <v/>
      </c>
      <c r="H224" s="23" t="str">
        <f>IFERROR(__xludf.DUMMYFUNCTION("""COMPUTED_VALUE"""),"")</f>
        <v/>
      </c>
    </row>
    <row r="225">
      <c r="A225" s="45"/>
      <c r="B225" s="23"/>
      <c r="C225" s="23"/>
      <c r="D225" s="23"/>
      <c r="E225" s="23"/>
      <c r="F225" s="23"/>
      <c r="G225" s="28" t="str">
        <f>IFERROR(__xludf.DUMMYFUNCTION("""COMPUTED_VALUE"""),"")</f>
        <v/>
      </c>
      <c r="H225" s="23" t="str">
        <f>IFERROR(__xludf.DUMMYFUNCTION("""COMPUTED_VALUE"""),"")</f>
        <v/>
      </c>
    </row>
    <row r="226">
      <c r="A226" s="45"/>
      <c r="B226" s="23"/>
      <c r="C226" s="23"/>
      <c r="D226" s="23"/>
      <c r="E226" s="23"/>
      <c r="F226" s="23"/>
      <c r="G226" s="28" t="str">
        <f>IFERROR(__xludf.DUMMYFUNCTION("""COMPUTED_VALUE"""),"")</f>
        <v/>
      </c>
      <c r="H226" s="23" t="str">
        <f>IFERROR(__xludf.DUMMYFUNCTION("""COMPUTED_VALUE"""),"")</f>
        <v/>
      </c>
    </row>
    <row r="227">
      <c r="A227" s="45"/>
      <c r="B227" s="23"/>
      <c r="C227" s="23"/>
      <c r="D227" s="23"/>
      <c r="E227" s="23"/>
      <c r="F227" s="23"/>
      <c r="G227" s="28" t="str">
        <f>IFERROR(__xludf.DUMMYFUNCTION("""COMPUTED_VALUE"""),"")</f>
        <v/>
      </c>
      <c r="H227" s="23" t="str">
        <f>IFERROR(__xludf.DUMMYFUNCTION("""COMPUTED_VALUE"""),"")</f>
        <v/>
      </c>
    </row>
    <row r="228">
      <c r="A228" s="45"/>
      <c r="B228" s="23"/>
      <c r="C228" s="23"/>
      <c r="D228" s="23"/>
      <c r="E228" s="23"/>
      <c r="F228" s="23"/>
      <c r="G228" s="28" t="str">
        <f>IFERROR(__xludf.DUMMYFUNCTION("""COMPUTED_VALUE"""),"")</f>
        <v/>
      </c>
      <c r="H228" s="23" t="str">
        <f>IFERROR(__xludf.DUMMYFUNCTION("""COMPUTED_VALUE"""),"")</f>
        <v/>
      </c>
    </row>
    <row r="229">
      <c r="A229" s="45"/>
      <c r="B229" s="23"/>
      <c r="C229" s="23"/>
      <c r="D229" s="23"/>
      <c r="E229" s="23"/>
      <c r="F229" s="23"/>
      <c r="G229" s="28" t="str">
        <f>IFERROR(__xludf.DUMMYFUNCTION("""COMPUTED_VALUE"""),"")</f>
        <v/>
      </c>
      <c r="H229" s="23" t="str">
        <f>IFERROR(__xludf.DUMMYFUNCTION("""COMPUTED_VALUE"""),"")</f>
        <v/>
      </c>
    </row>
    <row r="230">
      <c r="A230" s="45"/>
      <c r="B230" s="23"/>
      <c r="C230" s="23"/>
      <c r="D230" s="23"/>
      <c r="E230" s="23"/>
      <c r="F230" s="23"/>
      <c r="G230" s="28" t="str">
        <f>IFERROR(__xludf.DUMMYFUNCTION("""COMPUTED_VALUE"""),"")</f>
        <v/>
      </c>
      <c r="H230" s="23" t="str">
        <f>IFERROR(__xludf.DUMMYFUNCTION("""COMPUTED_VALUE"""),"")</f>
        <v/>
      </c>
    </row>
    <row r="231">
      <c r="A231" s="45"/>
      <c r="B231" s="23"/>
      <c r="C231" s="23"/>
      <c r="D231" s="23"/>
      <c r="E231" s="23"/>
      <c r="F231" s="23"/>
      <c r="G231" s="28" t="str">
        <f>IFERROR(__xludf.DUMMYFUNCTION("""COMPUTED_VALUE"""),"")</f>
        <v/>
      </c>
      <c r="H231" s="23" t="str">
        <f>IFERROR(__xludf.DUMMYFUNCTION("""COMPUTED_VALUE"""),"")</f>
        <v/>
      </c>
    </row>
    <row r="232">
      <c r="A232" s="45"/>
      <c r="B232" s="23"/>
      <c r="C232" s="23"/>
      <c r="D232" s="23"/>
      <c r="E232" s="23"/>
      <c r="F232" s="23"/>
      <c r="G232" s="28" t="str">
        <f>IFERROR(__xludf.DUMMYFUNCTION("""COMPUTED_VALUE"""),"")</f>
        <v/>
      </c>
      <c r="H232" s="23" t="str">
        <f>IFERROR(__xludf.DUMMYFUNCTION("""COMPUTED_VALUE"""),"")</f>
        <v/>
      </c>
    </row>
    <row r="233">
      <c r="A233" s="45"/>
      <c r="B233" s="23"/>
      <c r="C233" s="23"/>
      <c r="D233" s="23"/>
      <c r="E233" s="23"/>
      <c r="F233" s="23"/>
      <c r="G233" s="28" t="str">
        <f>IFERROR(__xludf.DUMMYFUNCTION("""COMPUTED_VALUE"""),"")</f>
        <v/>
      </c>
      <c r="H233" s="23" t="str">
        <f>IFERROR(__xludf.DUMMYFUNCTION("""COMPUTED_VALUE"""),"")</f>
        <v/>
      </c>
    </row>
    <row r="234">
      <c r="A234" s="45"/>
      <c r="B234" s="23"/>
      <c r="C234" s="23"/>
      <c r="D234" s="23"/>
      <c r="E234" s="23"/>
      <c r="F234" s="23"/>
      <c r="G234" s="28" t="str">
        <f>IFERROR(__xludf.DUMMYFUNCTION("""COMPUTED_VALUE"""),"")</f>
        <v/>
      </c>
      <c r="H234" s="23" t="str">
        <f>IFERROR(__xludf.DUMMYFUNCTION("""COMPUTED_VALUE"""),"")</f>
        <v/>
      </c>
    </row>
    <row r="235">
      <c r="A235" s="45"/>
      <c r="B235" s="23"/>
      <c r="C235" s="23"/>
      <c r="D235" s="23"/>
      <c r="E235" s="23"/>
      <c r="F235" s="23"/>
      <c r="G235" s="28" t="str">
        <f>IFERROR(__xludf.DUMMYFUNCTION("""COMPUTED_VALUE"""),"")</f>
        <v/>
      </c>
      <c r="H235" s="23" t="str">
        <f>IFERROR(__xludf.DUMMYFUNCTION("""COMPUTED_VALUE"""),"")</f>
        <v/>
      </c>
    </row>
    <row r="236">
      <c r="A236" s="45"/>
      <c r="B236" s="23"/>
      <c r="C236" s="23"/>
      <c r="D236" s="23"/>
      <c r="E236" s="23"/>
      <c r="F236" s="23"/>
      <c r="G236" s="28" t="str">
        <f>IFERROR(__xludf.DUMMYFUNCTION("""COMPUTED_VALUE"""),"")</f>
        <v/>
      </c>
      <c r="H236" s="23" t="str">
        <f>IFERROR(__xludf.DUMMYFUNCTION("""COMPUTED_VALUE"""),"")</f>
        <v/>
      </c>
    </row>
    <row r="237">
      <c r="A237" s="45"/>
      <c r="B237" s="23"/>
      <c r="C237" s="23"/>
      <c r="D237" s="23"/>
      <c r="E237" s="23"/>
      <c r="F237" s="23"/>
      <c r="G237" s="28" t="str">
        <f>IFERROR(__xludf.DUMMYFUNCTION("""COMPUTED_VALUE"""),"")</f>
        <v/>
      </c>
      <c r="H237" s="23" t="str">
        <f>IFERROR(__xludf.DUMMYFUNCTION("""COMPUTED_VALUE"""),"")</f>
        <v/>
      </c>
    </row>
    <row r="238">
      <c r="A238" s="45"/>
      <c r="B238" s="23"/>
      <c r="C238" s="23"/>
      <c r="D238" s="23"/>
      <c r="E238" s="23"/>
      <c r="F238" s="23"/>
      <c r="G238" s="28" t="str">
        <f>IFERROR(__xludf.DUMMYFUNCTION("""COMPUTED_VALUE"""),"")</f>
        <v/>
      </c>
      <c r="H238" s="23" t="str">
        <f>IFERROR(__xludf.DUMMYFUNCTION("""COMPUTED_VALUE"""),"")</f>
        <v/>
      </c>
    </row>
    <row r="239">
      <c r="A239" s="45"/>
      <c r="B239" s="23"/>
      <c r="C239" s="23"/>
      <c r="D239" s="23"/>
      <c r="E239" s="23"/>
      <c r="F239" s="23"/>
      <c r="G239" s="28" t="str">
        <f>IFERROR(__xludf.DUMMYFUNCTION("""COMPUTED_VALUE"""),"")</f>
        <v/>
      </c>
      <c r="H239" s="23" t="str">
        <f>IFERROR(__xludf.DUMMYFUNCTION("""COMPUTED_VALUE"""),"")</f>
        <v/>
      </c>
    </row>
    <row r="240">
      <c r="A240" s="45"/>
      <c r="B240" s="23"/>
      <c r="C240" s="23"/>
      <c r="D240" s="23"/>
      <c r="E240" s="23"/>
      <c r="F240" s="23"/>
      <c r="G240" s="28" t="str">
        <f>IFERROR(__xludf.DUMMYFUNCTION("""COMPUTED_VALUE"""),"")</f>
        <v/>
      </c>
      <c r="H240" s="23" t="str">
        <f>IFERROR(__xludf.DUMMYFUNCTION("""COMPUTED_VALUE"""),"")</f>
        <v/>
      </c>
    </row>
    <row r="241">
      <c r="A241" s="45"/>
      <c r="B241" s="23"/>
      <c r="C241" s="23"/>
      <c r="D241" s="23"/>
      <c r="E241" s="23"/>
      <c r="F241" s="23"/>
      <c r="G241" s="28" t="str">
        <f>IFERROR(__xludf.DUMMYFUNCTION("""COMPUTED_VALUE"""),"")</f>
        <v/>
      </c>
      <c r="H241" s="23" t="str">
        <f>IFERROR(__xludf.DUMMYFUNCTION("""COMPUTED_VALUE"""),"")</f>
        <v/>
      </c>
    </row>
    <row r="242">
      <c r="A242" s="45"/>
      <c r="B242" s="23"/>
      <c r="C242" s="23"/>
      <c r="D242" s="23"/>
      <c r="E242" s="23"/>
      <c r="F242" s="23"/>
      <c r="G242" s="28"/>
      <c r="H242" s="23" t="str">
        <f>IFERROR(__xludf.DUMMYFUNCTION("""COMPUTED_VALUE"""),"")</f>
        <v/>
      </c>
    </row>
    <row r="243">
      <c r="A243" s="45"/>
      <c r="B243" s="23"/>
      <c r="C243" s="23"/>
      <c r="D243" s="23"/>
      <c r="E243" s="23"/>
      <c r="F243" s="23"/>
      <c r="G243" s="28"/>
      <c r="H243" s="23" t="str">
        <f>IFERROR(__xludf.DUMMYFUNCTION("""COMPUTED_VALUE"""),"")</f>
        <v/>
      </c>
    </row>
    <row r="244">
      <c r="A244" s="45"/>
      <c r="B244" s="23"/>
      <c r="C244" s="23"/>
      <c r="D244" s="23"/>
      <c r="E244" s="23"/>
      <c r="F244" s="23"/>
      <c r="G244" s="28"/>
      <c r="H244" s="23" t="str">
        <f>IFERROR(__xludf.DUMMYFUNCTION("""COMPUTED_VALUE"""),"")</f>
        <v/>
      </c>
    </row>
    <row r="245">
      <c r="A245" s="45"/>
      <c r="B245" s="23"/>
      <c r="C245" s="23"/>
      <c r="D245" s="23"/>
      <c r="E245" s="23"/>
      <c r="F245" s="23"/>
      <c r="G245" s="28"/>
      <c r="H245" s="23" t="str">
        <f>IFERROR(__xludf.DUMMYFUNCTION("""COMPUTED_VALUE"""),"")</f>
        <v/>
      </c>
    </row>
    <row r="246">
      <c r="A246" s="45"/>
      <c r="B246" s="23"/>
      <c r="C246" s="23"/>
      <c r="D246" s="23"/>
      <c r="E246" s="23"/>
      <c r="F246" s="23"/>
      <c r="G246" s="28"/>
      <c r="H246" s="23" t="str">
        <f>IFERROR(__xludf.DUMMYFUNCTION("""COMPUTED_VALUE"""),"")</f>
        <v/>
      </c>
    </row>
    <row r="247">
      <c r="A247" s="45"/>
      <c r="B247" s="23"/>
      <c r="C247" s="23"/>
      <c r="D247" s="23"/>
      <c r="E247" s="23"/>
      <c r="F247" s="23"/>
      <c r="G247" s="28"/>
      <c r="H247" s="23" t="str">
        <f>IFERROR(__xludf.DUMMYFUNCTION("""COMPUTED_VALUE"""),"")</f>
        <v/>
      </c>
    </row>
    <row r="248">
      <c r="A248" s="45"/>
      <c r="B248" s="23"/>
      <c r="C248" s="23"/>
      <c r="D248" s="23"/>
      <c r="E248" s="23"/>
      <c r="F248" s="23"/>
      <c r="G248" s="28"/>
      <c r="H248" s="23" t="str">
        <f>IFERROR(__xludf.DUMMYFUNCTION("""COMPUTED_VALUE"""),"")</f>
        <v/>
      </c>
    </row>
    <row r="249">
      <c r="A249" s="45"/>
      <c r="B249" s="23"/>
      <c r="C249" s="23"/>
      <c r="D249" s="23"/>
      <c r="E249" s="23"/>
      <c r="F249" s="23"/>
      <c r="G249" s="28"/>
      <c r="H249" s="23" t="str">
        <f>IFERROR(__xludf.DUMMYFUNCTION("""COMPUTED_VALUE"""),"")</f>
        <v/>
      </c>
    </row>
    <row r="250">
      <c r="A250" s="45"/>
      <c r="B250" s="23"/>
      <c r="C250" s="23"/>
      <c r="D250" s="23"/>
      <c r="E250" s="23"/>
      <c r="F250" s="23"/>
      <c r="G250" s="28"/>
      <c r="H250" s="23" t="str">
        <f>IFERROR(__xludf.DUMMYFUNCTION("""COMPUTED_VALUE"""),"")</f>
        <v/>
      </c>
    </row>
    <row r="251">
      <c r="A251" s="45"/>
      <c r="B251" s="23"/>
      <c r="C251" s="23"/>
      <c r="D251" s="23"/>
      <c r="E251" s="23"/>
      <c r="F251" s="23"/>
      <c r="G251" s="28"/>
      <c r="H251" s="23" t="str">
        <f>IFERROR(__xludf.DUMMYFUNCTION("""COMPUTED_VALUE"""),"")</f>
        <v/>
      </c>
    </row>
    <row r="252">
      <c r="A252" s="45"/>
      <c r="B252" s="23"/>
      <c r="C252" s="23"/>
      <c r="D252" s="23"/>
      <c r="E252" s="23"/>
      <c r="F252" s="23"/>
      <c r="G252" s="28"/>
      <c r="H252" s="23" t="str">
        <f>IFERROR(__xludf.DUMMYFUNCTION("""COMPUTED_VALUE"""),"")</f>
        <v/>
      </c>
    </row>
    <row r="253">
      <c r="A253" s="45"/>
      <c r="B253" s="23"/>
      <c r="C253" s="23"/>
      <c r="D253" s="23"/>
      <c r="E253" s="23"/>
      <c r="F253" s="23"/>
      <c r="G253" s="28"/>
      <c r="H253" s="23" t="str">
        <f>IFERROR(__xludf.DUMMYFUNCTION("""COMPUTED_VALUE"""),"")</f>
        <v/>
      </c>
    </row>
    <row r="254">
      <c r="A254" s="45"/>
      <c r="B254" s="23"/>
      <c r="C254" s="23"/>
      <c r="D254" s="23"/>
      <c r="E254" s="23"/>
      <c r="F254" s="23"/>
      <c r="G254" s="28"/>
      <c r="H254" s="23" t="str">
        <f>IFERROR(__xludf.DUMMYFUNCTION("""COMPUTED_VALUE"""),"")</f>
        <v/>
      </c>
    </row>
    <row r="255">
      <c r="A255" s="45"/>
      <c r="B255" s="23"/>
      <c r="C255" s="23"/>
      <c r="D255" s="23"/>
      <c r="E255" s="23"/>
      <c r="F255" s="23"/>
      <c r="G255" s="28"/>
      <c r="H255" s="23" t="str">
        <f>IFERROR(__xludf.DUMMYFUNCTION("""COMPUTED_VALUE"""),"")</f>
        <v/>
      </c>
    </row>
    <row r="256">
      <c r="A256" s="45"/>
      <c r="B256" s="23"/>
      <c r="C256" s="23"/>
      <c r="D256" s="23"/>
      <c r="E256" s="23"/>
      <c r="F256" s="23"/>
      <c r="G256" s="28"/>
      <c r="H256" s="23" t="str">
        <f>IFERROR(__xludf.DUMMYFUNCTION("""COMPUTED_VALUE"""),"")</f>
        <v/>
      </c>
    </row>
    <row r="257">
      <c r="A257" s="45"/>
      <c r="B257" s="23"/>
      <c r="C257" s="23"/>
      <c r="D257" s="23"/>
      <c r="E257" s="23"/>
      <c r="F257" s="23"/>
      <c r="G257" s="28"/>
      <c r="H257" s="23" t="str">
        <f>IFERROR(__xludf.DUMMYFUNCTION("""COMPUTED_VALUE"""),"")</f>
        <v/>
      </c>
    </row>
    <row r="258">
      <c r="A258" s="45"/>
      <c r="B258" s="23"/>
      <c r="C258" s="23"/>
      <c r="D258" s="23"/>
      <c r="E258" s="23"/>
      <c r="F258" s="23"/>
      <c r="G258" s="28"/>
      <c r="H258" s="23" t="str">
        <f>IFERROR(__xludf.DUMMYFUNCTION("""COMPUTED_VALUE"""),"")</f>
        <v/>
      </c>
    </row>
    <row r="259">
      <c r="A259" s="45"/>
      <c r="B259" s="23"/>
      <c r="C259" s="23"/>
      <c r="D259" s="23"/>
      <c r="E259" s="23"/>
      <c r="F259" s="23"/>
      <c r="G259" s="28"/>
      <c r="H259" s="23" t="str">
        <f>IFERROR(__xludf.DUMMYFUNCTION("""COMPUTED_VALUE"""),"")</f>
        <v/>
      </c>
    </row>
    <row r="260">
      <c r="A260" s="45"/>
      <c r="B260" s="23"/>
      <c r="C260" s="23"/>
      <c r="D260" s="23"/>
      <c r="E260" s="23"/>
      <c r="F260" s="23"/>
      <c r="G260" s="28"/>
      <c r="H260" s="23" t="str">
        <f>IFERROR(__xludf.DUMMYFUNCTION("""COMPUTED_VALUE"""),"")</f>
        <v/>
      </c>
    </row>
    <row r="261">
      <c r="A261" s="45"/>
      <c r="B261" s="23"/>
      <c r="C261" s="23"/>
      <c r="D261" s="23"/>
      <c r="E261" s="23"/>
      <c r="F261" s="23"/>
      <c r="G261" s="28"/>
      <c r="H261" s="23" t="str">
        <f>IFERROR(__xludf.DUMMYFUNCTION("""COMPUTED_VALUE"""),"")</f>
        <v/>
      </c>
    </row>
    <row r="262">
      <c r="A262" s="45"/>
      <c r="B262" s="23"/>
      <c r="C262" s="23"/>
      <c r="D262" s="23"/>
      <c r="E262" s="23"/>
      <c r="F262" s="23"/>
      <c r="G262" s="28"/>
      <c r="H262" s="23" t="str">
        <f>IFERROR(__xludf.DUMMYFUNCTION("""COMPUTED_VALUE"""),"")</f>
        <v/>
      </c>
    </row>
    <row r="263">
      <c r="A263" s="45"/>
      <c r="B263" s="23"/>
      <c r="C263" s="23"/>
      <c r="D263" s="23"/>
      <c r="E263" s="23"/>
      <c r="F263" s="23"/>
      <c r="G263" s="28"/>
      <c r="H263" s="23" t="str">
        <f>IFERROR(__xludf.DUMMYFUNCTION("""COMPUTED_VALUE"""),"")</f>
        <v/>
      </c>
    </row>
    <row r="264">
      <c r="A264" s="45"/>
      <c r="B264" s="23"/>
      <c r="C264" s="23"/>
      <c r="D264" s="23"/>
      <c r="E264" s="23"/>
      <c r="F264" s="23"/>
      <c r="G264" s="28"/>
      <c r="H264" s="23" t="str">
        <f>IFERROR(__xludf.DUMMYFUNCTION("""COMPUTED_VALUE"""),"")</f>
        <v/>
      </c>
    </row>
    <row r="265">
      <c r="A265" s="45"/>
      <c r="B265" s="23"/>
      <c r="C265" s="23"/>
      <c r="D265" s="23"/>
      <c r="E265" s="23"/>
      <c r="F265" s="23"/>
      <c r="G265" s="28"/>
      <c r="H265" s="23" t="str">
        <f>IFERROR(__xludf.DUMMYFUNCTION("""COMPUTED_VALUE"""),"")</f>
        <v/>
      </c>
    </row>
    <row r="266">
      <c r="A266" s="45"/>
      <c r="B266" s="23"/>
      <c r="C266" s="23"/>
      <c r="D266" s="23"/>
      <c r="E266" s="23"/>
      <c r="F266" s="23"/>
      <c r="G266" s="28"/>
      <c r="H266" s="23" t="str">
        <f>IFERROR(__xludf.DUMMYFUNCTION("""COMPUTED_VALUE"""),"")</f>
        <v/>
      </c>
    </row>
    <row r="267">
      <c r="A267" s="45"/>
      <c r="B267" s="23"/>
      <c r="C267" s="23"/>
      <c r="D267" s="23"/>
      <c r="E267" s="23"/>
      <c r="F267" s="23"/>
      <c r="G267" s="28"/>
      <c r="H267" s="23" t="str">
        <f>IFERROR(__xludf.DUMMYFUNCTION("""COMPUTED_VALUE"""),"")</f>
        <v/>
      </c>
    </row>
    <row r="268">
      <c r="A268" s="45"/>
      <c r="B268" s="23"/>
      <c r="C268" s="23"/>
      <c r="D268" s="23"/>
      <c r="E268" s="23"/>
      <c r="F268" s="23"/>
      <c r="G268" s="28"/>
      <c r="H268" s="23" t="str">
        <f>IFERROR(__xludf.DUMMYFUNCTION("""COMPUTED_VALUE"""),"")</f>
        <v/>
      </c>
    </row>
    <row r="269">
      <c r="A269" s="45"/>
      <c r="B269" s="23"/>
      <c r="C269" s="23"/>
      <c r="D269" s="23"/>
      <c r="E269" s="23"/>
      <c r="F269" s="23"/>
      <c r="G269" s="28"/>
      <c r="H269" s="23" t="str">
        <f>IFERROR(__xludf.DUMMYFUNCTION("""COMPUTED_VALUE"""),"")</f>
        <v/>
      </c>
    </row>
    <row r="270">
      <c r="A270" s="45"/>
      <c r="B270" s="23"/>
      <c r="C270" s="23"/>
      <c r="D270" s="23"/>
      <c r="E270" s="23"/>
      <c r="F270" s="23"/>
      <c r="G270" s="28"/>
      <c r="H270" s="23" t="str">
        <f>IFERROR(__xludf.DUMMYFUNCTION("""COMPUTED_VALUE"""),"")</f>
        <v/>
      </c>
    </row>
    <row r="271">
      <c r="A271" s="45"/>
      <c r="B271" s="23"/>
      <c r="C271" s="23"/>
      <c r="D271" s="23"/>
      <c r="E271" s="23"/>
      <c r="F271" s="23"/>
      <c r="G271" s="28"/>
      <c r="H271" s="23" t="str">
        <f>IFERROR(__xludf.DUMMYFUNCTION("""COMPUTED_VALUE"""),"")</f>
        <v/>
      </c>
    </row>
    <row r="272">
      <c r="A272" s="45"/>
      <c r="B272" s="23"/>
      <c r="C272" s="23"/>
      <c r="D272" s="23"/>
      <c r="E272" s="23"/>
      <c r="F272" s="23"/>
      <c r="G272" s="28"/>
      <c r="H272" s="23" t="str">
        <f>IFERROR(__xludf.DUMMYFUNCTION("""COMPUTED_VALUE"""),"")</f>
        <v/>
      </c>
    </row>
    <row r="273">
      <c r="A273" s="45"/>
      <c r="B273" s="23"/>
      <c r="C273" s="23"/>
      <c r="D273" s="23"/>
      <c r="E273" s="23"/>
      <c r="F273" s="23"/>
      <c r="G273" s="28"/>
      <c r="H273" s="23" t="str">
        <f>IFERROR(__xludf.DUMMYFUNCTION("""COMPUTED_VALUE"""),"")</f>
        <v/>
      </c>
    </row>
    <row r="274">
      <c r="A274" s="45"/>
      <c r="B274" s="23"/>
      <c r="C274" s="23"/>
      <c r="D274" s="23"/>
      <c r="E274" s="23"/>
      <c r="F274" s="23"/>
      <c r="G274" s="28"/>
      <c r="H274" s="23" t="str">
        <f>IFERROR(__xludf.DUMMYFUNCTION("""COMPUTED_VALUE"""),"")</f>
        <v/>
      </c>
    </row>
    <row r="275">
      <c r="A275" s="45"/>
      <c r="B275" s="23"/>
      <c r="C275" s="23"/>
      <c r="D275" s="23"/>
      <c r="E275" s="23"/>
      <c r="F275" s="23"/>
      <c r="G275" s="28"/>
      <c r="H275" s="23" t="str">
        <f>IFERROR(__xludf.DUMMYFUNCTION("""COMPUTED_VALUE"""),"")</f>
        <v/>
      </c>
    </row>
    <row r="276">
      <c r="A276" s="45"/>
      <c r="B276" s="23"/>
      <c r="C276" s="23"/>
      <c r="D276" s="23"/>
      <c r="E276" s="23"/>
      <c r="F276" s="23"/>
      <c r="G276" s="28"/>
      <c r="H276" s="23" t="str">
        <f>IFERROR(__xludf.DUMMYFUNCTION("""COMPUTED_VALUE"""),"")</f>
        <v/>
      </c>
    </row>
    <row r="277">
      <c r="A277" s="45"/>
      <c r="B277" s="23"/>
      <c r="C277" s="23"/>
      <c r="D277" s="23"/>
      <c r="E277" s="23"/>
      <c r="F277" s="23"/>
      <c r="G277" s="28"/>
      <c r="H277" s="23" t="str">
        <f>IFERROR(__xludf.DUMMYFUNCTION("""COMPUTED_VALUE"""),"")</f>
        <v/>
      </c>
    </row>
    <row r="278">
      <c r="A278" s="45"/>
      <c r="B278" s="23"/>
      <c r="C278" s="23"/>
      <c r="D278" s="23"/>
      <c r="E278" s="23"/>
      <c r="F278" s="23"/>
      <c r="G278" s="28"/>
      <c r="H278" s="23" t="str">
        <f>IFERROR(__xludf.DUMMYFUNCTION("""COMPUTED_VALUE"""),"")</f>
        <v/>
      </c>
    </row>
    <row r="279">
      <c r="A279" s="45"/>
      <c r="B279" s="23"/>
      <c r="C279" s="23"/>
      <c r="D279" s="23"/>
      <c r="E279" s="23"/>
      <c r="F279" s="23"/>
      <c r="G279" s="28"/>
      <c r="H279" s="23" t="str">
        <f>IFERROR(__xludf.DUMMYFUNCTION("""COMPUTED_VALUE"""),"")</f>
        <v/>
      </c>
    </row>
    <row r="280">
      <c r="A280" s="45"/>
      <c r="B280" s="23"/>
      <c r="C280" s="23"/>
      <c r="D280" s="23"/>
      <c r="E280" s="23"/>
      <c r="F280" s="23"/>
      <c r="G280" s="28"/>
      <c r="H280" s="23" t="str">
        <f>IFERROR(__xludf.DUMMYFUNCTION("""COMPUTED_VALUE"""),"")</f>
        <v/>
      </c>
    </row>
    <row r="281">
      <c r="A281" s="45"/>
      <c r="B281" s="23"/>
      <c r="C281" s="23"/>
      <c r="D281" s="23"/>
      <c r="E281" s="23"/>
      <c r="F281" s="23"/>
      <c r="G281" s="28"/>
      <c r="H281" s="23" t="str">
        <f>IFERROR(__xludf.DUMMYFUNCTION("""COMPUTED_VALUE"""),"")</f>
        <v/>
      </c>
    </row>
    <row r="282">
      <c r="A282" s="45"/>
      <c r="B282" s="23"/>
      <c r="C282" s="23"/>
      <c r="D282" s="23"/>
      <c r="E282" s="23"/>
      <c r="F282" s="23"/>
      <c r="G282" s="28"/>
      <c r="H282" s="23" t="str">
        <f>IFERROR(__xludf.DUMMYFUNCTION("""COMPUTED_VALUE"""),"")</f>
        <v/>
      </c>
    </row>
    <row r="283">
      <c r="A283" s="45"/>
      <c r="B283" s="23"/>
      <c r="C283" s="23"/>
      <c r="D283" s="23"/>
      <c r="E283" s="23"/>
      <c r="F283" s="23"/>
      <c r="G283" s="28"/>
      <c r="H283" s="23" t="str">
        <f>IFERROR(__xludf.DUMMYFUNCTION("""COMPUTED_VALUE"""),"")</f>
        <v/>
      </c>
    </row>
    <row r="284">
      <c r="A284" s="45"/>
      <c r="B284" s="23"/>
      <c r="C284" s="23"/>
      <c r="D284" s="23"/>
      <c r="E284" s="23"/>
      <c r="F284" s="23"/>
      <c r="G284" s="28"/>
      <c r="H284" s="23" t="str">
        <f>IFERROR(__xludf.DUMMYFUNCTION("""COMPUTED_VALUE"""),"")</f>
        <v/>
      </c>
    </row>
    <row r="285">
      <c r="A285" s="45"/>
      <c r="B285" s="23"/>
      <c r="C285" s="23"/>
      <c r="D285" s="23"/>
      <c r="E285" s="23"/>
      <c r="F285" s="23"/>
      <c r="G285" s="28"/>
      <c r="H285" s="23" t="str">
        <f>IFERROR(__xludf.DUMMYFUNCTION("""COMPUTED_VALUE"""),"")</f>
        <v/>
      </c>
    </row>
    <row r="286">
      <c r="A286" s="45"/>
      <c r="B286" s="23"/>
      <c r="C286" s="23"/>
      <c r="D286" s="23"/>
      <c r="E286" s="23"/>
      <c r="F286" s="23"/>
      <c r="G286" s="28"/>
      <c r="H286" s="23" t="str">
        <f>IFERROR(__xludf.DUMMYFUNCTION("""COMPUTED_VALUE"""),"")</f>
        <v/>
      </c>
    </row>
    <row r="287">
      <c r="A287" s="45"/>
      <c r="B287" s="23"/>
      <c r="C287" s="23"/>
      <c r="D287" s="23"/>
      <c r="E287" s="23"/>
      <c r="F287" s="23"/>
      <c r="G287" s="28"/>
      <c r="H287" s="23" t="str">
        <f>IFERROR(__xludf.DUMMYFUNCTION("""COMPUTED_VALUE"""),"")</f>
        <v/>
      </c>
    </row>
    <row r="288">
      <c r="A288" s="45"/>
      <c r="B288" s="23"/>
      <c r="C288" s="23"/>
      <c r="D288" s="23"/>
      <c r="E288" s="23"/>
      <c r="F288" s="23"/>
      <c r="G288" s="28"/>
      <c r="H288" s="23" t="str">
        <f>IFERROR(__xludf.DUMMYFUNCTION("""COMPUTED_VALUE"""),"")</f>
        <v/>
      </c>
    </row>
    <row r="289">
      <c r="A289" s="45"/>
      <c r="B289" s="23"/>
      <c r="C289" s="23"/>
      <c r="D289" s="23"/>
      <c r="E289" s="23"/>
      <c r="F289" s="23"/>
      <c r="G289" s="28"/>
      <c r="H289" s="23" t="str">
        <f>IFERROR(__xludf.DUMMYFUNCTION("""COMPUTED_VALUE"""),"")</f>
        <v/>
      </c>
    </row>
    <row r="290">
      <c r="A290" s="45"/>
      <c r="B290" s="23"/>
      <c r="C290" s="23"/>
      <c r="D290" s="23"/>
      <c r="E290" s="23"/>
      <c r="F290" s="23"/>
      <c r="G290" s="28"/>
      <c r="H290" s="23" t="str">
        <f>IFERROR(__xludf.DUMMYFUNCTION("""COMPUTED_VALUE"""),"")</f>
        <v/>
      </c>
    </row>
    <row r="291">
      <c r="A291" s="45"/>
      <c r="B291" s="23"/>
      <c r="C291" s="23"/>
      <c r="D291" s="23"/>
      <c r="E291" s="23"/>
      <c r="F291" s="23"/>
      <c r="G291" s="28"/>
      <c r="H291" s="23" t="str">
        <f>IFERROR(__xludf.DUMMYFUNCTION("""COMPUTED_VALUE"""),"")</f>
        <v/>
      </c>
    </row>
    <row r="292">
      <c r="A292" s="45"/>
      <c r="B292" s="23"/>
      <c r="C292" s="23"/>
      <c r="D292" s="23"/>
      <c r="E292" s="23"/>
      <c r="F292" s="23"/>
      <c r="G292" s="28"/>
      <c r="H292" s="23" t="str">
        <f>IFERROR(__xludf.DUMMYFUNCTION("""COMPUTED_VALUE"""),"")</f>
        <v/>
      </c>
    </row>
    <row r="293">
      <c r="A293" s="45"/>
      <c r="B293" s="23"/>
      <c r="C293" s="23"/>
      <c r="D293" s="23"/>
      <c r="E293" s="23"/>
      <c r="F293" s="23"/>
      <c r="G293" s="28"/>
      <c r="H293" s="23" t="str">
        <f>IFERROR(__xludf.DUMMYFUNCTION("""COMPUTED_VALUE"""),"")</f>
        <v/>
      </c>
    </row>
    <row r="294">
      <c r="A294" s="45"/>
      <c r="B294" s="23"/>
      <c r="C294" s="23"/>
      <c r="D294" s="23"/>
      <c r="E294" s="23"/>
      <c r="F294" s="23"/>
      <c r="G294" s="28"/>
      <c r="H294" s="23" t="str">
        <f>IFERROR(__xludf.DUMMYFUNCTION("""COMPUTED_VALUE"""),"")</f>
        <v/>
      </c>
    </row>
    <row r="295">
      <c r="A295" s="45"/>
      <c r="B295" s="23"/>
      <c r="C295" s="23"/>
      <c r="D295" s="23"/>
      <c r="E295" s="23"/>
      <c r="F295" s="23"/>
      <c r="G295" s="28"/>
      <c r="H295" s="23" t="str">
        <f>IFERROR(__xludf.DUMMYFUNCTION("""COMPUTED_VALUE"""),"")</f>
        <v/>
      </c>
    </row>
    <row r="296">
      <c r="A296" s="45"/>
      <c r="B296" s="23"/>
      <c r="C296" s="23"/>
      <c r="D296" s="23"/>
      <c r="E296" s="23"/>
      <c r="F296" s="23"/>
      <c r="G296" s="28"/>
      <c r="H296" s="23" t="str">
        <f>IFERROR(__xludf.DUMMYFUNCTION("""COMPUTED_VALUE"""),"")</f>
        <v/>
      </c>
    </row>
    <row r="297">
      <c r="A297" s="45"/>
      <c r="B297" s="23"/>
      <c r="C297" s="23"/>
      <c r="D297" s="23"/>
      <c r="E297" s="23"/>
      <c r="F297" s="23"/>
      <c r="G297" s="28"/>
      <c r="H297" s="23" t="str">
        <f>IFERROR(__xludf.DUMMYFUNCTION("""COMPUTED_VALUE"""),"")</f>
        <v/>
      </c>
    </row>
    <row r="298">
      <c r="A298" s="45"/>
      <c r="B298" s="23"/>
      <c r="C298" s="23"/>
      <c r="D298" s="23"/>
      <c r="E298" s="23"/>
      <c r="F298" s="23"/>
      <c r="G298" s="28"/>
      <c r="H298" s="23" t="str">
        <f>IFERROR(__xludf.DUMMYFUNCTION("""COMPUTED_VALUE"""),"")</f>
        <v/>
      </c>
    </row>
    <row r="299">
      <c r="A299" s="45"/>
      <c r="B299" s="23"/>
      <c r="C299" s="23"/>
      <c r="D299" s="23"/>
      <c r="E299" s="23"/>
      <c r="F299" s="23"/>
      <c r="G299" s="28"/>
      <c r="H299" s="23" t="str">
        <f>IFERROR(__xludf.DUMMYFUNCTION("""COMPUTED_VALUE"""),"")</f>
        <v/>
      </c>
    </row>
    <row r="300">
      <c r="A300" s="45"/>
      <c r="B300" s="23"/>
      <c r="C300" s="23"/>
      <c r="D300" s="23"/>
      <c r="E300" s="23"/>
      <c r="F300" s="23"/>
      <c r="G300" s="28"/>
      <c r="H300" s="23" t="str">
        <f>IFERROR(__xludf.DUMMYFUNCTION("""COMPUTED_VALUE"""),"")</f>
        <v/>
      </c>
    </row>
    <row r="301">
      <c r="A301" s="45"/>
      <c r="B301" s="23"/>
      <c r="C301" s="23"/>
      <c r="D301" s="23"/>
      <c r="E301" s="23"/>
      <c r="F301" s="23"/>
      <c r="G301" s="28"/>
      <c r="H301" s="23" t="str">
        <f>IFERROR(__xludf.DUMMYFUNCTION("""COMPUTED_VALUE"""),"")</f>
        <v/>
      </c>
    </row>
    <row r="302">
      <c r="A302" s="45"/>
      <c r="B302" s="23"/>
      <c r="C302" s="23"/>
      <c r="D302" s="23"/>
      <c r="E302" s="23"/>
      <c r="F302" s="23"/>
      <c r="G302" s="28"/>
      <c r="H302" s="23" t="str">
        <f>IFERROR(__xludf.DUMMYFUNCTION("""COMPUTED_VALUE"""),"")</f>
        <v/>
      </c>
    </row>
    <row r="303">
      <c r="A303" s="45"/>
      <c r="B303" s="23"/>
      <c r="C303" s="23"/>
      <c r="D303" s="23"/>
      <c r="E303" s="23"/>
      <c r="F303" s="23"/>
      <c r="G303" s="28"/>
      <c r="H303" s="23" t="str">
        <f>IFERROR(__xludf.DUMMYFUNCTION("""COMPUTED_VALUE"""),"")</f>
        <v/>
      </c>
    </row>
    <row r="304">
      <c r="A304" s="45"/>
      <c r="B304" s="23"/>
      <c r="C304" s="23"/>
      <c r="D304" s="23"/>
      <c r="E304" s="23"/>
      <c r="F304" s="23"/>
      <c r="G304" s="28"/>
      <c r="H304" s="23" t="str">
        <f>IFERROR(__xludf.DUMMYFUNCTION("""COMPUTED_VALUE"""),"")</f>
        <v/>
      </c>
    </row>
    <row r="305">
      <c r="A305" s="45"/>
      <c r="B305" s="23"/>
      <c r="C305" s="23"/>
      <c r="D305" s="23"/>
      <c r="E305" s="23"/>
      <c r="F305" s="23"/>
      <c r="G305" s="28"/>
      <c r="H305" s="23" t="str">
        <f>IFERROR(__xludf.DUMMYFUNCTION("""COMPUTED_VALUE"""),"")</f>
        <v/>
      </c>
    </row>
    <row r="306">
      <c r="A306" s="45"/>
      <c r="B306" s="23"/>
      <c r="C306" s="23"/>
      <c r="D306" s="23"/>
      <c r="E306" s="23"/>
      <c r="F306" s="23"/>
      <c r="G306" s="28"/>
      <c r="H306" s="23" t="str">
        <f>IFERROR(__xludf.DUMMYFUNCTION("""COMPUTED_VALUE"""),"")</f>
        <v/>
      </c>
    </row>
    <row r="307">
      <c r="A307" s="45"/>
      <c r="B307" s="23"/>
      <c r="C307" s="23"/>
      <c r="D307" s="23"/>
      <c r="E307" s="23"/>
      <c r="F307" s="23"/>
      <c r="G307" s="28"/>
      <c r="H307" s="23" t="str">
        <f>IFERROR(__xludf.DUMMYFUNCTION("""COMPUTED_VALUE"""),"")</f>
        <v/>
      </c>
    </row>
    <row r="308">
      <c r="A308" s="45"/>
      <c r="B308" s="23"/>
      <c r="C308" s="23"/>
      <c r="D308" s="23"/>
      <c r="E308" s="23"/>
      <c r="F308" s="23"/>
      <c r="G308" s="28"/>
      <c r="H308" s="23" t="str">
        <f>IFERROR(__xludf.DUMMYFUNCTION("""COMPUTED_VALUE"""),"")</f>
        <v/>
      </c>
    </row>
    <row r="309">
      <c r="A309" s="45"/>
      <c r="B309" s="23"/>
      <c r="C309" s="23"/>
      <c r="D309" s="23"/>
      <c r="E309" s="23"/>
      <c r="F309" s="23"/>
      <c r="G309" s="28"/>
      <c r="H309" s="23" t="str">
        <f>IFERROR(__xludf.DUMMYFUNCTION("""COMPUTED_VALUE"""),"")</f>
        <v/>
      </c>
    </row>
    <row r="310">
      <c r="A310" s="45"/>
      <c r="B310" s="23"/>
      <c r="C310" s="23"/>
      <c r="D310" s="23"/>
      <c r="E310" s="23"/>
      <c r="F310" s="23"/>
      <c r="G310" s="28"/>
      <c r="H310" s="23" t="str">
        <f>IFERROR(__xludf.DUMMYFUNCTION("""COMPUTED_VALUE"""),"")</f>
        <v/>
      </c>
    </row>
    <row r="311">
      <c r="A311" s="45"/>
      <c r="B311" s="23"/>
      <c r="C311" s="23"/>
      <c r="D311" s="23"/>
      <c r="E311" s="23"/>
      <c r="F311" s="23"/>
      <c r="G311" s="28"/>
      <c r="H311" s="23" t="str">
        <f>IFERROR(__xludf.DUMMYFUNCTION("""COMPUTED_VALUE"""),"")</f>
        <v/>
      </c>
    </row>
    <row r="312">
      <c r="A312" s="45"/>
      <c r="B312" s="23"/>
      <c r="C312" s="23"/>
      <c r="D312" s="23"/>
      <c r="E312" s="23"/>
      <c r="F312" s="23"/>
      <c r="G312" s="28"/>
      <c r="H312" s="23" t="str">
        <f>IFERROR(__xludf.DUMMYFUNCTION("""COMPUTED_VALUE"""),"")</f>
        <v/>
      </c>
    </row>
    <row r="313">
      <c r="A313" s="45"/>
      <c r="B313" s="23"/>
      <c r="C313" s="23"/>
      <c r="D313" s="23"/>
      <c r="E313" s="23"/>
      <c r="F313" s="23"/>
      <c r="G313" s="28"/>
      <c r="H313" s="23" t="str">
        <f>IFERROR(__xludf.DUMMYFUNCTION("""COMPUTED_VALUE"""),"")</f>
        <v/>
      </c>
    </row>
    <row r="314">
      <c r="A314" s="45"/>
      <c r="B314" s="23"/>
      <c r="C314" s="23"/>
      <c r="D314" s="23"/>
      <c r="E314" s="23"/>
      <c r="F314" s="23"/>
      <c r="G314" s="28"/>
      <c r="H314" s="23" t="str">
        <f>IFERROR(__xludf.DUMMYFUNCTION("""COMPUTED_VALUE"""),"")</f>
        <v/>
      </c>
    </row>
    <row r="315">
      <c r="A315" s="45"/>
      <c r="B315" s="23"/>
      <c r="C315" s="23"/>
      <c r="D315" s="23"/>
      <c r="E315" s="23"/>
      <c r="F315" s="23"/>
      <c r="G315" s="28"/>
      <c r="H315" s="23" t="str">
        <f>IFERROR(__xludf.DUMMYFUNCTION("""COMPUTED_VALUE"""),"")</f>
        <v/>
      </c>
    </row>
    <row r="316">
      <c r="A316" s="45"/>
      <c r="B316" s="23"/>
      <c r="C316" s="23"/>
      <c r="D316" s="23"/>
      <c r="E316" s="23"/>
      <c r="F316" s="23"/>
      <c r="G316" s="28"/>
      <c r="H316" s="23" t="str">
        <f>IFERROR(__xludf.DUMMYFUNCTION("""COMPUTED_VALUE"""),"")</f>
        <v/>
      </c>
    </row>
    <row r="317">
      <c r="A317" s="45"/>
      <c r="B317" s="23"/>
      <c r="C317" s="23"/>
      <c r="D317" s="23"/>
      <c r="E317" s="23"/>
      <c r="F317" s="23"/>
      <c r="G317" s="28"/>
      <c r="H317" s="23" t="str">
        <f>IFERROR(__xludf.DUMMYFUNCTION("""COMPUTED_VALUE"""),"")</f>
        <v/>
      </c>
    </row>
    <row r="318">
      <c r="A318" s="45"/>
      <c r="B318" s="23"/>
      <c r="C318" s="23"/>
      <c r="D318" s="23"/>
      <c r="E318" s="23"/>
      <c r="F318" s="23"/>
      <c r="G318" s="28"/>
      <c r="H318" s="23" t="str">
        <f>IFERROR(__xludf.DUMMYFUNCTION("""COMPUTED_VALUE"""),"")</f>
        <v/>
      </c>
    </row>
    <row r="319">
      <c r="A319" s="45"/>
      <c r="B319" s="23"/>
      <c r="C319" s="23"/>
      <c r="D319" s="23"/>
      <c r="E319" s="23"/>
      <c r="F319" s="23"/>
      <c r="G319" s="28"/>
      <c r="H319" s="23" t="str">
        <f>IFERROR(__xludf.DUMMYFUNCTION("""COMPUTED_VALUE"""),"")</f>
        <v/>
      </c>
    </row>
    <row r="320">
      <c r="A320" s="45"/>
      <c r="B320" s="23"/>
      <c r="C320" s="23"/>
      <c r="D320" s="23"/>
      <c r="E320" s="23"/>
      <c r="F320" s="23"/>
      <c r="G320" s="28"/>
      <c r="H320" s="23" t="str">
        <f>IFERROR(__xludf.DUMMYFUNCTION("""COMPUTED_VALUE"""),"")</f>
        <v/>
      </c>
    </row>
    <row r="321">
      <c r="A321" s="45"/>
      <c r="B321" s="23"/>
      <c r="C321" s="23"/>
      <c r="D321" s="23"/>
      <c r="E321" s="23"/>
      <c r="F321" s="23"/>
      <c r="G321" s="28"/>
      <c r="H321" s="23" t="str">
        <f>IFERROR(__xludf.DUMMYFUNCTION("""COMPUTED_VALUE"""),"")</f>
        <v/>
      </c>
    </row>
    <row r="322">
      <c r="A322" s="45"/>
      <c r="B322" s="23"/>
      <c r="C322" s="23"/>
      <c r="D322" s="23"/>
      <c r="E322" s="23"/>
      <c r="F322" s="23"/>
      <c r="G322" s="28"/>
      <c r="H322" s="23" t="str">
        <f>IFERROR(__xludf.DUMMYFUNCTION("""COMPUTED_VALUE"""),"")</f>
        <v/>
      </c>
    </row>
    <row r="323">
      <c r="A323" s="45"/>
      <c r="B323" s="23"/>
      <c r="C323" s="23"/>
      <c r="D323" s="23"/>
      <c r="E323" s="23"/>
      <c r="F323" s="23"/>
      <c r="G323" s="28"/>
      <c r="H323" s="23" t="str">
        <f>IFERROR(__xludf.DUMMYFUNCTION("""COMPUTED_VALUE"""),"")</f>
        <v/>
      </c>
    </row>
    <row r="324">
      <c r="A324" s="45"/>
      <c r="B324" s="23"/>
      <c r="C324" s="23"/>
      <c r="D324" s="23"/>
      <c r="E324" s="23"/>
      <c r="F324" s="23"/>
      <c r="G324" s="28"/>
      <c r="H324" s="23" t="str">
        <f>IFERROR(__xludf.DUMMYFUNCTION("""COMPUTED_VALUE"""),"")</f>
        <v/>
      </c>
    </row>
    <row r="325">
      <c r="A325" s="45"/>
      <c r="B325" s="23"/>
      <c r="C325" s="23"/>
      <c r="D325" s="23"/>
      <c r="E325" s="23"/>
      <c r="F325" s="23"/>
      <c r="G325" s="28"/>
      <c r="H325" s="23" t="str">
        <f>IFERROR(__xludf.DUMMYFUNCTION("""COMPUTED_VALUE"""),"")</f>
        <v/>
      </c>
    </row>
    <row r="326">
      <c r="A326" s="45"/>
      <c r="B326" s="23"/>
      <c r="C326" s="23"/>
      <c r="D326" s="23"/>
      <c r="E326" s="23"/>
      <c r="F326" s="23"/>
      <c r="G326" s="28"/>
      <c r="H326" s="23" t="str">
        <f>IFERROR(__xludf.DUMMYFUNCTION("""COMPUTED_VALUE"""),"")</f>
        <v/>
      </c>
    </row>
    <row r="327">
      <c r="A327" s="45"/>
      <c r="B327" s="23"/>
      <c r="C327" s="23"/>
      <c r="D327" s="23"/>
      <c r="E327" s="23"/>
      <c r="F327" s="23"/>
      <c r="G327" s="28"/>
      <c r="H327" s="23" t="str">
        <f>IFERROR(__xludf.DUMMYFUNCTION("""COMPUTED_VALUE"""),"")</f>
        <v/>
      </c>
    </row>
    <row r="328">
      <c r="A328" s="45"/>
      <c r="B328" s="23"/>
      <c r="C328" s="23"/>
      <c r="D328" s="23"/>
      <c r="E328" s="23"/>
      <c r="F328" s="23"/>
      <c r="G328" s="28"/>
      <c r="H328" s="23" t="str">
        <f>IFERROR(__xludf.DUMMYFUNCTION("""COMPUTED_VALUE"""),"")</f>
        <v/>
      </c>
    </row>
    <row r="329">
      <c r="A329" s="45"/>
      <c r="B329" s="23"/>
      <c r="C329" s="23"/>
      <c r="D329" s="23"/>
      <c r="E329" s="23"/>
      <c r="F329" s="23"/>
      <c r="G329" s="28"/>
      <c r="H329" s="23" t="str">
        <f>IFERROR(__xludf.DUMMYFUNCTION("""COMPUTED_VALUE"""),"")</f>
        <v/>
      </c>
    </row>
    <row r="330">
      <c r="A330" s="45"/>
      <c r="B330" s="23"/>
      <c r="C330" s="23"/>
      <c r="D330" s="23"/>
      <c r="E330" s="23"/>
      <c r="F330" s="23"/>
      <c r="G330" s="28"/>
      <c r="H330" s="23" t="str">
        <f>IFERROR(__xludf.DUMMYFUNCTION("""COMPUTED_VALUE"""),"")</f>
        <v/>
      </c>
    </row>
    <row r="331">
      <c r="A331" s="45"/>
      <c r="B331" s="23"/>
      <c r="C331" s="23"/>
      <c r="D331" s="23"/>
      <c r="E331" s="23"/>
      <c r="F331" s="23"/>
      <c r="G331" s="28"/>
      <c r="H331" s="23" t="str">
        <f>IFERROR(__xludf.DUMMYFUNCTION("""COMPUTED_VALUE"""),"")</f>
        <v/>
      </c>
    </row>
    <row r="332">
      <c r="A332" s="45"/>
      <c r="B332" s="23"/>
      <c r="C332" s="23"/>
      <c r="D332" s="23"/>
      <c r="E332" s="23"/>
      <c r="F332" s="23"/>
      <c r="G332" s="28"/>
      <c r="H332" s="23" t="str">
        <f>IFERROR(__xludf.DUMMYFUNCTION("""COMPUTED_VALUE"""),"")</f>
        <v/>
      </c>
    </row>
    <row r="333">
      <c r="A333" s="45"/>
      <c r="B333" s="23"/>
      <c r="C333" s="23"/>
      <c r="D333" s="23"/>
      <c r="E333" s="23"/>
      <c r="F333" s="23"/>
      <c r="G333" s="28"/>
      <c r="H333" s="23"/>
    </row>
    <row r="334">
      <c r="A334" s="45"/>
      <c r="B334" s="23"/>
      <c r="C334" s="23"/>
      <c r="D334" s="23"/>
      <c r="E334" s="23"/>
      <c r="F334" s="23"/>
      <c r="G334" s="28"/>
      <c r="H334" s="23"/>
    </row>
    <row r="335">
      <c r="A335" s="45"/>
      <c r="B335" s="23"/>
      <c r="C335" s="23"/>
      <c r="D335" s="23"/>
      <c r="E335" s="23"/>
      <c r="F335" s="23"/>
      <c r="G335" s="28"/>
      <c r="H335" s="23"/>
    </row>
    <row r="336">
      <c r="A336" s="45"/>
      <c r="B336" s="23"/>
      <c r="C336" s="23"/>
      <c r="D336" s="23"/>
      <c r="E336" s="23"/>
      <c r="F336" s="23"/>
      <c r="G336" s="28"/>
      <c r="H336" s="23"/>
    </row>
    <row r="337">
      <c r="A337" s="45"/>
      <c r="B337" s="23"/>
      <c r="C337" s="23"/>
      <c r="D337" s="23"/>
      <c r="E337" s="23"/>
      <c r="F337" s="23"/>
      <c r="G337" s="28"/>
      <c r="H337" s="23"/>
    </row>
    <row r="338">
      <c r="A338" s="45"/>
      <c r="B338" s="23"/>
      <c r="C338" s="23"/>
      <c r="D338" s="23"/>
      <c r="E338" s="23"/>
      <c r="F338" s="23"/>
      <c r="G338" s="28"/>
      <c r="H338" s="23"/>
    </row>
    <row r="339">
      <c r="A339" s="45"/>
      <c r="B339" s="23"/>
      <c r="C339" s="23"/>
      <c r="D339" s="23"/>
      <c r="E339" s="23"/>
      <c r="F339" s="23"/>
      <c r="G339" s="28"/>
      <c r="H339" s="23"/>
    </row>
    <row r="340">
      <c r="A340" s="45"/>
      <c r="B340" s="23"/>
      <c r="C340" s="23"/>
      <c r="D340" s="23"/>
      <c r="E340" s="23"/>
      <c r="F340" s="23"/>
      <c r="G340" s="28"/>
      <c r="H340" s="23"/>
    </row>
    <row r="341">
      <c r="A341" s="45"/>
      <c r="B341" s="23"/>
      <c r="C341" s="23"/>
      <c r="D341" s="23"/>
      <c r="E341" s="23"/>
      <c r="F341" s="23"/>
      <c r="G341" s="28"/>
      <c r="H341" s="23"/>
    </row>
    <row r="342">
      <c r="A342" s="45"/>
      <c r="B342" s="23"/>
      <c r="C342" s="23"/>
      <c r="D342" s="23"/>
      <c r="E342" s="23"/>
      <c r="F342" s="23"/>
      <c r="G342" s="28"/>
      <c r="H342" s="23"/>
    </row>
    <row r="343">
      <c r="A343" s="45"/>
      <c r="B343" s="23"/>
      <c r="C343" s="23"/>
      <c r="D343" s="23"/>
      <c r="E343" s="23"/>
      <c r="F343" s="23"/>
      <c r="G343" s="28"/>
      <c r="H343" s="23"/>
    </row>
    <row r="344">
      <c r="A344" s="45"/>
      <c r="B344" s="23"/>
      <c r="C344" s="23"/>
      <c r="D344" s="23"/>
      <c r="E344" s="23"/>
      <c r="F344" s="23"/>
      <c r="G344" s="28"/>
      <c r="H344" s="23"/>
    </row>
    <row r="345">
      <c r="A345" s="45"/>
      <c r="B345" s="23"/>
      <c r="C345" s="23"/>
      <c r="D345" s="23"/>
      <c r="E345" s="23"/>
      <c r="F345" s="23"/>
      <c r="G345" s="28"/>
      <c r="H345" s="23"/>
    </row>
    <row r="346">
      <c r="A346" s="45"/>
      <c r="B346" s="23"/>
      <c r="C346" s="23"/>
      <c r="D346" s="23"/>
      <c r="E346" s="23"/>
      <c r="F346" s="23"/>
      <c r="G346" s="28"/>
      <c r="H346" s="23"/>
    </row>
    <row r="347">
      <c r="A347" s="45"/>
      <c r="B347" s="23"/>
      <c r="C347" s="23"/>
      <c r="D347" s="23"/>
      <c r="E347" s="23"/>
      <c r="F347" s="23"/>
      <c r="G347" s="28"/>
      <c r="H347" s="23"/>
    </row>
    <row r="348">
      <c r="A348" s="45"/>
      <c r="B348" s="23"/>
      <c r="C348" s="23"/>
      <c r="D348" s="23"/>
      <c r="E348" s="23"/>
      <c r="F348" s="23"/>
      <c r="G348" s="28"/>
      <c r="H348" s="23"/>
    </row>
    <row r="349">
      <c r="A349" s="45"/>
      <c r="B349" s="23"/>
      <c r="C349" s="23"/>
      <c r="D349" s="23"/>
      <c r="E349" s="23"/>
      <c r="F349" s="23"/>
      <c r="G349" s="28"/>
      <c r="H349" s="23"/>
    </row>
    <row r="350">
      <c r="A350" s="45"/>
      <c r="B350" s="23"/>
      <c r="C350" s="23"/>
      <c r="D350" s="23"/>
      <c r="E350" s="23"/>
      <c r="F350" s="23"/>
      <c r="G350" s="28"/>
      <c r="H350" s="23"/>
    </row>
    <row r="351">
      <c r="A351" s="45"/>
      <c r="B351" s="23"/>
      <c r="C351" s="23"/>
      <c r="D351" s="23"/>
      <c r="E351" s="23"/>
      <c r="F351" s="23"/>
      <c r="G351" s="28"/>
      <c r="H351" s="23"/>
    </row>
    <row r="352">
      <c r="A352" s="45"/>
      <c r="B352" s="23"/>
      <c r="C352" s="23"/>
      <c r="D352" s="23"/>
      <c r="E352" s="23"/>
      <c r="F352" s="23"/>
      <c r="G352" s="28"/>
      <c r="H352" s="23"/>
    </row>
    <row r="353">
      <c r="A353" s="45"/>
      <c r="B353" s="23"/>
      <c r="C353" s="23"/>
      <c r="D353" s="23"/>
      <c r="E353" s="23"/>
      <c r="F353" s="23"/>
      <c r="G353" s="28"/>
      <c r="H353" s="23"/>
    </row>
    <row r="354">
      <c r="A354" s="45"/>
      <c r="B354" s="23"/>
      <c r="C354" s="23"/>
      <c r="D354" s="23"/>
      <c r="E354" s="23"/>
      <c r="F354" s="23"/>
      <c r="G354" s="28"/>
      <c r="H354" s="23"/>
    </row>
    <row r="355">
      <c r="A355" s="45"/>
      <c r="B355" s="23"/>
      <c r="C355" s="23"/>
      <c r="D355" s="23"/>
      <c r="E355" s="23"/>
      <c r="F355" s="23"/>
      <c r="G355" s="28"/>
      <c r="H355" s="23"/>
    </row>
    <row r="356">
      <c r="A356" s="45"/>
      <c r="B356" s="23"/>
      <c r="C356" s="23"/>
      <c r="D356" s="23"/>
      <c r="E356" s="23"/>
      <c r="F356" s="23"/>
      <c r="G356" s="28"/>
      <c r="H356" s="23"/>
    </row>
    <row r="357">
      <c r="A357" s="45"/>
      <c r="B357" s="23"/>
      <c r="C357" s="23"/>
      <c r="D357" s="23"/>
      <c r="E357" s="23"/>
      <c r="F357" s="23"/>
      <c r="G357" s="28"/>
      <c r="H357" s="23"/>
    </row>
    <row r="358">
      <c r="A358" s="45"/>
      <c r="B358" s="23"/>
      <c r="C358" s="23"/>
      <c r="D358" s="23"/>
      <c r="E358" s="23"/>
      <c r="F358" s="23"/>
      <c r="G358" s="28"/>
      <c r="H358" s="23"/>
    </row>
    <row r="359">
      <c r="A359" s="45"/>
      <c r="B359" s="23"/>
      <c r="C359" s="23"/>
      <c r="D359" s="23"/>
      <c r="E359" s="23"/>
      <c r="F359" s="23"/>
      <c r="G359" s="28"/>
      <c r="H359" s="23"/>
    </row>
    <row r="360">
      <c r="A360" s="45"/>
      <c r="B360" s="23"/>
      <c r="C360" s="23"/>
      <c r="D360" s="23"/>
      <c r="E360" s="23"/>
      <c r="F360" s="23"/>
      <c r="G360" s="28"/>
      <c r="H360" s="23"/>
    </row>
    <row r="361">
      <c r="A361" s="45"/>
      <c r="B361" s="23"/>
      <c r="C361" s="23"/>
      <c r="D361" s="23"/>
      <c r="E361" s="23"/>
      <c r="F361" s="23"/>
      <c r="G361" s="28"/>
      <c r="H361" s="23"/>
    </row>
    <row r="362">
      <c r="A362" s="45"/>
      <c r="B362" s="23"/>
      <c r="C362" s="23"/>
      <c r="D362" s="23"/>
      <c r="E362" s="23"/>
      <c r="F362" s="23"/>
      <c r="G362" s="28"/>
      <c r="H362" s="23"/>
    </row>
    <row r="363">
      <c r="A363" s="45"/>
      <c r="B363" s="23"/>
      <c r="C363" s="23"/>
      <c r="D363" s="23"/>
      <c r="E363" s="23"/>
      <c r="F363" s="23"/>
      <c r="G363" s="28"/>
      <c r="H363" s="23"/>
    </row>
    <row r="364">
      <c r="A364" s="45"/>
      <c r="B364" s="23"/>
      <c r="C364" s="23"/>
      <c r="D364" s="23"/>
      <c r="E364" s="23"/>
      <c r="F364" s="23"/>
      <c r="G364" s="28"/>
      <c r="H364" s="23"/>
    </row>
    <row r="365">
      <c r="A365" s="45"/>
      <c r="B365" s="23"/>
      <c r="C365" s="23"/>
      <c r="D365" s="23"/>
      <c r="E365" s="23"/>
      <c r="F365" s="23"/>
      <c r="G365" s="28"/>
      <c r="H365" s="23"/>
    </row>
    <row r="366">
      <c r="A366" s="45"/>
      <c r="B366" s="23"/>
      <c r="C366" s="23"/>
      <c r="D366" s="23"/>
      <c r="E366" s="23"/>
      <c r="F366" s="23"/>
      <c r="G366" s="28"/>
      <c r="H366" s="23"/>
    </row>
    <row r="367">
      <c r="A367" s="45"/>
      <c r="B367" s="23"/>
      <c r="C367" s="23"/>
      <c r="D367" s="23"/>
      <c r="E367" s="23"/>
      <c r="F367" s="23"/>
      <c r="G367" s="28"/>
      <c r="H367" s="23"/>
    </row>
    <row r="368">
      <c r="A368" s="45"/>
      <c r="B368" s="23"/>
      <c r="C368" s="23"/>
      <c r="D368" s="23"/>
      <c r="E368" s="23"/>
      <c r="F368" s="23"/>
      <c r="G368" s="28"/>
      <c r="H368" s="23"/>
    </row>
    <row r="369">
      <c r="A369" s="45"/>
      <c r="B369" s="23"/>
      <c r="C369" s="23"/>
      <c r="D369" s="23"/>
      <c r="E369" s="23"/>
      <c r="F369" s="23"/>
      <c r="G369" s="28"/>
      <c r="H369" s="23"/>
    </row>
    <row r="370">
      <c r="A370" s="45"/>
      <c r="B370" s="23"/>
      <c r="C370" s="23"/>
      <c r="D370" s="23"/>
      <c r="E370" s="23"/>
      <c r="F370" s="23"/>
      <c r="G370" s="28"/>
      <c r="H370" s="23"/>
    </row>
    <row r="371">
      <c r="A371" s="45"/>
      <c r="B371" s="23"/>
      <c r="C371" s="23"/>
      <c r="D371" s="23"/>
      <c r="E371" s="23"/>
      <c r="F371" s="23"/>
      <c r="G371" s="28"/>
      <c r="H371" s="23"/>
    </row>
    <row r="372">
      <c r="A372" s="45"/>
      <c r="B372" s="23"/>
      <c r="C372" s="23"/>
      <c r="D372" s="23"/>
      <c r="E372" s="23"/>
      <c r="F372" s="23"/>
      <c r="G372" s="28"/>
      <c r="H372" s="23"/>
    </row>
    <row r="373">
      <c r="A373" s="45"/>
      <c r="B373" s="23"/>
      <c r="C373" s="23"/>
      <c r="D373" s="23"/>
      <c r="E373" s="23"/>
      <c r="F373" s="23"/>
      <c r="G373" s="28"/>
      <c r="H373" s="23"/>
    </row>
    <row r="374">
      <c r="A374" s="45"/>
      <c r="B374" s="23"/>
      <c r="C374" s="23"/>
      <c r="D374" s="23"/>
      <c r="E374" s="23"/>
      <c r="F374" s="23"/>
      <c r="G374" s="28"/>
      <c r="H374" s="23"/>
    </row>
    <row r="375">
      <c r="A375" s="45"/>
      <c r="B375" s="23"/>
      <c r="C375" s="23"/>
      <c r="D375" s="23"/>
      <c r="E375" s="23"/>
      <c r="F375" s="23"/>
      <c r="G375" s="28"/>
      <c r="H375" s="23"/>
    </row>
    <row r="376">
      <c r="A376" s="45"/>
      <c r="B376" s="23"/>
      <c r="C376" s="23"/>
      <c r="D376" s="23"/>
      <c r="E376" s="23"/>
      <c r="F376" s="23"/>
      <c r="G376" s="28"/>
      <c r="H376" s="23"/>
    </row>
    <row r="377">
      <c r="A377" s="45"/>
      <c r="B377" s="23"/>
      <c r="C377" s="23"/>
      <c r="D377" s="23"/>
      <c r="E377" s="23"/>
      <c r="F377" s="23"/>
      <c r="G377" s="28"/>
      <c r="H377" s="23"/>
    </row>
    <row r="378">
      <c r="A378" s="45"/>
      <c r="B378" s="23"/>
      <c r="C378" s="23"/>
      <c r="D378" s="23"/>
      <c r="E378" s="23"/>
      <c r="F378" s="23"/>
      <c r="G378" s="28"/>
      <c r="H378" s="23"/>
    </row>
    <row r="379">
      <c r="A379" s="45"/>
      <c r="B379" s="23"/>
      <c r="C379" s="23"/>
      <c r="D379" s="23"/>
      <c r="E379" s="23"/>
      <c r="F379" s="23"/>
      <c r="G379" s="28"/>
      <c r="H379" s="23"/>
    </row>
    <row r="380">
      <c r="A380" s="45"/>
      <c r="B380" s="23"/>
      <c r="C380" s="23"/>
      <c r="D380" s="23"/>
      <c r="E380" s="23"/>
      <c r="F380" s="23"/>
      <c r="G380" s="28"/>
      <c r="H380" s="23"/>
    </row>
    <row r="381">
      <c r="A381" s="45"/>
      <c r="B381" s="23"/>
      <c r="C381" s="23"/>
      <c r="D381" s="23"/>
      <c r="E381" s="23"/>
      <c r="F381" s="23"/>
      <c r="G381" s="28"/>
      <c r="H381" s="23"/>
    </row>
    <row r="382">
      <c r="A382" s="45"/>
      <c r="B382" s="23"/>
      <c r="C382" s="23"/>
      <c r="D382" s="23"/>
      <c r="E382" s="23"/>
      <c r="F382" s="23"/>
      <c r="G382" s="28"/>
      <c r="H382" s="23"/>
    </row>
    <row r="383">
      <c r="A383" s="45"/>
      <c r="B383" s="23"/>
      <c r="C383" s="23"/>
      <c r="D383" s="23"/>
      <c r="E383" s="23"/>
      <c r="F383" s="23"/>
      <c r="G383" s="28"/>
      <c r="H383" s="23"/>
    </row>
    <row r="384">
      <c r="A384" s="45"/>
      <c r="B384" s="23"/>
      <c r="C384" s="23"/>
      <c r="D384" s="23"/>
      <c r="E384" s="23"/>
      <c r="F384" s="23"/>
      <c r="G384" s="28"/>
      <c r="H384" s="23"/>
    </row>
    <row r="385">
      <c r="A385" s="45"/>
      <c r="B385" s="23"/>
      <c r="C385" s="23"/>
      <c r="D385" s="23"/>
      <c r="E385" s="23"/>
      <c r="F385" s="23"/>
      <c r="G385" s="28"/>
      <c r="H385" s="23"/>
    </row>
    <row r="386">
      <c r="A386" s="45"/>
      <c r="B386" s="23"/>
      <c r="C386" s="23"/>
      <c r="D386" s="23"/>
      <c r="E386" s="23"/>
      <c r="F386" s="23"/>
      <c r="G386" s="28"/>
      <c r="H386" s="23"/>
    </row>
    <row r="387">
      <c r="A387" s="45"/>
      <c r="B387" s="23"/>
      <c r="C387" s="23"/>
      <c r="D387" s="23"/>
      <c r="E387" s="23"/>
      <c r="F387" s="23"/>
      <c r="G387" s="28"/>
      <c r="H387" s="23"/>
    </row>
    <row r="388">
      <c r="A388" s="45"/>
      <c r="B388" s="23"/>
      <c r="C388" s="23"/>
      <c r="D388" s="23"/>
      <c r="E388" s="23"/>
      <c r="F388" s="23"/>
      <c r="G388" s="28"/>
      <c r="H388" s="23"/>
    </row>
    <row r="389">
      <c r="A389" s="45"/>
      <c r="B389" s="23"/>
      <c r="C389" s="23"/>
      <c r="D389" s="23"/>
      <c r="E389" s="23"/>
      <c r="F389" s="23"/>
      <c r="G389" s="28"/>
      <c r="H389" s="23"/>
    </row>
    <row r="390">
      <c r="A390" s="45"/>
      <c r="B390" s="23"/>
      <c r="C390" s="23"/>
      <c r="D390" s="23"/>
      <c r="E390" s="23"/>
      <c r="F390" s="23"/>
      <c r="G390" s="28"/>
      <c r="H390" s="23"/>
    </row>
    <row r="391">
      <c r="A391" s="45"/>
      <c r="B391" s="23"/>
      <c r="C391" s="23"/>
      <c r="D391" s="23"/>
      <c r="E391" s="23"/>
      <c r="F391" s="23"/>
      <c r="G391" s="28"/>
      <c r="H391" s="23"/>
    </row>
    <row r="392">
      <c r="A392" s="45"/>
      <c r="B392" s="23"/>
      <c r="C392" s="23"/>
      <c r="D392" s="23"/>
      <c r="E392" s="23"/>
      <c r="F392" s="23"/>
      <c r="G392" s="28"/>
      <c r="H392" s="23"/>
    </row>
    <row r="393">
      <c r="A393" s="45"/>
      <c r="B393" s="23"/>
      <c r="C393" s="23"/>
      <c r="D393" s="23"/>
      <c r="E393" s="23"/>
      <c r="F393" s="23"/>
      <c r="G393" s="28"/>
      <c r="H393" s="23"/>
    </row>
    <row r="394">
      <c r="A394" s="45"/>
      <c r="B394" s="23"/>
      <c r="C394" s="23"/>
      <c r="D394" s="23"/>
      <c r="E394" s="23"/>
      <c r="F394" s="23"/>
      <c r="G394" s="28"/>
      <c r="H394" s="23"/>
    </row>
    <row r="395">
      <c r="A395" s="45"/>
      <c r="B395" s="23"/>
      <c r="C395" s="23"/>
      <c r="D395" s="23"/>
      <c r="E395" s="23"/>
      <c r="F395" s="23"/>
      <c r="G395" s="28"/>
      <c r="H395" s="23"/>
    </row>
    <row r="396">
      <c r="A396" s="45"/>
      <c r="B396" s="23"/>
      <c r="C396" s="23"/>
      <c r="D396" s="23"/>
      <c r="E396" s="23"/>
      <c r="F396" s="23"/>
      <c r="G396" s="28"/>
      <c r="H396" s="23"/>
    </row>
    <row r="397">
      <c r="A397" s="45"/>
      <c r="B397" s="23"/>
      <c r="C397" s="23"/>
      <c r="D397" s="23"/>
      <c r="E397" s="23"/>
      <c r="F397" s="23"/>
      <c r="G397" s="28"/>
      <c r="H397" s="23"/>
    </row>
    <row r="398">
      <c r="A398" s="45"/>
      <c r="B398" s="23"/>
      <c r="C398" s="23"/>
      <c r="D398" s="23"/>
      <c r="E398" s="23"/>
      <c r="F398" s="23"/>
      <c r="G398" s="28"/>
      <c r="H398" s="23"/>
    </row>
    <row r="399">
      <c r="A399" s="45"/>
      <c r="B399" s="23"/>
      <c r="C399" s="23"/>
      <c r="D399" s="23"/>
      <c r="E399" s="23"/>
      <c r="F399" s="23"/>
      <c r="G399" s="28"/>
      <c r="H399" s="23"/>
    </row>
    <row r="400">
      <c r="A400" s="45"/>
      <c r="B400" s="23"/>
      <c r="C400" s="23"/>
      <c r="D400" s="23"/>
      <c r="E400" s="23"/>
      <c r="F400" s="23"/>
      <c r="G400" s="28"/>
      <c r="H400" s="23"/>
    </row>
    <row r="401">
      <c r="A401" s="45"/>
      <c r="B401" s="23"/>
      <c r="C401" s="23"/>
      <c r="D401" s="23"/>
      <c r="E401" s="23"/>
      <c r="F401" s="23"/>
      <c r="G401" s="28"/>
      <c r="H401" s="23"/>
    </row>
    <row r="402">
      <c r="A402" s="45"/>
      <c r="B402" s="23"/>
      <c r="C402" s="23"/>
      <c r="D402" s="23"/>
      <c r="E402" s="23"/>
      <c r="F402" s="23"/>
      <c r="G402" s="28"/>
      <c r="H402" s="23"/>
    </row>
    <row r="403">
      <c r="A403" s="45"/>
      <c r="B403" s="23"/>
      <c r="C403" s="23"/>
      <c r="D403" s="23"/>
      <c r="E403" s="23"/>
      <c r="F403" s="23"/>
      <c r="G403" s="28"/>
      <c r="H403" s="23"/>
    </row>
    <row r="404">
      <c r="A404" s="45"/>
      <c r="B404" s="23"/>
      <c r="C404" s="23"/>
      <c r="D404" s="23"/>
      <c r="E404" s="23"/>
      <c r="F404" s="23"/>
      <c r="G404" s="28"/>
      <c r="H404" s="23"/>
    </row>
    <row r="405">
      <c r="A405" s="45"/>
      <c r="B405" s="23"/>
      <c r="C405" s="23"/>
      <c r="D405" s="23"/>
      <c r="E405" s="23"/>
      <c r="F405" s="23"/>
      <c r="G405" s="28"/>
      <c r="H405" s="23"/>
    </row>
    <row r="406">
      <c r="A406" s="45"/>
      <c r="B406" s="23"/>
      <c r="C406" s="23"/>
      <c r="D406" s="23"/>
      <c r="E406" s="23"/>
      <c r="F406" s="23"/>
      <c r="G406" s="28"/>
      <c r="H406" s="23"/>
    </row>
    <row r="407">
      <c r="A407" s="45"/>
      <c r="B407" s="23"/>
      <c r="C407" s="23"/>
      <c r="D407" s="23"/>
      <c r="E407" s="23"/>
      <c r="F407" s="23"/>
      <c r="G407" s="28"/>
      <c r="H407" s="23"/>
    </row>
    <row r="408">
      <c r="A408" s="45"/>
      <c r="B408" s="23"/>
      <c r="C408" s="23"/>
      <c r="D408" s="23"/>
      <c r="E408" s="23"/>
      <c r="F408" s="23"/>
      <c r="G408" s="28"/>
      <c r="H408" s="23"/>
    </row>
    <row r="409">
      <c r="A409" s="45"/>
      <c r="B409" s="23"/>
      <c r="C409" s="23"/>
      <c r="D409" s="23"/>
      <c r="E409" s="23"/>
      <c r="F409" s="23"/>
      <c r="G409" s="28"/>
      <c r="H409" s="23"/>
    </row>
    <row r="410">
      <c r="A410" s="45"/>
      <c r="B410" s="23"/>
      <c r="C410" s="23"/>
      <c r="D410" s="23"/>
      <c r="E410" s="23"/>
      <c r="F410" s="23"/>
      <c r="G410" s="28"/>
      <c r="H410" s="23"/>
    </row>
    <row r="411">
      <c r="A411" s="45"/>
      <c r="B411" s="23"/>
      <c r="C411" s="23"/>
      <c r="D411" s="23"/>
      <c r="E411" s="23"/>
      <c r="F411" s="23"/>
      <c r="G411" s="28"/>
      <c r="H411" s="23"/>
    </row>
    <row r="412">
      <c r="A412" s="45"/>
      <c r="B412" s="23"/>
      <c r="C412" s="23"/>
      <c r="D412" s="23"/>
      <c r="E412" s="23"/>
      <c r="F412" s="23"/>
      <c r="G412" s="28"/>
      <c r="H412" s="23"/>
    </row>
    <row r="413">
      <c r="A413" s="45"/>
      <c r="B413" s="23"/>
      <c r="C413" s="23"/>
      <c r="D413" s="23"/>
      <c r="E413" s="23"/>
      <c r="F413" s="23"/>
      <c r="G413" s="28"/>
      <c r="H413" s="23"/>
    </row>
    <row r="414">
      <c r="A414" s="45"/>
      <c r="B414" s="23"/>
      <c r="C414" s="23"/>
      <c r="D414" s="23"/>
      <c r="E414" s="23"/>
      <c r="F414" s="23"/>
      <c r="G414" s="28"/>
      <c r="H414" s="23"/>
    </row>
    <row r="415">
      <c r="A415" s="45"/>
      <c r="B415" s="23"/>
      <c r="C415" s="23"/>
      <c r="D415" s="23"/>
      <c r="E415" s="23"/>
      <c r="F415" s="23"/>
      <c r="G415" s="28"/>
      <c r="H415" s="23"/>
    </row>
    <row r="416">
      <c r="A416" s="45"/>
      <c r="B416" s="23"/>
      <c r="C416" s="23"/>
      <c r="D416" s="23"/>
      <c r="E416" s="23"/>
      <c r="F416" s="23"/>
      <c r="G416" s="28"/>
      <c r="H416" s="23"/>
    </row>
    <row r="417">
      <c r="A417" s="45"/>
      <c r="B417" s="23"/>
      <c r="C417" s="23"/>
      <c r="D417" s="23"/>
      <c r="E417" s="23"/>
      <c r="F417" s="23"/>
      <c r="G417" s="28"/>
      <c r="H417" s="23"/>
    </row>
    <row r="418">
      <c r="A418" s="45"/>
      <c r="B418" s="23"/>
      <c r="C418" s="23"/>
      <c r="D418" s="23"/>
      <c r="E418" s="23"/>
      <c r="F418" s="23"/>
      <c r="G418" s="28"/>
      <c r="H418" s="23"/>
    </row>
    <row r="419">
      <c r="A419" s="45"/>
      <c r="B419" s="23"/>
      <c r="C419" s="23"/>
      <c r="D419" s="23"/>
      <c r="E419" s="23"/>
      <c r="F419" s="23"/>
      <c r="G419" s="28"/>
      <c r="H419" s="23"/>
    </row>
    <row r="420">
      <c r="A420" s="45"/>
      <c r="B420" s="23"/>
      <c r="C420" s="23"/>
      <c r="D420" s="23"/>
      <c r="E420" s="23"/>
      <c r="F420" s="23"/>
      <c r="G420" s="28"/>
      <c r="H420" s="23"/>
    </row>
    <row r="421">
      <c r="A421" s="45"/>
      <c r="B421" s="23"/>
      <c r="C421" s="23"/>
      <c r="D421" s="23"/>
      <c r="E421" s="23"/>
      <c r="F421" s="23"/>
      <c r="G421" s="28"/>
      <c r="H421" s="23"/>
    </row>
    <row r="422">
      <c r="A422" s="45"/>
      <c r="B422" s="23"/>
      <c r="C422" s="23"/>
      <c r="D422" s="23"/>
      <c r="E422" s="23"/>
      <c r="F422" s="23"/>
      <c r="G422" s="28"/>
      <c r="H422" s="23"/>
    </row>
    <row r="423">
      <c r="A423" s="45"/>
      <c r="B423" s="23"/>
      <c r="C423" s="23"/>
      <c r="D423" s="23"/>
      <c r="E423" s="23"/>
      <c r="F423" s="23"/>
      <c r="G423" s="28"/>
      <c r="H423" s="23"/>
    </row>
    <row r="424">
      <c r="A424" s="45"/>
      <c r="B424" s="23"/>
      <c r="C424" s="23"/>
      <c r="D424" s="23"/>
      <c r="E424" s="23"/>
      <c r="F424" s="23"/>
      <c r="G424" s="28"/>
      <c r="H424" s="23"/>
    </row>
    <row r="425">
      <c r="A425" s="45"/>
      <c r="B425" s="23"/>
      <c r="C425" s="23"/>
      <c r="D425" s="23"/>
      <c r="E425" s="23"/>
      <c r="F425" s="23"/>
      <c r="G425" s="28"/>
      <c r="H425" s="23"/>
    </row>
    <row r="426">
      <c r="A426" s="45"/>
      <c r="B426" s="23"/>
      <c r="C426" s="23"/>
      <c r="D426" s="23"/>
      <c r="E426" s="23"/>
      <c r="F426" s="23"/>
      <c r="G426" s="28"/>
      <c r="H426" s="23"/>
    </row>
    <row r="427">
      <c r="A427" s="45"/>
      <c r="B427" s="23"/>
      <c r="C427" s="23"/>
      <c r="D427" s="23"/>
      <c r="E427" s="23"/>
      <c r="F427" s="23"/>
      <c r="G427" s="28"/>
      <c r="H427" s="23"/>
    </row>
    <row r="428">
      <c r="A428" s="45"/>
      <c r="B428" s="23"/>
      <c r="C428" s="23"/>
      <c r="D428" s="23"/>
      <c r="E428" s="23"/>
      <c r="F428" s="23"/>
      <c r="G428" s="28"/>
      <c r="H428" s="23"/>
    </row>
    <row r="429">
      <c r="A429" s="45"/>
      <c r="B429" s="23"/>
      <c r="C429" s="23"/>
      <c r="D429" s="23"/>
      <c r="E429" s="23"/>
      <c r="F429" s="23"/>
      <c r="G429" s="28"/>
      <c r="H429" s="23"/>
    </row>
    <row r="430">
      <c r="A430" s="45"/>
      <c r="B430" s="23"/>
      <c r="C430" s="23"/>
      <c r="D430" s="23"/>
      <c r="E430" s="23"/>
      <c r="F430" s="23"/>
      <c r="G430" s="28"/>
      <c r="H430" s="23"/>
    </row>
    <row r="431">
      <c r="A431" s="45"/>
      <c r="B431" s="23"/>
      <c r="C431" s="23"/>
      <c r="D431" s="23"/>
      <c r="E431" s="23"/>
      <c r="F431" s="23"/>
      <c r="G431" s="28"/>
      <c r="H431" s="23"/>
    </row>
    <row r="432">
      <c r="A432" s="45"/>
      <c r="B432" s="23"/>
      <c r="C432" s="23"/>
      <c r="D432" s="23"/>
      <c r="E432" s="23"/>
      <c r="F432" s="23"/>
      <c r="G432" s="28"/>
      <c r="H432" s="23"/>
    </row>
    <row r="433">
      <c r="A433" s="45"/>
      <c r="B433" s="23"/>
      <c r="C433" s="23"/>
      <c r="D433" s="23"/>
      <c r="E433" s="23"/>
      <c r="F433" s="23"/>
      <c r="G433" s="28"/>
      <c r="H433" s="23"/>
    </row>
    <row r="434">
      <c r="A434" s="45"/>
      <c r="B434" s="23"/>
      <c r="C434" s="23"/>
      <c r="D434" s="23"/>
      <c r="E434" s="23"/>
      <c r="F434" s="23"/>
      <c r="G434" s="28"/>
      <c r="H434" s="23"/>
    </row>
    <row r="435">
      <c r="A435" s="45"/>
      <c r="B435" s="23"/>
      <c r="C435" s="23"/>
      <c r="D435" s="23"/>
      <c r="E435" s="23"/>
      <c r="F435" s="23"/>
      <c r="G435" s="28"/>
      <c r="H435" s="23"/>
    </row>
    <row r="436">
      <c r="A436" s="45"/>
      <c r="B436" s="23"/>
      <c r="C436" s="23"/>
      <c r="D436" s="23"/>
      <c r="E436" s="23"/>
      <c r="F436" s="23"/>
      <c r="G436" s="28"/>
      <c r="H436" s="23"/>
    </row>
    <row r="437">
      <c r="A437" s="45"/>
      <c r="B437" s="23"/>
      <c r="C437" s="23"/>
      <c r="D437" s="23"/>
      <c r="E437" s="23"/>
      <c r="F437" s="23"/>
      <c r="G437" s="28"/>
      <c r="H437" s="23"/>
    </row>
    <row r="438">
      <c r="A438" s="45"/>
      <c r="B438" s="23"/>
      <c r="C438" s="23"/>
      <c r="D438" s="23"/>
      <c r="E438" s="23"/>
      <c r="F438" s="23"/>
      <c r="G438" s="28"/>
      <c r="H438" s="23"/>
    </row>
    <row r="439">
      <c r="A439" s="45"/>
      <c r="B439" s="23"/>
      <c r="C439" s="23"/>
      <c r="D439" s="23"/>
      <c r="E439" s="23"/>
      <c r="F439" s="23"/>
      <c r="G439" s="28"/>
      <c r="H439" s="23"/>
    </row>
    <row r="440">
      <c r="A440" s="45"/>
      <c r="B440" s="23"/>
      <c r="C440" s="23"/>
      <c r="D440" s="23"/>
      <c r="E440" s="23"/>
      <c r="F440" s="23"/>
      <c r="G440" s="28"/>
      <c r="H440" s="23"/>
    </row>
    <row r="441">
      <c r="A441" s="45"/>
      <c r="B441" s="23"/>
      <c r="C441" s="23"/>
      <c r="D441" s="23"/>
      <c r="E441" s="23"/>
      <c r="F441" s="23"/>
      <c r="G441" s="28"/>
      <c r="H441" s="23"/>
    </row>
    <row r="442">
      <c r="A442" s="45"/>
      <c r="B442" s="23"/>
      <c r="C442" s="23"/>
      <c r="D442" s="23"/>
      <c r="E442" s="23"/>
      <c r="F442" s="23"/>
      <c r="G442" s="28"/>
      <c r="H442" s="23"/>
    </row>
    <row r="443">
      <c r="A443" s="45"/>
      <c r="B443" s="23"/>
      <c r="C443" s="23"/>
      <c r="D443" s="23"/>
      <c r="E443" s="23"/>
      <c r="F443" s="23"/>
      <c r="G443" s="28"/>
      <c r="H443" s="23"/>
    </row>
    <row r="444">
      <c r="A444" s="45"/>
      <c r="B444" s="23"/>
      <c r="C444" s="23"/>
      <c r="D444" s="23"/>
      <c r="E444" s="23"/>
      <c r="F444" s="23"/>
      <c r="G444" s="28"/>
      <c r="H444" s="23"/>
    </row>
    <row r="445">
      <c r="A445" s="45"/>
      <c r="B445" s="23"/>
      <c r="C445" s="23"/>
      <c r="D445" s="23"/>
      <c r="E445" s="23"/>
      <c r="F445" s="23"/>
      <c r="G445" s="28"/>
      <c r="H445" s="23"/>
    </row>
    <row r="446">
      <c r="A446" s="45"/>
      <c r="B446" s="23"/>
      <c r="C446" s="23"/>
      <c r="D446" s="23"/>
      <c r="E446" s="23"/>
      <c r="F446" s="23"/>
      <c r="G446" s="28"/>
      <c r="H446" s="23"/>
    </row>
    <row r="447">
      <c r="A447" s="45"/>
      <c r="B447" s="23"/>
      <c r="C447" s="23"/>
      <c r="D447" s="23"/>
      <c r="E447" s="23"/>
      <c r="F447" s="23"/>
      <c r="G447" s="28"/>
      <c r="H447" s="23"/>
    </row>
    <row r="448">
      <c r="A448" s="45"/>
      <c r="B448" s="23"/>
      <c r="C448" s="23"/>
      <c r="D448" s="23"/>
      <c r="E448" s="23"/>
      <c r="F448" s="23"/>
      <c r="G448" s="28"/>
      <c r="H448" s="23"/>
    </row>
    <row r="449">
      <c r="A449" s="45"/>
      <c r="B449" s="23"/>
      <c r="C449" s="23"/>
      <c r="D449" s="23"/>
      <c r="E449" s="23"/>
      <c r="F449" s="23"/>
      <c r="G449" s="28"/>
      <c r="H449" s="23"/>
    </row>
    <row r="450">
      <c r="A450" s="45"/>
      <c r="B450" s="23"/>
      <c r="C450" s="23"/>
      <c r="D450" s="23"/>
      <c r="E450" s="23"/>
      <c r="F450" s="23"/>
      <c r="G450" s="28"/>
      <c r="H450" s="23"/>
    </row>
    <row r="451">
      <c r="A451" s="45"/>
      <c r="B451" s="23"/>
      <c r="C451" s="23"/>
      <c r="D451" s="23"/>
      <c r="E451" s="23"/>
      <c r="F451" s="23"/>
      <c r="G451" s="28"/>
      <c r="H451" s="23"/>
    </row>
    <row r="452">
      <c r="A452" s="45"/>
      <c r="B452" s="23"/>
      <c r="C452" s="23"/>
      <c r="D452" s="23"/>
      <c r="E452" s="23"/>
      <c r="F452" s="23"/>
      <c r="G452" s="28"/>
      <c r="H452" s="23"/>
    </row>
    <row r="453">
      <c r="A453" s="45"/>
      <c r="B453" s="23"/>
      <c r="C453" s="23"/>
      <c r="D453" s="23"/>
      <c r="E453" s="23"/>
      <c r="F453" s="23"/>
      <c r="G453" s="28"/>
      <c r="H453" s="23"/>
    </row>
    <row r="454">
      <c r="A454" s="45"/>
      <c r="B454" s="23"/>
      <c r="C454" s="23"/>
      <c r="D454" s="23"/>
      <c r="E454" s="23"/>
      <c r="F454" s="23"/>
      <c r="G454" s="28"/>
      <c r="H454" s="23"/>
    </row>
    <row r="455">
      <c r="A455" s="45"/>
      <c r="B455" s="23"/>
      <c r="C455" s="23"/>
      <c r="D455" s="23"/>
      <c r="E455" s="23"/>
      <c r="F455" s="23"/>
      <c r="G455" s="28"/>
      <c r="H455" s="23"/>
    </row>
    <row r="456">
      <c r="A456" s="45"/>
      <c r="B456" s="23"/>
      <c r="C456" s="23"/>
      <c r="D456" s="23"/>
      <c r="E456" s="23"/>
      <c r="F456" s="23"/>
      <c r="G456" s="28"/>
      <c r="H456" s="23"/>
    </row>
    <row r="457">
      <c r="A457" s="45"/>
      <c r="B457" s="23"/>
      <c r="C457" s="23"/>
      <c r="D457" s="23"/>
      <c r="E457" s="23"/>
      <c r="F457" s="23"/>
      <c r="G457" s="28"/>
      <c r="H457" s="23"/>
    </row>
    <row r="458">
      <c r="A458" s="45"/>
      <c r="B458" s="23"/>
      <c r="C458" s="23"/>
      <c r="D458" s="23"/>
      <c r="E458" s="23"/>
      <c r="F458" s="23"/>
      <c r="G458" s="28"/>
      <c r="H458" s="23"/>
    </row>
    <row r="459">
      <c r="A459" s="45"/>
      <c r="B459" s="23"/>
      <c r="C459" s="23"/>
      <c r="D459" s="23"/>
      <c r="E459" s="23"/>
      <c r="F459" s="23"/>
      <c r="G459" s="28"/>
      <c r="H459" s="23"/>
    </row>
    <row r="460">
      <c r="A460" s="45"/>
      <c r="B460" s="23"/>
      <c r="C460" s="23"/>
      <c r="D460" s="23"/>
      <c r="E460" s="23"/>
      <c r="F460" s="23"/>
      <c r="G460" s="28"/>
      <c r="H460" s="23"/>
    </row>
    <row r="461">
      <c r="A461" s="45"/>
      <c r="B461" s="23"/>
      <c r="C461" s="23"/>
      <c r="D461" s="23"/>
      <c r="E461" s="23"/>
      <c r="F461" s="23"/>
      <c r="G461" s="28"/>
      <c r="H461" s="23"/>
    </row>
    <row r="462">
      <c r="A462" s="45"/>
      <c r="B462" s="23"/>
      <c r="C462" s="23"/>
      <c r="D462" s="23"/>
      <c r="E462" s="23"/>
      <c r="F462" s="23"/>
      <c r="G462" s="28"/>
      <c r="H462" s="23"/>
    </row>
    <row r="463">
      <c r="A463" s="45"/>
      <c r="B463" s="23"/>
      <c r="C463" s="23"/>
      <c r="D463" s="23"/>
      <c r="E463" s="23"/>
      <c r="F463" s="23"/>
      <c r="G463" s="28"/>
      <c r="H463" s="23"/>
    </row>
    <row r="464">
      <c r="A464" s="45"/>
      <c r="B464" s="23"/>
      <c r="C464" s="23"/>
      <c r="D464" s="23"/>
      <c r="E464" s="23"/>
      <c r="F464" s="23"/>
      <c r="G464" s="28"/>
      <c r="H464" s="23"/>
    </row>
    <row r="465">
      <c r="A465" s="45"/>
      <c r="B465" s="23"/>
      <c r="C465" s="23"/>
      <c r="D465" s="23"/>
      <c r="E465" s="23"/>
      <c r="F465" s="23"/>
      <c r="G465" s="28"/>
      <c r="H465" s="23"/>
    </row>
    <row r="466">
      <c r="A466" s="45"/>
      <c r="B466" s="23"/>
      <c r="C466" s="23"/>
      <c r="D466" s="23"/>
      <c r="E466" s="23"/>
      <c r="F466" s="23"/>
      <c r="G466" s="28"/>
      <c r="H466" s="23"/>
    </row>
    <row r="467">
      <c r="A467" s="45"/>
      <c r="B467" s="23"/>
      <c r="C467" s="23"/>
      <c r="D467" s="23"/>
      <c r="E467" s="23"/>
      <c r="F467" s="23"/>
      <c r="G467" s="28"/>
      <c r="H467" s="23"/>
    </row>
    <row r="468">
      <c r="A468" s="45"/>
      <c r="B468" s="23"/>
      <c r="C468" s="23"/>
      <c r="D468" s="23"/>
      <c r="E468" s="23"/>
      <c r="F468" s="23"/>
      <c r="G468" s="28"/>
      <c r="H468" s="23"/>
    </row>
    <row r="469">
      <c r="A469" s="45"/>
      <c r="B469" s="23"/>
      <c r="C469" s="23"/>
      <c r="D469" s="23"/>
      <c r="E469" s="23"/>
      <c r="F469" s="23"/>
      <c r="G469" s="28"/>
      <c r="H469" s="23"/>
    </row>
    <row r="470">
      <c r="A470" s="45"/>
      <c r="B470" s="23"/>
      <c r="C470" s="23"/>
      <c r="D470" s="23"/>
      <c r="E470" s="23"/>
      <c r="F470" s="23"/>
      <c r="G470" s="28"/>
      <c r="H470" s="23"/>
    </row>
    <row r="471">
      <c r="A471" s="45"/>
      <c r="B471" s="23"/>
      <c r="C471" s="23"/>
      <c r="D471" s="23"/>
      <c r="E471" s="23"/>
      <c r="F471" s="23"/>
      <c r="G471" s="28"/>
      <c r="H471" s="23"/>
    </row>
    <row r="472">
      <c r="A472" s="45"/>
      <c r="B472" s="23"/>
      <c r="C472" s="23"/>
      <c r="D472" s="23"/>
      <c r="E472" s="23"/>
      <c r="F472" s="23"/>
      <c r="G472" s="28"/>
      <c r="H472" s="23"/>
    </row>
    <row r="473">
      <c r="A473" s="45"/>
      <c r="B473" s="23"/>
      <c r="C473" s="23"/>
      <c r="D473" s="23"/>
      <c r="E473" s="23"/>
      <c r="F473" s="23"/>
      <c r="G473" s="28"/>
      <c r="H473" s="23"/>
    </row>
    <row r="474">
      <c r="A474" s="45"/>
      <c r="B474" s="23"/>
      <c r="C474" s="23"/>
      <c r="D474" s="23"/>
      <c r="E474" s="23"/>
      <c r="F474" s="23"/>
      <c r="G474" s="28"/>
      <c r="H474" s="23"/>
    </row>
    <row r="475">
      <c r="A475" s="45"/>
      <c r="B475" s="23"/>
      <c r="C475" s="23"/>
      <c r="D475" s="23"/>
      <c r="E475" s="23"/>
      <c r="F475" s="23"/>
      <c r="G475" s="28"/>
      <c r="H475" s="23"/>
    </row>
    <row r="476">
      <c r="A476" s="45"/>
      <c r="B476" s="23"/>
      <c r="C476" s="23"/>
      <c r="D476" s="23"/>
      <c r="E476" s="23"/>
      <c r="F476" s="23"/>
      <c r="G476" s="28"/>
      <c r="H476" s="23"/>
    </row>
    <row r="477">
      <c r="A477" s="45"/>
      <c r="B477" s="23"/>
      <c r="C477" s="23"/>
      <c r="D477" s="23"/>
      <c r="E477" s="23"/>
      <c r="F477" s="23"/>
      <c r="G477" s="28"/>
      <c r="H477" s="23"/>
    </row>
    <row r="478">
      <c r="A478" s="45"/>
      <c r="B478" s="23"/>
      <c r="C478" s="23"/>
      <c r="D478" s="23"/>
      <c r="E478" s="23"/>
      <c r="F478" s="23"/>
      <c r="G478" s="28"/>
      <c r="H478" s="23"/>
    </row>
    <row r="479">
      <c r="A479" s="45"/>
      <c r="B479" s="23"/>
      <c r="C479" s="23"/>
      <c r="D479" s="23"/>
      <c r="E479" s="23"/>
      <c r="F479" s="23"/>
      <c r="G479" s="28"/>
      <c r="H479" s="23"/>
    </row>
    <row r="480">
      <c r="A480" s="45"/>
      <c r="B480" s="23"/>
      <c r="C480" s="23"/>
      <c r="D480" s="23"/>
      <c r="E480" s="23"/>
      <c r="F480" s="23"/>
      <c r="G480" s="28"/>
      <c r="H480" s="23"/>
    </row>
    <row r="481">
      <c r="A481" s="45"/>
      <c r="B481" s="23"/>
      <c r="C481" s="23"/>
      <c r="D481" s="23"/>
      <c r="E481" s="23"/>
      <c r="F481" s="23"/>
      <c r="G481" s="28"/>
      <c r="H481" s="23"/>
    </row>
    <row r="482">
      <c r="A482" s="45"/>
      <c r="B482" s="23"/>
      <c r="C482" s="23"/>
      <c r="D482" s="23"/>
      <c r="E482" s="23"/>
      <c r="F482" s="23"/>
      <c r="G482" s="28"/>
      <c r="H482" s="23"/>
    </row>
    <row r="483">
      <c r="A483" s="45"/>
      <c r="B483" s="23"/>
      <c r="C483" s="23"/>
      <c r="D483" s="23"/>
      <c r="E483" s="23"/>
      <c r="F483" s="23"/>
      <c r="G483" s="28"/>
      <c r="H483" s="23"/>
    </row>
    <row r="484">
      <c r="A484" s="45"/>
      <c r="B484" s="23"/>
      <c r="C484" s="23"/>
      <c r="D484" s="23"/>
      <c r="E484" s="23"/>
      <c r="F484" s="23"/>
      <c r="G484" s="28"/>
      <c r="H484" s="23"/>
    </row>
    <row r="485">
      <c r="A485" s="45"/>
      <c r="B485" s="23"/>
      <c r="C485" s="23"/>
      <c r="D485" s="23"/>
      <c r="E485" s="23"/>
      <c r="F485" s="23"/>
      <c r="G485" s="28"/>
      <c r="H485" s="23"/>
    </row>
    <row r="486">
      <c r="A486" s="45"/>
      <c r="B486" s="23"/>
      <c r="C486" s="23"/>
      <c r="D486" s="23"/>
      <c r="E486" s="23"/>
      <c r="F486" s="23"/>
      <c r="G486" s="28"/>
      <c r="H486" s="23"/>
    </row>
    <row r="487">
      <c r="A487" s="45"/>
      <c r="B487" s="23"/>
      <c r="C487" s="23"/>
      <c r="D487" s="23"/>
      <c r="E487" s="23"/>
      <c r="F487" s="23"/>
      <c r="G487" s="28"/>
      <c r="H487" s="23"/>
    </row>
    <row r="488">
      <c r="A488" s="45"/>
      <c r="B488" s="23"/>
      <c r="C488" s="23"/>
      <c r="D488" s="23"/>
      <c r="E488" s="23"/>
      <c r="F488" s="23"/>
      <c r="G488" s="28"/>
      <c r="H488" s="23"/>
    </row>
    <row r="489">
      <c r="A489" s="45"/>
      <c r="B489" s="23"/>
      <c r="C489" s="23"/>
      <c r="D489" s="23"/>
      <c r="E489" s="23"/>
      <c r="F489" s="23"/>
      <c r="G489" s="28"/>
      <c r="H489" s="23"/>
    </row>
    <row r="490">
      <c r="A490" s="45"/>
      <c r="B490" s="23"/>
      <c r="C490" s="23"/>
      <c r="D490" s="23"/>
      <c r="E490" s="23"/>
      <c r="F490" s="23"/>
      <c r="G490" s="28"/>
      <c r="H490" s="23"/>
    </row>
    <row r="491">
      <c r="A491" s="45"/>
      <c r="B491" s="23"/>
      <c r="C491" s="23"/>
      <c r="D491" s="23"/>
      <c r="E491" s="23"/>
      <c r="F491" s="23"/>
      <c r="G491" s="28"/>
      <c r="H491" s="23"/>
    </row>
    <row r="492">
      <c r="A492" s="45"/>
      <c r="B492" s="23"/>
      <c r="C492" s="23"/>
      <c r="D492" s="23"/>
      <c r="E492" s="23"/>
      <c r="F492" s="23"/>
      <c r="G492" s="28"/>
      <c r="H492" s="23"/>
    </row>
    <row r="493">
      <c r="A493" s="45"/>
      <c r="B493" s="23"/>
      <c r="C493" s="23"/>
      <c r="D493" s="23"/>
      <c r="E493" s="23"/>
      <c r="F493" s="23"/>
      <c r="G493" s="28"/>
      <c r="H493" s="23"/>
    </row>
    <row r="494">
      <c r="A494" s="45"/>
      <c r="B494" s="23"/>
      <c r="C494" s="23"/>
      <c r="D494" s="23"/>
      <c r="E494" s="23"/>
      <c r="F494" s="23"/>
      <c r="G494" s="28"/>
      <c r="H494" s="23"/>
    </row>
    <row r="495">
      <c r="A495" s="45"/>
      <c r="B495" s="23"/>
      <c r="C495" s="23"/>
      <c r="D495" s="23"/>
      <c r="E495" s="23"/>
      <c r="F495" s="23"/>
      <c r="G495" s="28"/>
      <c r="H495" s="23"/>
    </row>
    <row r="496">
      <c r="A496" s="45"/>
      <c r="B496" s="23"/>
      <c r="C496" s="23"/>
      <c r="D496" s="23"/>
      <c r="E496" s="23"/>
      <c r="F496" s="23"/>
      <c r="G496" s="28"/>
      <c r="H496" s="23"/>
    </row>
    <row r="497">
      <c r="A497" s="45"/>
      <c r="B497" s="23"/>
      <c r="C497" s="23"/>
      <c r="D497" s="23"/>
      <c r="E497" s="23"/>
      <c r="F497" s="23"/>
      <c r="G497" s="28"/>
      <c r="H497" s="23"/>
    </row>
    <row r="498">
      <c r="A498" s="45"/>
      <c r="B498" s="23"/>
      <c r="C498" s="23"/>
      <c r="D498" s="23"/>
      <c r="E498" s="23"/>
      <c r="F498" s="23"/>
      <c r="G498" s="28"/>
      <c r="H498" s="23"/>
    </row>
    <row r="499">
      <c r="A499" s="45"/>
      <c r="B499" s="23"/>
      <c r="C499" s="23"/>
      <c r="D499" s="23"/>
      <c r="E499" s="23"/>
      <c r="F499" s="23"/>
      <c r="G499" s="28"/>
      <c r="H499" s="23"/>
    </row>
    <row r="500">
      <c r="A500" s="45"/>
      <c r="B500" s="23"/>
      <c r="C500" s="23"/>
      <c r="D500" s="23"/>
      <c r="E500" s="23"/>
      <c r="F500" s="23"/>
      <c r="G500" s="28"/>
      <c r="H500" s="23"/>
    </row>
    <row r="501">
      <c r="A501" s="45"/>
      <c r="B501" s="23"/>
      <c r="C501" s="23"/>
      <c r="D501" s="23"/>
      <c r="E501" s="23"/>
      <c r="F501" s="23"/>
      <c r="G501" s="28"/>
      <c r="H501" s="23"/>
    </row>
    <row r="502">
      <c r="A502" s="45"/>
      <c r="B502" s="23"/>
      <c r="C502" s="23"/>
      <c r="D502" s="23"/>
      <c r="E502" s="23"/>
      <c r="F502" s="23"/>
      <c r="G502" s="28"/>
      <c r="H502" s="23"/>
    </row>
    <row r="503">
      <c r="A503" s="45"/>
      <c r="B503" s="23"/>
      <c r="C503" s="23"/>
      <c r="D503" s="23"/>
      <c r="E503" s="23"/>
      <c r="F503" s="23"/>
      <c r="G503" s="28"/>
      <c r="H503" s="23"/>
    </row>
    <row r="504">
      <c r="A504" s="45"/>
      <c r="B504" s="23"/>
      <c r="C504" s="23"/>
      <c r="D504" s="23"/>
      <c r="E504" s="23"/>
      <c r="F504" s="23"/>
      <c r="G504" s="28"/>
      <c r="H504" s="23"/>
    </row>
    <row r="505">
      <c r="A505" s="45"/>
      <c r="B505" s="23"/>
      <c r="C505" s="23"/>
      <c r="D505" s="23"/>
      <c r="E505" s="23"/>
      <c r="F505" s="23"/>
      <c r="G505" s="28"/>
      <c r="H505" s="23"/>
    </row>
    <row r="506">
      <c r="A506" s="45"/>
      <c r="B506" s="23"/>
      <c r="C506" s="23"/>
      <c r="D506" s="23"/>
      <c r="E506" s="23"/>
      <c r="F506" s="23"/>
      <c r="G506" s="28"/>
      <c r="H506" s="23"/>
    </row>
    <row r="507">
      <c r="A507" s="45"/>
      <c r="B507" s="23"/>
      <c r="C507" s="23"/>
      <c r="D507" s="23"/>
      <c r="E507" s="23"/>
      <c r="F507" s="23"/>
      <c r="G507" s="28"/>
      <c r="H507" s="23"/>
    </row>
    <row r="508">
      <c r="A508" s="45"/>
      <c r="B508" s="23"/>
      <c r="C508" s="23"/>
      <c r="D508" s="23"/>
      <c r="E508" s="23"/>
      <c r="F508" s="23"/>
      <c r="G508" s="28"/>
      <c r="H508" s="23"/>
    </row>
    <row r="509">
      <c r="A509" s="45"/>
      <c r="B509" s="23"/>
      <c r="C509" s="23"/>
      <c r="D509" s="23"/>
      <c r="E509" s="23"/>
      <c r="F509" s="23"/>
      <c r="G509" s="28"/>
      <c r="H509" s="23"/>
    </row>
    <row r="510">
      <c r="A510" s="45"/>
      <c r="B510" s="23"/>
      <c r="C510" s="23"/>
      <c r="D510" s="23"/>
      <c r="E510" s="23"/>
      <c r="F510" s="23"/>
      <c r="G510" s="28"/>
      <c r="H510" s="23"/>
    </row>
    <row r="511">
      <c r="A511" s="45"/>
      <c r="B511" s="23"/>
      <c r="C511" s="23"/>
      <c r="D511" s="23"/>
      <c r="E511" s="23"/>
      <c r="F511" s="23"/>
      <c r="G511" s="28"/>
      <c r="H511" s="23"/>
    </row>
    <row r="512">
      <c r="A512" s="45"/>
      <c r="B512" s="23"/>
      <c r="C512" s="23"/>
      <c r="D512" s="23"/>
      <c r="E512" s="23"/>
      <c r="F512" s="23"/>
      <c r="G512" s="28"/>
      <c r="H512" s="23"/>
    </row>
    <row r="513">
      <c r="A513" s="45"/>
      <c r="B513" s="23"/>
      <c r="C513" s="23"/>
      <c r="D513" s="23"/>
      <c r="E513" s="23"/>
      <c r="F513" s="23"/>
      <c r="G513" s="28"/>
      <c r="H513" s="23"/>
    </row>
    <row r="514">
      <c r="A514" s="45"/>
      <c r="B514" s="23"/>
      <c r="C514" s="23"/>
      <c r="D514" s="23"/>
      <c r="E514" s="23"/>
      <c r="F514" s="23"/>
      <c r="G514" s="28"/>
      <c r="H514" s="23"/>
    </row>
    <row r="515">
      <c r="A515" s="45"/>
      <c r="B515" s="23"/>
      <c r="C515" s="23"/>
      <c r="D515" s="23"/>
      <c r="E515" s="23"/>
      <c r="F515" s="23"/>
      <c r="G515" s="28"/>
      <c r="H515" s="23"/>
    </row>
    <row r="516">
      <c r="A516" s="45"/>
      <c r="B516" s="23"/>
      <c r="C516" s="23"/>
      <c r="D516" s="23"/>
      <c r="E516" s="23"/>
      <c r="F516" s="23"/>
      <c r="G516" s="28"/>
      <c r="H516" s="23"/>
    </row>
    <row r="517">
      <c r="A517" s="45"/>
      <c r="B517" s="23"/>
      <c r="C517" s="23"/>
      <c r="D517" s="23"/>
      <c r="E517" s="23"/>
      <c r="F517" s="23"/>
      <c r="G517" s="28"/>
      <c r="H517" s="23"/>
    </row>
    <row r="518">
      <c r="A518" s="45"/>
      <c r="B518" s="23"/>
      <c r="C518" s="23"/>
      <c r="D518" s="23"/>
      <c r="E518" s="23"/>
      <c r="F518" s="23"/>
      <c r="G518" s="28"/>
      <c r="H518" s="23"/>
    </row>
    <row r="519">
      <c r="A519" s="45"/>
      <c r="B519" s="23"/>
      <c r="C519" s="23"/>
      <c r="D519" s="23"/>
      <c r="E519" s="23"/>
      <c r="F519" s="23"/>
      <c r="G519" s="28"/>
      <c r="H519" s="23"/>
    </row>
    <row r="520">
      <c r="A520" s="45"/>
      <c r="B520" s="23"/>
      <c r="C520" s="23"/>
      <c r="D520" s="23"/>
      <c r="E520" s="23"/>
      <c r="F520" s="23"/>
      <c r="G520" s="28"/>
      <c r="H520" s="23"/>
    </row>
    <row r="521">
      <c r="A521" s="45"/>
      <c r="B521" s="23"/>
      <c r="C521" s="23"/>
      <c r="D521" s="23"/>
      <c r="E521" s="23"/>
      <c r="F521" s="23"/>
      <c r="G521" s="28"/>
      <c r="H521" s="23"/>
    </row>
    <row r="522">
      <c r="A522" s="45"/>
      <c r="B522" s="23"/>
      <c r="C522" s="23"/>
      <c r="D522" s="23"/>
      <c r="E522" s="23"/>
      <c r="F522" s="23"/>
      <c r="G522" s="28"/>
      <c r="H522" s="23"/>
    </row>
    <row r="523">
      <c r="A523" s="45"/>
      <c r="B523" s="23"/>
      <c r="C523" s="23"/>
      <c r="D523" s="23"/>
      <c r="E523" s="23"/>
      <c r="F523" s="23"/>
      <c r="G523" s="28"/>
      <c r="H523" s="23"/>
    </row>
    <row r="524">
      <c r="A524" s="45"/>
      <c r="B524" s="23"/>
      <c r="C524" s="23"/>
      <c r="D524" s="23"/>
      <c r="E524" s="23"/>
      <c r="F524" s="23"/>
      <c r="G524" s="28"/>
      <c r="H524" s="23"/>
    </row>
    <row r="525">
      <c r="A525" s="45"/>
      <c r="B525" s="23"/>
      <c r="C525" s="23"/>
      <c r="D525" s="23"/>
      <c r="E525" s="23"/>
      <c r="F525" s="23"/>
      <c r="G525" s="28"/>
      <c r="H525" s="23"/>
    </row>
    <row r="526">
      <c r="A526" s="45"/>
      <c r="B526" s="23"/>
      <c r="C526" s="23"/>
      <c r="D526" s="23"/>
      <c r="E526" s="23"/>
      <c r="F526" s="23"/>
      <c r="G526" s="28"/>
      <c r="H526" s="23"/>
    </row>
    <row r="527">
      <c r="A527" s="45"/>
      <c r="B527" s="23"/>
      <c r="C527" s="23"/>
      <c r="D527" s="23"/>
      <c r="E527" s="23"/>
      <c r="F527" s="23"/>
      <c r="G527" s="28"/>
      <c r="H527" s="23"/>
    </row>
    <row r="528">
      <c r="A528" s="45"/>
      <c r="B528" s="23"/>
      <c r="C528" s="23"/>
      <c r="D528" s="23"/>
      <c r="E528" s="23"/>
      <c r="F528" s="23"/>
      <c r="G528" s="28"/>
      <c r="H528" s="23"/>
    </row>
    <row r="529">
      <c r="A529" s="45"/>
      <c r="B529" s="23"/>
      <c r="C529" s="23"/>
      <c r="D529" s="23"/>
      <c r="E529" s="23"/>
      <c r="F529" s="23"/>
      <c r="G529" s="28"/>
      <c r="H529" s="23"/>
    </row>
    <row r="530">
      <c r="A530" s="45"/>
      <c r="B530" s="23"/>
      <c r="C530" s="23"/>
      <c r="D530" s="23"/>
      <c r="E530" s="23"/>
      <c r="F530" s="23"/>
      <c r="G530" s="28"/>
      <c r="H530" s="23"/>
    </row>
    <row r="531">
      <c r="A531" s="45"/>
      <c r="B531" s="23"/>
      <c r="C531" s="23"/>
      <c r="D531" s="23"/>
      <c r="E531" s="23"/>
      <c r="F531" s="23"/>
      <c r="G531" s="28"/>
      <c r="H531" s="23"/>
    </row>
    <row r="532">
      <c r="A532" s="45"/>
      <c r="B532" s="23"/>
      <c r="C532" s="23"/>
      <c r="D532" s="23"/>
      <c r="E532" s="23"/>
      <c r="F532" s="23"/>
      <c r="G532" s="28"/>
      <c r="H532" s="23"/>
    </row>
    <row r="533">
      <c r="A533" s="45"/>
      <c r="B533" s="23"/>
      <c r="C533" s="23"/>
      <c r="D533" s="23"/>
      <c r="E533" s="23"/>
      <c r="F533" s="23"/>
      <c r="G533" s="28"/>
      <c r="H533" s="23"/>
    </row>
    <row r="534">
      <c r="A534" s="45"/>
      <c r="B534" s="23"/>
      <c r="C534" s="23"/>
      <c r="D534" s="23"/>
      <c r="E534" s="23"/>
      <c r="F534" s="23"/>
      <c r="G534" s="28"/>
      <c r="H534" s="23"/>
    </row>
    <row r="535">
      <c r="A535" s="45"/>
      <c r="B535" s="23"/>
      <c r="C535" s="23"/>
      <c r="D535" s="23"/>
      <c r="E535" s="23"/>
      <c r="F535" s="23"/>
      <c r="G535" s="28"/>
      <c r="H535" s="23"/>
    </row>
    <row r="536">
      <c r="A536" s="45"/>
      <c r="B536" s="23"/>
      <c r="C536" s="23"/>
      <c r="D536" s="23"/>
      <c r="E536" s="23"/>
      <c r="F536" s="23"/>
      <c r="G536" s="28"/>
      <c r="H536" s="23"/>
    </row>
    <row r="537">
      <c r="A537" s="45"/>
      <c r="B537" s="23"/>
      <c r="C537" s="23"/>
      <c r="D537" s="23"/>
      <c r="E537" s="23"/>
      <c r="F537" s="23"/>
      <c r="G537" s="28"/>
      <c r="H537" s="23"/>
    </row>
    <row r="538">
      <c r="A538" s="45"/>
      <c r="B538" s="23"/>
      <c r="C538" s="23"/>
      <c r="D538" s="23"/>
      <c r="E538" s="23"/>
      <c r="F538" s="23"/>
      <c r="G538" s="28"/>
      <c r="H538" s="23"/>
    </row>
    <row r="539">
      <c r="A539" s="45"/>
      <c r="B539" s="23"/>
      <c r="C539" s="23"/>
      <c r="D539" s="23"/>
      <c r="E539" s="23"/>
      <c r="F539" s="23"/>
      <c r="G539" s="28"/>
      <c r="H539" s="23"/>
    </row>
    <row r="540">
      <c r="A540" s="45"/>
      <c r="B540" s="23"/>
      <c r="C540" s="23"/>
      <c r="D540" s="23"/>
      <c r="E540" s="23"/>
      <c r="F540" s="23"/>
      <c r="G540" s="28"/>
      <c r="H540" s="23"/>
    </row>
    <row r="541">
      <c r="A541" s="45"/>
      <c r="B541" s="23"/>
      <c r="C541" s="23"/>
      <c r="D541" s="23"/>
      <c r="E541" s="23"/>
      <c r="F541" s="23"/>
      <c r="G541" s="28"/>
      <c r="H541" s="23"/>
    </row>
    <row r="542">
      <c r="A542" s="45"/>
      <c r="B542" s="23"/>
      <c r="C542" s="23"/>
      <c r="D542" s="23"/>
      <c r="E542" s="23"/>
      <c r="F542" s="23"/>
      <c r="G542" s="28"/>
      <c r="H542" s="23"/>
    </row>
    <row r="543">
      <c r="A543" s="45"/>
      <c r="B543" s="23"/>
      <c r="C543" s="23"/>
      <c r="D543" s="23"/>
      <c r="E543" s="23"/>
      <c r="F543" s="23"/>
      <c r="G543" s="28"/>
      <c r="H543" s="23"/>
    </row>
    <row r="544">
      <c r="A544" s="45"/>
      <c r="B544" s="23"/>
      <c r="C544" s="23"/>
      <c r="D544" s="23"/>
      <c r="E544" s="23"/>
      <c r="F544" s="23"/>
      <c r="G544" s="28"/>
      <c r="H544" s="23"/>
    </row>
    <row r="545">
      <c r="A545" s="45"/>
      <c r="B545" s="23"/>
      <c r="C545" s="23"/>
      <c r="D545" s="23"/>
      <c r="E545" s="23"/>
      <c r="F545" s="23"/>
      <c r="G545" s="28"/>
      <c r="H545" s="23"/>
    </row>
    <row r="546">
      <c r="A546" s="45"/>
      <c r="B546" s="23"/>
      <c r="C546" s="23"/>
      <c r="D546" s="23"/>
      <c r="E546" s="23"/>
      <c r="F546" s="23"/>
      <c r="G546" s="28"/>
      <c r="H546" s="23"/>
    </row>
    <row r="547">
      <c r="A547" s="45"/>
      <c r="B547" s="23"/>
      <c r="C547" s="23"/>
      <c r="D547" s="23"/>
      <c r="E547" s="23"/>
      <c r="F547" s="23"/>
      <c r="G547" s="28"/>
      <c r="H547" s="23"/>
    </row>
    <row r="548">
      <c r="A548" s="45"/>
      <c r="B548" s="23"/>
      <c r="C548" s="23"/>
      <c r="D548" s="23"/>
      <c r="E548" s="23"/>
      <c r="F548" s="23"/>
      <c r="G548" s="28"/>
      <c r="H548" s="23"/>
    </row>
    <row r="549">
      <c r="A549" s="45"/>
      <c r="B549" s="23"/>
      <c r="C549" s="23"/>
      <c r="D549" s="23"/>
      <c r="E549" s="23"/>
      <c r="F549" s="23"/>
      <c r="G549" s="28"/>
      <c r="H549" s="23"/>
    </row>
    <row r="550">
      <c r="A550" s="45"/>
      <c r="B550" s="23"/>
      <c r="C550" s="23"/>
      <c r="D550" s="23"/>
      <c r="E550" s="23"/>
      <c r="F550" s="23"/>
      <c r="G550" s="28"/>
      <c r="H550" s="23"/>
    </row>
    <row r="551">
      <c r="A551" s="45"/>
      <c r="B551" s="23"/>
      <c r="C551" s="23"/>
      <c r="D551" s="23"/>
      <c r="E551" s="23"/>
      <c r="F551" s="23"/>
      <c r="G551" s="28"/>
      <c r="H551" s="23"/>
    </row>
    <row r="552">
      <c r="A552" s="45"/>
      <c r="B552" s="23"/>
      <c r="C552" s="23"/>
      <c r="D552" s="23"/>
      <c r="E552" s="23"/>
      <c r="F552" s="23"/>
      <c r="G552" s="28"/>
      <c r="H552" s="23"/>
    </row>
    <row r="553">
      <c r="A553" s="45"/>
      <c r="B553" s="23"/>
      <c r="C553" s="23"/>
      <c r="D553" s="23"/>
      <c r="E553" s="23"/>
      <c r="F553" s="23"/>
      <c r="G553" s="28"/>
      <c r="H553" s="23"/>
    </row>
    <row r="554">
      <c r="A554" s="45"/>
      <c r="B554" s="23"/>
      <c r="C554" s="23"/>
      <c r="D554" s="23"/>
      <c r="E554" s="23"/>
      <c r="F554" s="23"/>
      <c r="G554" s="28"/>
      <c r="H554" s="23"/>
    </row>
    <row r="555">
      <c r="A555" s="45"/>
      <c r="B555" s="23"/>
      <c r="C555" s="23"/>
      <c r="D555" s="23"/>
      <c r="E555" s="23"/>
      <c r="F555" s="23"/>
      <c r="G555" s="28"/>
      <c r="H555" s="23"/>
    </row>
    <row r="556">
      <c r="A556" s="45"/>
      <c r="B556" s="23"/>
      <c r="C556" s="23"/>
      <c r="D556" s="23"/>
      <c r="E556" s="23"/>
      <c r="F556" s="23"/>
      <c r="G556" s="28"/>
      <c r="H556" s="23"/>
    </row>
    <row r="557">
      <c r="A557" s="45"/>
      <c r="B557" s="23"/>
      <c r="C557" s="23"/>
      <c r="D557" s="23"/>
      <c r="E557" s="23"/>
      <c r="F557" s="23"/>
      <c r="G557" s="28"/>
      <c r="H557" s="23"/>
    </row>
    <row r="558">
      <c r="A558" s="45"/>
      <c r="B558" s="23"/>
      <c r="C558" s="23"/>
      <c r="D558" s="23"/>
      <c r="E558" s="23"/>
      <c r="F558" s="23"/>
      <c r="G558" s="28"/>
      <c r="H558" s="23"/>
    </row>
    <row r="559">
      <c r="A559" s="45"/>
      <c r="B559" s="23"/>
      <c r="C559" s="23"/>
      <c r="D559" s="23"/>
      <c r="E559" s="23"/>
      <c r="F559" s="23"/>
      <c r="G559" s="28"/>
      <c r="H559" s="23"/>
    </row>
    <row r="560">
      <c r="A560" s="45"/>
      <c r="B560" s="23"/>
      <c r="C560" s="23"/>
      <c r="D560" s="23"/>
      <c r="E560" s="23"/>
      <c r="F560" s="23"/>
      <c r="G560" s="28"/>
      <c r="H560" s="23"/>
    </row>
    <row r="561">
      <c r="A561" s="45"/>
      <c r="B561" s="23"/>
      <c r="C561" s="23"/>
      <c r="D561" s="23"/>
      <c r="E561" s="23"/>
      <c r="F561" s="23"/>
      <c r="G561" s="28"/>
      <c r="H561" s="23"/>
    </row>
    <row r="562">
      <c r="A562" s="45"/>
      <c r="B562" s="23"/>
      <c r="C562" s="23"/>
      <c r="D562" s="23"/>
      <c r="E562" s="23"/>
      <c r="F562" s="23"/>
      <c r="G562" s="28"/>
      <c r="H562" s="23"/>
    </row>
    <row r="563">
      <c r="A563" s="45"/>
      <c r="B563" s="23"/>
      <c r="C563" s="23"/>
      <c r="D563" s="23"/>
      <c r="E563" s="23"/>
      <c r="F563" s="23"/>
      <c r="G563" s="28"/>
      <c r="H563" s="23"/>
    </row>
    <row r="564">
      <c r="A564" s="45"/>
      <c r="B564" s="23"/>
      <c r="C564" s="23"/>
      <c r="D564" s="23"/>
      <c r="E564" s="23"/>
      <c r="F564" s="23"/>
      <c r="G564" s="28"/>
      <c r="H564" s="23"/>
    </row>
    <row r="565">
      <c r="A565" s="45"/>
      <c r="B565" s="23"/>
      <c r="C565" s="23"/>
      <c r="D565" s="23"/>
      <c r="E565" s="23"/>
      <c r="F565" s="23"/>
      <c r="G565" s="28"/>
      <c r="H565" s="23"/>
    </row>
    <row r="566">
      <c r="A566" s="45"/>
      <c r="B566" s="23"/>
      <c r="C566" s="23"/>
      <c r="D566" s="23"/>
      <c r="E566" s="23"/>
      <c r="F566" s="23"/>
      <c r="G566" s="28"/>
      <c r="H566" s="23"/>
    </row>
    <row r="567">
      <c r="A567" s="45"/>
      <c r="B567" s="23"/>
      <c r="C567" s="23"/>
      <c r="D567" s="23"/>
      <c r="E567" s="23"/>
      <c r="F567" s="23"/>
      <c r="G567" s="28"/>
      <c r="H567" s="23"/>
    </row>
    <row r="568">
      <c r="A568" s="45"/>
      <c r="B568" s="23"/>
      <c r="C568" s="23"/>
      <c r="D568" s="23"/>
      <c r="E568" s="23"/>
      <c r="F568" s="23"/>
      <c r="G568" s="28"/>
      <c r="H568" s="23"/>
    </row>
    <row r="569">
      <c r="A569" s="45"/>
      <c r="B569" s="23"/>
      <c r="C569" s="23"/>
      <c r="D569" s="23"/>
      <c r="E569" s="23"/>
      <c r="F569" s="23"/>
      <c r="G569" s="28"/>
      <c r="H569" s="23"/>
    </row>
    <row r="570">
      <c r="A570" s="45"/>
      <c r="B570" s="23"/>
      <c r="C570" s="23"/>
      <c r="D570" s="23"/>
      <c r="E570" s="23"/>
      <c r="F570" s="23"/>
      <c r="G570" s="28"/>
      <c r="H570" s="23"/>
    </row>
    <row r="571">
      <c r="A571" s="45"/>
      <c r="B571" s="23"/>
      <c r="C571" s="23"/>
      <c r="D571" s="23"/>
      <c r="E571" s="23"/>
      <c r="F571" s="23"/>
      <c r="G571" s="28"/>
      <c r="H571" s="23"/>
    </row>
    <row r="572">
      <c r="A572" s="45"/>
      <c r="B572" s="23"/>
      <c r="C572" s="23"/>
      <c r="D572" s="23"/>
      <c r="E572" s="23"/>
      <c r="F572" s="23"/>
      <c r="G572" s="28"/>
      <c r="H572" s="23"/>
    </row>
    <row r="573">
      <c r="A573" s="45"/>
      <c r="B573" s="23"/>
      <c r="C573" s="23"/>
      <c r="D573" s="23"/>
      <c r="E573" s="23"/>
      <c r="F573" s="23"/>
      <c r="G573" s="28"/>
      <c r="H573" s="23"/>
    </row>
    <row r="574">
      <c r="A574" s="45"/>
      <c r="B574" s="23"/>
      <c r="C574" s="23"/>
      <c r="D574" s="23"/>
      <c r="E574" s="23"/>
      <c r="F574" s="23"/>
      <c r="G574" s="28"/>
      <c r="H574" s="23"/>
    </row>
    <row r="575">
      <c r="A575" s="45"/>
      <c r="B575" s="23"/>
      <c r="C575" s="23"/>
      <c r="D575" s="23"/>
      <c r="E575" s="23"/>
      <c r="F575" s="23"/>
      <c r="G575" s="28"/>
      <c r="H575" s="23"/>
    </row>
    <row r="576">
      <c r="A576" s="45"/>
      <c r="B576" s="23"/>
      <c r="C576" s="23"/>
      <c r="D576" s="23"/>
      <c r="E576" s="23"/>
      <c r="F576" s="23"/>
      <c r="G576" s="28"/>
      <c r="H576" s="23"/>
    </row>
    <row r="577">
      <c r="A577" s="45"/>
      <c r="B577" s="23"/>
      <c r="C577" s="23"/>
      <c r="D577" s="23"/>
      <c r="E577" s="23"/>
      <c r="F577" s="23"/>
      <c r="G577" s="28"/>
      <c r="H577" s="23"/>
    </row>
    <row r="578">
      <c r="A578" s="45"/>
      <c r="B578" s="23"/>
      <c r="C578" s="23"/>
      <c r="D578" s="23"/>
      <c r="E578" s="23"/>
      <c r="F578" s="23"/>
      <c r="G578" s="28"/>
      <c r="H578" s="23"/>
    </row>
    <row r="579">
      <c r="A579" s="45"/>
      <c r="B579" s="23"/>
      <c r="C579" s="23"/>
      <c r="D579" s="23"/>
      <c r="E579" s="23"/>
      <c r="F579" s="23"/>
      <c r="G579" s="28"/>
      <c r="H579" s="23"/>
    </row>
    <row r="580">
      <c r="A580" s="45"/>
      <c r="B580" s="23"/>
      <c r="C580" s="23"/>
      <c r="D580" s="23"/>
      <c r="E580" s="23"/>
      <c r="F580" s="23"/>
      <c r="G580" s="28"/>
      <c r="H580" s="23"/>
    </row>
    <row r="581">
      <c r="A581" s="45"/>
      <c r="B581" s="23"/>
      <c r="C581" s="23"/>
      <c r="D581" s="23"/>
      <c r="E581" s="23"/>
      <c r="F581" s="23"/>
      <c r="G581" s="28"/>
      <c r="H581" s="23"/>
    </row>
    <row r="582">
      <c r="A582" s="45"/>
      <c r="B582" s="23"/>
      <c r="C582" s="23"/>
      <c r="D582" s="23"/>
      <c r="E582" s="23"/>
      <c r="F582" s="23"/>
      <c r="G582" s="28"/>
      <c r="H582" s="23"/>
    </row>
    <row r="583">
      <c r="A583" s="45"/>
      <c r="B583" s="23"/>
      <c r="C583" s="23"/>
      <c r="D583" s="23"/>
      <c r="E583" s="23"/>
      <c r="F583" s="23"/>
      <c r="G583" s="28"/>
      <c r="H583" s="23"/>
    </row>
    <row r="584">
      <c r="A584" s="45"/>
      <c r="B584" s="23"/>
      <c r="C584" s="23"/>
      <c r="D584" s="23"/>
      <c r="E584" s="23"/>
      <c r="F584" s="23"/>
      <c r="G584" s="28"/>
      <c r="H584" s="23"/>
    </row>
    <row r="585">
      <c r="A585" s="45"/>
      <c r="B585" s="23"/>
      <c r="C585" s="23"/>
      <c r="D585" s="23"/>
      <c r="E585" s="23"/>
      <c r="F585" s="23"/>
      <c r="G585" s="28"/>
      <c r="H585" s="23"/>
    </row>
    <row r="586">
      <c r="A586" s="45"/>
      <c r="B586" s="23"/>
      <c r="C586" s="23"/>
      <c r="D586" s="23"/>
      <c r="E586" s="23"/>
      <c r="F586" s="23"/>
      <c r="G586" s="28"/>
      <c r="H586" s="23"/>
    </row>
    <row r="587">
      <c r="A587" s="45"/>
      <c r="B587" s="23"/>
      <c r="C587" s="23"/>
      <c r="D587" s="23"/>
      <c r="E587" s="23"/>
      <c r="F587" s="23"/>
      <c r="G587" s="28"/>
      <c r="H587" s="23"/>
    </row>
    <row r="588">
      <c r="A588" s="45"/>
      <c r="B588" s="23"/>
      <c r="C588" s="23"/>
      <c r="D588" s="23"/>
      <c r="E588" s="23"/>
      <c r="F588" s="23"/>
      <c r="G588" s="28"/>
      <c r="H588" s="23"/>
    </row>
    <row r="589">
      <c r="A589" s="45"/>
      <c r="B589" s="23"/>
      <c r="C589" s="23"/>
      <c r="D589" s="23"/>
      <c r="E589" s="23"/>
      <c r="F589" s="23"/>
      <c r="G589" s="28"/>
      <c r="H589" s="23"/>
    </row>
    <row r="590">
      <c r="A590" s="45"/>
      <c r="B590" s="23"/>
      <c r="C590" s="23"/>
      <c r="D590" s="23"/>
      <c r="E590" s="23"/>
      <c r="F590" s="23"/>
      <c r="G590" s="28"/>
      <c r="H590" s="23"/>
    </row>
    <row r="591">
      <c r="A591" s="45"/>
      <c r="B591" s="23"/>
      <c r="C591" s="23"/>
      <c r="D591" s="23"/>
      <c r="E591" s="23"/>
      <c r="F591" s="23"/>
      <c r="G591" s="28"/>
      <c r="H591" s="23"/>
    </row>
    <row r="592">
      <c r="A592" s="45"/>
      <c r="B592" s="23"/>
      <c r="C592" s="23"/>
      <c r="D592" s="23"/>
      <c r="E592" s="23"/>
      <c r="F592" s="23"/>
      <c r="G592" s="28"/>
      <c r="H592" s="23"/>
    </row>
    <row r="593">
      <c r="A593" s="45"/>
      <c r="B593" s="23"/>
      <c r="C593" s="23"/>
      <c r="D593" s="23"/>
      <c r="E593" s="23"/>
      <c r="F593" s="23"/>
      <c r="G593" s="28"/>
      <c r="H593" s="23"/>
    </row>
    <row r="594">
      <c r="A594" s="45"/>
      <c r="B594" s="23"/>
      <c r="C594" s="23"/>
      <c r="D594" s="23"/>
      <c r="E594" s="23"/>
      <c r="F594" s="23"/>
      <c r="G594" s="28"/>
      <c r="H594" s="23"/>
    </row>
    <row r="595">
      <c r="A595" s="45"/>
      <c r="B595" s="23"/>
      <c r="C595" s="23"/>
      <c r="D595" s="23"/>
      <c r="E595" s="23"/>
      <c r="F595" s="23"/>
      <c r="G595" s="28"/>
      <c r="H595" s="23"/>
    </row>
    <row r="596">
      <c r="A596" s="45"/>
      <c r="B596" s="23"/>
      <c r="C596" s="23"/>
      <c r="D596" s="23"/>
      <c r="E596" s="23"/>
      <c r="F596" s="23"/>
      <c r="G596" s="28"/>
      <c r="H596" s="23"/>
    </row>
    <row r="597">
      <c r="A597" s="45"/>
      <c r="B597" s="23"/>
      <c r="C597" s="23"/>
      <c r="D597" s="23"/>
      <c r="E597" s="23"/>
      <c r="F597" s="23"/>
      <c r="G597" s="28"/>
      <c r="H597" s="23"/>
    </row>
    <row r="598">
      <c r="A598" s="45"/>
      <c r="B598" s="23"/>
      <c r="C598" s="23"/>
      <c r="D598" s="23"/>
      <c r="E598" s="23"/>
      <c r="F598" s="23"/>
      <c r="G598" s="28"/>
      <c r="H598" s="23"/>
    </row>
    <row r="599">
      <c r="A599" s="45"/>
      <c r="B599" s="23"/>
      <c r="C599" s="23"/>
      <c r="D599" s="23"/>
      <c r="E599" s="23"/>
      <c r="F599" s="23"/>
      <c r="G599" s="28"/>
      <c r="H599" s="23"/>
    </row>
    <row r="600">
      <c r="A600" s="45"/>
      <c r="B600" s="23"/>
      <c r="C600" s="23"/>
      <c r="D600" s="23"/>
      <c r="E600" s="23"/>
      <c r="F600" s="23"/>
      <c r="G600" s="28"/>
      <c r="H600" s="23"/>
    </row>
    <row r="601">
      <c r="A601" s="45"/>
      <c r="B601" s="23"/>
      <c r="C601" s="23"/>
      <c r="D601" s="23"/>
      <c r="E601" s="23"/>
      <c r="F601" s="23"/>
      <c r="G601" s="28"/>
      <c r="H601" s="23"/>
    </row>
    <row r="602">
      <c r="A602" s="45"/>
      <c r="B602" s="23"/>
      <c r="C602" s="23"/>
      <c r="D602" s="23"/>
      <c r="E602" s="23"/>
      <c r="F602" s="23"/>
      <c r="G602" s="28"/>
      <c r="H602" s="23"/>
    </row>
    <row r="603">
      <c r="A603" s="45"/>
      <c r="B603" s="23"/>
      <c r="C603" s="23"/>
      <c r="D603" s="23"/>
      <c r="E603" s="23"/>
      <c r="F603" s="23"/>
      <c r="G603" s="28"/>
      <c r="H603" s="23"/>
    </row>
    <row r="604">
      <c r="A604" s="45"/>
      <c r="B604" s="23"/>
      <c r="C604" s="23"/>
      <c r="D604" s="23"/>
      <c r="E604" s="23"/>
      <c r="F604" s="23"/>
      <c r="G604" s="28"/>
      <c r="H604" s="23"/>
    </row>
    <row r="605">
      <c r="A605" s="45"/>
      <c r="B605" s="23"/>
      <c r="C605" s="23"/>
      <c r="D605" s="23"/>
      <c r="E605" s="23"/>
      <c r="F605" s="23"/>
      <c r="G605" s="28"/>
      <c r="H605" s="23"/>
    </row>
    <row r="606">
      <c r="A606" s="45"/>
      <c r="B606" s="23"/>
      <c r="C606" s="23"/>
      <c r="D606" s="23"/>
      <c r="E606" s="23"/>
      <c r="F606" s="23"/>
      <c r="G606" s="28"/>
      <c r="H606" s="23"/>
    </row>
    <row r="607">
      <c r="A607" s="45"/>
      <c r="B607" s="23"/>
      <c r="C607" s="23"/>
      <c r="D607" s="23"/>
      <c r="E607" s="23"/>
      <c r="F607" s="23"/>
      <c r="G607" s="28"/>
      <c r="H607" s="23"/>
    </row>
    <row r="608">
      <c r="A608" s="45"/>
      <c r="B608" s="23"/>
      <c r="C608" s="23"/>
      <c r="D608" s="23"/>
      <c r="E608" s="23"/>
      <c r="F608" s="23"/>
      <c r="G608" s="28"/>
      <c r="H608" s="23"/>
    </row>
    <row r="609">
      <c r="A609" s="45"/>
      <c r="B609" s="23"/>
      <c r="C609" s="23"/>
      <c r="D609" s="23"/>
      <c r="E609" s="23"/>
      <c r="F609" s="23"/>
      <c r="G609" s="28"/>
      <c r="H609" s="23"/>
    </row>
    <row r="610">
      <c r="A610" s="45"/>
      <c r="B610" s="23"/>
      <c r="C610" s="23"/>
      <c r="D610" s="23"/>
      <c r="E610" s="23"/>
      <c r="F610" s="23"/>
      <c r="G610" s="28"/>
      <c r="H610" s="23"/>
    </row>
    <row r="611">
      <c r="A611" s="45"/>
      <c r="B611" s="23"/>
      <c r="C611" s="23"/>
      <c r="D611" s="23"/>
      <c r="E611" s="23"/>
      <c r="F611" s="23"/>
      <c r="G611" s="28"/>
      <c r="H611" s="23"/>
    </row>
    <row r="612">
      <c r="A612" s="45"/>
      <c r="B612" s="23"/>
      <c r="C612" s="23"/>
      <c r="D612" s="23"/>
      <c r="E612" s="23"/>
      <c r="F612" s="23"/>
      <c r="G612" s="28"/>
      <c r="H612" s="23"/>
    </row>
    <row r="613">
      <c r="A613" s="45"/>
      <c r="B613" s="23"/>
      <c r="C613" s="23"/>
      <c r="D613" s="23"/>
      <c r="E613" s="23"/>
      <c r="F613" s="23"/>
      <c r="G613" s="28"/>
      <c r="H613" s="23"/>
    </row>
    <row r="614">
      <c r="A614" s="45"/>
      <c r="B614" s="23"/>
      <c r="C614" s="23"/>
      <c r="D614" s="23"/>
      <c r="E614" s="23"/>
      <c r="F614" s="23"/>
      <c r="G614" s="28"/>
      <c r="H614" s="23"/>
    </row>
    <row r="615">
      <c r="A615" s="45"/>
      <c r="B615" s="23"/>
      <c r="C615" s="23"/>
      <c r="D615" s="23"/>
      <c r="E615" s="23"/>
      <c r="F615" s="23"/>
      <c r="G615" s="28"/>
      <c r="H615" s="23"/>
    </row>
    <row r="616">
      <c r="A616" s="45"/>
      <c r="B616" s="23"/>
      <c r="C616" s="23"/>
      <c r="D616" s="23"/>
      <c r="E616" s="23"/>
      <c r="F616" s="23"/>
      <c r="G616" s="28"/>
      <c r="H616" s="23"/>
    </row>
    <row r="617">
      <c r="A617" s="45"/>
      <c r="B617" s="23"/>
      <c r="C617" s="23"/>
      <c r="D617" s="23"/>
      <c r="E617" s="23"/>
      <c r="F617" s="23"/>
      <c r="G617" s="28"/>
      <c r="H617" s="23"/>
    </row>
    <row r="618">
      <c r="A618" s="45"/>
      <c r="B618" s="23"/>
      <c r="C618" s="23"/>
      <c r="D618" s="23"/>
      <c r="E618" s="23"/>
      <c r="F618" s="23"/>
      <c r="G618" s="28"/>
      <c r="H618" s="23"/>
    </row>
    <row r="619">
      <c r="A619" s="45"/>
      <c r="B619" s="23"/>
      <c r="C619" s="23"/>
      <c r="D619" s="23"/>
      <c r="E619" s="23"/>
      <c r="F619" s="23"/>
      <c r="G619" s="28"/>
      <c r="H619" s="23"/>
    </row>
    <row r="620">
      <c r="A620" s="45"/>
      <c r="B620" s="23"/>
      <c r="C620" s="23"/>
      <c r="D620" s="23"/>
      <c r="E620" s="23"/>
      <c r="F620" s="23"/>
      <c r="G620" s="28"/>
      <c r="H620" s="23"/>
    </row>
    <row r="621">
      <c r="A621" s="45"/>
      <c r="B621" s="23"/>
      <c r="C621" s="23"/>
      <c r="D621" s="23"/>
      <c r="E621" s="23"/>
      <c r="F621" s="23"/>
      <c r="G621" s="28"/>
      <c r="H621" s="23"/>
    </row>
    <row r="622">
      <c r="A622" s="45"/>
      <c r="B622" s="23"/>
      <c r="C622" s="23"/>
      <c r="D622" s="23"/>
      <c r="E622" s="23"/>
      <c r="F622" s="23"/>
      <c r="G622" s="28"/>
      <c r="H622" s="23"/>
    </row>
    <row r="623">
      <c r="A623" s="45"/>
      <c r="B623" s="23"/>
      <c r="C623" s="23"/>
      <c r="D623" s="23"/>
      <c r="E623" s="23"/>
      <c r="F623" s="23"/>
      <c r="G623" s="28"/>
      <c r="H623" s="23"/>
    </row>
    <row r="624">
      <c r="A624" s="45"/>
      <c r="B624" s="23"/>
      <c r="C624" s="23"/>
      <c r="D624" s="23"/>
      <c r="E624" s="23"/>
      <c r="F624" s="23"/>
      <c r="G624" s="28"/>
      <c r="H624" s="23"/>
    </row>
    <row r="625">
      <c r="A625" s="45"/>
      <c r="B625" s="23"/>
      <c r="C625" s="23"/>
      <c r="D625" s="23"/>
      <c r="E625" s="23"/>
      <c r="F625" s="23"/>
      <c r="G625" s="28"/>
      <c r="H625" s="23"/>
    </row>
    <row r="626">
      <c r="A626" s="45"/>
      <c r="B626" s="23"/>
      <c r="C626" s="23"/>
      <c r="D626" s="23"/>
      <c r="E626" s="23"/>
      <c r="F626" s="23"/>
      <c r="G626" s="28"/>
      <c r="H626" s="23"/>
    </row>
    <row r="627">
      <c r="A627" s="45"/>
      <c r="B627" s="23"/>
      <c r="C627" s="23"/>
      <c r="D627" s="23"/>
      <c r="E627" s="23"/>
      <c r="F627" s="23"/>
      <c r="G627" s="28"/>
      <c r="H627" s="23"/>
    </row>
    <row r="628">
      <c r="A628" s="45"/>
      <c r="B628" s="23"/>
      <c r="C628" s="23"/>
      <c r="D628" s="23"/>
      <c r="E628" s="23"/>
      <c r="F628" s="23"/>
      <c r="G628" s="28"/>
      <c r="H628" s="23"/>
    </row>
    <row r="629">
      <c r="A629" s="45"/>
      <c r="B629" s="23"/>
      <c r="C629" s="23"/>
      <c r="D629" s="23"/>
      <c r="E629" s="23"/>
      <c r="F629" s="23"/>
      <c r="G629" s="28"/>
      <c r="H629" s="23"/>
    </row>
    <row r="630">
      <c r="A630" s="45"/>
      <c r="B630" s="23"/>
      <c r="C630" s="23"/>
      <c r="D630" s="23"/>
      <c r="E630" s="23"/>
      <c r="F630" s="23"/>
      <c r="G630" s="28"/>
      <c r="H630" s="23"/>
    </row>
    <row r="631">
      <c r="A631" s="45"/>
      <c r="B631" s="23"/>
      <c r="C631" s="23"/>
      <c r="D631" s="23"/>
      <c r="E631" s="23"/>
      <c r="F631" s="23"/>
      <c r="G631" s="28"/>
      <c r="H631" s="23"/>
    </row>
    <row r="632">
      <c r="A632" s="45"/>
      <c r="B632" s="23"/>
      <c r="C632" s="23"/>
      <c r="D632" s="23"/>
      <c r="E632" s="23"/>
      <c r="F632" s="23"/>
      <c r="G632" s="28"/>
      <c r="H632" s="23"/>
    </row>
    <row r="633">
      <c r="A633" s="45"/>
      <c r="B633" s="23"/>
      <c r="C633" s="23"/>
      <c r="D633" s="23"/>
      <c r="E633" s="23"/>
      <c r="F633" s="23"/>
      <c r="G633" s="28"/>
      <c r="H633" s="23"/>
    </row>
    <row r="634">
      <c r="A634" s="45"/>
      <c r="B634" s="23"/>
      <c r="C634" s="23"/>
      <c r="D634" s="23"/>
      <c r="E634" s="23"/>
      <c r="F634" s="23"/>
      <c r="G634" s="28"/>
      <c r="H634" s="23"/>
    </row>
    <row r="635">
      <c r="A635" s="45"/>
      <c r="B635" s="23"/>
      <c r="C635" s="23"/>
      <c r="D635" s="23"/>
      <c r="E635" s="23"/>
      <c r="F635" s="23"/>
      <c r="G635" s="28"/>
      <c r="H635" s="23"/>
    </row>
    <row r="636">
      <c r="A636" s="45"/>
      <c r="B636" s="23"/>
      <c r="C636" s="23"/>
      <c r="D636" s="23"/>
      <c r="E636" s="23"/>
      <c r="F636" s="23"/>
      <c r="G636" s="28"/>
      <c r="H636" s="23"/>
    </row>
    <row r="637">
      <c r="A637" s="45"/>
      <c r="B637" s="23"/>
      <c r="C637" s="23"/>
      <c r="D637" s="23"/>
      <c r="E637" s="23"/>
      <c r="F637" s="23"/>
      <c r="G637" s="28"/>
      <c r="H637" s="23"/>
    </row>
    <row r="638">
      <c r="A638" s="45"/>
      <c r="B638" s="23"/>
      <c r="C638" s="23"/>
      <c r="D638" s="23"/>
      <c r="E638" s="23"/>
      <c r="F638" s="23"/>
      <c r="G638" s="28"/>
      <c r="H638" s="23"/>
    </row>
    <row r="639">
      <c r="A639" s="45"/>
      <c r="B639" s="23"/>
      <c r="C639" s="23"/>
      <c r="D639" s="23"/>
      <c r="E639" s="23"/>
      <c r="F639" s="23"/>
      <c r="G639" s="28"/>
      <c r="H639" s="23"/>
    </row>
    <row r="640">
      <c r="A640" s="45"/>
      <c r="B640" s="23"/>
      <c r="C640" s="23"/>
      <c r="D640" s="23"/>
      <c r="E640" s="23"/>
      <c r="F640" s="23"/>
      <c r="G640" s="28"/>
      <c r="H640" s="23"/>
    </row>
    <row r="641">
      <c r="A641" s="45"/>
      <c r="B641" s="23"/>
      <c r="C641" s="23"/>
      <c r="D641" s="23"/>
      <c r="E641" s="23"/>
      <c r="F641" s="23"/>
      <c r="G641" s="28"/>
      <c r="H641" s="23"/>
    </row>
    <row r="642">
      <c r="A642" s="45"/>
      <c r="B642" s="23"/>
      <c r="C642" s="23"/>
      <c r="D642" s="23"/>
      <c r="E642" s="23"/>
      <c r="F642" s="23"/>
      <c r="G642" s="28"/>
      <c r="H642" s="23"/>
    </row>
    <row r="643">
      <c r="A643" s="45"/>
      <c r="B643" s="23"/>
      <c r="C643" s="23"/>
      <c r="D643" s="23"/>
      <c r="E643" s="23"/>
      <c r="F643" s="23"/>
      <c r="G643" s="28"/>
      <c r="H643" s="23"/>
    </row>
    <row r="644">
      <c r="A644" s="45"/>
      <c r="B644" s="23"/>
      <c r="C644" s="23"/>
      <c r="D644" s="23"/>
      <c r="E644" s="23"/>
      <c r="F644" s="23"/>
      <c r="G644" s="28"/>
      <c r="H644" s="23"/>
    </row>
    <row r="645">
      <c r="A645" s="45"/>
      <c r="B645" s="23"/>
      <c r="C645" s="23"/>
      <c r="D645" s="23"/>
      <c r="E645" s="23"/>
      <c r="F645" s="23"/>
      <c r="G645" s="28"/>
      <c r="H645" s="23"/>
    </row>
    <row r="646">
      <c r="A646" s="45"/>
      <c r="B646" s="23"/>
      <c r="C646" s="23"/>
      <c r="D646" s="23"/>
      <c r="E646" s="23"/>
      <c r="F646" s="23"/>
      <c r="G646" s="28"/>
      <c r="H646" s="23"/>
    </row>
    <row r="647">
      <c r="A647" s="45"/>
      <c r="B647" s="23"/>
      <c r="C647" s="23"/>
      <c r="D647" s="23"/>
      <c r="E647" s="23"/>
      <c r="F647" s="23"/>
      <c r="G647" s="28"/>
      <c r="H647" s="23"/>
    </row>
    <row r="648">
      <c r="A648" s="45"/>
      <c r="B648" s="23"/>
      <c r="C648" s="23"/>
      <c r="D648" s="23"/>
      <c r="E648" s="23"/>
      <c r="F648" s="23"/>
      <c r="G648" s="28"/>
      <c r="H648" s="23"/>
    </row>
    <row r="649">
      <c r="A649" s="45"/>
      <c r="B649" s="23"/>
      <c r="C649" s="23"/>
      <c r="D649" s="23"/>
      <c r="E649" s="23"/>
      <c r="F649" s="23"/>
      <c r="G649" s="28"/>
      <c r="H649" s="23"/>
    </row>
    <row r="650">
      <c r="A650" s="45"/>
      <c r="B650" s="23"/>
      <c r="C650" s="23"/>
      <c r="D650" s="23"/>
      <c r="E650" s="23"/>
      <c r="F650" s="23"/>
      <c r="G650" s="28"/>
      <c r="H650" s="23"/>
    </row>
    <row r="651">
      <c r="A651" s="45"/>
      <c r="B651" s="23"/>
      <c r="C651" s="23"/>
      <c r="D651" s="23"/>
      <c r="E651" s="23"/>
      <c r="F651" s="23"/>
      <c r="G651" s="28"/>
      <c r="H651" s="23"/>
    </row>
    <row r="652">
      <c r="A652" s="45"/>
      <c r="B652" s="23"/>
      <c r="C652" s="23"/>
      <c r="D652" s="23"/>
      <c r="E652" s="23"/>
      <c r="F652" s="23"/>
      <c r="G652" s="28"/>
      <c r="H652" s="23"/>
    </row>
    <row r="653">
      <c r="A653" s="45"/>
      <c r="B653" s="23"/>
      <c r="C653" s="23"/>
      <c r="D653" s="23"/>
      <c r="E653" s="23"/>
      <c r="F653" s="23"/>
      <c r="G653" s="28"/>
      <c r="H653" s="23"/>
    </row>
    <row r="654">
      <c r="A654" s="45"/>
      <c r="B654" s="23"/>
      <c r="C654" s="23"/>
      <c r="D654" s="23"/>
      <c r="E654" s="23"/>
      <c r="F654" s="23"/>
      <c r="G654" s="28"/>
      <c r="H654" s="23"/>
    </row>
    <row r="655">
      <c r="A655" s="45"/>
      <c r="B655" s="23"/>
      <c r="C655" s="23"/>
      <c r="D655" s="23"/>
      <c r="E655" s="23"/>
      <c r="F655" s="23"/>
      <c r="G655" s="28"/>
      <c r="H655" s="23"/>
    </row>
    <row r="656">
      <c r="A656" s="45"/>
      <c r="B656" s="23"/>
      <c r="C656" s="23"/>
      <c r="D656" s="23"/>
      <c r="E656" s="23"/>
      <c r="F656" s="23"/>
      <c r="G656" s="28"/>
      <c r="H656" s="23"/>
    </row>
    <row r="657">
      <c r="A657" s="45"/>
      <c r="B657" s="23"/>
      <c r="C657" s="23"/>
      <c r="D657" s="23"/>
      <c r="E657" s="23"/>
      <c r="F657" s="23"/>
      <c r="G657" s="28"/>
      <c r="H657" s="23"/>
    </row>
    <row r="658">
      <c r="A658" s="45"/>
      <c r="B658" s="23"/>
      <c r="C658" s="23"/>
      <c r="D658" s="23"/>
      <c r="E658" s="23"/>
      <c r="F658" s="23"/>
      <c r="G658" s="28"/>
      <c r="H658" s="23"/>
    </row>
    <row r="659">
      <c r="A659" s="45"/>
      <c r="B659" s="23"/>
      <c r="C659" s="23"/>
      <c r="D659" s="23"/>
      <c r="E659" s="23"/>
      <c r="F659" s="23"/>
      <c r="G659" s="28"/>
      <c r="H659" s="23"/>
    </row>
    <row r="660">
      <c r="A660" s="45"/>
      <c r="B660" s="23"/>
      <c r="C660" s="23"/>
      <c r="D660" s="23"/>
      <c r="E660" s="23"/>
      <c r="F660" s="23"/>
      <c r="G660" s="28"/>
      <c r="H660" s="23"/>
    </row>
    <row r="661">
      <c r="A661" s="45"/>
      <c r="B661" s="23"/>
      <c r="C661" s="23"/>
      <c r="D661" s="23"/>
      <c r="E661" s="23"/>
      <c r="F661" s="23"/>
      <c r="G661" s="28"/>
      <c r="H661" s="23"/>
    </row>
    <row r="662">
      <c r="A662" s="45"/>
      <c r="B662" s="23"/>
      <c r="C662" s="23"/>
      <c r="D662" s="23"/>
      <c r="E662" s="23"/>
      <c r="F662" s="23"/>
      <c r="G662" s="28"/>
      <c r="H662" s="23"/>
    </row>
    <row r="663">
      <c r="A663" s="45"/>
      <c r="B663" s="23"/>
      <c r="C663" s="23"/>
      <c r="D663" s="23"/>
      <c r="E663" s="23"/>
      <c r="F663" s="23"/>
      <c r="G663" s="28"/>
      <c r="H663" s="23"/>
    </row>
    <row r="664">
      <c r="A664" s="45"/>
      <c r="B664" s="23"/>
      <c r="C664" s="23"/>
      <c r="D664" s="23"/>
      <c r="E664" s="23"/>
      <c r="F664" s="23"/>
      <c r="G664" s="28"/>
      <c r="H664" s="23"/>
    </row>
    <row r="665">
      <c r="A665" s="45"/>
      <c r="B665" s="23"/>
      <c r="C665" s="23"/>
      <c r="D665" s="23"/>
      <c r="E665" s="23"/>
      <c r="F665" s="23"/>
      <c r="G665" s="28"/>
      <c r="H665" s="23"/>
    </row>
    <row r="666">
      <c r="A666" s="45"/>
      <c r="B666" s="23"/>
      <c r="C666" s="23"/>
      <c r="D666" s="23"/>
      <c r="E666" s="23"/>
      <c r="F666" s="23"/>
      <c r="G666" s="28"/>
      <c r="H666" s="23"/>
    </row>
    <row r="667">
      <c r="A667" s="45"/>
      <c r="B667" s="23"/>
      <c r="C667" s="23"/>
      <c r="D667" s="23"/>
      <c r="E667" s="23"/>
      <c r="F667" s="23"/>
      <c r="G667" s="28"/>
      <c r="H667" s="23"/>
    </row>
    <row r="668">
      <c r="A668" s="45"/>
      <c r="B668" s="23"/>
      <c r="C668" s="23"/>
      <c r="D668" s="23"/>
      <c r="E668" s="23"/>
      <c r="F668" s="23"/>
      <c r="G668" s="28"/>
      <c r="H668" s="23"/>
    </row>
    <row r="669">
      <c r="A669" s="45"/>
      <c r="B669" s="23"/>
      <c r="C669" s="23"/>
      <c r="D669" s="23"/>
      <c r="E669" s="23"/>
      <c r="F669" s="23"/>
      <c r="G669" s="28"/>
      <c r="H669" s="23"/>
    </row>
    <row r="670">
      <c r="A670" s="45"/>
      <c r="B670" s="23"/>
      <c r="C670" s="23"/>
      <c r="D670" s="23"/>
      <c r="E670" s="23"/>
      <c r="F670" s="23"/>
      <c r="G670" s="28"/>
      <c r="H670" s="23"/>
    </row>
    <row r="671">
      <c r="A671" s="45"/>
      <c r="B671" s="23"/>
      <c r="C671" s="23"/>
      <c r="D671" s="23"/>
      <c r="E671" s="23"/>
      <c r="F671" s="23"/>
      <c r="G671" s="28"/>
      <c r="H671" s="23"/>
    </row>
    <row r="672">
      <c r="A672" s="45"/>
      <c r="B672" s="23"/>
      <c r="C672" s="23"/>
      <c r="D672" s="23"/>
      <c r="E672" s="23"/>
      <c r="F672" s="23"/>
      <c r="G672" s="28"/>
      <c r="H672" s="23"/>
    </row>
    <row r="673">
      <c r="A673" s="45"/>
      <c r="B673" s="23"/>
      <c r="C673" s="23"/>
      <c r="D673" s="23"/>
      <c r="E673" s="23"/>
      <c r="F673" s="23"/>
      <c r="G673" s="28"/>
      <c r="H673" s="23"/>
    </row>
    <row r="674">
      <c r="A674" s="45"/>
      <c r="B674" s="23"/>
      <c r="C674" s="23"/>
      <c r="D674" s="23"/>
      <c r="E674" s="23"/>
      <c r="F674" s="23"/>
      <c r="G674" s="28"/>
      <c r="H674" s="23"/>
    </row>
    <row r="675">
      <c r="A675" s="45"/>
      <c r="B675" s="23"/>
      <c r="C675" s="23"/>
      <c r="D675" s="23"/>
      <c r="E675" s="23"/>
      <c r="F675" s="23"/>
      <c r="G675" s="28"/>
      <c r="H675" s="23"/>
    </row>
    <row r="676">
      <c r="A676" s="45"/>
      <c r="B676" s="23"/>
      <c r="C676" s="23"/>
      <c r="D676" s="23"/>
      <c r="E676" s="23"/>
      <c r="F676" s="23"/>
      <c r="G676" s="28"/>
      <c r="H676" s="23"/>
    </row>
    <row r="677">
      <c r="A677" s="45"/>
      <c r="B677" s="23"/>
      <c r="C677" s="23"/>
      <c r="D677" s="23"/>
      <c r="E677" s="23"/>
      <c r="F677" s="23"/>
      <c r="G677" s="28"/>
      <c r="H677" s="23"/>
    </row>
    <row r="678">
      <c r="A678" s="45"/>
      <c r="B678" s="23"/>
      <c r="C678" s="23"/>
      <c r="D678" s="23"/>
      <c r="E678" s="23"/>
      <c r="F678" s="23"/>
      <c r="G678" s="28"/>
      <c r="H678" s="23"/>
    </row>
    <row r="679">
      <c r="A679" s="45"/>
      <c r="B679" s="23"/>
      <c r="C679" s="23"/>
      <c r="D679" s="23"/>
      <c r="E679" s="23"/>
      <c r="F679" s="23"/>
      <c r="G679" s="28"/>
      <c r="H679" s="23"/>
    </row>
    <row r="680">
      <c r="A680" s="45"/>
      <c r="B680" s="23"/>
      <c r="C680" s="23"/>
      <c r="D680" s="23"/>
      <c r="E680" s="23"/>
      <c r="F680" s="23"/>
      <c r="G680" s="28"/>
      <c r="H680" s="23"/>
    </row>
    <row r="681">
      <c r="A681" s="45"/>
      <c r="B681" s="23"/>
      <c r="C681" s="23"/>
      <c r="D681" s="23"/>
      <c r="E681" s="23"/>
      <c r="F681" s="23"/>
      <c r="G681" s="28"/>
      <c r="H681" s="23"/>
    </row>
    <row r="682">
      <c r="A682" s="45"/>
      <c r="B682" s="23"/>
      <c r="C682" s="23"/>
      <c r="D682" s="23"/>
      <c r="E682" s="23"/>
      <c r="F682" s="23"/>
      <c r="G682" s="28"/>
      <c r="H682" s="23"/>
    </row>
    <row r="683">
      <c r="A683" s="45"/>
      <c r="B683" s="23"/>
      <c r="C683" s="23"/>
      <c r="D683" s="23"/>
      <c r="E683" s="23"/>
      <c r="F683" s="23"/>
      <c r="G683" s="28"/>
      <c r="H683" s="23"/>
    </row>
    <row r="684">
      <c r="A684" s="45"/>
      <c r="B684" s="23"/>
      <c r="C684" s="23"/>
      <c r="D684" s="23"/>
      <c r="E684" s="23"/>
      <c r="F684" s="23"/>
      <c r="G684" s="28"/>
      <c r="H684" s="23"/>
    </row>
    <row r="685">
      <c r="A685" s="45"/>
      <c r="B685" s="23"/>
      <c r="C685" s="23"/>
      <c r="D685" s="23"/>
      <c r="E685" s="23"/>
      <c r="F685" s="23"/>
      <c r="G685" s="28"/>
      <c r="H685" s="23"/>
    </row>
    <row r="686">
      <c r="A686" s="45"/>
      <c r="B686" s="23"/>
      <c r="C686" s="23"/>
      <c r="D686" s="23"/>
      <c r="E686" s="23"/>
      <c r="F686" s="23"/>
      <c r="G686" s="28"/>
      <c r="H686" s="23"/>
    </row>
    <row r="687">
      <c r="A687" s="45"/>
      <c r="B687" s="23"/>
      <c r="C687" s="23"/>
      <c r="D687" s="23"/>
      <c r="E687" s="23"/>
      <c r="F687" s="23"/>
      <c r="G687" s="28"/>
      <c r="H687" s="23"/>
    </row>
    <row r="688">
      <c r="A688" s="45"/>
      <c r="B688" s="23"/>
      <c r="C688" s="23"/>
      <c r="D688" s="23"/>
      <c r="E688" s="23"/>
      <c r="F688" s="23"/>
      <c r="G688" s="28"/>
      <c r="H688" s="23"/>
    </row>
    <row r="689">
      <c r="A689" s="45"/>
      <c r="B689" s="23"/>
      <c r="C689" s="23"/>
      <c r="D689" s="23"/>
      <c r="E689" s="23"/>
      <c r="F689" s="23"/>
      <c r="G689" s="28"/>
      <c r="H689" s="23"/>
    </row>
    <row r="690">
      <c r="A690" s="45"/>
      <c r="B690" s="23"/>
      <c r="C690" s="23"/>
      <c r="D690" s="23"/>
      <c r="E690" s="23"/>
      <c r="F690" s="23"/>
      <c r="G690" s="28"/>
      <c r="H690" s="23"/>
    </row>
    <row r="691">
      <c r="A691" s="45"/>
      <c r="B691" s="23"/>
      <c r="C691" s="23"/>
      <c r="D691" s="23"/>
      <c r="E691" s="23"/>
      <c r="F691" s="23"/>
      <c r="G691" s="28"/>
      <c r="H691" s="23"/>
    </row>
    <row r="692">
      <c r="A692" s="45"/>
      <c r="B692" s="23"/>
      <c r="C692" s="23"/>
      <c r="D692" s="23"/>
      <c r="E692" s="23"/>
      <c r="F692" s="23"/>
      <c r="G692" s="28"/>
      <c r="H692" s="23"/>
    </row>
    <row r="693">
      <c r="A693" s="45"/>
      <c r="B693" s="23"/>
      <c r="C693" s="23"/>
      <c r="D693" s="23"/>
      <c r="E693" s="23"/>
      <c r="F693" s="23"/>
      <c r="G693" s="28"/>
      <c r="H693" s="23"/>
    </row>
    <row r="694">
      <c r="A694" s="45"/>
      <c r="B694" s="23"/>
      <c r="C694" s="23"/>
      <c r="D694" s="23"/>
      <c r="E694" s="23"/>
      <c r="F694" s="23"/>
      <c r="G694" s="28"/>
      <c r="H694" s="23"/>
    </row>
    <row r="695">
      <c r="A695" s="45"/>
      <c r="B695" s="23"/>
      <c r="C695" s="23"/>
      <c r="D695" s="23"/>
      <c r="E695" s="23"/>
      <c r="F695" s="23"/>
      <c r="G695" s="28"/>
      <c r="H695" s="23"/>
    </row>
    <row r="696">
      <c r="A696" s="45"/>
      <c r="B696" s="23"/>
      <c r="C696" s="23"/>
      <c r="D696" s="23"/>
      <c r="E696" s="23"/>
      <c r="F696" s="23"/>
      <c r="G696" s="28"/>
      <c r="H696" s="23"/>
    </row>
    <row r="697">
      <c r="A697" s="45"/>
      <c r="B697" s="23"/>
      <c r="C697" s="23"/>
      <c r="D697" s="23"/>
      <c r="E697" s="23"/>
      <c r="F697" s="23"/>
      <c r="G697" s="28"/>
      <c r="H697" s="23"/>
    </row>
    <row r="698">
      <c r="A698" s="45"/>
      <c r="B698" s="23"/>
      <c r="C698" s="23"/>
      <c r="D698" s="23"/>
      <c r="E698" s="23"/>
      <c r="F698" s="23"/>
      <c r="G698" s="28"/>
      <c r="H698" s="23"/>
    </row>
    <row r="699">
      <c r="A699" s="45"/>
      <c r="B699" s="23"/>
      <c r="C699" s="23"/>
      <c r="D699" s="23"/>
      <c r="E699" s="23"/>
      <c r="F699" s="23"/>
      <c r="G699" s="28"/>
      <c r="H699" s="23"/>
    </row>
    <row r="700">
      <c r="A700" s="45"/>
      <c r="B700" s="23"/>
      <c r="C700" s="23"/>
      <c r="D700" s="23"/>
      <c r="E700" s="23"/>
      <c r="F700" s="23"/>
      <c r="G700" s="28"/>
      <c r="H700" s="23"/>
    </row>
    <row r="701">
      <c r="A701" s="45"/>
      <c r="B701" s="23"/>
      <c r="C701" s="23"/>
      <c r="D701" s="23"/>
      <c r="E701" s="23"/>
      <c r="F701" s="23"/>
      <c r="G701" s="28"/>
      <c r="H701" s="23"/>
    </row>
    <row r="702">
      <c r="A702" s="45"/>
      <c r="B702" s="23"/>
      <c r="C702" s="23"/>
      <c r="D702" s="23"/>
      <c r="E702" s="23"/>
      <c r="F702" s="23"/>
      <c r="G702" s="28"/>
      <c r="H702" s="23"/>
    </row>
    <row r="703">
      <c r="A703" s="45"/>
      <c r="B703" s="23"/>
      <c r="C703" s="23"/>
      <c r="D703" s="23"/>
      <c r="E703" s="23"/>
      <c r="F703" s="23"/>
      <c r="G703" s="28"/>
      <c r="H703" s="23"/>
    </row>
    <row r="704">
      <c r="A704" s="45"/>
      <c r="B704" s="23"/>
      <c r="C704" s="23"/>
      <c r="D704" s="23"/>
      <c r="E704" s="23"/>
      <c r="F704" s="23"/>
      <c r="G704" s="28"/>
      <c r="H704" s="23"/>
    </row>
    <row r="705">
      <c r="A705" s="45"/>
      <c r="B705" s="23"/>
      <c r="C705" s="23"/>
      <c r="D705" s="23"/>
      <c r="E705" s="23"/>
      <c r="F705" s="23"/>
      <c r="G705" s="28"/>
      <c r="H705" s="23"/>
    </row>
    <row r="706">
      <c r="A706" s="45"/>
      <c r="B706" s="23"/>
      <c r="C706" s="23"/>
      <c r="D706" s="23"/>
      <c r="E706" s="23"/>
      <c r="F706" s="23"/>
      <c r="G706" s="28"/>
      <c r="H706" s="23"/>
    </row>
    <row r="707">
      <c r="A707" s="45"/>
      <c r="B707" s="23"/>
      <c r="C707" s="23"/>
      <c r="D707" s="23"/>
      <c r="E707" s="23"/>
      <c r="F707" s="23"/>
      <c r="G707" s="28"/>
      <c r="H707" s="23"/>
    </row>
    <row r="708">
      <c r="A708" s="45"/>
      <c r="B708" s="23"/>
      <c r="C708" s="23"/>
      <c r="D708" s="23"/>
      <c r="E708" s="23"/>
      <c r="F708" s="23"/>
      <c r="G708" s="28"/>
      <c r="H708" s="23"/>
    </row>
    <row r="709">
      <c r="A709" s="45"/>
      <c r="B709" s="23"/>
      <c r="C709" s="23"/>
      <c r="D709" s="23"/>
      <c r="E709" s="23"/>
      <c r="F709" s="23"/>
      <c r="G709" s="28"/>
      <c r="H709" s="23"/>
    </row>
    <row r="710">
      <c r="A710" s="45"/>
      <c r="B710" s="23"/>
      <c r="C710" s="23"/>
      <c r="D710" s="23"/>
      <c r="E710" s="23"/>
      <c r="F710" s="23"/>
      <c r="G710" s="28"/>
      <c r="H710" s="23"/>
    </row>
    <row r="711">
      <c r="A711" s="45"/>
      <c r="B711" s="23"/>
      <c r="C711" s="23"/>
      <c r="D711" s="23"/>
      <c r="E711" s="23"/>
      <c r="F711" s="23"/>
      <c r="G711" s="28"/>
      <c r="H711" s="23"/>
    </row>
    <row r="712">
      <c r="A712" s="45"/>
      <c r="B712" s="23"/>
      <c r="C712" s="23"/>
      <c r="D712" s="23"/>
      <c r="E712" s="23"/>
      <c r="F712" s="23"/>
      <c r="G712" s="28"/>
      <c r="H712" s="23"/>
    </row>
    <row r="713">
      <c r="A713" s="45"/>
      <c r="B713" s="23"/>
      <c r="C713" s="23"/>
      <c r="D713" s="23"/>
      <c r="E713" s="23"/>
      <c r="F713" s="23"/>
      <c r="G713" s="28"/>
      <c r="H713" s="23"/>
    </row>
    <row r="714">
      <c r="A714" s="45"/>
      <c r="B714" s="23"/>
      <c r="C714" s="23"/>
      <c r="D714" s="23"/>
      <c r="E714" s="23"/>
      <c r="F714" s="23"/>
      <c r="G714" s="28"/>
      <c r="H714" s="23"/>
    </row>
    <row r="715">
      <c r="A715" s="45"/>
      <c r="B715" s="23"/>
      <c r="C715" s="23"/>
      <c r="D715" s="23"/>
      <c r="E715" s="23"/>
      <c r="F715" s="23"/>
      <c r="G715" s="28"/>
      <c r="H715" s="23"/>
    </row>
    <row r="716">
      <c r="A716" s="45"/>
      <c r="B716" s="23"/>
      <c r="C716" s="23"/>
      <c r="D716" s="23"/>
      <c r="E716" s="23"/>
      <c r="F716" s="23"/>
      <c r="G716" s="28"/>
      <c r="H716" s="23"/>
    </row>
    <row r="717">
      <c r="A717" s="45"/>
      <c r="B717" s="23"/>
      <c r="C717" s="23"/>
      <c r="D717" s="23"/>
      <c r="E717" s="23"/>
      <c r="F717" s="23"/>
      <c r="G717" s="28"/>
      <c r="H717" s="23"/>
    </row>
    <row r="718">
      <c r="A718" s="45"/>
      <c r="B718" s="23"/>
      <c r="C718" s="23"/>
      <c r="D718" s="23"/>
      <c r="E718" s="23"/>
      <c r="F718" s="23"/>
      <c r="G718" s="28"/>
      <c r="H718" s="23"/>
    </row>
    <row r="719">
      <c r="A719" s="45"/>
      <c r="B719" s="23"/>
      <c r="C719" s="23"/>
      <c r="D719" s="23"/>
      <c r="E719" s="23"/>
      <c r="F719" s="23"/>
      <c r="G719" s="28"/>
      <c r="H719" s="23"/>
    </row>
    <row r="720">
      <c r="A720" s="45"/>
      <c r="B720" s="23"/>
      <c r="C720" s="23"/>
      <c r="D720" s="23"/>
      <c r="E720" s="23"/>
      <c r="F720" s="23"/>
      <c r="G720" s="28"/>
      <c r="H720" s="23"/>
    </row>
    <row r="721">
      <c r="A721" s="45"/>
      <c r="B721" s="23"/>
      <c r="C721" s="23"/>
      <c r="D721" s="23"/>
      <c r="E721" s="23"/>
      <c r="F721" s="23"/>
      <c r="G721" s="28"/>
      <c r="H721" s="23"/>
    </row>
    <row r="722">
      <c r="A722" s="45"/>
      <c r="B722" s="23"/>
      <c r="C722" s="23"/>
      <c r="D722" s="23"/>
      <c r="E722" s="23"/>
      <c r="F722" s="23"/>
      <c r="G722" s="28"/>
      <c r="H722" s="23"/>
    </row>
    <row r="723">
      <c r="A723" s="45"/>
      <c r="B723" s="23"/>
      <c r="C723" s="23"/>
      <c r="D723" s="23"/>
      <c r="E723" s="23"/>
      <c r="F723" s="23"/>
      <c r="G723" s="28"/>
      <c r="H723" s="23"/>
    </row>
    <row r="724">
      <c r="A724" s="45"/>
      <c r="B724" s="23"/>
      <c r="C724" s="23"/>
      <c r="D724" s="23"/>
      <c r="E724" s="23"/>
      <c r="F724" s="23"/>
      <c r="G724" s="28"/>
      <c r="H724" s="23"/>
    </row>
    <row r="725">
      <c r="A725" s="45"/>
      <c r="B725" s="23"/>
      <c r="C725" s="23"/>
      <c r="D725" s="23"/>
      <c r="E725" s="23"/>
      <c r="F725" s="23"/>
      <c r="G725" s="28"/>
      <c r="H725" s="23"/>
    </row>
    <row r="726">
      <c r="A726" s="45"/>
      <c r="B726" s="23"/>
      <c r="C726" s="23"/>
      <c r="D726" s="23"/>
      <c r="E726" s="23"/>
      <c r="F726" s="23"/>
      <c r="G726" s="28"/>
      <c r="H726" s="23"/>
    </row>
    <row r="727">
      <c r="A727" s="45"/>
      <c r="B727" s="23"/>
      <c r="C727" s="23"/>
      <c r="D727" s="23"/>
      <c r="E727" s="23"/>
      <c r="F727" s="23"/>
      <c r="G727" s="28"/>
      <c r="H727" s="23"/>
    </row>
    <row r="728">
      <c r="A728" s="45"/>
      <c r="B728" s="23"/>
      <c r="C728" s="23"/>
      <c r="D728" s="23"/>
      <c r="E728" s="23"/>
      <c r="F728" s="23"/>
      <c r="G728" s="28"/>
      <c r="H728" s="23"/>
    </row>
    <row r="729">
      <c r="A729" s="45"/>
      <c r="B729" s="23"/>
      <c r="C729" s="23"/>
      <c r="D729" s="23"/>
      <c r="E729" s="23"/>
      <c r="F729" s="23"/>
      <c r="G729" s="28"/>
      <c r="H729" s="23"/>
    </row>
    <row r="730">
      <c r="A730" s="45"/>
      <c r="B730" s="23"/>
      <c r="C730" s="23"/>
      <c r="D730" s="23"/>
      <c r="E730" s="23"/>
      <c r="F730" s="23"/>
      <c r="G730" s="28"/>
      <c r="H730" s="23"/>
    </row>
    <row r="731">
      <c r="A731" s="45"/>
      <c r="B731" s="23"/>
      <c r="C731" s="23"/>
      <c r="D731" s="23"/>
      <c r="E731" s="23"/>
      <c r="F731" s="23"/>
      <c r="G731" s="28"/>
      <c r="H731" s="23"/>
    </row>
    <row r="732">
      <c r="A732" s="45"/>
      <c r="B732" s="23"/>
      <c r="C732" s="23"/>
      <c r="D732" s="23"/>
      <c r="E732" s="23"/>
      <c r="F732" s="23"/>
      <c r="G732" s="28"/>
      <c r="H732" s="23"/>
    </row>
    <row r="733">
      <c r="A733" s="45"/>
      <c r="B733" s="23"/>
      <c r="C733" s="23"/>
      <c r="D733" s="23"/>
      <c r="E733" s="23"/>
      <c r="F733" s="23"/>
      <c r="G733" s="28"/>
      <c r="H733" s="23"/>
    </row>
    <row r="734">
      <c r="A734" s="45"/>
      <c r="B734" s="23"/>
      <c r="C734" s="23"/>
      <c r="D734" s="23"/>
      <c r="E734" s="23"/>
      <c r="F734" s="23"/>
      <c r="G734" s="28"/>
      <c r="H734" s="23"/>
    </row>
    <row r="735">
      <c r="A735" s="45"/>
      <c r="B735" s="23"/>
      <c r="C735" s="23"/>
      <c r="D735" s="23"/>
      <c r="E735" s="23"/>
      <c r="F735" s="23"/>
      <c r="G735" s="28"/>
      <c r="H735" s="23"/>
    </row>
    <row r="736">
      <c r="A736" s="45"/>
      <c r="B736" s="23"/>
      <c r="C736" s="23"/>
      <c r="D736" s="23"/>
      <c r="E736" s="23"/>
      <c r="F736" s="23"/>
      <c r="G736" s="28"/>
      <c r="H736" s="23"/>
    </row>
    <row r="737">
      <c r="A737" s="45"/>
      <c r="B737" s="23"/>
      <c r="C737" s="23"/>
      <c r="D737" s="23"/>
      <c r="E737" s="23"/>
      <c r="F737" s="23"/>
      <c r="G737" s="28"/>
      <c r="H737" s="23"/>
    </row>
    <row r="738">
      <c r="A738" s="45"/>
      <c r="B738" s="23"/>
      <c r="C738" s="23"/>
      <c r="D738" s="23"/>
      <c r="E738" s="23"/>
      <c r="F738" s="23"/>
      <c r="G738" s="28"/>
      <c r="H738" s="23"/>
    </row>
    <row r="739">
      <c r="A739" s="45"/>
      <c r="B739" s="23"/>
      <c r="C739" s="23"/>
      <c r="D739" s="23"/>
      <c r="E739" s="23"/>
      <c r="F739" s="23"/>
      <c r="G739" s="28"/>
      <c r="H739" s="23"/>
    </row>
    <row r="740">
      <c r="A740" s="45"/>
      <c r="B740" s="23"/>
      <c r="C740" s="23"/>
      <c r="D740" s="23"/>
      <c r="E740" s="23"/>
      <c r="F740" s="23"/>
      <c r="G740" s="28"/>
      <c r="H740" s="23"/>
    </row>
    <row r="741">
      <c r="A741" s="45"/>
      <c r="B741" s="23"/>
      <c r="C741" s="23"/>
      <c r="D741" s="23"/>
      <c r="E741" s="23"/>
      <c r="F741" s="23"/>
      <c r="G741" s="28"/>
      <c r="H741" s="23"/>
    </row>
    <row r="742">
      <c r="A742" s="45"/>
      <c r="B742" s="23"/>
      <c r="C742" s="23"/>
      <c r="D742" s="23"/>
      <c r="E742" s="23"/>
      <c r="F742" s="23"/>
      <c r="G742" s="28"/>
      <c r="H742" s="23"/>
    </row>
    <row r="743">
      <c r="A743" s="45"/>
      <c r="B743" s="23"/>
      <c r="C743" s="23"/>
      <c r="D743" s="23"/>
      <c r="E743" s="23"/>
      <c r="F743" s="23"/>
      <c r="G743" s="28"/>
      <c r="H743" s="23"/>
    </row>
    <row r="744">
      <c r="A744" s="45"/>
      <c r="B744" s="23"/>
      <c r="C744" s="23"/>
      <c r="D744" s="23"/>
      <c r="E744" s="23"/>
      <c r="F744" s="23"/>
      <c r="G744" s="28"/>
      <c r="H744" s="23"/>
    </row>
    <row r="745">
      <c r="A745" s="45"/>
      <c r="B745" s="23"/>
      <c r="C745" s="23"/>
      <c r="D745" s="23"/>
      <c r="E745" s="23"/>
      <c r="F745" s="23"/>
      <c r="G745" s="28"/>
      <c r="H745" s="23"/>
    </row>
    <row r="746">
      <c r="A746" s="45"/>
      <c r="B746" s="23"/>
      <c r="C746" s="23"/>
      <c r="D746" s="23"/>
      <c r="E746" s="23"/>
      <c r="F746" s="23"/>
      <c r="G746" s="28"/>
      <c r="H746" s="23"/>
    </row>
    <row r="747">
      <c r="A747" s="45"/>
      <c r="B747" s="23"/>
      <c r="C747" s="23"/>
      <c r="D747" s="23"/>
      <c r="E747" s="23"/>
      <c r="F747" s="23"/>
      <c r="G747" s="28"/>
      <c r="H747" s="23"/>
    </row>
    <row r="748">
      <c r="A748" s="45"/>
      <c r="B748" s="23"/>
      <c r="C748" s="23"/>
      <c r="D748" s="23"/>
      <c r="E748" s="23"/>
      <c r="F748" s="23"/>
      <c r="G748" s="28"/>
      <c r="H748" s="23"/>
    </row>
    <row r="749">
      <c r="A749" s="45"/>
      <c r="B749" s="23"/>
      <c r="C749" s="23"/>
      <c r="D749" s="23"/>
      <c r="E749" s="23"/>
      <c r="F749" s="23"/>
      <c r="G749" s="28"/>
      <c r="H749" s="23"/>
    </row>
    <row r="750">
      <c r="A750" s="45"/>
      <c r="B750" s="23"/>
      <c r="C750" s="23"/>
      <c r="D750" s="23"/>
      <c r="E750" s="23"/>
      <c r="F750" s="23"/>
      <c r="G750" s="28"/>
      <c r="H750" s="23"/>
    </row>
    <row r="751">
      <c r="A751" s="45"/>
      <c r="B751" s="23"/>
      <c r="C751" s="23"/>
      <c r="D751" s="23"/>
      <c r="E751" s="23"/>
      <c r="F751" s="23"/>
      <c r="G751" s="28"/>
      <c r="H751" s="23"/>
    </row>
    <row r="752">
      <c r="A752" s="45"/>
      <c r="B752" s="23"/>
      <c r="C752" s="23"/>
      <c r="D752" s="23"/>
      <c r="E752" s="23"/>
      <c r="F752" s="23"/>
      <c r="G752" s="28"/>
      <c r="H752" s="23"/>
    </row>
    <row r="753">
      <c r="A753" s="45"/>
      <c r="B753" s="23"/>
      <c r="C753" s="23"/>
      <c r="D753" s="23"/>
      <c r="E753" s="23"/>
      <c r="F753" s="23"/>
      <c r="G753" s="28"/>
      <c r="H753" s="23"/>
    </row>
    <row r="754">
      <c r="A754" s="45"/>
      <c r="B754" s="23"/>
      <c r="C754" s="23"/>
      <c r="D754" s="23"/>
      <c r="E754" s="23"/>
      <c r="F754" s="23"/>
      <c r="G754" s="28"/>
      <c r="H754" s="23"/>
    </row>
    <row r="755">
      <c r="A755" s="45"/>
      <c r="B755" s="23"/>
      <c r="C755" s="23"/>
      <c r="D755" s="23"/>
      <c r="E755" s="23"/>
      <c r="F755" s="23"/>
      <c r="G755" s="28"/>
      <c r="H755" s="23"/>
    </row>
    <row r="756">
      <c r="A756" s="45"/>
      <c r="B756" s="23"/>
      <c r="C756" s="23"/>
      <c r="D756" s="23"/>
      <c r="E756" s="23"/>
      <c r="F756" s="23"/>
      <c r="G756" s="28"/>
      <c r="H756" s="23"/>
    </row>
    <row r="757">
      <c r="A757" s="45"/>
      <c r="B757" s="23"/>
      <c r="C757" s="23"/>
      <c r="D757" s="23"/>
      <c r="E757" s="23"/>
      <c r="F757" s="23"/>
      <c r="G757" s="28"/>
      <c r="H757" s="23"/>
    </row>
    <row r="758">
      <c r="A758" s="45"/>
      <c r="B758" s="23"/>
      <c r="C758" s="23"/>
      <c r="D758" s="23"/>
      <c r="E758" s="23"/>
      <c r="F758" s="23"/>
      <c r="G758" s="28"/>
      <c r="H758" s="23"/>
    </row>
    <row r="759">
      <c r="A759" s="45"/>
      <c r="B759" s="23"/>
      <c r="C759" s="23"/>
      <c r="D759" s="23"/>
      <c r="E759" s="23"/>
      <c r="F759" s="23"/>
      <c r="G759" s="28"/>
      <c r="H759" s="23"/>
    </row>
    <row r="760">
      <c r="A760" s="45"/>
      <c r="B760" s="23"/>
      <c r="C760" s="23"/>
      <c r="D760" s="23"/>
      <c r="E760" s="23"/>
      <c r="F760" s="23"/>
      <c r="G760" s="28"/>
      <c r="H760" s="23"/>
    </row>
    <row r="761">
      <c r="A761" s="45"/>
      <c r="B761" s="23"/>
      <c r="C761" s="23"/>
      <c r="D761" s="23"/>
      <c r="E761" s="23"/>
      <c r="F761" s="23"/>
      <c r="G761" s="28"/>
      <c r="H761" s="23"/>
    </row>
    <row r="762">
      <c r="A762" s="45"/>
      <c r="B762" s="23"/>
      <c r="C762" s="23"/>
      <c r="D762" s="23"/>
      <c r="E762" s="23"/>
      <c r="F762" s="23"/>
      <c r="G762" s="28"/>
      <c r="H762" s="23"/>
    </row>
    <row r="763">
      <c r="A763" s="45"/>
      <c r="B763" s="23"/>
      <c r="C763" s="23"/>
      <c r="D763" s="23"/>
      <c r="E763" s="23"/>
      <c r="F763" s="23"/>
      <c r="G763" s="28"/>
      <c r="H763" s="23"/>
    </row>
    <row r="764">
      <c r="A764" s="45"/>
      <c r="B764" s="23"/>
      <c r="C764" s="23"/>
      <c r="D764" s="23"/>
      <c r="E764" s="23"/>
      <c r="F764" s="23"/>
      <c r="G764" s="28"/>
      <c r="H764" s="23"/>
    </row>
    <row r="765">
      <c r="A765" s="45"/>
      <c r="B765" s="23"/>
      <c r="C765" s="23"/>
      <c r="D765" s="23"/>
      <c r="E765" s="23"/>
      <c r="F765" s="23"/>
      <c r="G765" s="28"/>
      <c r="H765" s="23"/>
    </row>
    <row r="766">
      <c r="A766" s="45"/>
      <c r="B766" s="23"/>
      <c r="C766" s="23"/>
      <c r="D766" s="23"/>
      <c r="E766" s="23"/>
      <c r="F766" s="23"/>
      <c r="G766" s="28"/>
      <c r="H766" s="23"/>
    </row>
    <row r="767">
      <c r="A767" s="45"/>
      <c r="B767" s="23"/>
      <c r="C767" s="23"/>
      <c r="D767" s="23"/>
      <c r="E767" s="23"/>
      <c r="F767" s="23"/>
      <c r="G767" s="28"/>
      <c r="H767" s="23"/>
    </row>
    <row r="768">
      <c r="A768" s="45"/>
      <c r="B768" s="23"/>
      <c r="C768" s="23"/>
      <c r="D768" s="23"/>
      <c r="E768" s="23"/>
      <c r="F768" s="23"/>
      <c r="G768" s="28"/>
      <c r="H768" s="23"/>
    </row>
    <row r="769">
      <c r="A769" s="45"/>
      <c r="B769" s="23"/>
      <c r="C769" s="23"/>
      <c r="D769" s="23"/>
      <c r="E769" s="23"/>
      <c r="F769" s="23"/>
      <c r="G769" s="28"/>
      <c r="H769" s="23"/>
    </row>
    <row r="770">
      <c r="A770" s="45"/>
      <c r="B770" s="23"/>
      <c r="C770" s="23"/>
      <c r="D770" s="23"/>
      <c r="E770" s="23"/>
      <c r="F770" s="23"/>
      <c r="G770" s="28"/>
      <c r="H770" s="23"/>
    </row>
    <row r="771">
      <c r="A771" s="45"/>
      <c r="B771" s="23"/>
      <c r="C771" s="23"/>
      <c r="D771" s="23"/>
      <c r="E771" s="23"/>
      <c r="F771" s="23"/>
      <c r="G771" s="28"/>
      <c r="H771" s="23"/>
    </row>
    <row r="772">
      <c r="A772" s="45"/>
      <c r="B772" s="23"/>
      <c r="C772" s="23"/>
      <c r="D772" s="23"/>
      <c r="E772" s="23"/>
      <c r="F772" s="23"/>
      <c r="G772" s="28"/>
      <c r="H772" s="23"/>
    </row>
    <row r="773">
      <c r="A773" s="45"/>
      <c r="B773" s="23"/>
      <c r="C773" s="23"/>
      <c r="D773" s="23"/>
      <c r="E773" s="23"/>
      <c r="F773" s="23"/>
      <c r="G773" s="28"/>
      <c r="H773" s="23"/>
    </row>
    <row r="774">
      <c r="A774" s="45"/>
      <c r="B774" s="23"/>
      <c r="C774" s="23"/>
      <c r="D774" s="23"/>
      <c r="E774" s="23"/>
      <c r="F774" s="23"/>
      <c r="G774" s="28"/>
      <c r="H774" s="23"/>
    </row>
    <row r="775">
      <c r="A775" s="45"/>
      <c r="B775" s="23"/>
      <c r="C775" s="23"/>
      <c r="D775" s="23"/>
      <c r="E775" s="23"/>
      <c r="F775" s="23"/>
      <c r="G775" s="28"/>
      <c r="H775" s="23"/>
    </row>
    <row r="776">
      <c r="A776" s="45"/>
      <c r="B776" s="23"/>
      <c r="C776" s="23"/>
      <c r="D776" s="23"/>
      <c r="E776" s="23"/>
      <c r="F776" s="23"/>
      <c r="G776" s="28"/>
      <c r="H776" s="23"/>
    </row>
    <row r="777">
      <c r="A777" s="45"/>
      <c r="B777" s="23"/>
      <c r="C777" s="23"/>
      <c r="D777" s="23"/>
      <c r="E777" s="23"/>
      <c r="F777" s="23"/>
      <c r="G777" s="28"/>
      <c r="H777" s="23"/>
    </row>
    <row r="778">
      <c r="A778" s="45"/>
      <c r="B778" s="23"/>
      <c r="C778" s="23"/>
      <c r="D778" s="23"/>
      <c r="E778" s="23"/>
      <c r="F778" s="23"/>
      <c r="G778" s="28"/>
      <c r="H778" s="23"/>
    </row>
    <row r="779">
      <c r="A779" s="45"/>
      <c r="B779" s="23"/>
      <c r="C779" s="23"/>
      <c r="D779" s="23"/>
      <c r="E779" s="23"/>
      <c r="F779" s="23"/>
      <c r="G779" s="28"/>
      <c r="H779" s="23"/>
    </row>
    <row r="780">
      <c r="A780" s="45"/>
      <c r="B780" s="23"/>
      <c r="C780" s="23"/>
      <c r="D780" s="23"/>
      <c r="E780" s="23"/>
      <c r="F780" s="23"/>
      <c r="G780" s="28"/>
      <c r="H780" s="23"/>
    </row>
    <row r="781">
      <c r="A781" s="45"/>
      <c r="B781" s="23"/>
      <c r="C781" s="23"/>
      <c r="D781" s="23"/>
      <c r="E781" s="23"/>
      <c r="F781" s="23"/>
      <c r="G781" s="28"/>
      <c r="H781" s="23"/>
    </row>
    <row r="782">
      <c r="A782" s="45"/>
      <c r="B782" s="23"/>
      <c r="C782" s="23"/>
      <c r="D782" s="23"/>
      <c r="E782" s="23"/>
      <c r="F782" s="23"/>
      <c r="G782" s="28"/>
      <c r="H782" s="23"/>
    </row>
    <row r="783">
      <c r="A783" s="45"/>
      <c r="B783" s="23"/>
      <c r="C783" s="23"/>
      <c r="D783" s="23"/>
      <c r="E783" s="23"/>
      <c r="F783" s="23"/>
      <c r="G783" s="28"/>
      <c r="H783" s="23"/>
    </row>
    <row r="784">
      <c r="A784" s="45"/>
      <c r="B784" s="23"/>
      <c r="C784" s="23"/>
      <c r="D784" s="23"/>
      <c r="E784" s="23"/>
      <c r="F784" s="23"/>
      <c r="G784" s="28"/>
      <c r="H784" s="23"/>
    </row>
    <row r="785">
      <c r="A785" s="45"/>
      <c r="B785" s="23"/>
      <c r="C785" s="23"/>
      <c r="D785" s="23"/>
      <c r="E785" s="23"/>
      <c r="F785" s="23"/>
      <c r="G785" s="28"/>
      <c r="H785" s="23"/>
    </row>
    <row r="786">
      <c r="A786" s="45"/>
      <c r="B786" s="23"/>
      <c r="C786" s="23"/>
      <c r="D786" s="23"/>
      <c r="E786" s="23"/>
      <c r="F786" s="23"/>
      <c r="G786" s="28"/>
      <c r="H786" s="23"/>
    </row>
    <row r="787">
      <c r="A787" s="45"/>
      <c r="B787" s="23"/>
      <c r="C787" s="23"/>
      <c r="D787" s="23"/>
      <c r="E787" s="23"/>
      <c r="F787" s="23"/>
      <c r="G787" s="28"/>
      <c r="H787" s="23"/>
    </row>
    <row r="788">
      <c r="A788" s="45"/>
      <c r="B788" s="23"/>
      <c r="C788" s="23"/>
      <c r="D788" s="23"/>
      <c r="E788" s="23"/>
      <c r="F788" s="23"/>
      <c r="G788" s="28"/>
      <c r="H788" s="23"/>
    </row>
    <row r="789">
      <c r="A789" s="45"/>
      <c r="B789" s="23"/>
      <c r="C789" s="23"/>
      <c r="D789" s="23"/>
      <c r="E789" s="23"/>
      <c r="F789" s="23"/>
      <c r="G789" s="28"/>
      <c r="H789" s="23"/>
    </row>
    <row r="790">
      <c r="A790" s="45"/>
      <c r="B790" s="23"/>
      <c r="C790" s="23"/>
      <c r="D790" s="23"/>
      <c r="E790" s="23"/>
      <c r="F790" s="23"/>
      <c r="G790" s="28"/>
      <c r="H790" s="23"/>
    </row>
    <row r="791">
      <c r="A791" s="45"/>
      <c r="B791" s="23"/>
      <c r="C791" s="23"/>
      <c r="D791" s="23"/>
      <c r="E791" s="23"/>
      <c r="F791" s="23"/>
      <c r="G791" s="28"/>
      <c r="H791" s="23"/>
    </row>
    <row r="792">
      <c r="A792" s="45"/>
      <c r="B792" s="23"/>
      <c r="C792" s="23"/>
      <c r="D792" s="23"/>
      <c r="E792" s="23"/>
      <c r="F792" s="23"/>
      <c r="G792" s="28"/>
      <c r="H792" s="23"/>
    </row>
    <row r="793">
      <c r="A793" s="45"/>
      <c r="B793" s="23"/>
      <c r="C793" s="23"/>
      <c r="D793" s="23"/>
      <c r="E793" s="23"/>
      <c r="F793" s="23"/>
      <c r="G793" s="28"/>
      <c r="H793" s="23"/>
    </row>
    <row r="794">
      <c r="A794" s="45"/>
      <c r="B794" s="23"/>
      <c r="C794" s="23"/>
      <c r="D794" s="23"/>
      <c r="E794" s="23"/>
      <c r="F794" s="23"/>
      <c r="G794" s="28"/>
      <c r="H794" s="23"/>
    </row>
    <row r="795">
      <c r="A795" s="45"/>
      <c r="B795" s="23"/>
      <c r="C795" s="23"/>
      <c r="D795" s="23"/>
      <c r="E795" s="23"/>
      <c r="F795" s="23"/>
      <c r="G795" s="28"/>
      <c r="H795" s="23"/>
    </row>
    <row r="796">
      <c r="A796" s="45"/>
      <c r="B796" s="23"/>
      <c r="C796" s="23"/>
      <c r="D796" s="23"/>
      <c r="E796" s="23"/>
      <c r="F796" s="23"/>
      <c r="G796" s="28"/>
      <c r="H796" s="23"/>
    </row>
    <row r="797">
      <c r="A797" s="45"/>
      <c r="B797" s="23"/>
      <c r="C797" s="23"/>
      <c r="D797" s="23"/>
      <c r="E797" s="23"/>
      <c r="F797" s="23"/>
      <c r="G797" s="28"/>
      <c r="H797" s="23"/>
    </row>
    <row r="798">
      <c r="A798" s="45"/>
      <c r="B798" s="23"/>
      <c r="C798" s="23"/>
      <c r="D798" s="23"/>
      <c r="E798" s="23"/>
      <c r="F798" s="23"/>
      <c r="G798" s="28"/>
      <c r="H798" s="23"/>
    </row>
    <row r="799">
      <c r="A799" s="45"/>
      <c r="B799" s="23"/>
      <c r="C799" s="23"/>
      <c r="D799" s="23"/>
      <c r="E799" s="23"/>
      <c r="F799" s="23"/>
      <c r="G799" s="28"/>
      <c r="H799" s="23"/>
    </row>
    <row r="800">
      <c r="A800" s="45"/>
      <c r="B800" s="23"/>
      <c r="C800" s="23"/>
      <c r="D800" s="23"/>
      <c r="E800" s="23"/>
      <c r="F800" s="23"/>
      <c r="G800" s="28"/>
      <c r="H800" s="23"/>
    </row>
    <row r="801">
      <c r="A801" s="45"/>
      <c r="B801" s="23"/>
      <c r="C801" s="23"/>
      <c r="D801" s="23"/>
      <c r="E801" s="23"/>
      <c r="F801" s="23"/>
      <c r="G801" s="28"/>
      <c r="H801" s="23"/>
    </row>
    <row r="802">
      <c r="A802" s="45"/>
      <c r="B802" s="23"/>
      <c r="C802" s="23"/>
      <c r="D802" s="23"/>
      <c r="E802" s="23"/>
      <c r="F802" s="23"/>
      <c r="G802" s="28"/>
      <c r="H802" s="23"/>
    </row>
    <row r="803">
      <c r="A803" s="45"/>
      <c r="B803" s="23"/>
      <c r="C803" s="23"/>
      <c r="D803" s="23"/>
      <c r="E803" s="23"/>
      <c r="F803" s="23"/>
      <c r="G803" s="28"/>
      <c r="H803" s="23"/>
    </row>
    <row r="804">
      <c r="A804" s="45"/>
      <c r="B804" s="23"/>
      <c r="C804" s="23"/>
      <c r="D804" s="23"/>
      <c r="E804" s="23"/>
      <c r="F804" s="23"/>
      <c r="G804" s="28"/>
      <c r="H804" s="23"/>
    </row>
    <row r="805">
      <c r="A805" s="45"/>
      <c r="B805" s="23"/>
      <c r="C805" s="23"/>
      <c r="D805" s="23"/>
      <c r="E805" s="23"/>
      <c r="F805" s="23"/>
      <c r="G805" s="28"/>
      <c r="H805" s="23"/>
    </row>
    <row r="806">
      <c r="A806" s="45"/>
      <c r="B806" s="23"/>
      <c r="C806" s="23"/>
      <c r="D806" s="23"/>
      <c r="E806" s="23"/>
      <c r="F806" s="23"/>
      <c r="G806" s="28"/>
      <c r="H806" s="23"/>
    </row>
    <row r="807">
      <c r="A807" s="45"/>
      <c r="B807" s="23"/>
      <c r="C807" s="23"/>
      <c r="D807" s="23"/>
      <c r="E807" s="23"/>
      <c r="F807" s="23"/>
      <c r="G807" s="28"/>
      <c r="H807" s="23"/>
    </row>
    <row r="808">
      <c r="A808" s="45"/>
      <c r="B808" s="23"/>
      <c r="C808" s="23"/>
      <c r="D808" s="23"/>
      <c r="E808" s="23"/>
      <c r="F808" s="23"/>
      <c r="G808" s="28"/>
      <c r="H808" s="23"/>
    </row>
    <row r="809">
      <c r="A809" s="45"/>
      <c r="B809" s="23"/>
      <c r="C809" s="23"/>
      <c r="D809" s="23"/>
      <c r="E809" s="23"/>
      <c r="F809" s="23"/>
      <c r="G809" s="28"/>
      <c r="H809" s="23"/>
    </row>
    <row r="810">
      <c r="A810" s="45"/>
      <c r="B810" s="23"/>
      <c r="C810" s="23"/>
      <c r="D810" s="23"/>
      <c r="E810" s="23"/>
      <c r="F810" s="23"/>
      <c r="G810" s="28"/>
      <c r="H810" s="23"/>
    </row>
    <row r="811">
      <c r="A811" s="45"/>
      <c r="B811" s="23"/>
      <c r="C811" s="23"/>
      <c r="D811" s="23"/>
      <c r="E811" s="23"/>
      <c r="F811" s="23"/>
      <c r="G811" s="28"/>
      <c r="H811" s="23"/>
    </row>
    <row r="812">
      <c r="A812" s="45"/>
      <c r="B812" s="23"/>
      <c r="C812" s="23"/>
      <c r="D812" s="23"/>
      <c r="E812" s="23"/>
      <c r="F812" s="23"/>
      <c r="G812" s="28"/>
      <c r="H812" s="23"/>
    </row>
    <row r="813">
      <c r="A813" s="45"/>
      <c r="B813" s="23"/>
      <c r="C813" s="23"/>
      <c r="D813" s="23"/>
      <c r="E813" s="23"/>
      <c r="F813" s="23"/>
      <c r="G813" s="28"/>
      <c r="H813" s="23"/>
    </row>
    <row r="814">
      <c r="A814" s="45"/>
      <c r="B814" s="23"/>
      <c r="C814" s="23"/>
      <c r="D814" s="23"/>
      <c r="E814" s="23"/>
      <c r="F814" s="23"/>
      <c r="G814" s="28"/>
      <c r="H814" s="23"/>
    </row>
    <row r="815">
      <c r="A815" s="45"/>
      <c r="B815" s="23"/>
      <c r="C815" s="23"/>
      <c r="D815" s="23"/>
      <c r="E815" s="23"/>
      <c r="F815" s="23"/>
      <c r="G815" s="28"/>
      <c r="H815" s="23"/>
    </row>
    <row r="816">
      <c r="A816" s="45"/>
      <c r="B816" s="23"/>
      <c r="C816" s="23"/>
      <c r="D816" s="23"/>
      <c r="E816" s="23"/>
      <c r="F816" s="23"/>
      <c r="G816" s="28"/>
      <c r="H816" s="23"/>
    </row>
    <row r="817">
      <c r="A817" s="45"/>
      <c r="B817" s="23"/>
      <c r="C817" s="23"/>
      <c r="D817" s="23"/>
      <c r="E817" s="23"/>
      <c r="F817" s="23"/>
      <c r="G817" s="28"/>
      <c r="H817" s="23"/>
    </row>
    <row r="818">
      <c r="A818" s="45"/>
      <c r="B818" s="23"/>
      <c r="C818" s="23"/>
      <c r="D818" s="23"/>
      <c r="E818" s="23"/>
      <c r="F818" s="23"/>
      <c r="G818" s="28"/>
      <c r="H818" s="23"/>
    </row>
    <row r="819">
      <c r="A819" s="45"/>
      <c r="B819" s="23"/>
      <c r="C819" s="23"/>
      <c r="D819" s="23"/>
      <c r="E819" s="23"/>
      <c r="F819" s="23"/>
      <c r="G819" s="28"/>
      <c r="H819" s="23"/>
    </row>
    <row r="820">
      <c r="A820" s="45"/>
      <c r="B820" s="23"/>
      <c r="C820" s="23"/>
      <c r="D820" s="23"/>
      <c r="E820" s="23"/>
      <c r="F820" s="23"/>
      <c r="G820" s="28"/>
      <c r="H820" s="23"/>
    </row>
    <row r="821">
      <c r="A821" s="45"/>
      <c r="B821" s="23"/>
      <c r="C821" s="23"/>
      <c r="D821" s="23"/>
      <c r="E821" s="23"/>
      <c r="F821" s="23"/>
      <c r="G821" s="28"/>
      <c r="H821" s="23"/>
    </row>
    <row r="822">
      <c r="A822" s="45"/>
      <c r="B822" s="23"/>
      <c r="C822" s="23"/>
      <c r="D822" s="23"/>
      <c r="E822" s="23"/>
      <c r="F822" s="23"/>
      <c r="G822" s="28"/>
      <c r="H822" s="23"/>
    </row>
    <row r="823">
      <c r="A823" s="45"/>
      <c r="B823" s="23"/>
      <c r="C823" s="23"/>
      <c r="D823" s="23"/>
      <c r="E823" s="23"/>
      <c r="F823" s="23"/>
      <c r="G823" s="28"/>
      <c r="H823" s="23"/>
    </row>
    <row r="824">
      <c r="A824" s="45"/>
      <c r="B824" s="23"/>
      <c r="C824" s="23"/>
      <c r="D824" s="23"/>
      <c r="E824" s="23"/>
      <c r="F824" s="23"/>
      <c r="G824" s="28"/>
      <c r="H824" s="23"/>
    </row>
    <row r="825">
      <c r="A825" s="45"/>
      <c r="B825" s="23"/>
      <c r="C825" s="23"/>
      <c r="D825" s="23"/>
      <c r="E825" s="23"/>
      <c r="F825" s="23"/>
      <c r="G825" s="28"/>
      <c r="H825" s="23"/>
    </row>
    <row r="826">
      <c r="A826" s="45"/>
      <c r="B826" s="23"/>
      <c r="C826" s="23"/>
      <c r="D826" s="23"/>
      <c r="E826" s="23"/>
      <c r="F826" s="23"/>
      <c r="G826" s="28"/>
      <c r="H826" s="23"/>
    </row>
    <row r="827">
      <c r="A827" s="45"/>
      <c r="B827" s="23"/>
      <c r="C827" s="23"/>
      <c r="D827" s="23"/>
      <c r="E827" s="23"/>
      <c r="F827" s="23"/>
      <c r="G827" s="28"/>
      <c r="H827" s="23"/>
    </row>
    <row r="828">
      <c r="A828" s="45"/>
      <c r="B828" s="23"/>
      <c r="C828" s="23"/>
      <c r="D828" s="23"/>
      <c r="E828" s="23"/>
      <c r="F828" s="23"/>
      <c r="G828" s="28"/>
      <c r="H828" s="23"/>
    </row>
    <row r="829">
      <c r="A829" s="45"/>
      <c r="B829" s="23"/>
      <c r="C829" s="23"/>
      <c r="D829" s="23"/>
      <c r="E829" s="23"/>
      <c r="F829" s="23"/>
      <c r="G829" s="28"/>
      <c r="H829" s="23"/>
    </row>
    <row r="830">
      <c r="A830" s="45"/>
      <c r="B830" s="23"/>
      <c r="C830" s="23"/>
      <c r="D830" s="23"/>
      <c r="E830" s="23"/>
      <c r="F830" s="23"/>
      <c r="G830" s="28"/>
      <c r="H830" s="23"/>
    </row>
    <row r="831">
      <c r="A831" s="45"/>
      <c r="B831" s="23"/>
      <c r="C831" s="23"/>
      <c r="D831" s="23"/>
      <c r="E831" s="23"/>
      <c r="F831" s="23"/>
      <c r="G831" s="28"/>
      <c r="H831" s="23"/>
    </row>
    <row r="832">
      <c r="A832" s="45"/>
      <c r="B832" s="23"/>
      <c r="C832" s="23"/>
      <c r="D832" s="23"/>
      <c r="E832" s="23"/>
      <c r="F832" s="23"/>
      <c r="G832" s="28"/>
      <c r="H832" s="23"/>
    </row>
    <row r="833">
      <c r="A833" s="45"/>
      <c r="B833" s="23"/>
      <c r="C833" s="23"/>
      <c r="D833" s="23"/>
      <c r="E833" s="23"/>
      <c r="F833" s="23"/>
      <c r="G833" s="28"/>
      <c r="H833" s="23"/>
    </row>
    <row r="834">
      <c r="A834" s="45"/>
      <c r="B834" s="23"/>
      <c r="C834" s="23"/>
      <c r="D834" s="23"/>
      <c r="E834" s="23"/>
      <c r="F834" s="23"/>
      <c r="G834" s="28"/>
      <c r="H834" s="23"/>
    </row>
    <row r="835">
      <c r="A835" s="45"/>
      <c r="B835" s="23"/>
      <c r="C835" s="23"/>
      <c r="D835" s="23"/>
      <c r="E835" s="23"/>
      <c r="F835" s="23"/>
      <c r="G835" s="28"/>
      <c r="H835" s="23"/>
    </row>
    <row r="836">
      <c r="A836" s="45"/>
      <c r="B836" s="23"/>
      <c r="C836" s="23"/>
      <c r="D836" s="23"/>
      <c r="E836" s="23"/>
      <c r="F836" s="23"/>
      <c r="G836" s="28"/>
      <c r="H836" s="23"/>
    </row>
    <row r="837">
      <c r="A837" s="45"/>
      <c r="B837" s="23"/>
      <c r="C837" s="23"/>
      <c r="D837" s="23"/>
      <c r="E837" s="23"/>
      <c r="F837" s="23"/>
      <c r="G837" s="28"/>
      <c r="H837" s="23"/>
    </row>
    <row r="838">
      <c r="A838" s="45"/>
      <c r="B838" s="23"/>
      <c r="C838" s="23"/>
      <c r="D838" s="23"/>
      <c r="E838" s="23"/>
      <c r="F838" s="23"/>
      <c r="G838" s="28"/>
      <c r="H838" s="23"/>
    </row>
    <row r="839">
      <c r="A839" s="45"/>
      <c r="B839" s="23"/>
      <c r="C839" s="23"/>
      <c r="D839" s="23"/>
      <c r="E839" s="23"/>
      <c r="F839" s="23"/>
      <c r="G839" s="28"/>
      <c r="H839" s="23"/>
    </row>
    <row r="840">
      <c r="A840" s="45"/>
      <c r="B840" s="23"/>
      <c r="C840" s="23"/>
      <c r="D840" s="23"/>
      <c r="E840" s="23"/>
      <c r="F840" s="23"/>
      <c r="G840" s="28"/>
      <c r="H840" s="23"/>
    </row>
    <row r="841">
      <c r="A841" s="45"/>
      <c r="B841" s="23"/>
      <c r="C841" s="23"/>
      <c r="D841" s="23"/>
      <c r="E841" s="23"/>
      <c r="F841" s="23"/>
      <c r="G841" s="28"/>
      <c r="H841" s="23"/>
    </row>
    <row r="842">
      <c r="A842" s="45"/>
      <c r="B842" s="23"/>
      <c r="C842" s="23"/>
      <c r="D842" s="23"/>
      <c r="E842" s="23"/>
      <c r="F842" s="23"/>
      <c r="G842" s="28"/>
      <c r="H842" s="23"/>
    </row>
    <row r="843">
      <c r="A843" s="45"/>
      <c r="B843" s="23"/>
      <c r="C843" s="23"/>
      <c r="D843" s="23"/>
      <c r="E843" s="23"/>
      <c r="F843" s="23"/>
      <c r="G843" s="28"/>
      <c r="H843" s="23"/>
    </row>
    <row r="844">
      <c r="A844" s="45"/>
      <c r="B844" s="23"/>
      <c r="C844" s="23"/>
      <c r="D844" s="23"/>
      <c r="E844" s="23"/>
      <c r="F844" s="23"/>
      <c r="G844" s="28"/>
      <c r="H844" s="23"/>
    </row>
    <row r="845">
      <c r="A845" s="45"/>
      <c r="B845" s="23"/>
      <c r="C845" s="23"/>
      <c r="D845" s="23"/>
      <c r="E845" s="23"/>
      <c r="F845" s="23"/>
      <c r="G845" s="28"/>
      <c r="H845" s="23"/>
    </row>
    <row r="846">
      <c r="A846" s="45"/>
      <c r="B846" s="23"/>
      <c r="C846" s="23"/>
      <c r="D846" s="23"/>
      <c r="E846" s="23"/>
      <c r="F846" s="23"/>
      <c r="G846" s="28"/>
      <c r="H846" s="23"/>
    </row>
    <row r="847">
      <c r="A847" s="45"/>
      <c r="B847" s="23"/>
      <c r="C847" s="23"/>
      <c r="D847" s="23"/>
      <c r="E847" s="23"/>
      <c r="F847" s="23"/>
      <c r="G847" s="28"/>
      <c r="H847" s="23"/>
    </row>
    <row r="848">
      <c r="A848" s="45"/>
      <c r="B848" s="23"/>
      <c r="C848" s="23"/>
      <c r="D848" s="23"/>
      <c r="E848" s="23"/>
      <c r="F848" s="23"/>
      <c r="G848" s="28"/>
      <c r="H848" s="23"/>
    </row>
    <row r="849">
      <c r="A849" s="45"/>
      <c r="B849" s="23"/>
      <c r="C849" s="23"/>
      <c r="D849" s="23"/>
      <c r="E849" s="23"/>
      <c r="F849" s="23"/>
      <c r="G849" s="28"/>
      <c r="H849" s="23"/>
    </row>
    <row r="850">
      <c r="A850" s="45"/>
      <c r="B850" s="23"/>
      <c r="C850" s="23"/>
      <c r="D850" s="23"/>
      <c r="E850" s="23"/>
      <c r="F850" s="23"/>
      <c r="G850" s="28"/>
      <c r="H850" s="23"/>
    </row>
    <row r="851">
      <c r="A851" s="45"/>
      <c r="B851" s="23"/>
      <c r="C851" s="23"/>
      <c r="D851" s="23"/>
      <c r="E851" s="23"/>
      <c r="F851" s="23"/>
      <c r="G851" s="28"/>
      <c r="H851" s="23"/>
    </row>
    <row r="852">
      <c r="A852" s="45"/>
      <c r="B852" s="23"/>
      <c r="C852" s="23"/>
      <c r="D852" s="23"/>
      <c r="E852" s="23"/>
      <c r="F852" s="23"/>
      <c r="G852" s="28"/>
      <c r="H852" s="23"/>
    </row>
    <row r="853">
      <c r="A853" s="45"/>
      <c r="B853" s="23"/>
      <c r="C853" s="23"/>
      <c r="D853" s="23"/>
      <c r="E853" s="23"/>
      <c r="F853" s="23"/>
      <c r="G853" s="28"/>
      <c r="H853" s="23"/>
    </row>
    <row r="854">
      <c r="A854" s="45"/>
      <c r="B854" s="23"/>
      <c r="C854" s="23"/>
      <c r="D854" s="23"/>
      <c r="E854" s="23"/>
      <c r="F854" s="23"/>
      <c r="G854" s="28"/>
      <c r="H854" s="23"/>
    </row>
    <row r="855">
      <c r="A855" s="45"/>
      <c r="B855" s="23"/>
      <c r="C855" s="23"/>
      <c r="D855" s="23"/>
      <c r="E855" s="23"/>
      <c r="F855" s="23"/>
      <c r="G855" s="28"/>
      <c r="H855" s="23"/>
    </row>
    <row r="856">
      <c r="A856" s="45"/>
      <c r="B856" s="23"/>
      <c r="C856" s="23"/>
      <c r="D856" s="23"/>
      <c r="E856" s="23"/>
      <c r="F856" s="23"/>
      <c r="G856" s="28"/>
      <c r="H856" s="23"/>
    </row>
    <row r="857">
      <c r="A857" s="45"/>
      <c r="B857" s="23"/>
      <c r="C857" s="23"/>
      <c r="D857" s="23"/>
      <c r="E857" s="23"/>
      <c r="F857" s="23"/>
      <c r="G857" s="28"/>
      <c r="H857" s="23"/>
    </row>
    <row r="858">
      <c r="A858" s="45"/>
      <c r="B858" s="23"/>
      <c r="C858" s="23"/>
      <c r="D858" s="23"/>
      <c r="E858" s="23"/>
      <c r="F858" s="23"/>
      <c r="G858" s="28"/>
      <c r="H858" s="23"/>
    </row>
    <row r="859">
      <c r="A859" s="45"/>
      <c r="B859" s="23"/>
      <c r="C859" s="23"/>
      <c r="D859" s="23"/>
      <c r="E859" s="23"/>
      <c r="F859" s="23"/>
      <c r="G859" s="28"/>
      <c r="H859" s="23"/>
    </row>
    <row r="860">
      <c r="A860" s="45"/>
      <c r="B860" s="23"/>
      <c r="C860" s="23"/>
      <c r="D860" s="23"/>
      <c r="E860" s="23"/>
      <c r="F860" s="23"/>
      <c r="G860" s="28"/>
      <c r="H860" s="23"/>
    </row>
    <row r="861">
      <c r="A861" s="45"/>
      <c r="B861" s="23"/>
      <c r="C861" s="23"/>
      <c r="D861" s="23"/>
      <c r="E861" s="23"/>
      <c r="F861" s="23"/>
      <c r="G861" s="28"/>
      <c r="H861" s="23"/>
    </row>
    <row r="862">
      <c r="A862" s="45"/>
      <c r="B862" s="23"/>
      <c r="C862" s="23"/>
      <c r="D862" s="23"/>
      <c r="E862" s="23"/>
      <c r="F862" s="23"/>
      <c r="G862" s="28"/>
      <c r="H862" s="23"/>
    </row>
    <row r="863">
      <c r="A863" s="45"/>
      <c r="B863" s="23"/>
      <c r="C863" s="23"/>
      <c r="D863" s="23"/>
      <c r="E863" s="23"/>
      <c r="F863" s="23"/>
      <c r="G863" s="28"/>
      <c r="H863" s="23"/>
    </row>
    <row r="864">
      <c r="A864" s="45"/>
      <c r="B864" s="23"/>
      <c r="C864" s="23"/>
      <c r="D864" s="23"/>
      <c r="E864" s="23"/>
      <c r="F864" s="23"/>
      <c r="G864" s="28"/>
      <c r="H864" s="23"/>
    </row>
    <row r="865">
      <c r="A865" s="45"/>
      <c r="B865" s="23"/>
      <c r="C865" s="23"/>
      <c r="D865" s="23"/>
      <c r="E865" s="23"/>
      <c r="F865" s="23"/>
      <c r="G865" s="28"/>
      <c r="H865" s="23"/>
    </row>
    <row r="866">
      <c r="A866" s="45"/>
      <c r="B866" s="23"/>
      <c r="C866" s="23"/>
      <c r="D866" s="23"/>
      <c r="E866" s="23"/>
      <c r="F866" s="23"/>
      <c r="G866" s="28"/>
      <c r="H866" s="23"/>
    </row>
    <row r="867">
      <c r="A867" s="45"/>
      <c r="B867" s="23"/>
      <c r="C867" s="23"/>
      <c r="D867" s="23"/>
      <c r="E867" s="23"/>
      <c r="F867" s="23"/>
      <c r="G867" s="28"/>
      <c r="H867" s="23"/>
    </row>
    <row r="868">
      <c r="A868" s="45"/>
      <c r="B868" s="23"/>
      <c r="C868" s="23"/>
      <c r="D868" s="23"/>
      <c r="E868" s="23"/>
      <c r="F868" s="23"/>
      <c r="G868" s="28"/>
      <c r="H868" s="23"/>
    </row>
    <row r="869">
      <c r="A869" s="45"/>
      <c r="B869" s="23"/>
      <c r="C869" s="23"/>
      <c r="D869" s="23"/>
      <c r="E869" s="23"/>
      <c r="F869" s="23"/>
      <c r="G869" s="28"/>
      <c r="H869" s="23"/>
    </row>
    <row r="870">
      <c r="A870" s="45"/>
      <c r="B870" s="23"/>
      <c r="C870" s="23"/>
      <c r="D870" s="23"/>
      <c r="E870" s="23"/>
      <c r="F870" s="23"/>
      <c r="G870" s="28"/>
      <c r="H870" s="23"/>
    </row>
    <row r="871">
      <c r="A871" s="45"/>
      <c r="B871" s="23"/>
      <c r="C871" s="23"/>
      <c r="D871" s="23"/>
      <c r="E871" s="23"/>
      <c r="F871" s="23"/>
      <c r="G871" s="28"/>
      <c r="H871" s="23"/>
    </row>
    <row r="872">
      <c r="A872" s="45"/>
      <c r="B872" s="23"/>
      <c r="C872" s="23"/>
      <c r="D872" s="23"/>
      <c r="E872" s="23"/>
      <c r="F872" s="23"/>
      <c r="G872" s="28"/>
      <c r="H872" s="23"/>
    </row>
    <row r="873">
      <c r="A873" s="45"/>
      <c r="B873" s="23"/>
      <c r="C873" s="23"/>
      <c r="D873" s="23"/>
      <c r="E873" s="23"/>
      <c r="F873" s="23"/>
      <c r="G873" s="28"/>
      <c r="H873" s="23"/>
    </row>
    <row r="874">
      <c r="A874" s="45"/>
      <c r="B874" s="23"/>
      <c r="C874" s="23"/>
      <c r="D874" s="23"/>
      <c r="E874" s="23"/>
      <c r="F874" s="23"/>
      <c r="G874" s="28"/>
      <c r="H874" s="23"/>
    </row>
    <row r="875">
      <c r="A875" s="45"/>
      <c r="B875" s="23"/>
      <c r="C875" s="23"/>
      <c r="D875" s="23"/>
      <c r="E875" s="23"/>
      <c r="F875" s="23"/>
      <c r="G875" s="28"/>
      <c r="H875" s="23"/>
    </row>
    <row r="876">
      <c r="A876" s="45"/>
      <c r="B876" s="23"/>
      <c r="C876" s="23"/>
      <c r="D876" s="23"/>
      <c r="E876" s="23"/>
      <c r="F876" s="23"/>
      <c r="G876" s="28"/>
      <c r="H876" s="23"/>
    </row>
    <row r="877">
      <c r="A877" s="45"/>
      <c r="B877" s="23"/>
      <c r="C877" s="23"/>
      <c r="D877" s="23"/>
      <c r="E877" s="23"/>
      <c r="F877" s="23"/>
      <c r="G877" s="28"/>
      <c r="H877" s="23"/>
    </row>
    <row r="878">
      <c r="A878" s="45"/>
      <c r="B878" s="23"/>
      <c r="C878" s="23"/>
      <c r="D878" s="23"/>
      <c r="E878" s="23"/>
      <c r="F878" s="23"/>
      <c r="G878" s="28"/>
      <c r="H878" s="23"/>
    </row>
    <row r="879">
      <c r="A879" s="45"/>
      <c r="B879" s="23"/>
      <c r="C879" s="23"/>
      <c r="D879" s="23"/>
      <c r="E879" s="23"/>
      <c r="F879" s="23"/>
      <c r="G879" s="28"/>
      <c r="H879" s="23"/>
    </row>
    <row r="880">
      <c r="A880" s="45"/>
      <c r="B880" s="23"/>
      <c r="C880" s="23"/>
      <c r="D880" s="23"/>
      <c r="E880" s="23"/>
      <c r="F880" s="23"/>
      <c r="G880" s="28"/>
      <c r="H880" s="23"/>
    </row>
    <row r="881">
      <c r="A881" s="45"/>
      <c r="B881" s="23"/>
      <c r="C881" s="23"/>
      <c r="D881" s="23"/>
      <c r="E881" s="23"/>
      <c r="F881" s="23"/>
      <c r="G881" s="28"/>
      <c r="H881" s="23"/>
    </row>
    <row r="882">
      <c r="A882" s="45"/>
      <c r="B882" s="23"/>
      <c r="C882" s="23"/>
      <c r="D882" s="23"/>
      <c r="E882" s="23"/>
      <c r="F882" s="23"/>
      <c r="G882" s="28"/>
      <c r="H882" s="23"/>
    </row>
    <row r="883">
      <c r="A883" s="45"/>
      <c r="B883" s="23"/>
      <c r="C883" s="23"/>
      <c r="D883" s="23"/>
      <c r="E883" s="23"/>
      <c r="F883" s="23"/>
      <c r="G883" s="28"/>
      <c r="H883" s="23"/>
    </row>
    <row r="884">
      <c r="A884" s="45"/>
      <c r="B884" s="23"/>
      <c r="C884" s="23"/>
      <c r="D884" s="23"/>
      <c r="E884" s="23"/>
      <c r="F884" s="23"/>
      <c r="G884" s="28"/>
      <c r="H884" s="23"/>
    </row>
    <row r="885">
      <c r="A885" s="45"/>
      <c r="B885" s="23"/>
      <c r="C885" s="23"/>
      <c r="D885" s="23"/>
      <c r="E885" s="23"/>
      <c r="F885" s="23"/>
      <c r="G885" s="28"/>
      <c r="H885" s="23"/>
    </row>
    <row r="886">
      <c r="A886" s="45"/>
      <c r="B886" s="23"/>
      <c r="C886" s="23"/>
      <c r="D886" s="23"/>
      <c r="E886" s="23"/>
      <c r="F886" s="23"/>
      <c r="G886" s="28"/>
      <c r="H886" s="23"/>
    </row>
    <row r="887">
      <c r="A887" s="45"/>
      <c r="B887" s="23"/>
      <c r="C887" s="23"/>
      <c r="D887" s="23"/>
      <c r="E887" s="23"/>
      <c r="F887" s="23"/>
      <c r="G887" s="28"/>
      <c r="H887" s="23"/>
    </row>
    <row r="888">
      <c r="A888" s="45"/>
      <c r="B888" s="23"/>
      <c r="C888" s="23"/>
      <c r="D888" s="23"/>
      <c r="E888" s="23"/>
      <c r="F888" s="23"/>
      <c r="G888" s="28"/>
      <c r="H888" s="23"/>
    </row>
    <row r="889">
      <c r="A889" s="45"/>
      <c r="B889" s="23"/>
      <c r="C889" s="23"/>
      <c r="D889" s="23"/>
      <c r="E889" s="23"/>
      <c r="F889" s="23"/>
      <c r="G889" s="28"/>
      <c r="H889" s="23"/>
    </row>
    <row r="890">
      <c r="A890" s="45"/>
      <c r="B890" s="23"/>
      <c r="C890" s="23"/>
      <c r="D890" s="23"/>
      <c r="E890" s="23"/>
      <c r="F890" s="23"/>
      <c r="G890" s="28"/>
      <c r="H890" s="23"/>
    </row>
    <row r="891">
      <c r="A891" s="45"/>
      <c r="B891" s="23"/>
      <c r="C891" s="23"/>
      <c r="D891" s="23"/>
      <c r="E891" s="23"/>
      <c r="F891" s="23"/>
      <c r="G891" s="28"/>
      <c r="H891" s="23"/>
    </row>
    <row r="892">
      <c r="A892" s="45"/>
      <c r="B892" s="23"/>
      <c r="C892" s="23"/>
      <c r="D892" s="23"/>
      <c r="E892" s="23"/>
      <c r="F892" s="23"/>
      <c r="G892" s="28"/>
      <c r="H892" s="23"/>
    </row>
    <row r="893">
      <c r="A893" s="45"/>
      <c r="B893" s="23"/>
      <c r="C893" s="23"/>
      <c r="D893" s="23"/>
      <c r="E893" s="23"/>
      <c r="F893" s="23"/>
      <c r="G893" s="28"/>
      <c r="H893" s="23"/>
    </row>
    <row r="894">
      <c r="A894" s="45"/>
      <c r="B894" s="23"/>
      <c r="C894" s="23"/>
      <c r="D894" s="23"/>
      <c r="E894" s="23"/>
      <c r="F894" s="23"/>
      <c r="G894" s="28"/>
      <c r="H894" s="23"/>
    </row>
    <row r="895">
      <c r="A895" s="45"/>
      <c r="B895" s="23"/>
      <c r="C895" s="23"/>
      <c r="D895" s="23"/>
      <c r="E895" s="23"/>
      <c r="F895" s="23"/>
      <c r="G895" s="28"/>
      <c r="H895" s="23"/>
    </row>
    <row r="896">
      <c r="A896" s="45"/>
      <c r="B896" s="23"/>
      <c r="C896" s="23"/>
      <c r="D896" s="23"/>
      <c r="E896" s="23"/>
      <c r="F896" s="23"/>
      <c r="G896" s="28"/>
      <c r="H896" s="23"/>
    </row>
    <row r="897">
      <c r="A897" s="45"/>
      <c r="B897" s="23"/>
      <c r="C897" s="23"/>
      <c r="D897" s="23"/>
      <c r="E897" s="23"/>
      <c r="F897" s="23"/>
      <c r="G897" s="28"/>
      <c r="H897" s="23"/>
    </row>
    <row r="898">
      <c r="A898" s="45"/>
      <c r="B898" s="23"/>
      <c r="C898" s="23"/>
      <c r="D898" s="23"/>
      <c r="E898" s="23"/>
      <c r="F898" s="23"/>
      <c r="G898" s="28"/>
      <c r="H898" s="23"/>
    </row>
    <row r="899">
      <c r="A899" s="45"/>
      <c r="B899" s="23"/>
      <c r="C899" s="23"/>
      <c r="D899" s="23"/>
      <c r="E899" s="23"/>
      <c r="F899" s="23"/>
      <c r="G899" s="28"/>
      <c r="H899" s="23"/>
    </row>
    <row r="900">
      <c r="A900" s="45"/>
      <c r="B900" s="23"/>
      <c r="C900" s="23"/>
      <c r="D900" s="23"/>
      <c r="E900" s="23"/>
      <c r="F900" s="23"/>
      <c r="G900" s="28"/>
      <c r="H900" s="23"/>
    </row>
    <row r="901">
      <c r="A901" s="45"/>
      <c r="B901" s="23"/>
      <c r="C901" s="23"/>
      <c r="D901" s="23"/>
      <c r="E901" s="23"/>
      <c r="F901" s="23"/>
      <c r="G901" s="28"/>
      <c r="H901" s="23"/>
    </row>
    <row r="902">
      <c r="A902" s="45"/>
      <c r="B902" s="23"/>
      <c r="C902" s="23"/>
      <c r="D902" s="23"/>
      <c r="E902" s="23"/>
      <c r="F902" s="23"/>
      <c r="G902" s="28"/>
      <c r="H902" s="23"/>
    </row>
    <row r="903">
      <c r="A903" s="45"/>
      <c r="B903" s="23"/>
      <c r="C903" s="23"/>
      <c r="D903" s="23"/>
      <c r="E903" s="23"/>
      <c r="F903" s="23"/>
      <c r="G903" s="28"/>
      <c r="H903" s="23"/>
    </row>
    <row r="904">
      <c r="A904" s="45"/>
      <c r="B904" s="23"/>
      <c r="C904" s="23"/>
      <c r="D904" s="23"/>
      <c r="E904" s="23"/>
      <c r="F904" s="23"/>
      <c r="G904" s="28"/>
      <c r="H904" s="23"/>
    </row>
    <row r="905">
      <c r="A905" s="45"/>
      <c r="B905" s="23"/>
      <c r="C905" s="23"/>
      <c r="D905" s="23"/>
      <c r="E905" s="23"/>
      <c r="F905" s="23"/>
      <c r="G905" s="28"/>
      <c r="H905" s="23"/>
    </row>
    <row r="906">
      <c r="A906" s="45"/>
      <c r="B906" s="23"/>
      <c r="C906" s="23"/>
      <c r="D906" s="23"/>
      <c r="E906" s="23"/>
      <c r="F906" s="23"/>
      <c r="G906" s="28"/>
      <c r="H906" s="23"/>
    </row>
    <row r="907">
      <c r="A907" s="45"/>
      <c r="B907" s="23"/>
      <c r="C907" s="23"/>
      <c r="D907" s="23"/>
      <c r="E907" s="23"/>
      <c r="F907" s="23"/>
      <c r="G907" s="28"/>
      <c r="H907" s="23"/>
    </row>
    <row r="908">
      <c r="A908" s="45"/>
      <c r="B908" s="23"/>
      <c r="C908" s="23"/>
      <c r="D908" s="23"/>
      <c r="E908" s="23"/>
      <c r="F908" s="23"/>
      <c r="G908" s="28"/>
      <c r="H908" s="23"/>
    </row>
    <row r="909">
      <c r="A909" s="45"/>
      <c r="B909" s="23"/>
      <c r="C909" s="23"/>
      <c r="D909" s="23"/>
      <c r="E909" s="23"/>
      <c r="F909" s="23"/>
      <c r="G909" s="28"/>
      <c r="H909" s="23"/>
    </row>
    <row r="910">
      <c r="A910" s="45"/>
      <c r="B910" s="23"/>
      <c r="C910" s="23"/>
      <c r="D910" s="23"/>
      <c r="E910" s="23"/>
      <c r="F910" s="23"/>
      <c r="G910" s="28"/>
      <c r="H910" s="23"/>
    </row>
    <row r="911">
      <c r="A911" s="45"/>
      <c r="B911" s="23"/>
      <c r="C911" s="23"/>
      <c r="D911" s="23"/>
      <c r="E911" s="23"/>
      <c r="F911" s="23"/>
      <c r="G911" s="28"/>
      <c r="H911" s="23"/>
    </row>
    <row r="912">
      <c r="A912" s="45"/>
      <c r="B912" s="23"/>
      <c r="C912" s="23"/>
      <c r="D912" s="23"/>
      <c r="E912" s="23"/>
      <c r="F912" s="23"/>
      <c r="G912" s="28"/>
      <c r="H912" s="23"/>
    </row>
    <row r="913">
      <c r="A913" s="45"/>
      <c r="B913" s="23"/>
      <c r="C913" s="23"/>
      <c r="D913" s="23"/>
      <c r="E913" s="23"/>
      <c r="F913" s="23"/>
      <c r="G913" s="28"/>
      <c r="H913" s="23"/>
    </row>
    <row r="914">
      <c r="A914" s="45"/>
      <c r="B914" s="23"/>
      <c r="C914" s="23"/>
      <c r="D914" s="23"/>
      <c r="E914" s="23"/>
      <c r="F914" s="23"/>
      <c r="G914" s="28"/>
      <c r="H914" s="23"/>
    </row>
    <row r="915">
      <c r="A915" s="45"/>
      <c r="B915" s="23"/>
      <c r="C915" s="23"/>
      <c r="D915" s="23"/>
      <c r="E915" s="23"/>
      <c r="F915" s="23"/>
      <c r="G915" s="28"/>
      <c r="H915" s="23"/>
    </row>
    <row r="916">
      <c r="A916" s="45"/>
      <c r="B916" s="23"/>
      <c r="C916" s="23"/>
      <c r="D916" s="23"/>
      <c r="E916" s="23"/>
      <c r="F916" s="23"/>
      <c r="G916" s="28"/>
      <c r="H916" s="23"/>
    </row>
    <row r="917">
      <c r="A917" s="45"/>
      <c r="B917" s="23"/>
      <c r="C917" s="23"/>
      <c r="D917" s="23"/>
      <c r="E917" s="23"/>
      <c r="F917" s="23"/>
      <c r="G917" s="28"/>
      <c r="H917" s="23"/>
    </row>
    <row r="918">
      <c r="A918" s="45"/>
      <c r="B918" s="23"/>
      <c r="C918" s="23"/>
      <c r="D918" s="23"/>
      <c r="E918" s="23"/>
      <c r="F918" s="23"/>
      <c r="G918" s="28"/>
      <c r="H918" s="23"/>
    </row>
    <row r="919">
      <c r="A919" s="45"/>
      <c r="B919" s="23"/>
      <c r="C919" s="23"/>
      <c r="D919" s="23"/>
      <c r="E919" s="23"/>
      <c r="F919" s="23"/>
      <c r="G919" s="28"/>
      <c r="H919" s="23"/>
    </row>
    <row r="920">
      <c r="A920" s="45"/>
      <c r="B920" s="23"/>
      <c r="C920" s="23"/>
      <c r="D920" s="23"/>
      <c r="E920" s="23"/>
      <c r="F920" s="23"/>
      <c r="G920" s="28"/>
      <c r="H920" s="23"/>
    </row>
    <row r="921">
      <c r="A921" s="45"/>
      <c r="B921" s="23"/>
      <c r="C921" s="23"/>
      <c r="D921" s="23"/>
      <c r="E921" s="23"/>
      <c r="F921" s="23"/>
      <c r="G921" s="28"/>
      <c r="H921" s="23"/>
    </row>
    <row r="922">
      <c r="A922" s="45"/>
      <c r="B922" s="23"/>
      <c r="C922" s="23"/>
      <c r="D922" s="23"/>
      <c r="E922" s="23"/>
      <c r="F922" s="23"/>
      <c r="G922" s="28"/>
      <c r="H922" s="23"/>
    </row>
    <row r="923">
      <c r="A923" s="45"/>
      <c r="B923" s="23"/>
      <c r="C923" s="23"/>
      <c r="D923" s="23"/>
      <c r="E923" s="23"/>
      <c r="F923" s="23"/>
      <c r="G923" s="28"/>
      <c r="H923" s="23"/>
    </row>
    <row r="924">
      <c r="A924" s="45"/>
      <c r="B924" s="23"/>
      <c r="C924" s="23"/>
      <c r="D924" s="23"/>
      <c r="E924" s="23"/>
      <c r="F924" s="23"/>
      <c r="G924" s="28"/>
      <c r="H924" s="23"/>
    </row>
    <row r="925">
      <c r="A925" s="45"/>
      <c r="B925" s="23"/>
      <c r="C925" s="23"/>
      <c r="D925" s="23"/>
      <c r="E925" s="23"/>
      <c r="F925" s="23"/>
      <c r="G925" s="28"/>
      <c r="H925" s="23"/>
    </row>
    <row r="926">
      <c r="A926" s="45"/>
      <c r="B926" s="23"/>
      <c r="C926" s="23"/>
      <c r="D926" s="23"/>
      <c r="E926" s="23"/>
      <c r="F926" s="23"/>
      <c r="G926" s="28"/>
      <c r="H926" s="23"/>
    </row>
    <row r="927">
      <c r="A927" s="45"/>
      <c r="B927" s="23"/>
      <c r="C927" s="23"/>
      <c r="D927" s="23"/>
      <c r="E927" s="23"/>
      <c r="F927" s="23"/>
      <c r="G927" s="28"/>
      <c r="H927" s="23"/>
    </row>
    <row r="928">
      <c r="A928" s="45"/>
      <c r="B928" s="23"/>
      <c r="C928" s="23"/>
      <c r="D928" s="23"/>
      <c r="E928" s="23"/>
      <c r="F928" s="23"/>
      <c r="G928" s="28"/>
      <c r="H928" s="23"/>
    </row>
    <row r="929">
      <c r="A929" s="45"/>
      <c r="B929" s="23"/>
      <c r="C929" s="23"/>
      <c r="D929" s="23"/>
      <c r="E929" s="23"/>
      <c r="F929" s="23"/>
      <c r="G929" s="28"/>
      <c r="H929" s="23"/>
    </row>
    <row r="930">
      <c r="A930" s="45"/>
      <c r="B930" s="23"/>
      <c r="C930" s="23"/>
      <c r="D930" s="23"/>
      <c r="E930" s="23"/>
      <c r="F930" s="23"/>
      <c r="G930" s="28"/>
      <c r="H930" s="23"/>
    </row>
    <row r="931">
      <c r="A931" s="45"/>
      <c r="B931" s="23"/>
      <c r="C931" s="23"/>
      <c r="D931" s="23"/>
      <c r="E931" s="23"/>
      <c r="F931" s="23"/>
      <c r="G931" s="28"/>
      <c r="H931" s="23"/>
    </row>
    <row r="932">
      <c r="A932" s="45"/>
      <c r="B932" s="23"/>
      <c r="C932" s="23"/>
      <c r="D932" s="23"/>
      <c r="E932" s="23"/>
      <c r="F932" s="23"/>
      <c r="G932" s="28"/>
      <c r="H932" s="23"/>
    </row>
    <row r="933">
      <c r="A933" s="45"/>
      <c r="B933" s="23"/>
      <c r="C933" s="23"/>
      <c r="D933" s="23"/>
      <c r="E933" s="23"/>
      <c r="F933" s="23"/>
      <c r="G933" s="28"/>
      <c r="H933" s="23"/>
    </row>
    <row r="934">
      <c r="A934" s="45"/>
      <c r="B934" s="23"/>
      <c r="C934" s="23"/>
      <c r="D934" s="23"/>
      <c r="E934" s="23"/>
      <c r="F934" s="23"/>
      <c r="G934" s="28"/>
      <c r="H934" s="23"/>
    </row>
    <row r="935">
      <c r="A935" s="45"/>
      <c r="B935" s="23"/>
      <c r="C935" s="23"/>
      <c r="D935" s="23"/>
      <c r="E935" s="23"/>
      <c r="F935" s="23"/>
      <c r="G935" s="28"/>
      <c r="H935" s="23"/>
    </row>
    <row r="936">
      <c r="A936" s="45"/>
      <c r="B936" s="23"/>
      <c r="C936" s="23"/>
      <c r="D936" s="23"/>
      <c r="E936" s="23"/>
      <c r="F936" s="23"/>
      <c r="G936" s="28"/>
      <c r="H936" s="23"/>
    </row>
    <row r="937">
      <c r="A937" s="45"/>
      <c r="B937" s="23"/>
      <c r="C937" s="23"/>
      <c r="D937" s="23"/>
      <c r="E937" s="23"/>
      <c r="F937" s="23"/>
      <c r="G937" s="28"/>
      <c r="H937" s="23"/>
    </row>
    <row r="938">
      <c r="A938" s="45"/>
      <c r="B938" s="23"/>
      <c r="C938" s="23"/>
      <c r="D938" s="23"/>
      <c r="E938" s="23"/>
      <c r="F938" s="23"/>
      <c r="G938" s="28"/>
      <c r="H938" s="23"/>
    </row>
    <row r="939">
      <c r="A939" s="45"/>
      <c r="B939" s="23"/>
      <c r="C939" s="23"/>
      <c r="D939" s="23"/>
      <c r="E939" s="23"/>
      <c r="F939" s="23"/>
      <c r="G939" s="28"/>
      <c r="H939" s="23"/>
    </row>
    <row r="940">
      <c r="A940" s="45"/>
      <c r="B940" s="23"/>
      <c r="C940" s="23"/>
      <c r="D940" s="23"/>
      <c r="E940" s="23"/>
      <c r="F940" s="23"/>
      <c r="G940" s="28"/>
      <c r="H940" s="23"/>
    </row>
    <row r="941">
      <c r="A941" s="45"/>
      <c r="B941" s="23"/>
      <c r="C941" s="23"/>
      <c r="D941" s="23"/>
      <c r="E941" s="23"/>
      <c r="F941" s="23"/>
      <c r="G941" s="28"/>
      <c r="H941" s="23"/>
    </row>
    <row r="942">
      <c r="A942" s="45"/>
      <c r="B942" s="23"/>
      <c r="C942" s="23"/>
      <c r="D942" s="23"/>
      <c r="E942" s="23"/>
      <c r="F942" s="23"/>
      <c r="G942" s="28"/>
      <c r="H942" s="23"/>
    </row>
    <row r="943">
      <c r="A943" s="45"/>
      <c r="B943" s="23"/>
      <c r="C943" s="23"/>
      <c r="D943" s="23"/>
      <c r="E943" s="23"/>
      <c r="F943" s="23"/>
      <c r="G943" s="28"/>
      <c r="H943" s="23"/>
    </row>
    <row r="944">
      <c r="A944" s="45"/>
      <c r="B944" s="23"/>
      <c r="C944" s="23"/>
      <c r="D944" s="23"/>
      <c r="E944" s="23"/>
      <c r="F944" s="23"/>
      <c r="G944" s="28"/>
      <c r="H944" s="23"/>
    </row>
    <row r="945">
      <c r="A945" s="45"/>
      <c r="B945" s="23"/>
      <c r="C945" s="23"/>
      <c r="D945" s="23"/>
      <c r="E945" s="23"/>
      <c r="F945" s="23"/>
      <c r="G945" s="28"/>
      <c r="H945" s="23"/>
    </row>
    <row r="946">
      <c r="A946" s="45"/>
      <c r="B946" s="23"/>
      <c r="C946" s="23"/>
      <c r="D946" s="23"/>
      <c r="E946" s="23"/>
      <c r="F946" s="23"/>
      <c r="G946" s="28"/>
      <c r="H946" s="23"/>
    </row>
    <row r="947">
      <c r="A947" s="45"/>
      <c r="B947" s="23"/>
      <c r="C947" s="23"/>
      <c r="D947" s="23"/>
      <c r="E947" s="23"/>
      <c r="F947" s="23"/>
      <c r="G947" s="28"/>
      <c r="H947" s="23"/>
    </row>
    <row r="948">
      <c r="A948" s="45"/>
      <c r="B948" s="23"/>
      <c r="C948" s="23"/>
      <c r="D948" s="23"/>
      <c r="E948" s="23"/>
      <c r="F948" s="23"/>
      <c r="G948" s="28"/>
      <c r="H948" s="23"/>
    </row>
    <row r="949">
      <c r="A949" s="45"/>
      <c r="B949" s="23"/>
      <c r="C949" s="23"/>
      <c r="D949" s="23"/>
      <c r="E949" s="23"/>
      <c r="F949" s="23"/>
      <c r="G949" s="28"/>
      <c r="H949" s="23"/>
    </row>
    <row r="950">
      <c r="A950" s="45"/>
      <c r="B950" s="23"/>
      <c r="C950" s="23"/>
      <c r="D950" s="23"/>
      <c r="E950" s="23"/>
      <c r="F950" s="23"/>
      <c r="G950" s="28"/>
      <c r="H950" s="23"/>
    </row>
    <row r="951">
      <c r="A951" s="45"/>
      <c r="B951" s="23"/>
      <c r="C951" s="23"/>
      <c r="D951" s="23"/>
      <c r="E951" s="23"/>
      <c r="F951" s="23"/>
      <c r="G951" s="28"/>
      <c r="H951" s="23"/>
    </row>
    <row r="952">
      <c r="A952" s="45"/>
      <c r="B952" s="23"/>
      <c r="C952" s="23"/>
      <c r="D952" s="23"/>
      <c r="E952" s="23"/>
      <c r="F952" s="23"/>
      <c r="G952" s="28"/>
      <c r="H952" s="23"/>
    </row>
    <row r="953">
      <c r="A953" s="45"/>
      <c r="B953" s="23"/>
      <c r="C953" s="23"/>
      <c r="D953" s="23"/>
      <c r="E953" s="23"/>
      <c r="F953" s="23"/>
      <c r="G953" s="28"/>
      <c r="H953" s="23"/>
    </row>
    <row r="954">
      <c r="A954" s="45"/>
      <c r="B954" s="23"/>
      <c r="C954" s="23"/>
      <c r="D954" s="23"/>
      <c r="E954" s="23"/>
      <c r="F954" s="23"/>
      <c r="G954" s="28"/>
      <c r="H954" s="23"/>
    </row>
    <row r="955">
      <c r="A955" s="45"/>
      <c r="B955" s="23"/>
      <c r="C955" s="23"/>
      <c r="D955" s="23"/>
      <c r="E955" s="23"/>
      <c r="F955" s="23"/>
      <c r="G955" s="28"/>
      <c r="H955" s="23"/>
    </row>
    <row r="956">
      <c r="A956" s="45"/>
      <c r="B956" s="23"/>
      <c r="C956" s="23"/>
      <c r="D956" s="23"/>
      <c r="E956" s="23"/>
      <c r="F956" s="23"/>
      <c r="G956" s="28"/>
      <c r="H956" s="23"/>
    </row>
    <row r="957">
      <c r="A957" s="45"/>
      <c r="B957" s="23"/>
      <c r="C957" s="23"/>
      <c r="D957" s="23"/>
      <c r="E957" s="23"/>
      <c r="F957" s="23"/>
      <c r="G957" s="28"/>
      <c r="H957" s="23"/>
    </row>
    <row r="958">
      <c r="A958" s="45"/>
      <c r="B958" s="23"/>
      <c r="C958" s="23"/>
      <c r="D958" s="23"/>
      <c r="E958" s="23"/>
      <c r="F958" s="23"/>
      <c r="G958" s="28"/>
      <c r="H958" s="23"/>
    </row>
    <row r="959">
      <c r="A959" s="45"/>
      <c r="B959" s="23"/>
      <c r="C959" s="23"/>
      <c r="D959" s="23"/>
      <c r="E959" s="23"/>
      <c r="F959" s="23"/>
      <c r="G959" s="28"/>
      <c r="H959" s="23"/>
    </row>
    <row r="960">
      <c r="A960" s="45"/>
      <c r="B960" s="23"/>
      <c r="C960" s="23"/>
      <c r="D960" s="23"/>
      <c r="E960" s="23"/>
      <c r="F960" s="23"/>
      <c r="G960" s="28"/>
      <c r="H960" s="23"/>
    </row>
    <row r="961">
      <c r="A961" s="45"/>
      <c r="B961" s="23"/>
      <c r="C961" s="23"/>
      <c r="D961" s="23"/>
      <c r="E961" s="23"/>
      <c r="F961" s="23"/>
      <c r="G961" s="28"/>
      <c r="H961" s="23"/>
    </row>
    <row r="962">
      <c r="A962" s="45"/>
      <c r="B962" s="23"/>
      <c r="C962" s="23"/>
      <c r="D962" s="23"/>
      <c r="E962" s="23"/>
      <c r="F962" s="23"/>
      <c r="G962" s="28"/>
      <c r="H962" s="23"/>
    </row>
    <row r="963">
      <c r="A963" s="45"/>
      <c r="B963" s="23"/>
      <c r="C963" s="23"/>
      <c r="D963" s="23"/>
      <c r="E963" s="23"/>
      <c r="F963" s="23"/>
      <c r="G963" s="28"/>
      <c r="H963" s="23"/>
    </row>
    <row r="964">
      <c r="A964" s="45"/>
      <c r="B964" s="23"/>
      <c r="C964" s="23"/>
      <c r="D964" s="23"/>
      <c r="E964" s="23"/>
      <c r="F964" s="23"/>
      <c r="G964" s="28"/>
      <c r="H964" s="23"/>
    </row>
    <row r="965">
      <c r="A965" s="45"/>
      <c r="B965" s="23"/>
      <c r="C965" s="23"/>
      <c r="D965" s="23"/>
      <c r="E965" s="23"/>
      <c r="F965" s="23"/>
      <c r="G965" s="28"/>
      <c r="H965" s="23"/>
    </row>
    <row r="966">
      <c r="A966" s="45"/>
      <c r="B966" s="23"/>
      <c r="C966" s="23"/>
      <c r="D966" s="23"/>
      <c r="E966" s="23"/>
      <c r="F966" s="23"/>
      <c r="G966" s="28"/>
      <c r="H966" s="23"/>
    </row>
    <row r="967">
      <c r="A967" s="45"/>
      <c r="B967" s="23"/>
      <c r="C967" s="23"/>
      <c r="D967" s="23"/>
      <c r="E967" s="23"/>
      <c r="F967" s="23"/>
      <c r="G967" s="28"/>
      <c r="H967" s="23"/>
    </row>
    <row r="968">
      <c r="A968" s="45"/>
      <c r="B968" s="23"/>
      <c r="C968" s="23"/>
      <c r="D968" s="23"/>
      <c r="E968" s="23"/>
      <c r="F968" s="23"/>
      <c r="G968" s="28"/>
      <c r="H968" s="23"/>
    </row>
    <row r="969">
      <c r="A969" s="45"/>
      <c r="B969" s="23"/>
      <c r="C969" s="23"/>
      <c r="D969" s="23"/>
      <c r="E969" s="23"/>
      <c r="F969" s="23"/>
      <c r="G969" s="28"/>
      <c r="H969" s="23"/>
    </row>
    <row r="970">
      <c r="A970" s="45"/>
      <c r="B970" s="23"/>
      <c r="C970" s="23"/>
      <c r="D970" s="23"/>
      <c r="E970" s="23"/>
      <c r="F970" s="23"/>
      <c r="G970" s="28"/>
      <c r="H970" s="23"/>
    </row>
    <row r="971">
      <c r="A971" s="45"/>
      <c r="B971" s="23"/>
      <c r="C971" s="23"/>
      <c r="D971" s="23"/>
      <c r="E971" s="23"/>
      <c r="F971" s="23"/>
      <c r="G971" s="28"/>
      <c r="H971" s="23"/>
    </row>
    <row r="972">
      <c r="A972" s="45"/>
      <c r="B972" s="23"/>
      <c r="C972" s="23"/>
      <c r="D972" s="23"/>
      <c r="E972" s="23"/>
      <c r="F972" s="23"/>
      <c r="G972" s="28"/>
      <c r="H972" s="23"/>
    </row>
    <row r="973">
      <c r="A973" s="45"/>
      <c r="B973" s="23"/>
      <c r="C973" s="23"/>
      <c r="D973" s="23"/>
      <c r="E973" s="23"/>
      <c r="F973" s="23"/>
      <c r="G973" s="28"/>
      <c r="H973" s="23"/>
    </row>
    <row r="974">
      <c r="A974" s="45"/>
      <c r="B974" s="23"/>
      <c r="C974" s="23"/>
      <c r="D974" s="23"/>
      <c r="E974" s="23"/>
      <c r="F974" s="23"/>
      <c r="G974" s="28"/>
      <c r="H974" s="23"/>
    </row>
    <row r="975">
      <c r="A975" s="45"/>
      <c r="B975" s="23"/>
      <c r="C975" s="23"/>
      <c r="D975" s="23"/>
      <c r="E975" s="23"/>
      <c r="F975" s="23"/>
      <c r="G975" s="28"/>
      <c r="H975" s="23"/>
    </row>
    <row r="976">
      <c r="A976" s="45"/>
      <c r="B976" s="23"/>
      <c r="C976" s="23"/>
      <c r="D976" s="23"/>
      <c r="E976" s="23"/>
      <c r="F976" s="23"/>
      <c r="G976" s="28"/>
      <c r="H976" s="23"/>
    </row>
    <row r="977">
      <c r="A977" s="45"/>
      <c r="B977" s="23"/>
      <c r="C977" s="23"/>
      <c r="D977" s="23"/>
      <c r="E977" s="23"/>
      <c r="F977" s="23"/>
      <c r="G977" s="28"/>
      <c r="H977" s="23"/>
    </row>
    <row r="978">
      <c r="A978" s="45"/>
      <c r="B978" s="23"/>
      <c r="C978" s="23"/>
      <c r="D978" s="23"/>
      <c r="E978" s="23"/>
      <c r="F978" s="23"/>
      <c r="G978" s="28"/>
      <c r="H978" s="23"/>
    </row>
    <row r="979">
      <c r="A979" s="45"/>
      <c r="B979" s="23"/>
      <c r="C979" s="23"/>
      <c r="D979" s="23"/>
      <c r="E979" s="23"/>
      <c r="F979" s="23"/>
      <c r="G979" s="28"/>
      <c r="H979" s="23"/>
    </row>
    <row r="980">
      <c r="A980" s="45"/>
      <c r="B980" s="23"/>
      <c r="C980" s="23"/>
      <c r="D980" s="23"/>
      <c r="E980" s="23"/>
      <c r="F980" s="23"/>
      <c r="G980" s="28"/>
      <c r="H980" s="23"/>
    </row>
    <row r="981">
      <c r="A981" s="45"/>
      <c r="B981" s="23"/>
      <c r="C981" s="23"/>
      <c r="D981" s="23"/>
      <c r="E981" s="23"/>
      <c r="F981" s="23"/>
      <c r="G981" s="28"/>
      <c r="H981" s="23"/>
    </row>
    <row r="982">
      <c r="A982" s="45"/>
      <c r="B982" s="23"/>
      <c r="C982" s="23"/>
      <c r="D982" s="23"/>
      <c r="E982" s="23"/>
      <c r="F982" s="23"/>
      <c r="G982" s="28"/>
      <c r="H982" s="23"/>
    </row>
    <row r="983">
      <c r="A983" s="45"/>
      <c r="B983" s="23"/>
      <c r="C983" s="23"/>
      <c r="D983" s="23"/>
      <c r="E983" s="23"/>
      <c r="F983" s="23"/>
      <c r="G983" s="28"/>
      <c r="H983" s="23"/>
    </row>
    <row r="984">
      <c r="A984" s="45"/>
      <c r="B984" s="23"/>
      <c r="C984" s="23"/>
      <c r="D984" s="23"/>
      <c r="E984" s="23"/>
      <c r="F984" s="23"/>
      <c r="G984" s="28"/>
      <c r="H984" s="23"/>
    </row>
    <row r="985">
      <c r="A985" s="45"/>
      <c r="B985" s="23"/>
      <c r="C985" s="23"/>
      <c r="D985" s="23"/>
      <c r="E985" s="23"/>
      <c r="F985" s="23"/>
      <c r="G985" s="28"/>
      <c r="H985" s="23"/>
    </row>
    <row r="986">
      <c r="A986" s="45"/>
      <c r="B986" s="23"/>
      <c r="C986" s="23"/>
      <c r="D986" s="23"/>
      <c r="E986" s="23"/>
      <c r="F986" s="23"/>
      <c r="G986" s="28"/>
      <c r="H986" s="23"/>
    </row>
    <row r="987">
      <c r="A987" s="45"/>
      <c r="B987" s="23"/>
      <c r="C987" s="23"/>
      <c r="D987" s="23"/>
      <c r="E987" s="23"/>
      <c r="F987" s="23"/>
      <c r="G987" s="28"/>
      <c r="H987" s="23"/>
    </row>
    <row r="988">
      <c r="A988" s="45"/>
      <c r="B988" s="23"/>
      <c r="C988" s="23"/>
      <c r="D988" s="23"/>
      <c r="E988" s="23"/>
      <c r="F988" s="23"/>
      <c r="G988" s="28"/>
      <c r="H988" s="23"/>
    </row>
    <row r="989">
      <c r="A989" s="45"/>
      <c r="B989" s="23"/>
      <c r="C989" s="23"/>
      <c r="D989" s="23"/>
      <c r="E989" s="23"/>
      <c r="F989" s="23"/>
      <c r="G989" s="28"/>
      <c r="H989" s="23"/>
    </row>
    <row r="990">
      <c r="A990" s="45"/>
      <c r="B990" s="23"/>
      <c r="C990" s="23"/>
      <c r="D990" s="23"/>
      <c r="E990" s="23"/>
      <c r="F990" s="23"/>
      <c r="G990" s="28"/>
      <c r="H990" s="23"/>
    </row>
    <row r="991">
      <c r="A991" s="45"/>
      <c r="B991" s="23"/>
      <c r="C991" s="23"/>
      <c r="D991" s="23"/>
      <c r="E991" s="23"/>
      <c r="F991" s="23"/>
      <c r="G991" s="28"/>
      <c r="H991" s="23"/>
    </row>
    <row r="992">
      <c r="A992" s="45"/>
      <c r="B992" s="23"/>
      <c r="C992" s="23"/>
      <c r="D992" s="23"/>
      <c r="E992" s="23"/>
      <c r="F992" s="23"/>
      <c r="G992" s="28"/>
      <c r="H992" s="23"/>
    </row>
    <row r="993">
      <c r="A993" s="45"/>
      <c r="B993" s="23"/>
      <c r="C993" s="23"/>
      <c r="D993" s="23"/>
      <c r="E993" s="23"/>
      <c r="F993" s="23"/>
      <c r="G993" s="28"/>
      <c r="H993" s="23"/>
    </row>
    <row r="994">
      <c r="A994" s="45"/>
      <c r="B994" s="23"/>
      <c r="C994" s="23"/>
      <c r="D994" s="23"/>
      <c r="E994" s="23"/>
      <c r="F994" s="23"/>
      <c r="G994" s="28"/>
      <c r="H994" s="23"/>
    </row>
    <row r="995">
      <c r="A995" s="45"/>
      <c r="B995" s="23"/>
      <c r="C995" s="23"/>
      <c r="D995" s="23"/>
      <c r="E995" s="23"/>
      <c r="F995" s="23"/>
      <c r="G995" s="28"/>
      <c r="H995" s="23"/>
    </row>
    <row r="996">
      <c r="A996" s="45"/>
      <c r="B996" s="23"/>
      <c r="C996" s="23"/>
      <c r="D996" s="23"/>
      <c r="E996" s="23"/>
      <c r="F996" s="23"/>
      <c r="G996" s="28"/>
      <c r="H996" s="23"/>
    </row>
    <row r="997">
      <c r="A997" s="45"/>
      <c r="B997" s="23"/>
      <c r="C997" s="23"/>
      <c r="D997" s="23"/>
      <c r="E997" s="23"/>
      <c r="F997" s="23"/>
      <c r="G997" s="28"/>
      <c r="H997" s="23"/>
    </row>
    <row r="998">
      <c r="A998" s="45"/>
      <c r="B998" s="23"/>
      <c r="C998" s="23"/>
      <c r="D998" s="23"/>
      <c r="E998" s="23"/>
      <c r="F998" s="23"/>
      <c r="G998" s="28"/>
      <c r="H998" s="23"/>
    </row>
    <row r="999">
      <c r="A999" s="45"/>
      <c r="B999" s="23"/>
      <c r="C999" s="23"/>
      <c r="D999" s="23"/>
      <c r="E999" s="23"/>
      <c r="F999" s="23"/>
      <c r="G999" s="28"/>
      <c r="H999" s="23"/>
    </row>
  </sheetData>
  <mergeCells count="5">
    <mergeCell ref="A1:B1"/>
    <mergeCell ref="E1:H1"/>
    <mergeCell ref="E2:H2"/>
    <mergeCell ref="E3:H3"/>
    <mergeCell ref="E4:H4"/>
  </mergeCells>
  <conditionalFormatting sqref="G5:H999">
    <cfRule type="cellIs" dxfId="4" priority="1" operator="equal">
      <formula>"Médio"</formula>
    </cfRule>
  </conditionalFormatting>
  <conditionalFormatting sqref="G5:H999">
    <cfRule type="cellIs" dxfId="5" priority="2" operator="equal">
      <formula>"Alto"</formula>
    </cfRule>
  </conditionalFormatting>
  <conditionalFormatting sqref="G5:H999">
    <cfRule type="cellIs" dxfId="6" priority="3" operator="equal">
      <formula>"Banido"</formula>
    </cfRule>
  </conditionalFormatting>
  <conditionalFormatting sqref="G5:H999">
    <cfRule type="cellIs" dxfId="7" priority="4" operator="equal">
      <formula>"Baixo"</formula>
    </cfRule>
  </conditionalFormatting>
  <conditionalFormatting sqref="G6:G241">
    <cfRule type="colorScale" priority="5">
      <colorScale>
        <cfvo type="formula" val="0"/>
        <cfvo type="formula" val="0.3333"/>
        <color rgb="FFFFFFFF"/>
        <color rgb="FFE06666"/>
      </colorScale>
    </cfRule>
  </conditionalFormatting>
  <conditionalFormatting sqref="B6:B999">
    <cfRule type="colorScale" priority="6">
      <colorScale>
        <cfvo type="formula" val="1"/>
        <cfvo type="formula" val="24"/>
        <color rgb="FFFFFFFF"/>
        <color rgb="FFE06666"/>
      </colorScale>
    </cfRule>
  </conditionalFormatting>
  <hyperlinks>
    <hyperlink r:id="rId1" location="gid=0&amp;range=G23:J29" ref="A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7.63"/>
    <col customWidth="1" min="3" max="3" width="9.0"/>
    <col customWidth="1" min="4" max="4" width="13.0"/>
    <col customWidth="1" min="5" max="5" width="15.38"/>
    <col customWidth="1" min="6" max="6" width="18.5"/>
    <col customWidth="1" min="7" max="7" width="10.25"/>
    <col customWidth="1" min="8" max="10" width="4.63"/>
    <col customWidth="1" min="11" max="11" width="12.13"/>
    <col customWidth="1" min="12" max="12" width="6.5"/>
    <col customWidth="1" min="13" max="13" width="7.63"/>
    <col customWidth="1" min="14" max="14" width="7.38"/>
    <col customWidth="1" min="15" max="15" width="20.25"/>
    <col customWidth="1" min="16" max="16" width="17.75"/>
  </cols>
  <sheetData>
    <row r="1">
      <c r="A1" s="46" t="str">
        <f>IFERROR(__xludf.DUMMYFUNCTION("IMPORTRANGE(""https://docs.google.com/spreadsheets/d/1a0LQVvC7fbgDeBJKsHxrCV4h_m3RijC2QSYwdDga1WU/edit?gid=1453179674#gid=1453179674"",""Resultado Mensal EMP!A:P"")"),"Chave Mes Jogador")</f>
        <v>Chave Mes Jogador</v>
      </c>
      <c r="B1" s="46" t="str">
        <f>IFERROR(__xludf.DUMMYFUNCTION("""COMPUTED_VALUE"""),"Liga Ano")</f>
        <v>Liga Ano</v>
      </c>
      <c r="C1" s="46" t="str">
        <f>IFERROR(__xludf.DUMMYFUNCTION("""COMPUTED_VALUE"""),"Etapa Liga")</f>
        <v>Etapa Liga</v>
      </c>
      <c r="D1" s="46" t="str">
        <f>IFERROR(__xludf.DUMMYFUNCTION("""COMPUTED_VALUE"""),"Colocação EMP")</f>
        <v>Colocação EMP</v>
      </c>
      <c r="E1" s="46" t="str">
        <f>IFERROR(__xludf.DUMMYFUNCTION("""COMPUTED_VALUE"""),"Jogador")</f>
        <v>Jogador</v>
      </c>
      <c r="F1" s="47" t="str">
        <f>IFERROR(__xludf.DUMMYFUNCTION("""COMPUTED_VALUE"""),"Deck")</f>
        <v>Deck</v>
      </c>
      <c r="G1" s="46" t="str">
        <f>IFERROR(__xludf.DUMMYFUNCTION("""COMPUTED_VALUE"""),"EMP Pontos")</f>
        <v>EMP Pontos</v>
      </c>
      <c r="H1" s="47" t="str">
        <f>IFERROR(__xludf.DUMMYFUNCTION("""COMPUTED_VALUE"""),"EMP 
TB1")</f>
        <v>EMP 
TB1</v>
      </c>
      <c r="I1" s="47" t="str">
        <f>IFERROR(__xludf.DUMMYFUNCTION("""COMPUTED_VALUE"""),"EMP 
TB2")</f>
        <v>EMP 
TB2</v>
      </c>
      <c r="J1" s="47" t="str">
        <f>IFERROR(__xludf.DUMMYFUNCTION("""COMPUTED_VALUE"""),"EMP 
TB3")</f>
        <v>EMP 
TB3</v>
      </c>
      <c r="K1" s="47" t="str">
        <f>IFERROR(__xludf.DUMMYFUNCTION("""COMPUTED_VALUE"""),"Desempate TB")</f>
        <v>Desempate TB</v>
      </c>
      <c r="L1" s="46" t="str">
        <f>IFERROR(__xludf.DUMMYFUNCTION("""COMPUTED_VALUE"""),"Vitórias")</f>
        <v>Vitórias</v>
      </c>
      <c r="M1" s="46" t="str">
        <f>IFERROR(__xludf.DUMMYFUNCTION("""COMPUTED_VALUE"""),"Empates")</f>
        <v>Empates</v>
      </c>
      <c r="N1" s="46" t="str">
        <f>IFERROR(__xludf.DUMMYFUNCTION("""COMPUTED_VALUE"""),"Derrotas")</f>
        <v>Derrotas</v>
      </c>
      <c r="O1" s="47" t="str">
        <f>IFERROR(__xludf.DUMMYFUNCTION("""COMPUTED_VALUE"""),"De/Para Pontuação Anual")</f>
        <v>De/Para Pontuação Anual</v>
      </c>
      <c r="P1" s="47" t="str">
        <f>IFERROR(__xludf.DUMMYFUNCTION("""COMPUTED_VALUE"""),"Pontuação Anual Final")</f>
        <v>Pontuação Anual Final</v>
      </c>
    </row>
    <row r="2" hidden="1">
      <c r="A2" s="48" t="str">
        <f>IFERROR(__xludf.DUMMYFUNCTION("""COMPUTED_VALUE"""),"janeiro_Erickpd")</f>
        <v>janeiro_Erickpd</v>
      </c>
      <c r="B2" s="48">
        <f>IFERROR(__xludf.DUMMYFUNCTION("""COMPUTED_VALUE"""),2026.0)</f>
        <v>2026</v>
      </c>
      <c r="C2" s="49">
        <f>IFERROR(__xludf.DUMMYFUNCTION("""COMPUTED_VALUE"""),46053.0)</f>
        <v>46053</v>
      </c>
      <c r="D2" s="46">
        <f>IFERROR(__xludf.DUMMYFUNCTION("""COMPUTED_VALUE"""),1.0)</f>
        <v>1</v>
      </c>
      <c r="E2" s="46" t="str">
        <f>IFERROR(__xludf.DUMMYFUNCTION("""COMPUTED_VALUE"""),"Erickpd")</f>
        <v>Erickpd</v>
      </c>
      <c r="F2" s="46" t="str">
        <f>IFERROR(__xludf.DUMMYFUNCTION("""COMPUTED_VALUE"""),"Dance of the Elements")</f>
        <v>Dance of the Elements</v>
      </c>
      <c r="G2" s="46">
        <f>IFERROR(__xludf.DUMMYFUNCTION("""COMPUTED_VALUE"""),5.0)</f>
        <v>5</v>
      </c>
      <c r="H2" s="46">
        <f>IFERROR(__xludf.DUMMYFUNCTION("""COMPUTED_VALUE"""),6.0)</f>
        <v>6</v>
      </c>
      <c r="I2" s="50">
        <f>IFERROR(__xludf.DUMMYFUNCTION("""COMPUTED_VALUE"""),2.75)</f>
        <v>2.75</v>
      </c>
      <c r="J2" s="50">
        <f>IFERROR(__xludf.DUMMYFUNCTION("""COMPUTED_VALUE"""),3.63)</f>
        <v>3.63</v>
      </c>
      <c r="K2" s="51">
        <f>IFERROR(__xludf.DUMMYFUNCTION("""COMPUTED_VALUE"""),0.26275362999999996)</f>
        <v>0.26275363</v>
      </c>
      <c r="L2" s="46">
        <f>IFERROR(__xludf.DUMMYFUNCTION("""COMPUTED_VALUE"""),2.0)</f>
        <v>2</v>
      </c>
      <c r="M2" s="46">
        <f>IFERROR(__xludf.DUMMYFUNCTION("""COMPUTED_VALUE"""),2.0)</f>
        <v>2</v>
      </c>
      <c r="N2" s="46">
        <f>IFERROR(__xludf.DUMMYFUNCTION("""COMPUTED_VALUE"""),0.0)</f>
        <v>0</v>
      </c>
      <c r="O2" s="48">
        <f>IFERROR(__xludf.DUMMYFUNCTION("""COMPUTED_VALUE"""),3.0)</f>
        <v>3</v>
      </c>
      <c r="P2" s="52">
        <f>IFERROR(__xludf.DUMMYFUNCTION("""COMPUTED_VALUE"""),3.2627536299999997)</f>
        <v>3.26275363</v>
      </c>
    </row>
    <row r="3" hidden="1">
      <c r="A3" s="48" t="str">
        <f>IFERROR(__xludf.DUMMYFUNCTION("""COMPUTED_VALUE"""),"janeiro_Morkan")</f>
        <v>janeiro_Morkan</v>
      </c>
      <c r="B3" s="48">
        <f>IFERROR(__xludf.DUMMYFUNCTION("""COMPUTED_VALUE"""),2026.0)</f>
        <v>2026</v>
      </c>
      <c r="C3" s="49">
        <f>IFERROR(__xludf.DUMMYFUNCTION("""COMPUTED_VALUE"""),46053.0)</f>
        <v>46053</v>
      </c>
      <c r="D3" s="46">
        <f>IFERROR(__xludf.DUMMYFUNCTION("""COMPUTED_VALUE"""),2.0)</f>
        <v>2</v>
      </c>
      <c r="E3" s="46" t="str">
        <f>IFERROR(__xludf.DUMMYFUNCTION("""COMPUTED_VALUE"""),"Morkan")</f>
        <v>Morkan</v>
      </c>
      <c r="F3" s="46" t="str">
        <f>IFERROR(__xludf.DUMMYFUNCTION("""COMPUTED_VALUE"""),"Creative Energy")</f>
        <v>Creative Energy</v>
      </c>
      <c r="G3" s="46">
        <f>IFERROR(__xludf.DUMMYFUNCTION("""COMPUTED_VALUE"""),7.0)</f>
        <v>7</v>
      </c>
      <c r="H3" s="46">
        <f>IFERROR(__xludf.DUMMYFUNCTION("""COMPUTED_VALUE"""),6.0)</f>
        <v>6</v>
      </c>
      <c r="I3" s="50">
        <f>IFERROR(__xludf.DUMMYFUNCTION("""COMPUTED_VALUE"""),2.11)</f>
        <v>2.11</v>
      </c>
      <c r="J3" s="50">
        <f>IFERROR(__xludf.DUMMYFUNCTION("""COMPUTED_VALUE"""),3.11)</f>
        <v>3.11</v>
      </c>
      <c r="K3" s="51">
        <f>IFERROR(__xludf.DUMMYFUNCTION("""COMPUTED_VALUE"""),0.26211311)</f>
        <v>0.26211311</v>
      </c>
      <c r="L3" s="46">
        <f>IFERROR(__xludf.DUMMYFUNCTION("""COMPUTED_VALUE"""),2.0)</f>
        <v>2</v>
      </c>
      <c r="M3" s="46">
        <f>IFERROR(__xludf.DUMMYFUNCTION("""COMPUTED_VALUE"""),1.0)</f>
        <v>1</v>
      </c>
      <c r="N3" s="46">
        <f>IFERROR(__xludf.DUMMYFUNCTION("""COMPUTED_VALUE"""),1.0)</f>
        <v>1</v>
      </c>
      <c r="O3" s="48">
        <f>IFERROR(__xludf.DUMMYFUNCTION("""COMPUTED_VALUE"""),2.0)</f>
        <v>2</v>
      </c>
      <c r="P3" s="52">
        <f>IFERROR(__xludf.DUMMYFUNCTION("""COMPUTED_VALUE"""),2.26211311)</f>
        <v>2.26211311</v>
      </c>
    </row>
    <row r="4" hidden="1">
      <c r="A4" s="48" t="str">
        <f>IFERROR(__xludf.DUMMYFUNCTION("""COMPUTED_VALUE"""),"janeiro_Karyum")</f>
        <v>janeiro_Karyum</v>
      </c>
      <c r="B4" s="48">
        <f>IFERROR(__xludf.DUMMYFUNCTION("""COMPUTED_VALUE"""),2026.0)</f>
        <v>2026</v>
      </c>
      <c r="C4" s="49">
        <f>IFERROR(__xludf.DUMMYFUNCTION("""COMPUTED_VALUE"""),46053.0)</f>
        <v>46053</v>
      </c>
      <c r="D4" s="46">
        <f>IFERROR(__xludf.DUMMYFUNCTION("""COMPUTED_VALUE"""),3.0)</f>
        <v>3</v>
      </c>
      <c r="E4" s="46" t="str">
        <f>IFERROR(__xludf.DUMMYFUNCTION("""COMPUTED_VALUE"""),"Karyum")</f>
        <v>Karyum</v>
      </c>
      <c r="F4" s="46" t="str">
        <f>IFERROR(__xludf.DUMMYFUNCTION("""COMPUTED_VALUE"""),"Revival Trance")</f>
        <v>Revival Trance</v>
      </c>
      <c r="G4" s="46">
        <f>IFERROR(__xludf.DUMMYFUNCTION("""COMPUTED_VALUE"""),5.0)</f>
        <v>5</v>
      </c>
      <c r="H4" s="46">
        <f>IFERROR(__xludf.DUMMYFUNCTION("""COMPUTED_VALUE"""),6.0)</f>
        <v>6</v>
      </c>
      <c r="I4" s="50">
        <f>IFERROR(__xludf.DUMMYFUNCTION("""COMPUTED_VALUE"""),2.67)</f>
        <v>2.67</v>
      </c>
      <c r="J4" s="50">
        <f>IFERROR(__xludf.DUMMYFUNCTION("""COMPUTED_VALUE"""),2.78)</f>
        <v>2.78</v>
      </c>
      <c r="K4" s="51">
        <f>IFERROR(__xludf.DUMMYFUNCTION("""COMPUTED_VALUE"""),0.16267278000000002)</f>
        <v>0.16267278</v>
      </c>
      <c r="L4" s="46">
        <f>IFERROR(__xludf.DUMMYFUNCTION("""COMPUTED_VALUE"""),1.0)</f>
        <v>1</v>
      </c>
      <c r="M4" s="46">
        <f>IFERROR(__xludf.DUMMYFUNCTION("""COMPUTED_VALUE"""),2.0)</f>
        <v>2</v>
      </c>
      <c r="N4" s="46">
        <f>IFERROR(__xludf.DUMMYFUNCTION("""COMPUTED_VALUE"""),1.0)</f>
        <v>1</v>
      </c>
      <c r="O4" s="48">
        <f>IFERROR(__xludf.DUMMYFUNCTION("""COMPUTED_VALUE"""),2.0)</f>
        <v>2</v>
      </c>
      <c r="P4" s="52">
        <f>IFERROR(__xludf.DUMMYFUNCTION("""COMPUTED_VALUE"""),2.16267278)</f>
        <v>2.16267278</v>
      </c>
    </row>
    <row r="5">
      <c r="A5" s="48" t="str">
        <f>IFERROR(__xludf.DUMMYFUNCTION("""COMPUTED_VALUE"""),"janeiro_TendiNietzsche")</f>
        <v>janeiro_TendiNietzsche</v>
      </c>
      <c r="B5" s="48">
        <f>IFERROR(__xludf.DUMMYFUNCTION("""COMPUTED_VALUE"""),2026.0)</f>
        <v>2026</v>
      </c>
      <c r="C5" s="49">
        <f>IFERROR(__xludf.DUMMYFUNCTION("""COMPUTED_VALUE"""),46053.0)</f>
        <v>46053</v>
      </c>
      <c r="D5" s="46">
        <f>IFERROR(__xludf.DUMMYFUNCTION("""COMPUTED_VALUE"""),4.0)</f>
        <v>4</v>
      </c>
      <c r="E5" s="46" t="str">
        <f>IFERROR(__xludf.DUMMYFUNCTION("""COMPUTED_VALUE"""),"TendiNietzsche")</f>
        <v>TendiNietzsche</v>
      </c>
      <c r="F5" s="46" t="str">
        <f>IFERROR(__xludf.DUMMYFUNCTION("""COMPUTED_VALUE"""),"Scions &amp; Spellcraft")</f>
        <v>Scions &amp; Spellcraft</v>
      </c>
      <c r="G5" s="46">
        <f>IFERROR(__xludf.DUMMYFUNCTION("""COMPUTED_VALUE"""),4.0)</f>
        <v>4</v>
      </c>
      <c r="H5" s="46">
        <f>IFERROR(__xludf.DUMMYFUNCTION("""COMPUTED_VALUE"""),4.0)</f>
        <v>4</v>
      </c>
      <c r="I5" s="50">
        <f>IFERROR(__xludf.DUMMYFUNCTION("""COMPUTED_VALUE"""),3.33)</f>
        <v>3.33</v>
      </c>
      <c r="J5" s="50">
        <f>IFERROR(__xludf.DUMMYFUNCTION("""COMPUTED_VALUE"""),3.22)</f>
        <v>3.22</v>
      </c>
      <c r="K5" s="51">
        <f>IFERROR(__xludf.DUMMYFUNCTION("""COMPUTED_VALUE"""),0.14333322)</f>
        <v>0.14333322</v>
      </c>
      <c r="L5" s="46">
        <f>IFERROR(__xludf.DUMMYFUNCTION("""COMPUTED_VALUE"""),1.0)</f>
        <v>1</v>
      </c>
      <c r="M5" s="46">
        <f>IFERROR(__xludf.DUMMYFUNCTION("""COMPUTED_VALUE"""),1.0)</f>
        <v>1</v>
      </c>
      <c r="N5" s="46">
        <f>IFERROR(__xludf.DUMMYFUNCTION("""COMPUTED_VALUE"""),2.0)</f>
        <v>2</v>
      </c>
      <c r="O5" s="48">
        <f>IFERROR(__xludf.DUMMYFUNCTION("""COMPUTED_VALUE"""),2.0)</f>
        <v>2</v>
      </c>
      <c r="P5" s="52">
        <f>IFERROR(__xludf.DUMMYFUNCTION("""COMPUTED_VALUE"""),2.14333322)</f>
        <v>2.14333322</v>
      </c>
    </row>
    <row r="6" hidden="1">
      <c r="A6" s="48" t="str">
        <f>IFERROR(__xludf.DUMMYFUNCTION("""COMPUTED_VALUE"""),"janeiro_Da mata")</f>
        <v>janeiro_Da mata</v>
      </c>
      <c r="B6" s="48">
        <f>IFERROR(__xludf.DUMMYFUNCTION("""COMPUTED_VALUE"""),2026.0)</f>
        <v>2026</v>
      </c>
      <c r="C6" s="49">
        <f>IFERROR(__xludf.DUMMYFUNCTION("""COMPUTED_VALUE"""),46053.0)</f>
        <v>46053</v>
      </c>
      <c r="D6" s="46">
        <f>IFERROR(__xludf.DUMMYFUNCTION("""COMPUTED_VALUE"""),5.0)</f>
        <v>5</v>
      </c>
      <c r="E6" s="46" t="str">
        <f>IFERROR(__xludf.DUMMYFUNCTION("""COMPUTED_VALUE"""),"Da mata")</f>
        <v>Da mata</v>
      </c>
      <c r="F6" s="46" t="str">
        <f>IFERROR(__xludf.DUMMYFUNCTION("""COMPUTED_VALUE"""),"Explorers of the Deep")</f>
        <v>Explorers of the Deep</v>
      </c>
      <c r="G6" s="46">
        <f>IFERROR(__xludf.DUMMYFUNCTION("""COMPUTED_VALUE"""),4.0)</f>
        <v>4</v>
      </c>
      <c r="H6" s="46">
        <f>IFERROR(__xludf.DUMMYFUNCTION("""COMPUTED_VALUE"""),3.0)</f>
        <v>3</v>
      </c>
      <c r="I6" s="50">
        <f>IFERROR(__xludf.DUMMYFUNCTION("""COMPUTED_VALUE"""),2.43)</f>
        <v>2.43</v>
      </c>
      <c r="J6" s="50">
        <f>IFERROR(__xludf.DUMMYFUNCTION("""COMPUTED_VALUE"""),2.71)</f>
        <v>2.71</v>
      </c>
      <c r="K6" s="51">
        <f>IFERROR(__xludf.DUMMYFUNCTION("""COMPUTED_VALUE"""),0.13243270999999998)</f>
        <v>0.13243271</v>
      </c>
      <c r="L6" s="46">
        <f>IFERROR(__xludf.DUMMYFUNCTION("""COMPUTED_VALUE"""),1.0)</f>
        <v>1</v>
      </c>
      <c r="M6" s="46">
        <f>IFERROR(__xludf.DUMMYFUNCTION("""COMPUTED_VALUE"""),1.0)</f>
        <v>1</v>
      </c>
      <c r="N6" s="46">
        <f>IFERROR(__xludf.DUMMYFUNCTION("""COMPUTED_VALUE"""),1.0)</f>
        <v>1</v>
      </c>
      <c r="O6" s="48">
        <f>IFERROR(__xludf.DUMMYFUNCTION("""COMPUTED_VALUE"""),2.0)</f>
        <v>2</v>
      </c>
      <c r="P6" s="52">
        <f>IFERROR(__xludf.DUMMYFUNCTION("""COMPUTED_VALUE"""),2.13243271)</f>
        <v>2.13243271</v>
      </c>
    </row>
    <row r="7" hidden="1">
      <c r="A7" s="48" t="str">
        <f>IFERROR(__xludf.DUMMYFUNCTION("""COMPUTED_VALUE"""),"janeiro_Campera")</f>
        <v>janeiro_Campera</v>
      </c>
      <c r="B7" s="48">
        <f>IFERROR(__xludf.DUMMYFUNCTION("""COMPUTED_VALUE"""),2026.0)</f>
        <v>2026</v>
      </c>
      <c r="C7" s="49">
        <f>IFERROR(__xludf.DUMMYFUNCTION("""COMPUTED_VALUE"""),46053.0)</f>
        <v>46053</v>
      </c>
      <c r="D7" s="46">
        <f>IFERROR(__xludf.DUMMYFUNCTION("""COMPUTED_VALUE"""),6.0)</f>
        <v>6</v>
      </c>
      <c r="E7" s="46" t="str">
        <f>IFERROR(__xludf.DUMMYFUNCTION("""COMPUTED_VALUE"""),"Campera")</f>
        <v>Campera</v>
      </c>
      <c r="F7" s="46" t="str">
        <f>IFERROR(__xludf.DUMMYFUNCTION("""COMPUTED_VALUE"""),"Blight Curse")</f>
        <v>Blight Curse</v>
      </c>
      <c r="G7" s="46">
        <f>IFERROR(__xludf.DUMMYFUNCTION("""COMPUTED_VALUE"""),4.0)</f>
        <v>4</v>
      </c>
      <c r="H7" s="46">
        <f>IFERROR(__xludf.DUMMYFUNCTION("""COMPUTED_VALUE"""),1.0)</f>
        <v>1</v>
      </c>
      <c r="I7" s="50">
        <f>IFERROR(__xludf.DUMMYFUNCTION("""COMPUTED_VALUE"""),3.5)</f>
        <v>3.5</v>
      </c>
      <c r="J7" s="50">
        <f>IFERROR(__xludf.DUMMYFUNCTION("""COMPUTED_VALUE"""),4.0)</f>
        <v>4</v>
      </c>
      <c r="K7" s="51">
        <f>IFERROR(__xludf.DUMMYFUNCTION("""COMPUTED_VALUE"""),0.013504)</f>
        <v>0.013504</v>
      </c>
      <c r="L7" s="46">
        <f>IFERROR(__xludf.DUMMYFUNCTION("""COMPUTED_VALUE"""),0.0)</f>
        <v>0</v>
      </c>
      <c r="M7" s="46">
        <f>IFERROR(__xludf.DUMMYFUNCTION("""COMPUTED_VALUE"""),1.0)</f>
        <v>1</v>
      </c>
      <c r="N7" s="46">
        <f>IFERROR(__xludf.DUMMYFUNCTION("""COMPUTED_VALUE"""),1.0)</f>
        <v>1</v>
      </c>
      <c r="O7" s="48">
        <f>IFERROR(__xludf.DUMMYFUNCTION("""COMPUTED_VALUE"""),2.0)</f>
        <v>2</v>
      </c>
      <c r="P7" s="52">
        <f>IFERROR(__xludf.DUMMYFUNCTION("""COMPUTED_VALUE"""),2.013504)</f>
        <v>2.013504</v>
      </c>
    </row>
    <row r="8" hidden="1">
      <c r="A8" s="48" t="str">
        <f>IFERROR(__xludf.DUMMYFUNCTION("""COMPUTED_VALUE"""),"janeiro_Yrving")</f>
        <v>janeiro_Yrving</v>
      </c>
      <c r="B8" s="48">
        <f>IFERROR(__xludf.DUMMYFUNCTION("""COMPUTED_VALUE"""),2026.0)</f>
        <v>2026</v>
      </c>
      <c r="C8" s="49">
        <f>IFERROR(__xludf.DUMMYFUNCTION("""COMPUTED_VALUE"""),46053.0)</f>
        <v>46053</v>
      </c>
      <c r="D8" s="46">
        <f>IFERROR(__xludf.DUMMYFUNCTION("""COMPUTED_VALUE"""),7.0)</f>
        <v>7</v>
      </c>
      <c r="E8" s="46" t="str">
        <f>IFERROR(__xludf.DUMMYFUNCTION("""COMPUTED_VALUE"""),"Yrving")</f>
        <v>Yrving</v>
      </c>
      <c r="F8" s="46" t="str">
        <f>IFERROR(__xludf.DUMMYFUNCTION("""COMPUTED_VALUE"""),"Primal Genesis")</f>
        <v>Primal Genesis</v>
      </c>
      <c r="G8" s="46">
        <f>IFERROR(__xludf.DUMMYFUNCTION("""COMPUTED_VALUE"""),3.0)</f>
        <v>3</v>
      </c>
      <c r="H8" s="46">
        <f>IFERROR(__xludf.DUMMYFUNCTION("""COMPUTED_VALUE"""),0.0)</f>
        <v>0</v>
      </c>
      <c r="I8" s="50">
        <f>IFERROR(__xludf.DUMMYFUNCTION("""COMPUTED_VALUE"""),3.33)</f>
        <v>3.33</v>
      </c>
      <c r="J8" s="50">
        <f>IFERROR(__xludf.DUMMYFUNCTION("""COMPUTED_VALUE"""),3.17)</f>
        <v>3.17</v>
      </c>
      <c r="K8" s="51">
        <f>IFERROR(__xludf.DUMMYFUNCTION("""COMPUTED_VALUE"""),0.00333317)</f>
        <v>0.00333317</v>
      </c>
      <c r="L8" s="46">
        <f>IFERROR(__xludf.DUMMYFUNCTION("""COMPUTED_VALUE"""),0.0)</f>
        <v>0</v>
      </c>
      <c r="M8" s="46">
        <f>IFERROR(__xludf.DUMMYFUNCTION("""COMPUTED_VALUE"""),0.0)</f>
        <v>0</v>
      </c>
      <c r="N8" s="46">
        <f>IFERROR(__xludf.DUMMYFUNCTION("""COMPUTED_VALUE"""),2.0)</f>
        <v>2</v>
      </c>
      <c r="O8" s="48">
        <f>IFERROR(__xludf.DUMMYFUNCTION("""COMPUTED_VALUE"""),2.0)</f>
        <v>2</v>
      </c>
      <c r="P8" s="52">
        <f>IFERROR(__xludf.DUMMYFUNCTION("""COMPUTED_VALUE"""),2.00333317)</f>
        <v>2.00333317</v>
      </c>
    </row>
    <row r="9" hidden="1">
      <c r="A9" s="48" t="str">
        <f>IFERROR(__xludf.DUMMYFUNCTION("""COMPUTED_VALUE"""),"janeiro_Arthur Cyrillo")</f>
        <v>janeiro_Arthur Cyrillo</v>
      </c>
      <c r="B9" s="48">
        <f>IFERROR(__xludf.DUMMYFUNCTION("""COMPUTED_VALUE"""),2026.0)</f>
        <v>2026</v>
      </c>
      <c r="C9" s="49">
        <f>IFERROR(__xludf.DUMMYFUNCTION("""COMPUTED_VALUE"""),46053.0)</f>
        <v>46053</v>
      </c>
      <c r="D9" s="46">
        <f>IFERROR(__xludf.DUMMYFUNCTION("""COMPUTED_VALUE"""),8.0)</f>
        <v>8</v>
      </c>
      <c r="E9" s="46" t="str">
        <f>IFERROR(__xludf.DUMMYFUNCTION("""COMPUTED_VALUE"""),"Arthur Cyrillo")</f>
        <v>Arthur Cyrillo</v>
      </c>
      <c r="F9" s="46" t="str">
        <f>IFERROR(__xludf.DUMMYFUNCTION("""COMPUTED_VALUE"""),"World Shaper")</f>
        <v>World Shaper</v>
      </c>
      <c r="G9" s="46">
        <f>IFERROR(__xludf.DUMMYFUNCTION("""COMPUTED_VALUE"""),3.0)</f>
        <v>3</v>
      </c>
      <c r="H9" s="46">
        <f>IFERROR(__xludf.DUMMYFUNCTION("""COMPUTED_VALUE"""),0.0)</f>
        <v>0</v>
      </c>
      <c r="I9" s="50">
        <f>IFERROR(__xludf.DUMMYFUNCTION("""COMPUTED_VALUE"""),3.0)</f>
        <v>3</v>
      </c>
      <c r="J9" s="50">
        <f>IFERROR(__xludf.DUMMYFUNCTION("""COMPUTED_VALUE"""),3.33)</f>
        <v>3.33</v>
      </c>
      <c r="K9" s="51">
        <f>IFERROR(__xludf.DUMMYFUNCTION("""COMPUTED_VALUE"""),0.0030033300000000002)</f>
        <v>0.00300333</v>
      </c>
      <c r="L9" s="46">
        <f>IFERROR(__xludf.DUMMYFUNCTION("""COMPUTED_VALUE"""),0.0)</f>
        <v>0</v>
      </c>
      <c r="M9" s="46">
        <f>IFERROR(__xludf.DUMMYFUNCTION("""COMPUTED_VALUE"""),0.0)</f>
        <v>0</v>
      </c>
      <c r="N9" s="46">
        <f>IFERROR(__xludf.DUMMYFUNCTION("""COMPUTED_VALUE"""),1.0)</f>
        <v>1</v>
      </c>
      <c r="O9" s="48">
        <f>IFERROR(__xludf.DUMMYFUNCTION("""COMPUTED_VALUE"""),2.0)</f>
        <v>2</v>
      </c>
      <c r="P9" s="52">
        <f>IFERROR(__xludf.DUMMYFUNCTION("""COMPUTED_VALUE"""),2.00300333)</f>
        <v>2.00300333</v>
      </c>
    </row>
    <row r="10" hidden="1">
      <c r="A10" s="48" t="str">
        <f>IFERROR(__xludf.DUMMYFUNCTION("""COMPUTED_VALUE"""),"janeiro_AndreVL")</f>
        <v>janeiro_AndreVL</v>
      </c>
      <c r="B10" s="48">
        <f>IFERROR(__xludf.DUMMYFUNCTION("""COMPUTED_VALUE"""),2026.0)</f>
        <v>2026</v>
      </c>
      <c r="C10" s="49">
        <f>IFERROR(__xludf.DUMMYFUNCTION("""COMPUTED_VALUE"""),46053.0)</f>
        <v>46053</v>
      </c>
      <c r="D10" s="46">
        <f>IFERROR(__xludf.DUMMYFUNCTION("""COMPUTED_VALUE"""),9.0)</f>
        <v>9</v>
      </c>
      <c r="E10" s="46" t="str">
        <f>IFERROR(__xludf.DUMMYFUNCTION("""COMPUTED_VALUE"""),"AndreVL")</f>
        <v>AndreVL</v>
      </c>
      <c r="F10" s="46" t="str">
        <f>IFERROR(__xludf.DUMMYFUNCTION("""COMPUTED_VALUE"""),"Timey-Wimey")</f>
        <v>Timey-Wimey</v>
      </c>
      <c r="G10" s="46">
        <f>IFERROR(__xludf.DUMMYFUNCTION("""COMPUTED_VALUE"""),2.0)</f>
        <v>2</v>
      </c>
      <c r="H10" s="46">
        <f>IFERROR(__xludf.DUMMYFUNCTION("""COMPUTED_VALUE"""),4.0)</f>
        <v>4</v>
      </c>
      <c r="I10" s="50">
        <f>IFERROR(__xludf.DUMMYFUNCTION("""COMPUTED_VALUE"""),4.0)</f>
        <v>4</v>
      </c>
      <c r="J10" s="50">
        <f>IFERROR(__xludf.DUMMYFUNCTION("""COMPUTED_VALUE"""),4.17)</f>
        <v>4.17</v>
      </c>
      <c r="K10" s="51">
        <f>IFERROR(__xludf.DUMMYFUNCTION("""COMPUTED_VALUE"""),0.044004169999999995)</f>
        <v>0.04400417</v>
      </c>
      <c r="L10" s="46">
        <f>IFERROR(__xludf.DUMMYFUNCTION("""COMPUTED_VALUE"""),0.0)</f>
        <v>0</v>
      </c>
      <c r="M10" s="46">
        <f>IFERROR(__xludf.DUMMYFUNCTION("""COMPUTED_VALUE"""),2.0)</f>
        <v>2</v>
      </c>
      <c r="N10" s="46">
        <f>IFERROR(__xludf.DUMMYFUNCTION("""COMPUTED_VALUE"""),1.0)</f>
        <v>1</v>
      </c>
      <c r="O10" s="48">
        <f>IFERROR(__xludf.DUMMYFUNCTION("""COMPUTED_VALUE"""),1.0)</f>
        <v>1</v>
      </c>
      <c r="P10" s="52">
        <f>IFERROR(__xludf.DUMMYFUNCTION("""COMPUTED_VALUE"""),1.04400417)</f>
        <v>1.04400417</v>
      </c>
    </row>
    <row r="11" hidden="1">
      <c r="A11" s="48" t="str">
        <f>IFERROR(__xludf.DUMMYFUNCTION("""COMPUTED_VALUE"""),"janeiro_Yasmin")</f>
        <v>janeiro_Yasmin</v>
      </c>
      <c r="B11" s="48">
        <f>IFERROR(__xludf.DUMMYFUNCTION("""COMPUTED_VALUE"""),2026.0)</f>
        <v>2026</v>
      </c>
      <c r="C11" s="49">
        <f>IFERROR(__xludf.DUMMYFUNCTION("""COMPUTED_VALUE"""),46053.0)</f>
        <v>46053</v>
      </c>
      <c r="D11" s="46">
        <f>IFERROR(__xludf.DUMMYFUNCTION("""COMPUTED_VALUE"""),10.0)</f>
        <v>10</v>
      </c>
      <c r="E11" s="46" t="str">
        <f>IFERROR(__xludf.DUMMYFUNCTION("""COMPUTED_VALUE"""),"Yasmin")</f>
        <v>Yasmin</v>
      </c>
      <c r="F11" s="46" t="str">
        <f>IFERROR(__xludf.DUMMYFUNCTION("""COMPUTED_VALUE"""),"Legends' Legacy")</f>
        <v>Legends' Legacy</v>
      </c>
      <c r="G11" s="46">
        <f>IFERROR(__xludf.DUMMYFUNCTION("""COMPUTED_VALUE"""),2.0)</f>
        <v>2</v>
      </c>
      <c r="H11" s="46">
        <f>IFERROR(__xludf.DUMMYFUNCTION("""COMPUTED_VALUE"""),4.0)</f>
        <v>4</v>
      </c>
      <c r="I11" s="50">
        <f>IFERROR(__xludf.DUMMYFUNCTION("""COMPUTED_VALUE"""),3.71)</f>
        <v>3.71</v>
      </c>
      <c r="J11" s="50">
        <f>IFERROR(__xludf.DUMMYFUNCTION("""COMPUTED_VALUE"""),4.29)</f>
        <v>4.29</v>
      </c>
      <c r="K11" s="51">
        <f>IFERROR(__xludf.DUMMYFUNCTION("""COMPUTED_VALUE"""),0.043714289999999996)</f>
        <v>0.04371429</v>
      </c>
      <c r="L11" s="46">
        <f>IFERROR(__xludf.DUMMYFUNCTION("""COMPUTED_VALUE"""),0.0)</f>
        <v>0</v>
      </c>
      <c r="M11" s="46">
        <f>IFERROR(__xludf.DUMMYFUNCTION("""COMPUTED_VALUE"""),2.0)</f>
        <v>2</v>
      </c>
      <c r="N11" s="46">
        <f>IFERROR(__xludf.DUMMYFUNCTION("""COMPUTED_VALUE"""),1.0)</f>
        <v>1</v>
      </c>
      <c r="O11" s="48">
        <f>IFERROR(__xludf.DUMMYFUNCTION("""COMPUTED_VALUE"""),1.0)</f>
        <v>1</v>
      </c>
      <c r="P11" s="52">
        <f>IFERROR(__xludf.DUMMYFUNCTION("""COMPUTED_VALUE"""),1.04371429)</f>
        <v>1.04371429</v>
      </c>
    </row>
    <row r="12" hidden="1">
      <c r="A12" s="48" t="str">
        <f>IFERROR(__xludf.DUMMYFUNCTION("""COMPUTED_VALUE"""),"janeiro_Crothen")</f>
        <v>janeiro_Crothen</v>
      </c>
      <c r="B12" s="48">
        <f>IFERROR(__xludf.DUMMYFUNCTION("""COMPUTED_VALUE"""),2026.0)</f>
        <v>2026</v>
      </c>
      <c r="C12" s="49">
        <f>IFERROR(__xludf.DUMMYFUNCTION("""COMPUTED_VALUE"""),46053.0)</f>
        <v>46053</v>
      </c>
      <c r="D12" s="46">
        <f>IFERROR(__xludf.DUMMYFUNCTION("""COMPUTED_VALUE"""),11.0)</f>
        <v>11</v>
      </c>
      <c r="E12" s="46" t="str">
        <f>IFERROR(__xludf.DUMMYFUNCTION("""COMPUTED_VALUE"""),"Crothen")</f>
        <v>Crothen</v>
      </c>
      <c r="F12" s="46" t="str">
        <f>IFERROR(__xludf.DUMMYFUNCTION("""COMPUTED_VALUE"""),"Eldrazi Incursion")</f>
        <v>Eldrazi Incursion</v>
      </c>
      <c r="G12" s="46">
        <f>IFERROR(__xludf.DUMMYFUNCTION("""COMPUTED_VALUE"""),2.0)</f>
        <v>2</v>
      </c>
      <c r="H12" s="46">
        <f>IFERROR(__xludf.DUMMYFUNCTION("""COMPUTED_VALUE"""),4.0)</f>
        <v>4</v>
      </c>
      <c r="I12" s="50">
        <f>IFERROR(__xludf.DUMMYFUNCTION("""COMPUTED_VALUE"""),3.5)</f>
        <v>3.5</v>
      </c>
      <c r="J12" s="50">
        <f>IFERROR(__xludf.DUMMYFUNCTION("""COMPUTED_VALUE"""),4.5)</f>
        <v>4.5</v>
      </c>
      <c r="K12" s="51">
        <f>IFERROR(__xludf.DUMMYFUNCTION("""COMPUTED_VALUE"""),0.0435045)</f>
        <v>0.0435045</v>
      </c>
      <c r="L12" s="46">
        <f>IFERROR(__xludf.DUMMYFUNCTION("""COMPUTED_VALUE"""),0.0)</f>
        <v>0</v>
      </c>
      <c r="M12" s="46">
        <f>IFERROR(__xludf.DUMMYFUNCTION("""COMPUTED_VALUE"""),2.0)</f>
        <v>2</v>
      </c>
      <c r="N12" s="46">
        <f>IFERROR(__xludf.DUMMYFUNCTION("""COMPUTED_VALUE"""),1.0)</f>
        <v>1</v>
      </c>
      <c r="O12" s="48">
        <f>IFERROR(__xludf.DUMMYFUNCTION("""COMPUTED_VALUE"""),1.0)</f>
        <v>1</v>
      </c>
      <c r="P12" s="52">
        <f>IFERROR(__xludf.DUMMYFUNCTION("""COMPUTED_VALUE"""),1.0435045)</f>
        <v>1.0435045</v>
      </c>
    </row>
    <row r="13" hidden="1">
      <c r="A13" s="48" t="str">
        <f>IFERROR(__xludf.DUMMYFUNCTION("""COMPUTED_VALUE"""),"janeiro_Ladslaw")</f>
        <v>janeiro_Ladslaw</v>
      </c>
      <c r="B13" s="48">
        <f>IFERROR(__xludf.DUMMYFUNCTION("""COMPUTED_VALUE"""),2026.0)</f>
        <v>2026</v>
      </c>
      <c r="C13" s="49">
        <f>IFERROR(__xludf.DUMMYFUNCTION("""COMPUTED_VALUE"""),46053.0)</f>
        <v>46053</v>
      </c>
      <c r="D13" s="46">
        <f>IFERROR(__xludf.DUMMYFUNCTION("""COMPUTED_VALUE"""),12.0)</f>
        <v>12</v>
      </c>
      <c r="E13" s="46" t="str">
        <f>IFERROR(__xludf.DUMMYFUNCTION("""COMPUTED_VALUE"""),"Ladslaw")</f>
        <v>Ladslaw</v>
      </c>
      <c r="F13" s="46" t="str">
        <f>IFERROR(__xludf.DUMMYFUNCTION("""COMPUTED_VALUE"""),"Tinker Time")</f>
        <v>Tinker Time</v>
      </c>
      <c r="G13" s="46">
        <f>IFERROR(__xludf.DUMMYFUNCTION("""COMPUTED_VALUE"""),2.0)</f>
        <v>2</v>
      </c>
      <c r="H13" s="46">
        <f>IFERROR(__xludf.DUMMYFUNCTION("""COMPUTED_VALUE"""),4.0)</f>
        <v>4</v>
      </c>
      <c r="I13" s="50">
        <f>IFERROR(__xludf.DUMMYFUNCTION("""COMPUTED_VALUE"""),3.14)</f>
        <v>3.14</v>
      </c>
      <c r="J13" s="50">
        <f>IFERROR(__xludf.DUMMYFUNCTION("""COMPUTED_VALUE"""),4.57)</f>
        <v>4.57</v>
      </c>
      <c r="K13" s="51">
        <f>IFERROR(__xludf.DUMMYFUNCTION("""COMPUTED_VALUE"""),0.04314457)</f>
        <v>0.04314457</v>
      </c>
      <c r="L13" s="46">
        <f>IFERROR(__xludf.DUMMYFUNCTION("""COMPUTED_VALUE"""),0.0)</f>
        <v>0</v>
      </c>
      <c r="M13" s="46">
        <f>IFERROR(__xludf.DUMMYFUNCTION("""COMPUTED_VALUE"""),2.0)</f>
        <v>2</v>
      </c>
      <c r="N13" s="46">
        <f>IFERROR(__xludf.DUMMYFUNCTION("""COMPUTED_VALUE"""),1.0)</f>
        <v>1</v>
      </c>
      <c r="O13" s="48">
        <f>IFERROR(__xludf.DUMMYFUNCTION("""COMPUTED_VALUE"""),1.0)</f>
        <v>1</v>
      </c>
      <c r="P13" s="52">
        <f>IFERROR(__xludf.DUMMYFUNCTION("""COMPUTED_VALUE"""),1.04314457)</f>
        <v>1.04314457</v>
      </c>
    </row>
    <row r="14" hidden="1">
      <c r="A14" s="48" t="str">
        <f>IFERROR(__xludf.DUMMYFUNCTION("""COMPUTED_VALUE"""),"janeiro_capitu")</f>
        <v>janeiro_capitu</v>
      </c>
      <c r="B14" s="48">
        <f>IFERROR(__xludf.DUMMYFUNCTION("""COMPUTED_VALUE"""),2026.0)</f>
        <v>2026</v>
      </c>
      <c r="C14" s="49">
        <f>IFERROR(__xludf.DUMMYFUNCTION("""COMPUTED_VALUE"""),46053.0)</f>
        <v>46053</v>
      </c>
      <c r="D14" s="46">
        <f>IFERROR(__xludf.DUMMYFUNCTION("""COMPUTED_VALUE"""),13.0)</f>
        <v>13</v>
      </c>
      <c r="E14" s="46" t="str">
        <f>IFERROR(__xludf.DUMMYFUNCTION("""COMPUTED_VALUE"""),"capitu")</f>
        <v>capitu</v>
      </c>
      <c r="F14" s="46" t="str">
        <f>IFERROR(__xludf.DUMMYFUNCTION("""COMPUTED_VALUE"""),"Jeskai Striker")</f>
        <v>Jeskai Striker</v>
      </c>
      <c r="G14" s="46">
        <f>IFERROR(__xludf.DUMMYFUNCTION("""COMPUTED_VALUE"""),2.0)</f>
        <v>2</v>
      </c>
      <c r="H14" s="46">
        <f>IFERROR(__xludf.DUMMYFUNCTION("""COMPUTED_VALUE"""),4.0)</f>
        <v>4</v>
      </c>
      <c r="I14" s="50">
        <f>IFERROR(__xludf.DUMMYFUNCTION("""COMPUTED_VALUE"""),2.71)</f>
        <v>2.71</v>
      </c>
      <c r="J14" s="50">
        <f>IFERROR(__xludf.DUMMYFUNCTION("""COMPUTED_VALUE"""),3.71)</f>
        <v>3.71</v>
      </c>
      <c r="K14" s="51">
        <f>IFERROR(__xludf.DUMMYFUNCTION("""COMPUTED_VALUE"""),0.042713709999999995)</f>
        <v>0.04271371</v>
      </c>
      <c r="L14" s="46">
        <f>IFERROR(__xludf.DUMMYFUNCTION("""COMPUTED_VALUE"""),0.0)</f>
        <v>0</v>
      </c>
      <c r="M14" s="46">
        <f>IFERROR(__xludf.DUMMYFUNCTION("""COMPUTED_VALUE"""),2.0)</f>
        <v>2</v>
      </c>
      <c r="N14" s="46">
        <f>IFERROR(__xludf.DUMMYFUNCTION("""COMPUTED_VALUE"""),1.0)</f>
        <v>1</v>
      </c>
      <c r="O14" s="48">
        <f>IFERROR(__xludf.DUMMYFUNCTION("""COMPUTED_VALUE"""),1.0)</f>
        <v>1</v>
      </c>
      <c r="P14" s="52">
        <f>IFERROR(__xludf.DUMMYFUNCTION("""COMPUTED_VALUE"""),1.04271371)</f>
        <v>1.04271371</v>
      </c>
    </row>
    <row r="15" hidden="1">
      <c r="A15" s="48" t="str">
        <f>IFERROR(__xludf.DUMMYFUNCTION("""COMPUTED_VALUE"""),"janeiro_CLAUDIO")</f>
        <v>janeiro_CLAUDIO</v>
      </c>
      <c r="B15" s="48">
        <f>IFERROR(__xludf.DUMMYFUNCTION("""COMPUTED_VALUE"""),2026.0)</f>
        <v>2026</v>
      </c>
      <c r="C15" s="49">
        <f>IFERROR(__xludf.DUMMYFUNCTION("""COMPUTED_VALUE"""),46053.0)</f>
        <v>46053</v>
      </c>
      <c r="D15" s="46">
        <f>IFERROR(__xludf.DUMMYFUNCTION("""COMPUTED_VALUE"""),14.0)</f>
        <v>14</v>
      </c>
      <c r="E15" s="46" t="str">
        <f>IFERROR(__xludf.DUMMYFUNCTION("""COMPUTED_VALUE"""),"CLAUDIO")</f>
        <v>CLAUDIO</v>
      </c>
      <c r="F15" s="46" t="str">
        <f>IFERROR(__xludf.DUMMYFUNCTION("""COMPUTED_VALUE"""),"Creative Energy")</f>
        <v>Creative Energy</v>
      </c>
      <c r="G15" s="46">
        <f>IFERROR(__xludf.DUMMYFUNCTION("""COMPUTED_VALUE"""),2.0)</f>
        <v>2</v>
      </c>
      <c r="H15" s="46">
        <f>IFERROR(__xludf.DUMMYFUNCTION("""COMPUTED_VALUE"""),4.0)</f>
        <v>4</v>
      </c>
      <c r="I15" s="50">
        <f>IFERROR(__xludf.DUMMYFUNCTION("""COMPUTED_VALUE"""),2.5)</f>
        <v>2.5</v>
      </c>
      <c r="J15" s="50">
        <f>IFERROR(__xludf.DUMMYFUNCTION("""COMPUTED_VALUE"""),2.88)</f>
        <v>2.88</v>
      </c>
      <c r="K15" s="51">
        <f>IFERROR(__xludf.DUMMYFUNCTION("""COMPUTED_VALUE"""),0.04250288)</f>
        <v>0.04250288</v>
      </c>
      <c r="L15" s="46">
        <f>IFERROR(__xludf.DUMMYFUNCTION("""COMPUTED_VALUE"""),0.0)</f>
        <v>0</v>
      </c>
      <c r="M15" s="46">
        <f>IFERROR(__xludf.DUMMYFUNCTION("""COMPUTED_VALUE"""),2.0)</f>
        <v>2</v>
      </c>
      <c r="N15" s="46">
        <f>IFERROR(__xludf.DUMMYFUNCTION("""COMPUTED_VALUE"""),1.0)</f>
        <v>1</v>
      </c>
      <c r="O15" s="48">
        <f>IFERROR(__xludf.DUMMYFUNCTION("""COMPUTED_VALUE"""),1.0)</f>
        <v>1</v>
      </c>
      <c r="P15" s="52">
        <f>IFERROR(__xludf.DUMMYFUNCTION("""COMPUTED_VALUE"""),1.04250288)</f>
        <v>1.04250288</v>
      </c>
    </row>
    <row r="16" hidden="1">
      <c r="A16" s="48" t="str">
        <f>IFERROR(__xludf.DUMMYFUNCTION("""COMPUTED_VALUE"""),"janeiro_Matheus h")</f>
        <v>janeiro_Matheus h</v>
      </c>
      <c r="B16" s="48">
        <f>IFERROR(__xludf.DUMMYFUNCTION("""COMPUTED_VALUE"""),2026.0)</f>
        <v>2026</v>
      </c>
      <c r="C16" s="49">
        <f>IFERROR(__xludf.DUMMYFUNCTION("""COMPUTED_VALUE"""),46053.0)</f>
        <v>46053</v>
      </c>
      <c r="D16" s="46">
        <f>IFERROR(__xludf.DUMMYFUNCTION("""COMPUTED_VALUE"""),15.0)</f>
        <v>15</v>
      </c>
      <c r="E16" s="46" t="str">
        <f>IFERROR(__xludf.DUMMYFUNCTION("""COMPUTED_VALUE"""),"Matheus h")</f>
        <v>Matheus h</v>
      </c>
      <c r="F16" s="46" t="str">
        <f>IFERROR(__xludf.DUMMYFUNCTION("""COMPUTED_VALUE"""),"Family Matters")</f>
        <v>Family Matters</v>
      </c>
      <c r="G16" s="46">
        <f>IFERROR(__xludf.DUMMYFUNCTION("""COMPUTED_VALUE"""),1.0)</f>
        <v>1</v>
      </c>
      <c r="H16" s="46">
        <f>IFERROR(__xludf.DUMMYFUNCTION("""COMPUTED_VALUE"""),2.0)</f>
        <v>2</v>
      </c>
      <c r="I16" s="50">
        <f>IFERROR(__xludf.DUMMYFUNCTION("""COMPUTED_VALUE"""),3.5)</f>
        <v>3.5</v>
      </c>
      <c r="J16" s="50">
        <f>IFERROR(__xludf.DUMMYFUNCTION("""COMPUTED_VALUE"""),3.5)</f>
        <v>3.5</v>
      </c>
      <c r="K16" s="51">
        <f>IFERROR(__xludf.DUMMYFUNCTION("""COMPUTED_VALUE"""),0.0235035)</f>
        <v>0.0235035</v>
      </c>
      <c r="L16" s="46">
        <f>IFERROR(__xludf.DUMMYFUNCTION("""COMPUTED_VALUE"""),0.0)</f>
        <v>0</v>
      </c>
      <c r="M16" s="46">
        <f>IFERROR(__xludf.DUMMYFUNCTION("""COMPUTED_VALUE"""),1.0)</f>
        <v>1</v>
      </c>
      <c r="N16" s="46">
        <f>IFERROR(__xludf.DUMMYFUNCTION("""COMPUTED_VALUE"""),2.0)</f>
        <v>2</v>
      </c>
      <c r="O16" s="48">
        <f>IFERROR(__xludf.DUMMYFUNCTION("""COMPUTED_VALUE"""),1.0)</f>
        <v>1</v>
      </c>
      <c r="P16" s="52">
        <f>IFERROR(__xludf.DUMMYFUNCTION("""COMPUTED_VALUE"""),1.0235035)</f>
        <v>1.0235035</v>
      </c>
    </row>
    <row r="17" hidden="1">
      <c r="A17" s="48" t="str">
        <f>IFERROR(__xludf.DUMMYFUNCTION("""COMPUTED_VALUE"""),"janeiro_Montezuma")</f>
        <v>janeiro_Montezuma</v>
      </c>
      <c r="B17" s="48">
        <f>IFERROR(__xludf.DUMMYFUNCTION("""COMPUTED_VALUE"""),2026.0)</f>
        <v>2026</v>
      </c>
      <c r="C17" s="49">
        <f>IFERROR(__xludf.DUMMYFUNCTION("""COMPUTED_VALUE"""),46053.0)</f>
        <v>46053</v>
      </c>
      <c r="D17" s="46">
        <f>IFERROR(__xludf.DUMMYFUNCTION("""COMPUTED_VALUE"""),16.0)</f>
        <v>16</v>
      </c>
      <c r="E17" s="46" t="str">
        <f>IFERROR(__xludf.DUMMYFUNCTION("""COMPUTED_VALUE"""),"Montezuma")</f>
        <v>Montezuma</v>
      </c>
      <c r="F17" s="46" t="str">
        <f>IFERROR(__xludf.DUMMYFUNCTION("""COMPUTED_VALUE"""),"Sultai Arisen")</f>
        <v>Sultai Arisen</v>
      </c>
      <c r="G17" s="46">
        <f>IFERROR(__xludf.DUMMYFUNCTION("""COMPUTED_VALUE"""),1.0)</f>
        <v>1</v>
      </c>
      <c r="H17" s="46">
        <f>IFERROR(__xludf.DUMMYFUNCTION("""COMPUTED_VALUE"""),2.0)</f>
        <v>2</v>
      </c>
      <c r="I17" s="50">
        <f>IFERROR(__xludf.DUMMYFUNCTION("""COMPUTED_VALUE"""),2.63)</f>
        <v>2.63</v>
      </c>
      <c r="J17" s="50">
        <f>IFERROR(__xludf.DUMMYFUNCTION("""COMPUTED_VALUE"""),2.75)</f>
        <v>2.75</v>
      </c>
      <c r="K17" s="51">
        <f>IFERROR(__xludf.DUMMYFUNCTION("""COMPUTED_VALUE"""),0.02263275)</f>
        <v>0.02263275</v>
      </c>
      <c r="L17" s="46">
        <f>IFERROR(__xludf.DUMMYFUNCTION("""COMPUTED_VALUE"""),0.0)</f>
        <v>0</v>
      </c>
      <c r="M17" s="46">
        <f>IFERROR(__xludf.DUMMYFUNCTION("""COMPUTED_VALUE"""),1.0)</f>
        <v>1</v>
      </c>
      <c r="N17" s="46">
        <f>IFERROR(__xludf.DUMMYFUNCTION("""COMPUTED_VALUE"""),2.0)</f>
        <v>2</v>
      </c>
      <c r="O17" s="48">
        <f>IFERROR(__xludf.DUMMYFUNCTION("""COMPUTED_VALUE"""),1.0)</f>
        <v>1</v>
      </c>
      <c r="P17" s="52">
        <f>IFERROR(__xludf.DUMMYFUNCTION("""COMPUTED_VALUE"""),1.02263275)</f>
        <v>1.02263275</v>
      </c>
    </row>
    <row r="18" hidden="1">
      <c r="A18" s="48" t="str">
        <f>IFERROR(__xludf.DUMMYFUNCTION("""COMPUTED_VALUE"""),"janeiro_Lanna")</f>
        <v>janeiro_Lanna</v>
      </c>
      <c r="B18" s="48">
        <f>IFERROR(__xludf.DUMMYFUNCTION("""COMPUTED_VALUE"""),2026.0)</f>
        <v>2026</v>
      </c>
      <c r="C18" s="49">
        <f>IFERROR(__xludf.DUMMYFUNCTION("""COMPUTED_VALUE"""),46053.0)</f>
        <v>46053</v>
      </c>
      <c r="D18" s="46">
        <f>IFERROR(__xludf.DUMMYFUNCTION("""COMPUTED_VALUE"""),17.0)</f>
        <v>17</v>
      </c>
      <c r="E18" s="46" t="str">
        <f>IFERROR(__xludf.DUMMYFUNCTION("""COMPUTED_VALUE"""),"Lanna")</f>
        <v>Lanna</v>
      </c>
      <c r="F18" s="46" t="str">
        <f>IFERROR(__xludf.DUMMYFUNCTION("""COMPUTED_VALUE"""),"Dance of the Elements")</f>
        <v>Dance of the Elements</v>
      </c>
      <c r="G18" s="46">
        <f>IFERROR(__xludf.DUMMYFUNCTION("""COMPUTED_VALUE"""),1.0)</f>
        <v>1</v>
      </c>
      <c r="H18" s="46">
        <f>IFERROR(__xludf.DUMMYFUNCTION("""COMPUTED_VALUE"""),2.0)</f>
        <v>2</v>
      </c>
      <c r="I18" s="50">
        <f>IFERROR(__xludf.DUMMYFUNCTION("""COMPUTED_VALUE"""),1.67)</f>
        <v>1.67</v>
      </c>
      <c r="J18" s="50">
        <f>IFERROR(__xludf.DUMMYFUNCTION("""COMPUTED_VALUE"""),3.33)</f>
        <v>3.33</v>
      </c>
      <c r="K18" s="51">
        <f>IFERROR(__xludf.DUMMYFUNCTION("""COMPUTED_VALUE"""),0.02167333)</f>
        <v>0.02167333</v>
      </c>
      <c r="L18" s="46">
        <f>IFERROR(__xludf.DUMMYFUNCTION("""COMPUTED_VALUE"""),0.0)</f>
        <v>0</v>
      </c>
      <c r="M18" s="46">
        <f>IFERROR(__xludf.DUMMYFUNCTION("""COMPUTED_VALUE"""),1.0)</f>
        <v>1</v>
      </c>
      <c r="N18" s="46">
        <f>IFERROR(__xludf.DUMMYFUNCTION("""COMPUTED_VALUE"""),0.0)</f>
        <v>0</v>
      </c>
      <c r="O18" s="48">
        <f>IFERROR(__xludf.DUMMYFUNCTION("""COMPUTED_VALUE"""),1.0)</f>
        <v>1</v>
      </c>
      <c r="P18" s="52">
        <f>IFERROR(__xludf.DUMMYFUNCTION("""COMPUTED_VALUE"""),1.02167333)</f>
        <v>1.02167333</v>
      </c>
    </row>
    <row r="19" hidden="1">
      <c r="A19" s="48" t="str">
        <f>IFERROR(__xludf.DUMMYFUNCTION("""COMPUTED_VALUE"""),"janeiro_Fabio C")</f>
        <v>janeiro_Fabio C</v>
      </c>
      <c r="B19" s="48">
        <f>IFERROR(__xludf.DUMMYFUNCTION("""COMPUTED_VALUE"""),2026.0)</f>
        <v>2026</v>
      </c>
      <c r="C19" s="49">
        <f>IFERROR(__xludf.DUMMYFUNCTION("""COMPUTED_VALUE"""),46053.0)</f>
        <v>46053</v>
      </c>
      <c r="D19" s="46">
        <f>IFERROR(__xludf.DUMMYFUNCTION("""COMPUTED_VALUE"""),18.0)</f>
        <v>18</v>
      </c>
      <c r="E19" s="46" t="str">
        <f>IFERROR(__xludf.DUMMYFUNCTION("""COMPUTED_VALUE"""),"Fabio C")</f>
        <v>Fabio C</v>
      </c>
      <c r="F19" s="46" t="str">
        <f>IFERROR(__xludf.DUMMYFUNCTION("""COMPUTED_VALUE"""),"Veloci-ramp-tor")</f>
        <v>Veloci-ramp-tor</v>
      </c>
      <c r="G19" s="46">
        <f>IFERROR(__xludf.DUMMYFUNCTION("""COMPUTED_VALUE"""),1.0)</f>
        <v>1</v>
      </c>
      <c r="H19" s="46">
        <f>IFERROR(__xludf.DUMMYFUNCTION("""COMPUTED_VALUE"""),1.0)</f>
        <v>1</v>
      </c>
      <c r="I19" s="50">
        <f>IFERROR(__xludf.DUMMYFUNCTION("""COMPUTED_VALUE"""),2.86)</f>
        <v>2.86</v>
      </c>
      <c r="J19" s="50">
        <f>IFERROR(__xludf.DUMMYFUNCTION("""COMPUTED_VALUE"""),3.0)</f>
        <v>3</v>
      </c>
      <c r="K19" s="51">
        <f>IFERROR(__xludf.DUMMYFUNCTION("""COMPUTED_VALUE"""),0.012863)</f>
        <v>0.012863</v>
      </c>
      <c r="L19" s="46">
        <f>IFERROR(__xludf.DUMMYFUNCTION("""COMPUTED_VALUE"""),0.0)</f>
        <v>0</v>
      </c>
      <c r="M19" s="46">
        <f>IFERROR(__xludf.DUMMYFUNCTION("""COMPUTED_VALUE"""),1.0)</f>
        <v>1</v>
      </c>
      <c r="N19" s="46">
        <f>IFERROR(__xludf.DUMMYFUNCTION("""COMPUTED_VALUE"""),2.0)</f>
        <v>2</v>
      </c>
      <c r="O19" s="48">
        <f>IFERROR(__xludf.DUMMYFUNCTION("""COMPUTED_VALUE"""),1.0)</f>
        <v>1</v>
      </c>
      <c r="P19" s="52">
        <f>IFERROR(__xludf.DUMMYFUNCTION("""COMPUTED_VALUE"""),1.012863)</f>
        <v>1.012863</v>
      </c>
    </row>
    <row r="20" hidden="1">
      <c r="A20" s="48" t="str">
        <f>IFERROR(__xludf.DUMMYFUNCTION("""COMPUTED_VALUE"""),"fevereiro_Gabriel P.")</f>
        <v>fevereiro_Gabriel P.</v>
      </c>
      <c r="B20" s="48">
        <f>IFERROR(__xludf.DUMMYFUNCTION("""COMPUTED_VALUE"""),2026.0)</f>
        <v>2026</v>
      </c>
      <c r="C20" s="49">
        <f>IFERROR(__xludf.DUMMYFUNCTION("""COMPUTED_VALUE"""),46074.0)</f>
        <v>46074</v>
      </c>
      <c r="D20" s="46">
        <f>IFERROR(__xludf.DUMMYFUNCTION("""COMPUTED_VALUE"""),1.0)</f>
        <v>1</v>
      </c>
      <c r="E20" s="46" t="str">
        <f>IFERROR(__xludf.DUMMYFUNCTION("""COMPUTED_VALUE"""),"Gabriel P.")</f>
        <v>Gabriel P.</v>
      </c>
      <c r="F20" s="46" t="str">
        <f>IFERROR(__xludf.DUMMYFUNCTION("""COMPUTED_VALUE"""),"Quick Draw")</f>
        <v>Quick Draw</v>
      </c>
      <c r="G20" s="46">
        <f>IFERROR(__xludf.DUMMYFUNCTION("""COMPUTED_VALUE"""),9.0)</f>
        <v>9</v>
      </c>
      <c r="H20" s="46">
        <f>IFERROR(__xludf.DUMMYFUNCTION("""COMPUTED_VALUE"""),8.0)</f>
        <v>8</v>
      </c>
      <c r="I20" s="50">
        <f>IFERROR(__xludf.DUMMYFUNCTION("""COMPUTED_VALUE"""),3.33)</f>
        <v>3.33</v>
      </c>
      <c r="J20" s="50">
        <f>IFERROR(__xludf.DUMMYFUNCTION("""COMPUTED_VALUE"""),2.33)</f>
        <v>2.33</v>
      </c>
      <c r="K20" s="51">
        <f>IFERROR(__xludf.DUMMYFUNCTION("""COMPUTED_VALUE"""),0.38333233)</f>
        <v>0.38333233</v>
      </c>
      <c r="L20" s="46">
        <f>IFERROR(__xludf.DUMMYFUNCTION("""COMPUTED_VALUE"""),3.0)</f>
        <v>3</v>
      </c>
      <c r="M20" s="46">
        <f>IFERROR(__xludf.DUMMYFUNCTION("""COMPUTED_VALUE"""),0.0)</f>
        <v>0</v>
      </c>
      <c r="N20" s="46">
        <f>IFERROR(__xludf.DUMMYFUNCTION("""COMPUTED_VALUE"""),1.0)</f>
        <v>1</v>
      </c>
      <c r="O20" s="48">
        <f>IFERROR(__xludf.DUMMYFUNCTION("""COMPUTED_VALUE"""),3.0)</f>
        <v>3</v>
      </c>
      <c r="P20" s="52">
        <f>IFERROR(__xludf.DUMMYFUNCTION("""COMPUTED_VALUE"""),3.38333233)</f>
        <v>3.38333233</v>
      </c>
    </row>
    <row r="21" hidden="1">
      <c r="A21" s="48" t="str">
        <f>IFERROR(__xludf.DUMMYFUNCTION("""COMPUTED_VALUE"""),"fevereiro_Henrique")</f>
        <v>fevereiro_Henrique</v>
      </c>
      <c r="B21" s="48">
        <f>IFERROR(__xludf.DUMMYFUNCTION("""COMPUTED_VALUE"""),2026.0)</f>
        <v>2026</v>
      </c>
      <c r="C21" s="49">
        <f>IFERROR(__xludf.DUMMYFUNCTION("""COMPUTED_VALUE"""),46074.0)</f>
        <v>46074</v>
      </c>
      <c r="D21" s="46">
        <f>IFERROR(__xludf.DUMMYFUNCTION("""COMPUTED_VALUE"""),2.0)</f>
        <v>2</v>
      </c>
      <c r="E21" s="46" t="str">
        <f>IFERROR(__xludf.DUMMYFUNCTION("""COMPUTED_VALUE"""),"Henrique")</f>
        <v>Henrique</v>
      </c>
      <c r="F21" s="46" t="str">
        <f>IFERROR(__xludf.DUMMYFUNCTION("""COMPUTED_VALUE"""),"Squirreled Away")</f>
        <v>Squirreled Away</v>
      </c>
      <c r="G21" s="46">
        <f>IFERROR(__xludf.DUMMYFUNCTION("""COMPUTED_VALUE"""),6.0)</f>
        <v>6</v>
      </c>
      <c r="H21" s="46">
        <f>IFERROR(__xludf.DUMMYFUNCTION("""COMPUTED_VALUE"""),5.0)</f>
        <v>5</v>
      </c>
      <c r="I21" s="50">
        <f>IFERROR(__xludf.DUMMYFUNCTION("""COMPUTED_VALUE"""),3.63)</f>
        <v>3.63</v>
      </c>
      <c r="J21" s="50">
        <f>IFERROR(__xludf.DUMMYFUNCTION("""COMPUTED_VALUE"""),2.63)</f>
        <v>2.63</v>
      </c>
      <c r="K21" s="51">
        <f>IFERROR(__xludf.DUMMYFUNCTION("""COMPUTED_VALUE"""),0.25363263)</f>
        <v>0.25363263</v>
      </c>
      <c r="L21" s="46">
        <f>IFERROR(__xludf.DUMMYFUNCTION("""COMPUTED_VALUE"""),2.0)</f>
        <v>2</v>
      </c>
      <c r="M21" s="46">
        <f>IFERROR(__xludf.DUMMYFUNCTION("""COMPUTED_VALUE"""),0.0)</f>
        <v>0</v>
      </c>
      <c r="N21" s="46">
        <f>IFERROR(__xludf.DUMMYFUNCTION("""COMPUTED_VALUE"""),2.0)</f>
        <v>2</v>
      </c>
      <c r="O21" s="48">
        <f>IFERROR(__xludf.DUMMYFUNCTION("""COMPUTED_VALUE"""),2.0)</f>
        <v>2</v>
      </c>
      <c r="P21" s="52">
        <f>IFERROR(__xludf.DUMMYFUNCTION("""COMPUTED_VALUE"""),2.2536326300000002)</f>
        <v>2.25363263</v>
      </c>
    </row>
    <row r="22" hidden="1">
      <c r="A22" s="48" t="str">
        <f>IFERROR(__xludf.DUMMYFUNCTION("""COMPUTED_VALUE"""),"fevereiro_Lanna")</f>
        <v>fevereiro_Lanna</v>
      </c>
      <c r="B22" s="48">
        <f>IFERROR(__xludf.DUMMYFUNCTION("""COMPUTED_VALUE"""),2026.0)</f>
        <v>2026</v>
      </c>
      <c r="C22" s="49">
        <f>IFERROR(__xludf.DUMMYFUNCTION("""COMPUTED_VALUE"""),46074.0)</f>
        <v>46074</v>
      </c>
      <c r="D22" s="46">
        <f>IFERROR(__xludf.DUMMYFUNCTION("""COMPUTED_VALUE"""),3.0)</f>
        <v>3</v>
      </c>
      <c r="E22" s="46" t="str">
        <f>IFERROR(__xludf.DUMMYFUNCTION("""COMPUTED_VALUE"""),"Lanna")</f>
        <v>Lanna</v>
      </c>
      <c r="F22" s="46" t="str">
        <f>IFERROR(__xludf.DUMMYFUNCTION("""COMPUTED_VALUE"""),"Dance of the Elements")</f>
        <v>Dance of the Elements</v>
      </c>
      <c r="G22" s="46">
        <f>IFERROR(__xludf.DUMMYFUNCTION("""COMPUTED_VALUE"""),6.0)</f>
        <v>6</v>
      </c>
      <c r="H22" s="46">
        <f>IFERROR(__xludf.DUMMYFUNCTION("""COMPUTED_VALUE"""),1.0)</f>
        <v>1</v>
      </c>
      <c r="I22" s="50">
        <f>IFERROR(__xludf.DUMMYFUNCTION("""COMPUTED_VALUE"""),4.29)</f>
        <v>4.29</v>
      </c>
      <c r="J22" s="50">
        <f>IFERROR(__xludf.DUMMYFUNCTION("""COMPUTED_VALUE"""),3.29)</f>
        <v>3.29</v>
      </c>
      <c r="K22" s="51">
        <f>IFERROR(__xludf.DUMMYFUNCTION("""COMPUTED_VALUE"""),0.11429329)</f>
        <v>0.11429329</v>
      </c>
      <c r="L22" s="46">
        <f>IFERROR(__xludf.DUMMYFUNCTION("""COMPUTED_VALUE"""),1.0)</f>
        <v>1</v>
      </c>
      <c r="M22" s="46">
        <f>IFERROR(__xludf.DUMMYFUNCTION("""COMPUTED_VALUE"""),0.0)</f>
        <v>0</v>
      </c>
      <c r="N22" s="46">
        <f>IFERROR(__xludf.DUMMYFUNCTION("""COMPUTED_VALUE"""),2.0)</f>
        <v>2</v>
      </c>
      <c r="O22" s="48">
        <f>IFERROR(__xludf.DUMMYFUNCTION("""COMPUTED_VALUE"""),2.0)</f>
        <v>2</v>
      </c>
      <c r="P22" s="52">
        <f>IFERROR(__xludf.DUMMYFUNCTION("""COMPUTED_VALUE"""),2.11429329)</f>
        <v>2.11429329</v>
      </c>
    </row>
    <row r="23" hidden="1">
      <c r="A23" s="48" t="str">
        <f>IFERROR(__xludf.DUMMYFUNCTION("""COMPUTED_VALUE"""),"fevereiro_Da mata")</f>
        <v>fevereiro_Da mata</v>
      </c>
      <c r="B23" s="48">
        <f>IFERROR(__xludf.DUMMYFUNCTION("""COMPUTED_VALUE"""),2026.0)</f>
        <v>2026</v>
      </c>
      <c r="C23" s="49">
        <f>IFERROR(__xludf.DUMMYFUNCTION("""COMPUTED_VALUE"""),46074.0)</f>
        <v>46074</v>
      </c>
      <c r="D23" s="46">
        <f>IFERROR(__xludf.DUMMYFUNCTION("""COMPUTED_VALUE"""),4.0)</f>
        <v>4</v>
      </c>
      <c r="E23" s="46" t="str">
        <f>IFERROR(__xludf.DUMMYFUNCTION("""COMPUTED_VALUE"""),"Da mata")</f>
        <v>Da mata</v>
      </c>
      <c r="F23" s="46" t="str">
        <f>IFERROR(__xludf.DUMMYFUNCTION("""COMPUTED_VALUE"""),"Cavalry Charge")</f>
        <v>Cavalry Charge</v>
      </c>
      <c r="G23" s="46">
        <f>IFERROR(__xludf.DUMMYFUNCTION("""COMPUTED_VALUE"""),4.0)</f>
        <v>4</v>
      </c>
      <c r="H23" s="46">
        <f>IFERROR(__xludf.DUMMYFUNCTION("""COMPUTED_VALUE"""),6.0)</f>
        <v>6</v>
      </c>
      <c r="I23" s="50">
        <f>IFERROR(__xludf.DUMMYFUNCTION("""COMPUTED_VALUE"""),4.13)</f>
        <v>4.13</v>
      </c>
      <c r="J23" s="50">
        <f>IFERROR(__xludf.DUMMYFUNCTION("""COMPUTED_VALUE"""),3.0)</f>
        <v>3</v>
      </c>
      <c r="K23" s="51">
        <f>IFERROR(__xludf.DUMMYFUNCTION("""COMPUTED_VALUE"""),0.164133)</f>
        <v>0.164133</v>
      </c>
      <c r="L23" s="46">
        <f>IFERROR(__xludf.DUMMYFUNCTION("""COMPUTED_VALUE"""),1.0)</f>
        <v>1</v>
      </c>
      <c r="M23" s="46">
        <f>IFERROR(__xludf.DUMMYFUNCTION("""COMPUTED_VALUE"""),1.0)</f>
        <v>1</v>
      </c>
      <c r="N23" s="46">
        <f>IFERROR(__xludf.DUMMYFUNCTION("""COMPUTED_VALUE"""),2.0)</f>
        <v>2</v>
      </c>
      <c r="O23" s="48">
        <f>IFERROR(__xludf.DUMMYFUNCTION("""COMPUTED_VALUE"""),2.0)</f>
        <v>2</v>
      </c>
      <c r="P23" s="52">
        <f>IFERROR(__xludf.DUMMYFUNCTION("""COMPUTED_VALUE"""),2.164133)</f>
        <v>2.164133</v>
      </c>
    </row>
    <row r="24" hidden="1">
      <c r="A24" s="48" t="str">
        <f>IFERROR(__xludf.DUMMYFUNCTION("""COMPUTED_VALUE"""),"fevereiro_AndreVL")</f>
        <v>fevereiro_AndreVL</v>
      </c>
      <c r="B24" s="48">
        <f>IFERROR(__xludf.DUMMYFUNCTION("""COMPUTED_VALUE"""),2026.0)</f>
        <v>2026</v>
      </c>
      <c r="C24" s="49">
        <f>IFERROR(__xludf.DUMMYFUNCTION("""COMPUTED_VALUE"""),46074.0)</f>
        <v>46074</v>
      </c>
      <c r="D24" s="46">
        <f>IFERROR(__xludf.DUMMYFUNCTION("""COMPUTED_VALUE"""),5.0)</f>
        <v>5</v>
      </c>
      <c r="E24" s="46" t="str">
        <f>IFERROR(__xludf.DUMMYFUNCTION("""COMPUTED_VALUE"""),"AndreVL")</f>
        <v>AndreVL</v>
      </c>
      <c r="F24" s="46" t="str">
        <f>IFERROR(__xludf.DUMMYFUNCTION("""COMPUTED_VALUE"""),"Temur Roar")</f>
        <v>Temur Roar</v>
      </c>
      <c r="G24" s="46">
        <f>IFERROR(__xludf.DUMMYFUNCTION("""COMPUTED_VALUE"""),4.0)</f>
        <v>4</v>
      </c>
      <c r="H24" s="46">
        <f>IFERROR(__xludf.DUMMYFUNCTION("""COMPUTED_VALUE"""),6.0)</f>
        <v>6</v>
      </c>
      <c r="I24" s="50">
        <f>IFERROR(__xludf.DUMMYFUNCTION("""COMPUTED_VALUE"""),3.75)</f>
        <v>3.75</v>
      </c>
      <c r="J24" s="50">
        <f>IFERROR(__xludf.DUMMYFUNCTION("""COMPUTED_VALUE"""),3.0)</f>
        <v>3</v>
      </c>
      <c r="K24" s="51">
        <f>IFERROR(__xludf.DUMMYFUNCTION("""COMPUTED_VALUE"""),0.163753)</f>
        <v>0.163753</v>
      </c>
      <c r="L24" s="46">
        <f>IFERROR(__xludf.DUMMYFUNCTION("""COMPUTED_VALUE"""),1.0)</f>
        <v>1</v>
      </c>
      <c r="M24" s="46">
        <f>IFERROR(__xludf.DUMMYFUNCTION("""COMPUTED_VALUE"""),1.0)</f>
        <v>1</v>
      </c>
      <c r="N24" s="46">
        <f>IFERROR(__xludf.DUMMYFUNCTION("""COMPUTED_VALUE"""),1.0)</f>
        <v>1</v>
      </c>
      <c r="O24" s="48">
        <f>IFERROR(__xludf.DUMMYFUNCTION("""COMPUTED_VALUE"""),2.0)</f>
        <v>2</v>
      </c>
      <c r="P24" s="52">
        <f>IFERROR(__xludf.DUMMYFUNCTION("""COMPUTED_VALUE"""),2.163753)</f>
        <v>2.163753</v>
      </c>
    </row>
    <row r="25" hidden="1">
      <c r="A25" s="48" t="str">
        <f>IFERROR(__xludf.DUMMYFUNCTION("""COMPUTED_VALUE"""),"fevereiro_Morkan")</f>
        <v>fevereiro_Morkan</v>
      </c>
      <c r="B25" s="48">
        <f>IFERROR(__xludf.DUMMYFUNCTION("""COMPUTED_VALUE"""),2026.0)</f>
        <v>2026</v>
      </c>
      <c r="C25" s="49">
        <f>IFERROR(__xludf.DUMMYFUNCTION("""COMPUTED_VALUE"""),46074.0)</f>
        <v>46074</v>
      </c>
      <c r="D25" s="46">
        <f>IFERROR(__xludf.DUMMYFUNCTION("""COMPUTED_VALUE"""),6.0)</f>
        <v>6</v>
      </c>
      <c r="E25" s="46" t="str">
        <f>IFERROR(__xludf.DUMMYFUNCTION("""COMPUTED_VALUE"""),"Morkan")</f>
        <v>Morkan</v>
      </c>
      <c r="F25" s="46" t="str">
        <f>IFERROR(__xludf.DUMMYFUNCTION("""COMPUTED_VALUE"""),"Blood Rites")</f>
        <v>Blood Rites</v>
      </c>
      <c r="G25" s="46">
        <f>IFERROR(__xludf.DUMMYFUNCTION("""COMPUTED_VALUE"""),4.0)</f>
        <v>4</v>
      </c>
      <c r="H25" s="46">
        <f>IFERROR(__xludf.DUMMYFUNCTION("""COMPUTED_VALUE"""),2.0)</f>
        <v>2</v>
      </c>
      <c r="I25" s="50">
        <f>IFERROR(__xludf.DUMMYFUNCTION("""COMPUTED_VALUE"""),3.5)</f>
        <v>3.5</v>
      </c>
      <c r="J25" s="50">
        <f>IFERROR(__xludf.DUMMYFUNCTION("""COMPUTED_VALUE"""),2.5)</f>
        <v>2.5</v>
      </c>
      <c r="K25" s="51">
        <f>IFERROR(__xludf.DUMMYFUNCTION("""COMPUTED_VALUE"""),0.0235025)</f>
        <v>0.0235025</v>
      </c>
      <c r="L25" s="46">
        <f>IFERROR(__xludf.DUMMYFUNCTION("""COMPUTED_VALUE"""),0.0)</f>
        <v>0</v>
      </c>
      <c r="M25" s="46">
        <f>IFERROR(__xludf.DUMMYFUNCTION("""COMPUTED_VALUE"""),1.0)</f>
        <v>1</v>
      </c>
      <c r="N25" s="46">
        <f>IFERROR(__xludf.DUMMYFUNCTION("""COMPUTED_VALUE"""),1.0)</f>
        <v>1</v>
      </c>
      <c r="O25" s="48">
        <f>IFERROR(__xludf.DUMMYFUNCTION("""COMPUTED_VALUE"""),2.0)</f>
        <v>2</v>
      </c>
      <c r="P25" s="52">
        <f>IFERROR(__xludf.DUMMYFUNCTION("""COMPUTED_VALUE"""),2.0235025)</f>
        <v>2.0235025</v>
      </c>
    </row>
    <row r="26" hidden="1">
      <c r="A26" s="48" t="str">
        <f>IFERROR(__xludf.DUMMYFUNCTION("""COMPUTED_VALUE"""),"fevereiro_Champinon")</f>
        <v>fevereiro_Champinon</v>
      </c>
      <c r="B26" s="48">
        <f>IFERROR(__xludf.DUMMYFUNCTION("""COMPUTED_VALUE"""),2026.0)</f>
        <v>2026</v>
      </c>
      <c r="C26" s="49">
        <f>IFERROR(__xludf.DUMMYFUNCTION("""COMPUTED_VALUE"""),46074.0)</f>
        <v>46074</v>
      </c>
      <c r="D26" s="46">
        <f>IFERROR(__xludf.DUMMYFUNCTION("""COMPUTED_VALUE"""),7.0)</f>
        <v>7</v>
      </c>
      <c r="E26" s="46" t="str">
        <f>IFERROR(__xludf.DUMMYFUNCTION("""COMPUTED_VALUE"""),"Champinon")</f>
        <v>Champinon</v>
      </c>
      <c r="F26" s="46" t="str">
        <f>IFERROR(__xludf.DUMMYFUNCTION("""COMPUTED_VALUE"""),"Scrappy Survivors")</f>
        <v>Scrappy Survivors</v>
      </c>
      <c r="G26" s="46">
        <f>IFERROR(__xludf.DUMMYFUNCTION("""COMPUTED_VALUE"""),3.0)</f>
        <v>3</v>
      </c>
      <c r="H26" s="46">
        <f>IFERROR(__xludf.DUMMYFUNCTION("""COMPUTED_VALUE"""),1.0)</f>
        <v>1</v>
      </c>
      <c r="I26" s="50">
        <f>IFERROR(__xludf.DUMMYFUNCTION("""COMPUTED_VALUE"""),2.86)</f>
        <v>2.86</v>
      </c>
      <c r="J26" s="50">
        <f>IFERROR(__xludf.DUMMYFUNCTION("""COMPUTED_VALUE"""),2.29)</f>
        <v>2.29</v>
      </c>
      <c r="K26" s="51">
        <f>IFERROR(__xludf.DUMMYFUNCTION("""COMPUTED_VALUE"""),0.11286229)</f>
        <v>0.11286229</v>
      </c>
      <c r="L26" s="46">
        <f>IFERROR(__xludf.DUMMYFUNCTION("""COMPUTED_VALUE"""),1.0)</f>
        <v>1</v>
      </c>
      <c r="M26" s="46">
        <f>IFERROR(__xludf.DUMMYFUNCTION("""COMPUTED_VALUE"""),0.0)</f>
        <v>0</v>
      </c>
      <c r="N26" s="46">
        <f>IFERROR(__xludf.DUMMYFUNCTION("""COMPUTED_VALUE"""),2.0)</f>
        <v>2</v>
      </c>
      <c r="O26" s="48">
        <f>IFERROR(__xludf.DUMMYFUNCTION("""COMPUTED_VALUE"""),2.0)</f>
        <v>2</v>
      </c>
      <c r="P26" s="52">
        <f>IFERROR(__xludf.DUMMYFUNCTION("""COMPUTED_VALUE"""),2.11286229)</f>
        <v>2.11286229</v>
      </c>
    </row>
    <row r="27" hidden="1">
      <c r="A27" s="48" t="str">
        <f>IFERROR(__xludf.DUMMYFUNCTION("""COMPUTED_VALUE"""),"fevereiro_Yasmin")</f>
        <v>fevereiro_Yasmin</v>
      </c>
      <c r="B27" s="48">
        <f>IFERROR(__xludf.DUMMYFUNCTION("""COMPUTED_VALUE"""),2026.0)</f>
        <v>2026</v>
      </c>
      <c r="C27" s="49">
        <f>IFERROR(__xludf.DUMMYFUNCTION("""COMPUTED_VALUE"""),46074.0)</f>
        <v>46074</v>
      </c>
      <c r="D27" s="46">
        <f>IFERROR(__xludf.DUMMYFUNCTION("""COMPUTED_VALUE"""),8.0)</f>
        <v>8</v>
      </c>
      <c r="E27" s="46" t="str">
        <f>IFERROR(__xludf.DUMMYFUNCTION("""COMPUTED_VALUE"""),"Yasmin")</f>
        <v>Yasmin</v>
      </c>
      <c r="F27" s="46" t="str">
        <f>IFERROR(__xludf.DUMMYFUNCTION("""COMPUTED_VALUE"""),"Cavalry Charge")</f>
        <v>Cavalry Charge</v>
      </c>
      <c r="G27" s="46">
        <f>IFERROR(__xludf.DUMMYFUNCTION("""COMPUTED_VALUE"""),3.0)</f>
        <v>3</v>
      </c>
      <c r="H27" s="46">
        <f>IFERROR(__xludf.DUMMYFUNCTION("""COMPUTED_VALUE"""),0.0)</f>
        <v>0</v>
      </c>
      <c r="I27" s="50">
        <f>IFERROR(__xludf.DUMMYFUNCTION("""COMPUTED_VALUE"""),4.6)</f>
        <v>4.6</v>
      </c>
      <c r="J27" s="50">
        <f>IFERROR(__xludf.DUMMYFUNCTION("""COMPUTED_VALUE"""),2.6)</f>
        <v>2.6</v>
      </c>
      <c r="K27" s="51">
        <f>IFERROR(__xludf.DUMMYFUNCTION("""COMPUTED_VALUE"""),0.0046026)</f>
        <v>0.0046026</v>
      </c>
      <c r="L27" s="46">
        <f>IFERROR(__xludf.DUMMYFUNCTION("""COMPUTED_VALUE"""),0.0)</f>
        <v>0</v>
      </c>
      <c r="M27" s="46">
        <f>IFERROR(__xludf.DUMMYFUNCTION("""COMPUTED_VALUE"""),0.0)</f>
        <v>0</v>
      </c>
      <c r="N27" s="46">
        <f>IFERROR(__xludf.DUMMYFUNCTION("""COMPUTED_VALUE"""),2.0)</f>
        <v>2</v>
      </c>
      <c r="O27" s="48">
        <f>IFERROR(__xludf.DUMMYFUNCTION("""COMPUTED_VALUE"""),2.0)</f>
        <v>2</v>
      </c>
      <c r="P27" s="52">
        <f>IFERROR(__xludf.DUMMYFUNCTION("""COMPUTED_VALUE"""),2.0046026)</f>
        <v>2.0046026</v>
      </c>
    </row>
    <row r="28" hidden="1">
      <c r="A28" s="48" t="str">
        <f>IFERROR(__xludf.DUMMYFUNCTION("""COMPUTED_VALUE"""),"fevereiro_Crothen")</f>
        <v>fevereiro_Crothen</v>
      </c>
      <c r="B28" s="48">
        <f>IFERROR(__xludf.DUMMYFUNCTION("""COMPUTED_VALUE"""),2026.0)</f>
        <v>2026</v>
      </c>
      <c r="C28" s="49">
        <f>IFERROR(__xludf.DUMMYFUNCTION("""COMPUTED_VALUE"""),46074.0)</f>
        <v>46074</v>
      </c>
      <c r="D28" s="46">
        <f>IFERROR(__xludf.DUMMYFUNCTION("""COMPUTED_VALUE"""),9.0)</f>
        <v>9</v>
      </c>
      <c r="E28" s="46" t="str">
        <f>IFERROR(__xludf.DUMMYFUNCTION("""COMPUTED_VALUE"""),"Crothen")</f>
        <v>Crothen</v>
      </c>
      <c r="F28" s="46" t="str">
        <f>IFERROR(__xludf.DUMMYFUNCTION("""COMPUTED_VALUE"""),"Corrupting Influence")</f>
        <v>Corrupting Influence</v>
      </c>
      <c r="G28" s="46">
        <f>IFERROR(__xludf.DUMMYFUNCTION("""COMPUTED_VALUE"""),3.0)</f>
        <v>3</v>
      </c>
      <c r="H28" s="46">
        <f>IFERROR(__xludf.DUMMYFUNCTION("""COMPUTED_VALUE"""),0.0)</f>
        <v>0</v>
      </c>
      <c r="I28" s="50">
        <f>IFERROR(__xludf.DUMMYFUNCTION("""COMPUTED_VALUE"""),4.17)</f>
        <v>4.17</v>
      </c>
      <c r="J28" s="50">
        <f>IFERROR(__xludf.DUMMYFUNCTION("""COMPUTED_VALUE"""),2.0)</f>
        <v>2</v>
      </c>
      <c r="K28" s="51">
        <f>IFERROR(__xludf.DUMMYFUNCTION("""COMPUTED_VALUE"""),0.004172)</f>
        <v>0.004172</v>
      </c>
      <c r="L28" s="46">
        <f>IFERROR(__xludf.DUMMYFUNCTION("""COMPUTED_VALUE"""),0.0)</f>
        <v>0</v>
      </c>
      <c r="M28" s="46">
        <f>IFERROR(__xludf.DUMMYFUNCTION("""COMPUTED_VALUE"""),0.0)</f>
        <v>0</v>
      </c>
      <c r="N28" s="46">
        <f>IFERROR(__xludf.DUMMYFUNCTION("""COMPUTED_VALUE"""),2.0)</f>
        <v>2</v>
      </c>
      <c r="O28" s="48">
        <f>IFERROR(__xludf.DUMMYFUNCTION("""COMPUTED_VALUE"""),1.0)</f>
        <v>1</v>
      </c>
      <c r="P28" s="52">
        <f>IFERROR(__xludf.DUMMYFUNCTION("""COMPUTED_VALUE"""),1.004172)</f>
        <v>1.004172</v>
      </c>
    </row>
    <row r="29" hidden="1">
      <c r="A29" s="48" t="str">
        <f>IFERROR(__xludf.DUMMYFUNCTION("""COMPUTED_VALUE"""),"fevereiro_Erickpd")</f>
        <v>fevereiro_Erickpd</v>
      </c>
      <c r="B29" s="48">
        <f>IFERROR(__xludf.DUMMYFUNCTION("""COMPUTED_VALUE"""),2026.0)</f>
        <v>2026</v>
      </c>
      <c r="C29" s="49">
        <f>IFERROR(__xludf.DUMMYFUNCTION("""COMPUTED_VALUE"""),46074.0)</f>
        <v>46074</v>
      </c>
      <c r="D29" s="46">
        <f>IFERROR(__xludf.DUMMYFUNCTION("""COMPUTED_VALUE"""),10.0)</f>
        <v>10</v>
      </c>
      <c r="E29" s="46" t="str">
        <f>IFERROR(__xludf.DUMMYFUNCTION("""COMPUTED_VALUE"""),"Erickpd")</f>
        <v>Erickpd</v>
      </c>
      <c r="F29" s="46" t="str">
        <f>IFERROR(__xludf.DUMMYFUNCTION("""COMPUTED_VALUE"""),"Endless Punishment")</f>
        <v>Endless Punishment</v>
      </c>
      <c r="G29" s="46">
        <f>IFERROR(__xludf.DUMMYFUNCTION("""COMPUTED_VALUE"""),3.0)</f>
        <v>3</v>
      </c>
      <c r="H29" s="46">
        <f>IFERROR(__xludf.DUMMYFUNCTION("""COMPUTED_VALUE"""),0.0)</f>
        <v>0</v>
      </c>
      <c r="I29" s="50">
        <f>IFERROR(__xludf.DUMMYFUNCTION("""COMPUTED_VALUE"""),3.2)</f>
        <v>3.2</v>
      </c>
      <c r="J29" s="50">
        <f>IFERROR(__xludf.DUMMYFUNCTION("""COMPUTED_VALUE"""),2.4)</f>
        <v>2.4</v>
      </c>
      <c r="K29" s="51">
        <f>IFERROR(__xludf.DUMMYFUNCTION("""COMPUTED_VALUE"""),0.0032024)</f>
        <v>0.0032024</v>
      </c>
      <c r="L29" s="46">
        <f>IFERROR(__xludf.DUMMYFUNCTION("""COMPUTED_VALUE"""),0.0)</f>
        <v>0</v>
      </c>
      <c r="M29" s="46">
        <f>IFERROR(__xludf.DUMMYFUNCTION("""COMPUTED_VALUE"""),0.0)</f>
        <v>0</v>
      </c>
      <c r="N29" s="46">
        <f>IFERROR(__xludf.DUMMYFUNCTION("""COMPUTED_VALUE"""),2.0)</f>
        <v>2</v>
      </c>
      <c r="O29" s="48">
        <f>IFERROR(__xludf.DUMMYFUNCTION("""COMPUTED_VALUE"""),1.0)</f>
        <v>1</v>
      </c>
      <c r="P29" s="52">
        <f>IFERROR(__xludf.DUMMYFUNCTION("""COMPUTED_VALUE"""),1.0032024)</f>
        <v>1.0032024</v>
      </c>
    </row>
    <row r="30" hidden="1">
      <c r="A30" s="48" t="str">
        <f>IFERROR(__xludf.DUMMYFUNCTION("""COMPUTED_VALUE"""),"fevereiro_CLAUDIO")</f>
        <v>fevereiro_CLAUDIO</v>
      </c>
      <c r="B30" s="48">
        <f>IFERROR(__xludf.DUMMYFUNCTION("""COMPUTED_VALUE"""),2026.0)</f>
        <v>2026</v>
      </c>
      <c r="C30" s="49">
        <f>IFERROR(__xludf.DUMMYFUNCTION("""COMPUTED_VALUE"""),46074.0)</f>
        <v>46074</v>
      </c>
      <c r="D30" s="46">
        <f>IFERROR(__xludf.DUMMYFUNCTION("""COMPUTED_VALUE"""),11.0)</f>
        <v>11</v>
      </c>
      <c r="E30" s="46" t="str">
        <f>IFERROR(__xludf.DUMMYFUNCTION("""COMPUTED_VALUE"""),"CLAUDIO")</f>
        <v>CLAUDIO</v>
      </c>
      <c r="F30" s="46" t="str">
        <f>IFERROR(__xludf.DUMMYFUNCTION("""COMPUTED_VALUE"""),"Dance of the Elements")</f>
        <v>Dance of the Elements</v>
      </c>
      <c r="G30" s="46">
        <f>IFERROR(__xludf.DUMMYFUNCTION("""COMPUTED_VALUE"""),3.0)</f>
        <v>3</v>
      </c>
      <c r="H30" s="46">
        <f>IFERROR(__xludf.DUMMYFUNCTION("""COMPUTED_VALUE"""),0.0)</f>
        <v>0</v>
      </c>
      <c r="I30" s="50">
        <f>IFERROR(__xludf.DUMMYFUNCTION("""COMPUTED_VALUE"""),2.6)</f>
        <v>2.6</v>
      </c>
      <c r="J30" s="50">
        <f>IFERROR(__xludf.DUMMYFUNCTION("""COMPUTED_VALUE"""),2.2)</f>
        <v>2.2</v>
      </c>
      <c r="K30" s="51">
        <f>IFERROR(__xludf.DUMMYFUNCTION("""COMPUTED_VALUE"""),0.0026022)</f>
        <v>0.0026022</v>
      </c>
      <c r="L30" s="46">
        <f>IFERROR(__xludf.DUMMYFUNCTION("""COMPUTED_VALUE"""),0.0)</f>
        <v>0</v>
      </c>
      <c r="M30" s="46">
        <f>IFERROR(__xludf.DUMMYFUNCTION("""COMPUTED_VALUE"""),0.0)</f>
        <v>0</v>
      </c>
      <c r="N30" s="46">
        <f>IFERROR(__xludf.DUMMYFUNCTION("""COMPUTED_VALUE"""),2.0)</f>
        <v>2</v>
      </c>
      <c r="O30" s="48">
        <f>IFERROR(__xludf.DUMMYFUNCTION("""COMPUTED_VALUE"""),1.0)</f>
        <v>1</v>
      </c>
      <c r="P30" s="52">
        <f>IFERROR(__xludf.DUMMYFUNCTION("""COMPUTED_VALUE"""),1.0026022)</f>
        <v>1.0026022</v>
      </c>
    </row>
    <row r="31" hidden="1">
      <c r="A31" s="48" t="str">
        <f>IFERROR(__xludf.DUMMYFUNCTION("""COMPUTED_VALUE"""),"fevereiro_Fabio C")</f>
        <v>fevereiro_Fabio C</v>
      </c>
      <c r="B31" s="48">
        <f>IFERROR(__xludf.DUMMYFUNCTION("""COMPUTED_VALUE"""),2026.0)</f>
        <v>2026</v>
      </c>
      <c r="C31" s="49">
        <f>IFERROR(__xludf.DUMMYFUNCTION("""COMPUTED_VALUE"""),46074.0)</f>
        <v>46074</v>
      </c>
      <c r="D31" s="46">
        <f>IFERROR(__xludf.DUMMYFUNCTION("""COMPUTED_VALUE"""),12.0)</f>
        <v>12</v>
      </c>
      <c r="E31" s="46" t="str">
        <f>IFERROR(__xludf.DUMMYFUNCTION("""COMPUTED_VALUE"""),"Fabio C")</f>
        <v>Fabio C</v>
      </c>
      <c r="F31" s="46" t="str">
        <f>IFERROR(__xludf.DUMMYFUNCTION("""COMPUTED_VALUE"""),"Counter Blitz")</f>
        <v>Counter Blitz</v>
      </c>
      <c r="G31" s="46">
        <f>IFERROR(__xludf.DUMMYFUNCTION("""COMPUTED_VALUE"""),1.0)</f>
        <v>1</v>
      </c>
      <c r="H31" s="46">
        <f>IFERROR(__xludf.DUMMYFUNCTION("""COMPUTED_VALUE"""),2.0)</f>
        <v>2</v>
      </c>
      <c r="I31" s="50">
        <f>IFERROR(__xludf.DUMMYFUNCTION("""COMPUTED_VALUE"""),3.67)</f>
        <v>3.67</v>
      </c>
      <c r="J31" s="50">
        <f>IFERROR(__xludf.DUMMYFUNCTION("""COMPUTED_VALUE"""),2.67)</f>
        <v>2.67</v>
      </c>
      <c r="K31" s="51">
        <f>IFERROR(__xludf.DUMMYFUNCTION("""COMPUTED_VALUE"""),0.02367267)</f>
        <v>0.02367267</v>
      </c>
      <c r="L31" s="46">
        <f>IFERROR(__xludf.DUMMYFUNCTION("""COMPUTED_VALUE"""),0.0)</f>
        <v>0</v>
      </c>
      <c r="M31" s="46">
        <f>IFERROR(__xludf.DUMMYFUNCTION("""COMPUTED_VALUE"""),1.0)</f>
        <v>1</v>
      </c>
      <c r="N31" s="46">
        <f>IFERROR(__xludf.DUMMYFUNCTION("""COMPUTED_VALUE"""),2.0)</f>
        <v>2</v>
      </c>
      <c r="O31" s="48">
        <f>IFERROR(__xludf.DUMMYFUNCTION("""COMPUTED_VALUE"""),1.0)</f>
        <v>1</v>
      </c>
      <c r="P31" s="52">
        <f>IFERROR(__xludf.DUMMYFUNCTION("""COMPUTED_VALUE"""),1.02367267)</f>
        <v>1.02367267</v>
      </c>
    </row>
    <row r="32" hidden="1">
      <c r="A32" s="48" t="str">
        <f>IFERROR(__xludf.DUMMYFUNCTION("""COMPUTED_VALUE"""),"fevereiro_Pedro Jawa")</f>
        <v>fevereiro_Pedro Jawa</v>
      </c>
      <c r="B32" s="48">
        <f>IFERROR(__xludf.DUMMYFUNCTION("""COMPUTED_VALUE"""),2026.0)</f>
        <v>2026</v>
      </c>
      <c r="C32" s="49">
        <f>IFERROR(__xludf.DUMMYFUNCTION("""COMPUTED_VALUE"""),46074.0)</f>
        <v>46074</v>
      </c>
      <c r="D32" s="46">
        <f>IFERROR(__xludf.DUMMYFUNCTION("""COMPUTED_VALUE"""),13.0)</f>
        <v>13</v>
      </c>
      <c r="E32" s="46" t="str">
        <f>IFERROR(__xludf.DUMMYFUNCTION("""COMPUTED_VALUE"""),"Pedro Jawa")</f>
        <v>Pedro Jawa</v>
      </c>
      <c r="F32" s="46" t="str">
        <f>IFERROR(__xludf.DUMMYFUNCTION("""COMPUTED_VALUE"""),"Science!")</f>
        <v>Science!</v>
      </c>
      <c r="G32" s="46">
        <f>IFERROR(__xludf.DUMMYFUNCTION("""COMPUTED_VALUE"""),0.0)</f>
        <v>0</v>
      </c>
      <c r="H32" s="46">
        <f>IFERROR(__xludf.DUMMYFUNCTION("""COMPUTED_VALUE"""),0.0)</f>
        <v>0</v>
      </c>
      <c r="I32" s="50">
        <f>IFERROR(__xludf.DUMMYFUNCTION("""COMPUTED_VALUE"""),3.63)</f>
        <v>3.63</v>
      </c>
      <c r="J32" s="50">
        <f>IFERROR(__xludf.DUMMYFUNCTION("""COMPUTED_VALUE"""),2.75)</f>
        <v>2.75</v>
      </c>
      <c r="K32" s="51">
        <f>IFERROR(__xludf.DUMMYFUNCTION("""COMPUTED_VALUE"""),0.00363275)</f>
        <v>0.00363275</v>
      </c>
      <c r="L32" s="46">
        <f>IFERROR(__xludf.DUMMYFUNCTION("""COMPUTED_VALUE"""),0.0)</f>
        <v>0</v>
      </c>
      <c r="M32" s="46">
        <f>IFERROR(__xludf.DUMMYFUNCTION("""COMPUTED_VALUE"""),0.0)</f>
        <v>0</v>
      </c>
      <c r="N32" s="46">
        <f>IFERROR(__xludf.DUMMYFUNCTION("""COMPUTED_VALUE"""),3.0)</f>
        <v>3</v>
      </c>
      <c r="O32" s="48">
        <f>IFERROR(__xludf.DUMMYFUNCTION("""COMPUTED_VALUE"""),1.0)</f>
        <v>1</v>
      </c>
      <c r="P32" s="52">
        <f>IFERROR(__xludf.DUMMYFUNCTION("""COMPUTED_VALUE"""),1.00363275)</f>
        <v>1.00363275</v>
      </c>
    </row>
    <row r="33" hidden="1">
      <c r="A33" s="48" t="str">
        <f>IFERROR(__xludf.DUMMYFUNCTION("""COMPUTED_VALUE"""),"fevereiro_Dudutra")</f>
        <v>fevereiro_Dudutra</v>
      </c>
      <c r="B33" s="48">
        <f>IFERROR(__xludf.DUMMYFUNCTION("""COMPUTED_VALUE"""),2026.0)</f>
        <v>2026</v>
      </c>
      <c r="C33" s="49">
        <f>IFERROR(__xludf.DUMMYFUNCTION("""COMPUTED_VALUE"""),46074.0)</f>
        <v>46074</v>
      </c>
      <c r="D33" s="46">
        <f>IFERROR(__xludf.DUMMYFUNCTION("""COMPUTED_VALUE"""),14.0)</f>
        <v>14</v>
      </c>
      <c r="E33" s="46" t="str">
        <f>IFERROR(__xludf.DUMMYFUNCTION("""COMPUTED_VALUE"""),"Dudutra")</f>
        <v>Dudutra</v>
      </c>
      <c r="F33" s="46" t="str">
        <f>IFERROR(__xludf.DUMMYFUNCTION("""COMPUTED_VALUE"""),"Arcane Maelstrom")</f>
        <v>Arcane Maelstrom</v>
      </c>
      <c r="G33" s="46">
        <f>IFERROR(__xludf.DUMMYFUNCTION("""COMPUTED_VALUE"""),0.0)</f>
        <v>0</v>
      </c>
      <c r="H33" s="46">
        <f>IFERROR(__xludf.DUMMYFUNCTION("""COMPUTED_VALUE"""),0.0)</f>
        <v>0</v>
      </c>
      <c r="I33" s="50">
        <f>IFERROR(__xludf.DUMMYFUNCTION("""COMPUTED_VALUE"""),2.86)</f>
        <v>2.86</v>
      </c>
      <c r="J33" s="50">
        <f>IFERROR(__xludf.DUMMYFUNCTION("""COMPUTED_VALUE"""),2.0)</f>
        <v>2</v>
      </c>
      <c r="K33" s="51">
        <f>IFERROR(__xludf.DUMMYFUNCTION("""COMPUTED_VALUE"""),0.002862)</f>
        <v>0.002862</v>
      </c>
      <c r="L33" s="46">
        <f>IFERROR(__xludf.DUMMYFUNCTION("""COMPUTED_VALUE"""),0.0)</f>
        <v>0</v>
      </c>
      <c r="M33" s="46">
        <f>IFERROR(__xludf.DUMMYFUNCTION("""COMPUTED_VALUE"""),0.0)</f>
        <v>0</v>
      </c>
      <c r="N33" s="46">
        <f>IFERROR(__xludf.DUMMYFUNCTION("""COMPUTED_VALUE"""),3.0)</f>
        <v>3</v>
      </c>
      <c r="O33" s="48">
        <f>IFERROR(__xludf.DUMMYFUNCTION("""COMPUTED_VALUE"""),1.0)</f>
        <v>1</v>
      </c>
      <c r="P33" s="52">
        <f>IFERROR(__xludf.DUMMYFUNCTION("""COMPUTED_VALUE"""),1.002862)</f>
        <v>1.002862</v>
      </c>
    </row>
    <row r="34" hidden="1">
      <c r="A34" s="48" t="str">
        <f>IFERROR(__xludf.DUMMYFUNCTION("""COMPUTED_VALUE"""),"março_Crothen")</f>
        <v>março_Crothen</v>
      </c>
      <c r="B34" s="48">
        <f>IFERROR(__xludf.DUMMYFUNCTION("""COMPUTED_VALUE"""),2026.0)</f>
        <v>2026</v>
      </c>
      <c r="C34" s="49">
        <f>IFERROR(__xludf.DUMMYFUNCTION("""COMPUTED_VALUE"""),46102.0)</f>
        <v>46102</v>
      </c>
      <c r="D34" s="46">
        <f>IFERROR(__xludf.DUMMYFUNCTION("""COMPUTED_VALUE"""),1.0)</f>
        <v>1</v>
      </c>
      <c r="E34" s="46" t="str">
        <f>IFERROR(__xludf.DUMMYFUNCTION("""COMPUTED_VALUE"""),"Crothen")</f>
        <v>Crothen</v>
      </c>
      <c r="F34" s="46" t="str">
        <f>IFERROR(__xludf.DUMMYFUNCTION("""COMPUTED_VALUE"""),"Corrupting Influence")</f>
        <v>Corrupting Influence</v>
      </c>
      <c r="G34" s="46">
        <f>IFERROR(__xludf.DUMMYFUNCTION("""COMPUTED_VALUE"""),4.0)</f>
        <v>4</v>
      </c>
      <c r="H34" s="46">
        <f>IFERROR(__xludf.DUMMYFUNCTION("""COMPUTED_VALUE"""),4.0)</f>
        <v>4</v>
      </c>
      <c r="I34" s="50">
        <f>IFERROR(__xludf.DUMMYFUNCTION("""COMPUTED_VALUE"""),3.29)</f>
        <v>3.29</v>
      </c>
      <c r="J34" s="50">
        <f>IFERROR(__xludf.DUMMYFUNCTION("""COMPUTED_VALUE"""),2.29)</f>
        <v>2.29</v>
      </c>
      <c r="K34" s="51">
        <f>IFERROR(__xludf.DUMMYFUNCTION("""COMPUTED_VALUE"""),0.24329229)</f>
        <v>0.24329229</v>
      </c>
      <c r="L34" s="46">
        <f>IFERROR(__xludf.DUMMYFUNCTION("""COMPUTED_VALUE"""),2.0)</f>
        <v>2</v>
      </c>
      <c r="M34" s="46">
        <f>IFERROR(__xludf.DUMMYFUNCTION("""COMPUTED_VALUE"""),1.0)</f>
        <v>1</v>
      </c>
      <c r="N34" s="46">
        <f>IFERROR(__xludf.DUMMYFUNCTION("""COMPUTED_VALUE"""),1.0)</f>
        <v>1</v>
      </c>
      <c r="O34" s="48">
        <f>IFERROR(__xludf.DUMMYFUNCTION("""COMPUTED_VALUE"""),3.0)</f>
        <v>3</v>
      </c>
      <c r="P34" s="52">
        <f>IFERROR(__xludf.DUMMYFUNCTION("""COMPUTED_VALUE"""),3.24329229)</f>
        <v>3.24329229</v>
      </c>
    </row>
    <row r="35" hidden="1">
      <c r="A35" s="48" t="str">
        <f>IFERROR(__xludf.DUMMYFUNCTION("""COMPUTED_VALUE"""),"março_Fabio C")</f>
        <v>março_Fabio C</v>
      </c>
      <c r="B35" s="48">
        <f>IFERROR(__xludf.DUMMYFUNCTION("""COMPUTED_VALUE"""),2026.0)</f>
        <v>2026</v>
      </c>
      <c r="C35" s="49">
        <f>IFERROR(__xludf.DUMMYFUNCTION("""COMPUTED_VALUE"""),46102.0)</f>
        <v>46102</v>
      </c>
      <c r="D35" s="46">
        <f>IFERROR(__xludf.DUMMYFUNCTION("""COMPUTED_VALUE"""),2.0)</f>
        <v>2</v>
      </c>
      <c r="E35" s="46" t="str">
        <f>IFERROR(__xludf.DUMMYFUNCTION("""COMPUTED_VALUE"""),"Fabio C")</f>
        <v>Fabio C</v>
      </c>
      <c r="F35" s="46" t="str">
        <f>IFERROR(__xludf.DUMMYFUNCTION("""COMPUTED_VALUE"""),"Endless Punishment")</f>
        <v>Endless Punishment</v>
      </c>
      <c r="G35" s="46">
        <f>IFERROR(__xludf.DUMMYFUNCTION("""COMPUTED_VALUE"""),9.0)</f>
        <v>9</v>
      </c>
      <c r="H35" s="46">
        <f>IFERROR(__xludf.DUMMYFUNCTION("""COMPUTED_VALUE"""),3.0)</f>
        <v>3</v>
      </c>
      <c r="I35" s="50">
        <f>IFERROR(__xludf.DUMMYFUNCTION("""COMPUTED_VALUE"""),3.33)</f>
        <v>3.33</v>
      </c>
      <c r="J35" s="50">
        <f>IFERROR(__xludf.DUMMYFUNCTION("""COMPUTED_VALUE"""),2.33)</f>
        <v>2.33</v>
      </c>
      <c r="K35" s="51">
        <f>IFERROR(__xludf.DUMMYFUNCTION("""COMPUTED_VALUE"""),0.23333233)</f>
        <v>0.23333233</v>
      </c>
      <c r="L35" s="46">
        <f>IFERROR(__xludf.DUMMYFUNCTION("""COMPUTED_VALUE"""),2.0)</f>
        <v>2</v>
      </c>
      <c r="M35" s="46">
        <f>IFERROR(__xludf.DUMMYFUNCTION("""COMPUTED_VALUE"""),0.0)</f>
        <v>0</v>
      </c>
      <c r="N35" s="46">
        <f>IFERROR(__xludf.DUMMYFUNCTION("""COMPUTED_VALUE"""),1.0)</f>
        <v>1</v>
      </c>
      <c r="O35" s="48">
        <f>IFERROR(__xludf.DUMMYFUNCTION("""COMPUTED_VALUE"""),2.0)</f>
        <v>2</v>
      </c>
      <c r="P35" s="52">
        <f>IFERROR(__xludf.DUMMYFUNCTION("""COMPUTED_VALUE"""),2.23333233)</f>
        <v>2.23333233</v>
      </c>
    </row>
    <row r="36" hidden="1">
      <c r="A36" s="48" t="str">
        <f>IFERROR(__xludf.DUMMYFUNCTION("""COMPUTED_VALUE"""),"março_França")</f>
        <v>março_França</v>
      </c>
      <c r="B36" s="48">
        <f>IFERROR(__xludf.DUMMYFUNCTION("""COMPUTED_VALUE"""),2026.0)</f>
        <v>2026</v>
      </c>
      <c r="C36" s="49">
        <f>IFERROR(__xludf.DUMMYFUNCTION("""COMPUTED_VALUE"""),46102.0)</f>
        <v>46102</v>
      </c>
      <c r="D36" s="46">
        <f>IFERROR(__xludf.DUMMYFUNCTION("""COMPUTED_VALUE"""),3.0)</f>
        <v>3</v>
      </c>
      <c r="E36" s="46" t="str">
        <f>IFERROR(__xludf.DUMMYFUNCTION("""COMPUTED_VALUE"""),"França")</f>
        <v>França</v>
      </c>
      <c r="F36" s="46" t="str">
        <f>IFERROR(__xludf.DUMMYFUNCTION("""COMPUTED_VALUE"""),"Tinker Time")</f>
        <v>Tinker Time</v>
      </c>
      <c r="G36" s="46">
        <f>IFERROR(__xludf.DUMMYFUNCTION("""COMPUTED_VALUE"""),6.0)</f>
        <v>6</v>
      </c>
      <c r="H36" s="46">
        <f>IFERROR(__xludf.DUMMYFUNCTION("""COMPUTED_VALUE"""),0.0)</f>
        <v>0</v>
      </c>
      <c r="I36" s="50">
        <f>IFERROR(__xludf.DUMMYFUNCTION("""COMPUTED_VALUE"""),3.6)</f>
        <v>3.6</v>
      </c>
      <c r="J36" s="50">
        <f>IFERROR(__xludf.DUMMYFUNCTION("""COMPUTED_VALUE"""),2.0)</f>
        <v>2</v>
      </c>
      <c r="K36" s="51">
        <f>IFERROR(__xludf.DUMMYFUNCTION("""COMPUTED_VALUE"""),0.10360200000000001)</f>
        <v>0.103602</v>
      </c>
      <c r="L36" s="46">
        <f>IFERROR(__xludf.DUMMYFUNCTION("""COMPUTED_VALUE"""),1.0)</f>
        <v>1</v>
      </c>
      <c r="M36" s="46">
        <f>IFERROR(__xludf.DUMMYFUNCTION("""COMPUTED_VALUE"""),0.0)</f>
        <v>0</v>
      </c>
      <c r="N36" s="46">
        <f>IFERROR(__xludf.DUMMYFUNCTION("""COMPUTED_VALUE"""),2.0)</f>
        <v>2</v>
      </c>
      <c r="O36" s="48">
        <f>IFERROR(__xludf.DUMMYFUNCTION("""COMPUTED_VALUE"""),2.0)</f>
        <v>2</v>
      </c>
      <c r="P36" s="52">
        <f>IFERROR(__xludf.DUMMYFUNCTION("""COMPUTED_VALUE"""),2.103602)</f>
        <v>2.103602</v>
      </c>
    </row>
    <row r="37" hidden="1">
      <c r="A37" s="48" t="str">
        <f>IFERROR(__xludf.DUMMYFUNCTION("""COMPUTED_VALUE"""),"março_ViniCVR")</f>
        <v>março_ViniCVR</v>
      </c>
      <c r="B37" s="48">
        <f>IFERROR(__xludf.DUMMYFUNCTION("""COMPUTED_VALUE"""),2026.0)</f>
        <v>2026</v>
      </c>
      <c r="C37" s="49">
        <f>IFERROR(__xludf.DUMMYFUNCTION("""COMPUTED_VALUE"""),46102.0)</f>
        <v>46102</v>
      </c>
      <c r="D37" s="46">
        <f>IFERROR(__xludf.DUMMYFUNCTION("""COMPUTED_VALUE"""),4.0)</f>
        <v>4</v>
      </c>
      <c r="E37" s="46" t="str">
        <f>IFERROR(__xludf.DUMMYFUNCTION("""COMPUTED_VALUE"""),"ViniCVR")</f>
        <v>ViniCVR</v>
      </c>
      <c r="F37" s="46" t="str">
        <f>IFERROR(__xludf.DUMMYFUNCTION("""COMPUTED_VALUE"""),"Dance of the Elements")</f>
        <v>Dance of the Elements</v>
      </c>
      <c r="G37" s="46">
        <f>IFERROR(__xludf.DUMMYFUNCTION("""COMPUTED_VALUE"""),4.0)</f>
        <v>4</v>
      </c>
      <c r="H37" s="46">
        <f>IFERROR(__xludf.DUMMYFUNCTION("""COMPUTED_VALUE"""),4.0)</f>
        <v>4</v>
      </c>
      <c r="I37" s="50">
        <f>IFERROR(__xludf.DUMMYFUNCTION("""COMPUTED_VALUE"""),3.29)</f>
        <v>3.29</v>
      </c>
      <c r="J37" s="50">
        <f>IFERROR(__xludf.DUMMYFUNCTION("""COMPUTED_VALUE"""),2.14)</f>
        <v>2.14</v>
      </c>
      <c r="K37" s="51">
        <f>IFERROR(__xludf.DUMMYFUNCTION("""COMPUTED_VALUE"""),0.14329214)</f>
        <v>0.14329214</v>
      </c>
      <c r="L37" s="46">
        <f>IFERROR(__xludf.DUMMYFUNCTION("""COMPUTED_VALUE"""),1.0)</f>
        <v>1</v>
      </c>
      <c r="M37" s="46">
        <f>IFERROR(__xludf.DUMMYFUNCTION("""COMPUTED_VALUE"""),1.0)</f>
        <v>1</v>
      </c>
      <c r="N37" s="46">
        <f>IFERROR(__xludf.DUMMYFUNCTION("""COMPUTED_VALUE"""),2.0)</f>
        <v>2</v>
      </c>
      <c r="O37" s="48">
        <f>IFERROR(__xludf.DUMMYFUNCTION("""COMPUTED_VALUE"""),2.0)</f>
        <v>2</v>
      </c>
      <c r="P37" s="52">
        <f>IFERROR(__xludf.DUMMYFUNCTION("""COMPUTED_VALUE"""),2.14329214)</f>
        <v>2.14329214</v>
      </c>
    </row>
    <row r="38" hidden="1">
      <c r="A38" s="48" t="str">
        <f>IFERROR(__xludf.DUMMYFUNCTION("""COMPUTED_VALUE"""),"março_Erickpd")</f>
        <v>março_Erickpd</v>
      </c>
      <c r="B38" s="48">
        <f>IFERROR(__xludf.DUMMYFUNCTION("""COMPUTED_VALUE"""),2026.0)</f>
        <v>2026</v>
      </c>
      <c r="C38" s="49">
        <f>IFERROR(__xludf.DUMMYFUNCTION("""COMPUTED_VALUE"""),46102.0)</f>
        <v>46102</v>
      </c>
      <c r="D38" s="46">
        <f>IFERROR(__xludf.DUMMYFUNCTION("""COMPUTED_VALUE"""),5.0)</f>
        <v>5</v>
      </c>
      <c r="E38" s="46" t="str">
        <f>IFERROR(__xludf.DUMMYFUNCTION("""COMPUTED_VALUE"""),"Erickpd")</f>
        <v>Erickpd</v>
      </c>
      <c r="F38" s="46" t="str">
        <f>IFERROR(__xludf.DUMMYFUNCTION("""COMPUTED_VALUE"""),"Rebellion Rising")</f>
        <v>Rebellion Rising</v>
      </c>
      <c r="G38" s="46">
        <f>IFERROR(__xludf.DUMMYFUNCTION("""COMPUTED_VALUE"""),3.0)</f>
        <v>3</v>
      </c>
      <c r="H38" s="46">
        <f>IFERROR(__xludf.DUMMYFUNCTION("""COMPUTED_VALUE"""),1.0)</f>
        <v>1</v>
      </c>
      <c r="I38" s="50">
        <f>IFERROR(__xludf.DUMMYFUNCTION("""COMPUTED_VALUE"""),2.38)</f>
        <v>2.38</v>
      </c>
      <c r="J38" s="50">
        <f>IFERROR(__xludf.DUMMYFUNCTION("""COMPUTED_VALUE"""),1.25)</f>
        <v>1.25</v>
      </c>
      <c r="K38" s="51">
        <f>IFERROR(__xludf.DUMMYFUNCTION("""COMPUTED_VALUE"""),0.11238125)</f>
        <v>0.11238125</v>
      </c>
      <c r="L38" s="46">
        <f>IFERROR(__xludf.DUMMYFUNCTION("""COMPUTED_VALUE"""),1.0)</f>
        <v>1</v>
      </c>
      <c r="M38" s="46">
        <f>IFERROR(__xludf.DUMMYFUNCTION("""COMPUTED_VALUE"""),0.0)</f>
        <v>0</v>
      </c>
      <c r="N38" s="46">
        <f>IFERROR(__xludf.DUMMYFUNCTION("""COMPUTED_VALUE"""),2.0)</f>
        <v>2</v>
      </c>
      <c r="O38" s="48">
        <f>IFERROR(__xludf.DUMMYFUNCTION("""COMPUTED_VALUE"""),2.0)</f>
        <v>2</v>
      </c>
      <c r="P38" s="52">
        <f>IFERROR(__xludf.DUMMYFUNCTION("""COMPUTED_VALUE"""),2.11238125)</f>
        <v>2.11238125</v>
      </c>
    </row>
    <row r="39" hidden="1">
      <c r="A39" s="48" t="str">
        <f>IFERROR(__xludf.DUMMYFUNCTION("""COMPUTED_VALUE"""),"março_Euclides")</f>
        <v>março_Euclides</v>
      </c>
      <c r="B39" s="48">
        <f>IFERROR(__xludf.DUMMYFUNCTION("""COMPUTED_VALUE"""),2026.0)</f>
        <v>2026</v>
      </c>
      <c r="C39" s="49">
        <f>IFERROR(__xludf.DUMMYFUNCTION("""COMPUTED_VALUE"""),46102.0)</f>
        <v>46102</v>
      </c>
      <c r="D39" s="46">
        <f>IFERROR(__xludf.DUMMYFUNCTION("""COMPUTED_VALUE"""),6.0)</f>
        <v>6</v>
      </c>
      <c r="E39" s="46" t="str">
        <f>IFERROR(__xludf.DUMMYFUNCTION("""COMPUTED_VALUE"""),"Euclides")</f>
        <v>Euclides</v>
      </c>
      <c r="F39" s="46" t="str">
        <f>IFERROR(__xludf.DUMMYFUNCTION("""COMPUTED_VALUE"""),"Blight Curse")</f>
        <v>Blight Curse</v>
      </c>
      <c r="G39" s="46">
        <f>IFERROR(__xludf.DUMMYFUNCTION("""COMPUTED_VALUE"""),3.0)</f>
        <v>3</v>
      </c>
      <c r="H39" s="46">
        <f>IFERROR(__xludf.DUMMYFUNCTION("""COMPUTED_VALUE"""),0.0)</f>
        <v>0</v>
      </c>
      <c r="I39" s="50">
        <f>IFERROR(__xludf.DUMMYFUNCTION("""COMPUTED_VALUE"""),3.83)</f>
        <v>3.83</v>
      </c>
      <c r="J39" s="50">
        <f>IFERROR(__xludf.DUMMYFUNCTION("""COMPUTED_VALUE"""),1.5)</f>
        <v>1.5</v>
      </c>
      <c r="K39" s="51">
        <f>IFERROR(__xludf.DUMMYFUNCTION("""COMPUTED_VALUE"""),0.0038315000000000003)</f>
        <v>0.0038315</v>
      </c>
      <c r="L39" s="46">
        <f>IFERROR(__xludf.DUMMYFUNCTION("""COMPUTED_VALUE"""),0.0)</f>
        <v>0</v>
      </c>
      <c r="M39" s="46">
        <f>IFERROR(__xludf.DUMMYFUNCTION("""COMPUTED_VALUE"""),0.0)</f>
        <v>0</v>
      </c>
      <c r="N39" s="46">
        <f>IFERROR(__xludf.DUMMYFUNCTION("""COMPUTED_VALUE"""),2.0)</f>
        <v>2</v>
      </c>
      <c r="O39" s="48">
        <f>IFERROR(__xludf.DUMMYFUNCTION("""COMPUTED_VALUE"""),2.0)</f>
        <v>2</v>
      </c>
      <c r="P39" s="52">
        <f>IFERROR(__xludf.DUMMYFUNCTION("""COMPUTED_VALUE"""),2.0038315)</f>
        <v>2.0038315</v>
      </c>
    </row>
    <row r="40" hidden="1">
      <c r="A40" s="48" t="str">
        <f>IFERROR(__xludf.DUMMYFUNCTION("""COMPUTED_VALUE"""),"março_Campera")</f>
        <v>março_Campera</v>
      </c>
      <c r="B40" s="48">
        <f>IFERROR(__xludf.DUMMYFUNCTION("""COMPUTED_VALUE"""),2026.0)</f>
        <v>2026</v>
      </c>
      <c r="C40" s="49">
        <f>IFERROR(__xludf.DUMMYFUNCTION("""COMPUTED_VALUE"""),46102.0)</f>
        <v>46102</v>
      </c>
      <c r="D40" s="46">
        <f>IFERROR(__xludf.DUMMYFUNCTION("""COMPUTED_VALUE"""),7.0)</f>
        <v>7</v>
      </c>
      <c r="E40" s="46" t="str">
        <f>IFERROR(__xludf.DUMMYFUNCTION("""COMPUTED_VALUE"""),"Campera")</f>
        <v>Campera</v>
      </c>
      <c r="F40" s="46" t="str">
        <f>IFERROR(__xludf.DUMMYFUNCTION("""COMPUTED_VALUE"""),"Blame Game")</f>
        <v>Blame Game</v>
      </c>
      <c r="G40" s="46">
        <f>IFERROR(__xludf.DUMMYFUNCTION("""COMPUTED_VALUE"""),3.0)</f>
        <v>3</v>
      </c>
      <c r="H40" s="46">
        <f>IFERROR(__xludf.DUMMYFUNCTION("""COMPUTED_VALUE"""),0.0)</f>
        <v>0</v>
      </c>
      <c r="I40" s="50">
        <f>IFERROR(__xludf.DUMMYFUNCTION("""COMPUTED_VALUE"""),2.6)</f>
        <v>2.6</v>
      </c>
      <c r="J40" s="50">
        <f>IFERROR(__xludf.DUMMYFUNCTION("""COMPUTED_VALUE"""),1.0)</f>
        <v>1</v>
      </c>
      <c r="K40" s="51">
        <f>IFERROR(__xludf.DUMMYFUNCTION("""COMPUTED_VALUE"""),0.002601)</f>
        <v>0.002601</v>
      </c>
      <c r="L40" s="46">
        <f>IFERROR(__xludf.DUMMYFUNCTION("""COMPUTED_VALUE"""),0.0)</f>
        <v>0</v>
      </c>
      <c r="M40" s="46">
        <f>IFERROR(__xludf.DUMMYFUNCTION("""COMPUTED_VALUE"""),0.0)</f>
        <v>0</v>
      </c>
      <c r="N40" s="46">
        <f>IFERROR(__xludf.DUMMYFUNCTION("""COMPUTED_VALUE"""),2.0)</f>
        <v>2</v>
      </c>
      <c r="O40" s="48">
        <f>IFERROR(__xludf.DUMMYFUNCTION("""COMPUTED_VALUE"""),2.0)</f>
        <v>2</v>
      </c>
      <c r="P40" s="52">
        <f>IFERROR(__xludf.DUMMYFUNCTION("""COMPUTED_VALUE"""),2.002601)</f>
        <v>2.002601</v>
      </c>
    </row>
    <row r="41" hidden="1">
      <c r="A41" s="48" t="str">
        <f>IFERROR(__xludf.DUMMYFUNCTION("""COMPUTED_VALUE"""),"março_Yasmin")</f>
        <v>março_Yasmin</v>
      </c>
      <c r="B41" s="48">
        <f>IFERROR(__xludf.DUMMYFUNCTION("""COMPUTED_VALUE"""),2026.0)</f>
        <v>2026</v>
      </c>
      <c r="C41" s="49">
        <f>IFERROR(__xludf.DUMMYFUNCTION("""COMPUTED_VALUE"""),46102.0)</f>
        <v>46102</v>
      </c>
      <c r="D41" s="46">
        <f>IFERROR(__xludf.DUMMYFUNCTION("""COMPUTED_VALUE"""),8.0)</f>
        <v>8</v>
      </c>
      <c r="E41" s="46" t="str">
        <f>IFERROR(__xludf.DUMMYFUNCTION("""COMPUTED_VALUE"""),"Yasmin")</f>
        <v>Yasmin</v>
      </c>
      <c r="F41" s="46" t="str">
        <f>IFERROR(__xludf.DUMMYFUNCTION("""COMPUTED_VALUE"""),"Legends' Legacy")</f>
        <v>Legends' Legacy</v>
      </c>
      <c r="G41" s="46">
        <f>IFERROR(__xludf.DUMMYFUNCTION("""COMPUTED_VALUE"""),3.0)</f>
        <v>3</v>
      </c>
      <c r="H41" s="46">
        <f>IFERROR(__xludf.DUMMYFUNCTION("""COMPUTED_VALUE"""),0.0)</f>
        <v>0</v>
      </c>
      <c r="I41" s="50">
        <f>IFERROR(__xludf.DUMMYFUNCTION("""COMPUTED_VALUE"""),2.0)</f>
        <v>2</v>
      </c>
      <c r="J41" s="50">
        <f>IFERROR(__xludf.DUMMYFUNCTION("""COMPUTED_VALUE"""),1.0)</f>
        <v>1</v>
      </c>
      <c r="K41" s="51">
        <f>IFERROR(__xludf.DUMMYFUNCTION("""COMPUTED_VALUE"""),0.002001)</f>
        <v>0.002001</v>
      </c>
      <c r="L41" s="46">
        <f>IFERROR(__xludf.DUMMYFUNCTION("""COMPUTED_VALUE"""),0.0)</f>
        <v>0</v>
      </c>
      <c r="M41" s="46">
        <f>IFERROR(__xludf.DUMMYFUNCTION("""COMPUTED_VALUE"""),0.0)</f>
        <v>0</v>
      </c>
      <c r="N41" s="46">
        <f>IFERROR(__xludf.DUMMYFUNCTION("""COMPUTED_VALUE"""),2.0)</f>
        <v>2</v>
      </c>
      <c r="O41" s="48">
        <f>IFERROR(__xludf.DUMMYFUNCTION("""COMPUTED_VALUE"""),2.0)</f>
        <v>2</v>
      </c>
      <c r="P41" s="52">
        <f>IFERROR(__xludf.DUMMYFUNCTION("""COMPUTED_VALUE"""),2.002001)</f>
        <v>2.002001</v>
      </c>
    </row>
    <row r="42" hidden="1">
      <c r="A42" s="48" t="str">
        <f>IFERROR(__xludf.DUMMYFUNCTION("""COMPUTED_VALUE"""),"março_Morkan")</f>
        <v>março_Morkan</v>
      </c>
      <c r="B42" s="48">
        <f>IFERROR(__xludf.DUMMYFUNCTION("""COMPUTED_VALUE"""),2026.0)</f>
        <v>2026</v>
      </c>
      <c r="C42" s="49">
        <f>IFERROR(__xludf.DUMMYFUNCTION("""COMPUTED_VALUE"""),46102.0)</f>
        <v>46102</v>
      </c>
      <c r="D42" s="46">
        <f>IFERROR(__xludf.DUMMYFUNCTION("""COMPUTED_VALUE"""),9.0)</f>
        <v>9</v>
      </c>
      <c r="E42" s="46" t="str">
        <f>IFERROR(__xludf.DUMMYFUNCTION("""COMPUTED_VALUE"""),"Morkan")</f>
        <v>Morkan</v>
      </c>
      <c r="F42" s="46" t="str">
        <f>IFERROR(__xludf.DUMMYFUNCTION("""COMPUTED_VALUE"""),"Dance of the Elements")</f>
        <v>Dance of the Elements</v>
      </c>
      <c r="G42" s="46">
        <f>IFERROR(__xludf.DUMMYFUNCTION("""COMPUTED_VALUE"""),2.0)</f>
        <v>2</v>
      </c>
      <c r="H42" s="46">
        <f>IFERROR(__xludf.DUMMYFUNCTION("""COMPUTED_VALUE"""),4.0)</f>
        <v>4</v>
      </c>
      <c r="I42" s="50">
        <f>IFERROR(__xludf.DUMMYFUNCTION("""COMPUTED_VALUE"""),3.5)</f>
        <v>3.5</v>
      </c>
      <c r="J42" s="50">
        <f>IFERROR(__xludf.DUMMYFUNCTION("""COMPUTED_VALUE"""),3.17)</f>
        <v>3.17</v>
      </c>
      <c r="K42" s="51">
        <f>IFERROR(__xludf.DUMMYFUNCTION("""COMPUTED_VALUE"""),0.04350317)</f>
        <v>0.04350317</v>
      </c>
      <c r="L42" s="46">
        <f>IFERROR(__xludf.DUMMYFUNCTION("""COMPUTED_VALUE"""),0.0)</f>
        <v>0</v>
      </c>
      <c r="M42" s="46">
        <f>IFERROR(__xludf.DUMMYFUNCTION("""COMPUTED_VALUE"""),2.0)</f>
        <v>2</v>
      </c>
      <c r="N42" s="46">
        <f>IFERROR(__xludf.DUMMYFUNCTION("""COMPUTED_VALUE"""),1.0)</f>
        <v>1</v>
      </c>
      <c r="O42" s="48">
        <f>IFERROR(__xludf.DUMMYFUNCTION("""COMPUTED_VALUE"""),1.0)</f>
        <v>1</v>
      </c>
      <c r="P42" s="52">
        <f>IFERROR(__xludf.DUMMYFUNCTION("""COMPUTED_VALUE"""),1.04350317)</f>
        <v>1.04350317</v>
      </c>
    </row>
    <row r="43">
      <c r="A43" s="48" t="str">
        <f>IFERROR(__xludf.DUMMYFUNCTION("""COMPUTED_VALUE"""),"março_TendiNietzsche")</f>
        <v>março_TendiNietzsche</v>
      </c>
      <c r="B43" s="48">
        <f>IFERROR(__xludf.DUMMYFUNCTION("""COMPUTED_VALUE"""),2026.0)</f>
        <v>2026</v>
      </c>
      <c r="C43" s="49">
        <f>IFERROR(__xludf.DUMMYFUNCTION("""COMPUTED_VALUE"""),46102.0)</f>
        <v>46102</v>
      </c>
      <c r="D43" s="46">
        <f>IFERROR(__xludf.DUMMYFUNCTION("""COMPUTED_VALUE"""),10.0)</f>
        <v>10</v>
      </c>
      <c r="E43" s="46" t="str">
        <f>IFERROR(__xludf.DUMMYFUNCTION("""COMPUTED_VALUE"""),"TendiNietzsche")</f>
        <v>TendiNietzsche</v>
      </c>
      <c r="F43" s="46" t="str">
        <f>IFERROR(__xludf.DUMMYFUNCTION("""COMPUTED_VALUE"""),"Scions &amp; Spellcraft")</f>
        <v>Scions &amp; Spellcraft</v>
      </c>
      <c r="G43" s="46">
        <f>IFERROR(__xludf.DUMMYFUNCTION("""COMPUTED_VALUE"""),2.0)</f>
        <v>2</v>
      </c>
      <c r="H43" s="46">
        <f>IFERROR(__xludf.DUMMYFUNCTION("""COMPUTED_VALUE"""),4.0)</f>
        <v>4</v>
      </c>
      <c r="I43" s="50">
        <f>IFERROR(__xludf.DUMMYFUNCTION("""COMPUTED_VALUE"""),3.0)</f>
        <v>3</v>
      </c>
      <c r="J43" s="50">
        <f>IFERROR(__xludf.DUMMYFUNCTION("""COMPUTED_VALUE"""),2.43)</f>
        <v>2.43</v>
      </c>
      <c r="K43" s="51">
        <f>IFERROR(__xludf.DUMMYFUNCTION("""COMPUTED_VALUE"""),0.04300243)</f>
        <v>0.04300243</v>
      </c>
      <c r="L43" s="46">
        <f>IFERROR(__xludf.DUMMYFUNCTION("""COMPUTED_VALUE"""),0.0)</f>
        <v>0</v>
      </c>
      <c r="M43" s="46">
        <f>IFERROR(__xludf.DUMMYFUNCTION("""COMPUTED_VALUE"""),2.0)</f>
        <v>2</v>
      </c>
      <c r="N43" s="46">
        <f>IFERROR(__xludf.DUMMYFUNCTION("""COMPUTED_VALUE"""),1.0)</f>
        <v>1</v>
      </c>
      <c r="O43" s="48">
        <f>IFERROR(__xludf.DUMMYFUNCTION("""COMPUTED_VALUE"""),1.0)</f>
        <v>1</v>
      </c>
      <c r="P43" s="52">
        <f>IFERROR(__xludf.DUMMYFUNCTION("""COMPUTED_VALUE"""),1.04300243)</f>
        <v>1.04300243</v>
      </c>
    </row>
    <row r="44" hidden="1">
      <c r="A44" s="48" t="str">
        <f>IFERROR(__xludf.DUMMYFUNCTION("""COMPUTED_VALUE"""),"março_Luiz Felipe Barroso")</f>
        <v>março_Luiz Felipe Barroso</v>
      </c>
      <c r="B44" s="48">
        <f>IFERROR(__xludf.DUMMYFUNCTION("""COMPUTED_VALUE"""),2026.0)</f>
        <v>2026</v>
      </c>
      <c r="C44" s="49">
        <f>IFERROR(__xludf.DUMMYFUNCTION("""COMPUTED_VALUE"""),46102.0)</f>
        <v>46102</v>
      </c>
      <c r="D44" s="46">
        <f>IFERROR(__xludf.DUMMYFUNCTION("""COMPUTED_VALUE"""),11.0)</f>
        <v>11</v>
      </c>
      <c r="E44" s="46" t="str">
        <f>IFERROR(__xludf.DUMMYFUNCTION("""COMPUTED_VALUE"""),"Luiz Felipe Barroso")</f>
        <v>Luiz Felipe Barroso</v>
      </c>
      <c r="F44" s="46" t="str">
        <f>IFERROR(__xludf.DUMMYFUNCTION("""COMPUTED_VALUE"""),"Revival Trance")</f>
        <v>Revival Trance</v>
      </c>
      <c r="G44" s="46">
        <f>IFERROR(__xludf.DUMMYFUNCTION("""COMPUTED_VALUE"""),1.0)</f>
        <v>1</v>
      </c>
      <c r="H44" s="46">
        <f>IFERROR(__xludf.DUMMYFUNCTION("""COMPUTED_VALUE"""),2.0)</f>
        <v>2</v>
      </c>
      <c r="I44" s="50">
        <f>IFERROR(__xludf.DUMMYFUNCTION("""COMPUTED_VALUE"""),3.71)</f>
        <v>3.71</v>
      </c>
      <c r="J44" s="50">
        <f>IFERROR(__xludf.DUMMYFUNCTION("""COMPUTED_VALUE"""),2.0)</f>
        <v>2</v>
      </c>
      <c r="K44" s="51">
        <f>IFERROR(__xludf.DUMMYFUNCTION("""COMPUTED_VALUE"""),0.023712)</f>
        <v>0.023712</v>
      </c>
      <c r="L44" s="46">
        <f>IFERROR(__xludf.DUMMYFUNCTION("""COMPUTED_VALUE"""),0.0)</f>
        <v>0</v>
      </c>
      <c r="M44" s="46">
        <f>IFERROR(__xludf.DUMMYFUNCTION("""COMPUTED_VALUE"""),1.0)</f>
        <v>1</v>
      </c>
      <c r="N44" s="46">
        <f>IFERROR(__xludf.DUMMYFUNCTION("""COMPUTED_VALUE"""),2.0)</f>
        <v>2</v>
      </c>
      <c r="O44" s="48">
        <f>IFERROR(__xludf.DUMMYFUNCTION("""COMPUTED_VALUE"""),1.0)</f>
        <v>1</v>
      </c>
      <c r="P44" s="52">
        <f>IFERROR(__xludf.DUMMYFUNCTION("""COMPUTED_VALUE"""),1.023712)</f>
        <v>1.023712</v>
      </c>
    </row>
    <row r="45" hidden="1">
      <c r="A45" s="48" t="str">
        <f>IFERROR(__xludf.DUMMYFUNCTION("""COMPUTED_VALUE"""),"março_Montezuma")</f>
        <v>março_Montezuma</v>
      </c>
      <c r="B45" s="48">
        <f>IFERROR(__xludf.DUMMYFUNCTION("""COMPUTED_VALUE"""),2026.0)</f>
        <v>2026</v>
      </c>
      <c r="C45" s="49">
        <f>IFERROR(__xludf.DUMMYFUNCTION("""COMPUTED_VALUE"""),46102.0)</f>
        <v>46102</v>
      </c>
      <c r="D45" s="46">
        <f>IFERROR(__xludf.DUMMYFUNCTION("""COMPUTED_VALUE"""),12.0)</f>
        <v>12</v>
      </c>
      <c r="E45" s="46" t="str">
        <f>IFERROR(__xludf.DUMMYFUNCTION("""COMPUTED_VALUE"""),"Montezuma")</f>
        <v>Montezuma</v>
      </c>
      <c r="F45" s="46" t="str">
        <f>IFERROR(__xludf.DUMMYFUNCTION("""COMPUTED_VALUE"""),"Reap the Tides")</f>
        <v>Reap the Tides</v>
      </c>
      <c r="G45" s="46">
        <f>IFERROR(__xludf.DUMMYFUNCTION("""COMPUTED_VALUE"""),1.0)</f>
        <v>1</v>
      </c>
      <c r="H45" s="46">
        <f>IFERROR(__xludf.DUMMYFUNCTION("""COMPUTED_VALUE"""),2.0)</f>
        <v>2</v>
      </c>
      <c r="I45" s="50">
        <f>IFERROR(__xludf.DUMMYFUNCTION("""COMPUTED_VALUE"""),1.67)</f>
        <v>1.67</v>
      </c>
      <c r="J45" s="50">
        <f>IFERROR(__xludf.DUMMYFUNCTION("""COMPUTED_VALUE"""),3.33)</f>
        <v>3.33</v>
      </c>
      <c r="K45" s="51">
        <f>IFERROR(__xludf.DUMMYFUNCTION("""COMPUTED_VALUE"""),0.02167333)</f>
        <v>0.02167333</v>
      </c>
      <c r="L45" s="46">
        <f>IFERROR(__xludf.DUMMYFUNCTION("""COMPUTED_VALUE"""),0.0)</f>
        <v>0</v>
      </c>
      <c r="M45" s="46">
        <f>IFERROR(__xludf.DUMMYFUNCTION("""COMPUTED_VALUE"""),1.0)</f>
        <v>1</v>
      </c>
      <c r="N45" s="46">
        <f>IFERROR(__xludf.DUMMYFUNCTION("""COMPUTED_VALUE"""),0.0)</f>
        <v>0</v>
      </c>
      <c r="O45" s="48">
        <f>IFERROR(__xludf.DUMMYFUNCTION("""COMPUTED_VALUE"""),1.0)</f>
        <v>1</v>
      </c>
      <c r="P45" s="52">
        <f>IFERROR(__xludf.DUMMYFUNCTION("""COMPUTED_VALUE"""),1.02167333)</f>
        <v>1.02167333</v>
      </c>
    </row>
    <row r="46" hidden="1">
      <c r="A46" s="48" t="str">
        <f>IFERROR(__xludf.DUMMYFUNCTION("""COMPUTED_VALUE"""),"março_Lanna")</f>
        <v>março_Lanna</v>
      </c>
      <c r="B46" s="48">
        <f>IFERROR(__xludf.DUMMYFUNCTION("""COMPUTED_VALUE"""),2026.0)</f>
        <v>2026</v>
      </c>
      <c r="C46" s="49">
        <f>IFERROR(__xludf.DUMMYFUNCTION("""COMPUTED_VALUE"""),46102.0)</f>
        <v>46102</v>
      </c>
      <c r="D46" s="46">
        <f>IFERROR(__xludf.DUMMYFUNCTION("""COMPUTED_VALUE"""),13.0)</f>
        <v>13</v>
      </c>
      <c r="E46" s="46" t="str">
        <f>IFERROR(__xludf.DUMMYFUNCTION("""COMPUTED_VALUE"""),"Lanna")</f>
        <v>Lanna</v>
      </c>
      <c r="F46" s="46" t="str">
        <f>IFERROR(__xludf.DUMMYFUNCTION("""COMPUTED_VALUE"""),"Dance of the Elements")</f>
        <v>Dance of the Elements</v>
      </c>
      <c r="G46" s="46">
        <f>IFERROR(__xludf.DUMMYFUNCTION("""COMPUTED_VALUE"""),0.0)</f>
        <v>0</v>
      </c>
      <c r="H46" s="46">
        <f>IFERROR(__xludf.DUMMYFUNCTION("""COMPUTED_VALUE"""),0.0)</f>
        <v>0</v>
      </c>
      <c r="I46" s="50">
        <f>IFERROR(__xludf.DUMMYFUNCTION("""COMPUTED_VALUE"""),3.33)</f>
        <v>3.33</v>
      </c>
      <c r="J46" s="50">
        <f>IFERROR(__xludf.DUMMYFUNCTION("""COMPUTED_VALUE"""),1.67)</f>
        <v>1.67</v>
      </c>
      <c r="K46" s="51">
        <f>IFERROR(__xludf.DUMMYFUNCTION("""COMPUTED_VALUE"""),0.00333167)</f>
        <v>0.00333167</v>
      </c>
      <c r="L46" s="46">
        <f>IFERROR(__xludf.DUMMYFUNCTION("""COMPUTED_VALUE"""),0.0)</f>
        <v>0</v>
      </c>
      <c r="M46" s="46">
        <f>IFERROR(__xludf.DUMMYFUNCTION("""COMPUTED_VALUE"""),0.0)</f>
        <v>0</v>
      </c>
      <c r="N46" s="46">
        <f>IFERROR(__xludf.DUMMYFUNCTION("""COMPUTED_VALUE"""),1.0)</f>
        <v>1</v>
      </c>
      <c r="O46" s="48">
        <f>IFERROR(__xludf.DUMMYFUNCTION("""COMPUTED_VALUE"""),1.0)</f>
        <v>1</v>
      </c>
      <c r="P46" s="52">
        <f>IFERROR(__xludf.DUMMYFUNCTION("""COMPUTED_VALUE"""),1.00333167)</f>
        <v>1.00333167</v>
      </c>
    </row>
    <row r="47" hidden="1">
      <c r="A47" s="48" t="str">
        <f>IFERROR(__xludf.DUMMYFUNCTION("""COMPUTED_VALUE"""),"março_Andrerusso")</f>
        <v>março_Andrerusso</v>
      </c>
      <c r="B47" s="48">
        <f>IFERROR(__xludf.DUMMYFUNCTION("""COMPUTED_VALUE"""),2026.0)</f>
        <v>2026</v>
      </c>
      <c r="C47" s="49">
        <f>IFERROR(__xludf.DUMMYFUNCTION("""COMPUTED_VALUE"""),46102.0)</f>
        <v>46102</v>
      </c>
      <c r="D47" s="46">
        <f>IFERROR(__xludf.DUMMYFUNCTION("""COMPUTED_VALUE"""),14.0)</f>
        <v>14</v>
      </c>
      <c r="E47" s="46" t="str">
        <f>IFERROR(__xludf.DUMMYFUNCTION("""COMPUTED_VALUE"""),"Andrerusso")</f>
        <v>Andrerusso</v>
      </c>
      <c r="F47" s="46" t="str">
        <f>IFERROR(__xludf.DUMMYFUNCTION("""COMPUTED_VALUE"""),"World Shaper")</f>
        <v>World Shaper</v>
      </c>
      <c r="G47" s="46">
        <f>IFERROR(__xludf.DUMMYFUNCTION("""COMPUTED_VALUE"""),0.0)</f>
        <v>0</v>
      </c>
      <c r="H47" s="46">
        <f>IFERROR(__xludf.DUMMYFUNCTION("""COMPUTED_VALUE"""),0.0)</f>
        <v>0</v>
      </c>
      <c r="I47" s="50">
        <f>IFERROR(__xludf.DUMMYFUNCTION("""COMPUTED_VALUE"""),3.2)</f>
        <v>3.2</v>
      </c>
      <c r="J47" s="50">
        <f>IFERROR(__xludf.DUMMYFUNCTION("""COMPUTED_VALUE"""),1.0)</f>
        <v>1</v>
      </c>
      <c r="K47" s="51">
        <f>IFERROR(__xludf.DUMMYFUNCTION("""COMPUTED_VALUE"""),0.0032010000000000003)</f>
        <v>0.003201</v>
      </c>
      <c r="L47" s="46">
        <f>IFERROR(__xludf.DUMMYFUNCTION("""COMPUTED_VALUE"""),0.0)</f>
        <v>0</v>
      </c>
      <c r="M47" s="46">
        <f>IFERROR(__xludf.DUMMYFUNCTION("""COMPUTED_VALUE"""),0.0)</f>
        <v>0</v>
      </c>
      <c r="N47" s="46">
        <f>IFERROR(__xludf.DUMMYFUNCTION("""COMPUTED_VALUE"""),2.0)</f>
        <v>2</v>
      </c>
      <c r="O47" s="48">
        <f>IFERROR(__xludf.DUMMYFUNCTION("""COMPUTED_VALUE"""),1.0)</f>
        <v>1</v>
      </c>
      <c r="P47" s="52">
        <f>IFERROR(__xludf.DUMMYFUNCTION("""COMPUTED_VALUE"""),1.003201)</f>
        <v>1.003201</v>
      </c>
    </row>
    <row r="48" hidden="1">
      <c r="A48" s="48" t="str">
        <f>IFERROR(__xludf.DUMMYFUNCTION("""COMPUTED_VALUE"""),"abril_Bydo")</f>
        <v>abril_Bydo</v>
      </c>
      <c r="B48" s="48">
        <f>IFERROR(__xludf.DUMMYFUNCTION("""COMPUTED_VALUE"""),2026.0)</f>
        <v>2026</v>
      </c>
      <c r="C48" s="49">
        <f>IFERROR(__xludf.DUMMYFUNCTION("""COMPUTED_VALUE"""),46138.0)</f>
        <v>46138</v>
      </c>
      <c r="D48" s="46">
        <f>IFERROR(__xludf.DUMMYFUNCTION("""COMPUTED_VALUE"""),1.0)</f>
        <v>1</v>
      </c>
      <c r="E48" s="46" t="str">
        <f>IFERROR(__xludf.DUMMYFUNCTION("""COMPUTED_VALUE"""),"Bydo")</f>
        <v>Bydo</v>
      </c>
      <c r="F48" s="46" t="str">
        <f>IFERROR(__xludf.DUMMYFUNCTION("""COMPUTED_VALUE"""),"Lorehold Spirit")</f>
        <v>Lorehold Spirit</v>
      </c>
      <c r="G48" s="46">
        <f>IFERROR(__xludf.DUMMYFUNCTION("""COMPUTED_VALUE"""),5.0)</f>
        <v>5</v>
      </c>
      <c r="H48" s="46">
        <f>IFERROR(__xludf.DUMMYFUNCTION("""COMPUTED_VALUE"""),6.0)</f>
        <v>6</v>
      </c>
      <c r="I48" s="50">
        <f>IFERROR(__xludf.DUMMYFUNCTION("""COMPUTED_VALUE"""),3.13)</f>
        <v>3.13</v>
      </c>
      <c r="J48" s="50">
        <f>IFERROR(__xludf.DUMMYFUNCTION("""COMPUTED_VALUE"""),3.25)</f>
        <v>3.25</v>
      </c>
      <c r="K48" s="51">
        <f>IFERROR(__xludf.DUMMYFUNCTION("""COMPUTED_VALUE"""),0.26313325000000004)</f>
        <v>0.26313325</v>
      </c>
      <c r="L48" s="46">
        <f>IFERROR(__xludf.DUMMYFUNCTION("""COMPUTED_VALUE"""),2.0)</f>
        <v>2</v>
      </c>
      <c r="M48" s="46">
        <f>IFERROR(__xludf.DUMMYFUNCTION("""COMPUTED_VALUE"""),2.0)</f>
        <v>2</v>
      </c>
      <c r="N48" s="46">
        <f>IFERROR(__xludf.DUMMYFUNCTION("""COMPUTED_VALUE"""),0.0)</f>
        <v>0</v>
      </c>
      <c r="O48" s="48">
        <f>IFERROR(__xludf.DUMMYFUNCTION("""COMPUTED_VALUE"""),3.0)</f>
        <v>3</v>
      </c>
      <c r="P48" s="52">
        <f>IFERROR(__xludf.DUMMYFUNCTION("""COMPUTED_VALUE"""),3.26313325)</f>
        <v>3.26313325</v>
      </c>
    </row>
    <row r="49" hidden="1">
      <c r="A49" s="48" t="str">
        <f>IFERROR(__xludf.DUMMYFUNCTION("""COMPUTED_VALUE"""),"abril_Montezuma")</f>
        <v>abril_Montezuma</v>
      </c>
      <c r="B49" s="48">
        <f>IFERROR(__xludf.DUMMYFUNCTION("""COMPUTED_VALUE"""),2026.0)</f>
        <v>2026</v>
      </c>
      <c r="C49" s="49">
        <f>IFERROR(__xludf.DUMMYFUNCTION("""COMPUTED_VALUE"""),46138.0)</f>
        <v>46138</v>
      </c>
      <c r="D49" s="46">
        <f>IFERROR(__xludf.DUMMYFUNCTION("""COMPUTED_VALUE"""),2.0)</f>
        <v>2</v>
      </c>
      <c r="E49" s="46" t="str">
        <f>IFERROR(__xludf.DUMMYFUNCTION("""COMPUTED_VALUE"""),"Montezuma")</f>
        <v>Montezuma</v>
      </c>
      <c r="F49" s="46" t="str">
        <f>IFERROR(__xludf.DUMMYFUNCTION("""COMPUTED_VALUE"""),"Party Time")</f>
        <v>Party Time</v>
      </c>
      <c r="G49" s="46">
        <f>IFERROR(__xludf.DUMMYFUNCTION("""COMPUTED_VALUE"""),7.0)</f>
        <v>7</v>
      </c>
      <c r="H49" s="46">
        <f>IFERROR(__xludf.DUMMYFUNCTION("""COMPUTED_VALUE"""),6.0)</f>
        <v>6</v>
      </c>
      <c r="I49" s="50">
        <f>IFERROR(__xludf.DUMMYFUNCTION("""COMPUTED_VALUE"""),3.56)</f>
        <v>3.56</v>
      </c>
      <c r="J49" s="50">
        <f>IFERROR(__xludf.DUMMYFUNCTION("""COMPUTED_VALUE"""),2.44)</f>
        <v>2.44</v>
      </c>
      <c r="K49" s="51">
        <f>IFERROR(__xludf.DUMMYFUNCTION("""COMPUTED_VALUE"""),0.26356244)</f>
        <v>0.26356244</v>
      </c>
      <c r="L49" s="46">
        <f>IFERROR(__xludf.DUMMYFUNCTION("""COMPUTED_VALUE"""),2.0)</f>
        <v>2</v>
      </c>
      <c r="M49" s="46">
        <f>IFERROR(__xludf.DUMMYFUNCTION("""COMPUTED_VALUE"""),1.0)</f>
        <v>1</v>
      </c>
      <c r="N49" s="46">
        <f>IFERROR(__xludf.DUMMYFUNCTION("""COMPUTED_VALUE"""),1.0)</f>
        <v>1</v>
      </c>
      <c r="O49" s="48">
        <f>IFERROR(__xludf.DUMMYFUNCTION("""COMPUTED_VALUE"""),2.0)</f>
        <v>2</v>
      </c>
      <c r="P49" s="52">
        <f>IFERROR(__xludf.DUMMYFUNCTION("""COMPUTED_VALUE"""),2.26356244)</f>
        <v>2.26356244</v>
      </c>
    </row>
    <row r="50" hidden="1">
      <c r="A50" s="48" t="str">
        <f>IFERROR(__xludf.DUMMYFUNCTION("""COMPUTED_VALUE"""),"abril_ViniCVR")</f>
        <v>abril_ViniCVR</v>
      </c>
      <c r="B50" s="48">
        <f>IFERROR(__xludf.DUMMYFUNCTION("""COMPUTED_VALUE"""),2026.0)</f>
        <v>2026</v>
      </c>
      <c r="C50" s="49">
        <f>IFERROR(__xludf.DUMMYFUNCTION("""COMPUTED_VALUE"""),46138.0)</f>
        <v>46138</v>
      </c>
      <c r="D50" s="46">
        <f>IFERROR(__xludf.DUMMYFUNCTION("""COMPUTED_VALUE"""),3.0)</f>
        <v>3</v>
      </c>
      <c r="E50" s="46" t="str">
        <f>IFERROR(__xludf.DUMMYFUNCTION("""COMPUTED_VALUE"""),"ViniCVR")</f>
        <v>ViniCVR</v>
      </c>
      <c r="F50" s="46" t="str">
        <f>IFERROR(__xludf.DUMMYFUNCTION("""COMPUTED_VALUE"""),"Creative Energy")</f>
        <v>Creative Energy</v>
      </c>
      <c r="G50" s="46">
        <f>IFERROR(__xludf.DUMMYFUNCTION("""COMPUTED_VALUE"""),6.0)</f>
        <v>6</v>
      </c>
      <c r="H50" s="46">
        <f>IFERROR(__xludf.DUMMYFUNCTION("""COMPUTED_VALUE"""),0.0)</f>
        <v>0</v>
      </c>
      <c r="I50" s="50">
        <f>IFERROR(__xludf.DUMMYFUNCTION("""COMPUTED_VALUE"""),3.0)</f>
        <v>3</v>
      </c>
      <c r="J50" s="50">
        <f>IFERROR(__xludf.DUMMYFUNCTION("""COMPUTED_VALUE"""),2.0)</f>
        <v>2</v>
      </c>
      <c r="K50" s="51">
        <f>IFERROR(__xludf.DUMMYFUNCTION("""COMPUTED_VALUE"""),0.10300200000000001)</f>
        <v>0.103002</v>
      </c>
      <c r="L50" s="46">
        <f>IFERROR(__xludf.DUMMYFUNCTION("""COMPUTED_VALUE"""),1.0)</f>
        <v>1</v>
      </c>
      <c r="M50" s="46">
        <f>IFERROR(__xludf.DUMMYFUNCTION("""COMPUTED_VALUE"""),0.0)</f>
        <v>0</v>
      </c>
      <c r="N50" s="46">
        <f>IFERROR(__xludf.DUMMYFUNCTION("""COMPUTED_VALUE"""),2.0)</f>
        <v>2</v>
      </c>
      <c r="O50" s="48">
        <f>IFERROR(__xludf.DUMMYFUNCTION("""COMPUTED_VALUE"""),2.0)</f>
        <v>2</v>
      </c>
      <c r="P50" s="52">
        <f>IFERROR(__xludf.DUMMYFUNCTION("""COMPUTED_VALUE"""),2.103002)</f>
        <v>2.103002</v>
      </c>
    </row>
    <row r="51" hidden="1">
      <c r="A51" s="48" t="str">
        <f>IFERROR(__xludf.DUMMYFUNCTION("""COMPUTED_VALUE"""),"abril_Morkan")</f>
        <v>abril_Morkan</v>
      </c>
      <c r="B51" s="48">
        <f>IFERROR(__xludf.DUMMYFUNCTION("""COMPUTED_VALUE"""),2026.0)</f>
        <v>2026</v>
      </c>
      <c r="C51" s="49">
        <f>IFERROR(__xludf.DUMMYFUNCTION("""COMPUTED_VALUE"""),46138.0)</f>
        <v>46138</v>
      </c>
      <c r="D51" s="46">
        <f>IFERROR(__xludf.DUMMYFUNCTION("""COMPUTED_VALUE"""),4.0)</f>
        <v>4</v>
      </c>
      <c r="E51" s="46" t="str">
        <f>IFERROR(__xludf.DUMMYFUNCTION("""COMPUTED_VALUE"""),"Morkan")</f>
        <v>Morkan</v>
      </c>
      <c r="F51" s="46" t="str">
        <f>IFERROR(__xludf.DUMMYFUNCTION("""COMPUTED_VALUE"""),"Sultai Arisen")</f>
        <v>Sultai Arisen</v>
      </c>
      <c r="G51" s="46">
        <f>IFERROR(__xludf.DUMMYFUNCTION("""COMPUTED_VALUE"""),5.0)</f>
        <v>5</v>
      </c>
      <c r="H51" s="46">
        <f>IFERROR(__xludf.DUMMYFUNCTION("""COMPUTED_VALUE"""),6.0)</f>
        <v>6</v>
      </c>
      <c r="I51" s="50">
        <f>IFERROR(__xludf.DUMMYFUNCTION("""COMPUTED_VALUE"""),3.88)</f>
        <v>3.88</v>
      </c>
      <c r="J51" s="50">
        <f>IFERROR(__xludf.DUMMYFUNCTION("""COMPUTED_VALUE"""),3.63)</f>
        <v>3.63</v>
      </c>
      <c r="K51" s="51">
        <f>IFERROR(__xludf.DUMMYFUNCTION("""COMPUTED_VALUE"""),0.16388363)</f>
        <v>0.16388363</v>
      </c>
      <c r="L51" s="46">
        <f>IFERROR(__xludf.DUMMYFUNCTION("""COMPUTED_VALUE"""),1.0)</f>
        <v>1</v>
      </c>
      <c r="M51" s="46">
        <f>IFERROR(__xludf.DUMMYFUNCTION("""COMPUTED_VALUE"""),2.0)</f>
        <v>2</v>
      </c>
      <c r="N51" s="46">
        <f>IFERROR(__xludf.DUMMYFUNCTION("""COMPUTED_VALUE"""),1.0)</f>
        <v>1</v>
      </c>
      <c r="O51" s="48">
        <f>IFERROR(__xludf.DUMMYFUNCTION("""COMPUTED_VALUE"""),2.0)</f>
        <v>2</v>
      </c>
      <c r="P51" s="52">
        <f>IFERROR(__xludf.DUMMYFUNCTION("""COMPUTED_VALUE"""),2.16388363)</f>
        <v>2.16388363</v>
      </c>
    </row>
    <row r="52" hidden="1">
      <c r="A52" s="48" t="str">
        <f>IFERROR(__xludf.DUMMYFUNCTION("""COMPUTED_VALUE"""),"abril_Lanna")</f>
        <v>abril_Lanna</v>
      </c>
      <c r="B52" s="48">
        <f>IFERROR(__xludf.DUMMYFUNCTION("""COMPUTED_VALUE"""),2026.0)</f>
        <v>2026</v>
      </c>
      <c r="C52" s="49">
        <f>IFERROR(__xludf.DUMMYFUNCTION("""COMPUTED_VALUE"""),46138.0)</f>
        <v>46138</v>
      </c>
      <c r="D52" s="46">
        <f>IFERROR(__xludf.DUMMYFUNCTION("""COMPUTED_VALUE"""),5.0)</f>
        <v>5</v>
      </c>
      <c r="E52" s="46" t="str">
        <f>IFERROR(__xludf.DUMMYFUNCTION("""COMPUTED_VALUE"""),"Lanna")</f>
        <v>Lanna</v>
      </c>
      <c r="F52" s="46" t="str">
        <f>IFERROR(__xludf.DUMMYFUNCTION("""COMPUTED_VALUE"""),"Lorehold Spirit")</f>
        <v>Lorehold Spirit</v>
      </c>
      <c r="G52" s="46">
        <f>IFERROR(__xludf.DUMMYFUNCTION("""COMPUTED_VALUE"""),5.0)</f>
        <v>5</v>
      </c>
      <c r="H52" s="46">
        <f>IFERROR(__xludf.DUMMYFUNCTION("""COMPUTED_VALUE"""),6.0)</f>
        <v>6</v>
      </c>
      <c r="I52" s="50">
        <f>IFERROR(__xludf.DUMMYFUNCTION("""COMPUTED_VALUE"""),2.89)</f>
        <v>2.89</v>
      </c>
      <c r="J52" s="50">
        <f>IFERROR(__xludf.DUMMYFUNCTION("""COMPUTED_VALUE"""),3.33)</f>
        <v>3.33</v>
      </c>
      <c r="K52" s="51">
        <f>IFERROR(__xludf.DUMMYFUNCTION("""COMPUTED_VALUE"""),0.16289333)</f>
        <v>0.16289333</v>
      </c>
      <c r="L52" s="46">
        <f>IFERROR(__xludf.DUMMYFUNCTION("""COMPUTED_VALUE"""),1.0)</f>
        <v>1</v>
      </c>
      <c r="M52" s="46">
        <f>IFERROR(__xludf.DUMMYFUNCTION("""COMPUTED_VALUE"""),2.0)</f>
        <v>2</v>
      </c>
      <c r="N52" s="46">
        <f>IFERROR(__xludf.DUMMYFUNCTION("""COMPUTED_VALUE"""),0.0)</f>
        <v>0</v>
      </c>
      <c r="O52" s="48">
        <f>IFERROR(__xludf.DUMMYFUNCTION("""COMPUTED_VALUE"""),2.0)</f>
        <v>2</v>
      </c>
      <c r="P52" s="52">
        <f>IFERROR(__xludf.DUMMYFUNCTION("""COMPUTED_VALUE"""),2.16289333)</f>
        <v>2.16289333</v>
      </c>
    </row>
    <row r="53" hidden="1">
      <c r="A53" s="48" t="str">
        <f>IFERROR(__xludf.DUMMYFUNCTION("""COMPUTED_VALUE"""),"abril_Crothen")</f>
        <v>abril_Crothen</v>
      </c>
      <c r="B53" s="48">
        <f>IFERROR(__xludf.DUMMYFUNCTION("""COMPUTED_VALUE"""),2026.0)</f>
        <v>2026</v>
      </c>
      <c r="C53" s="49">
        <f>IFERROR(__xludf.DUMMYFUNCTION("""COMPUTED_VALUE"""),46138.0)</f>
        <v>46138</v>
      </c>
      <c r="D53" s="46">
        <f>IFERROR(__xludf.DUMMYFUNCTION("""COMPUTED_VALUE"""),6.0)</f>
        <v>6</v>
      </c>
      <c r="E53" s="46" t="str">
        <f>IFERROR(__xludf.DUMMYFUNCTION("""COMPUTED_VALUE"""),"Crothen")</f>
        <v>Crothen</v>
      </c>
      <c r="F53" s="46" t="str">
        <f>IFERROR(__xludf.DUMMYFUNCTION("""COMPUTED_VALUE"""),"Corrupting Influence")</f>
        <v>Corrupting Influence</v>
      </c>
      <c r="G53" s="46">
        <f>IFERROR(__xludf.DUMMYFUNCTION("""COMPUTED_VALUE"""),5.0)</f>
        <v>5</v>
      </c>
      <c r="H53" s="46">
        <f>IFERROR(__xludf.DUMMYFUNCTION("""COMPUTED_VALUE"""),6.0)</f>
        <v>6</v>
      </c>
      <c r="I53" s="50">
        <f>IFERROR(__xludf.DUMMYFUNCTION("""COMPUTED_VALUE"""),2.57)</f>
        <v>2.57</v>
      </c>
      <c r="J53" s="50">
        <f>IFERROR(__xludf.DUMMYFUNCTION("""COMPUTED_VALUE"""),3.14)</f>
        <v>3.14</v>
      </c>
      <c r="K53" s="51">
        <f>IFERROR(__xludf.DUMMYFUNCTION("""COMPUTED_VALUE"""),0.16257314)</f>
        <v>0.16257314</v>
      </c>
      <c r="L53" s="46">
        <f>IFERROR(__xludf.DUMMYFUNCTION("""COMPUTED_VALUE"""),1.0)</f>
        <v>1</v>
      </c>
      <c r="M53" s="46">
        <f>IFERROR(__xludf.DUMMYFUNCTION("""COMPUTED_VALUE"""),2.0)</f>
        <v>2</v>
      </c>
      <c r="N53" s="46">
        <f>IFERROR(__xludf.DUMMYFUNCTION("""COMPUTED_VALUE"""),0.0)</f>
        <v>0</v>
      </c>
      <c r="O53" s="48">
        <f>IFERROR(__xludf.DUMMYFUNCTION("""COMPUTED_VALUE"""),2.0)</f>
        <v>2</v>
      </c>
      <c r="P53" s="52">
        <f>IFERROR(__xludf.DUMMYFUNCTION("""COMPUTED_VALUE"""),2.16257314)</f>
        <v>2.16257314</v>
      </c>
    </row>
    <row r="54" hidden="1">
      <c r="A54" s="48" t="str">
        <f>IFERROR(__xludf.DUMMYFUNCTION("""COMPUTED_VALUE"""),"abril_AndreVL")</f>
        <v>abril_AndreVL</v>
      </c>
      <c r="B54" s="48">
        <f>IFERROR(__xludf.DUMMYFUNCTION("""COMPUTED_VALUE"""),2026.0)</f>
        <v>2026</v>
      </c>
      <c r="C54" s="49">
        <f>IFERROR(__xludf.DUMMYFUNCTION("""COMPUTED_VALUE"""),46138.0)</f>
        <v>46138</v>
      </c>
      <c r="D54" s="46">
        <f>IFERROR(__xludf.DUMMYFUNCTION("""COMPUTED_VALUE"""),7.0)</f>
        <v>7</v>
      </c>
      <c r="E54" s="46" t="str">
        <f>IFERROR(__xludf.DUMMYFUNCTION("""COMPUTED_VALUE"""),"AndreVL")</f>
        <v>AndreVL</v>
      </c>
      <c r="F54" s="46" t="str">
        <f>IFERROR(__xludf.DUMMYFUNCTION("""COMPUTED_VALUE"""),"Witherbloom Pestilence")</f>
        <v>Witherbloom Pestilence</v>
      </c>
      <c r="G54" s="46">
        <f>IFERROR(__xludf.DUMMYFUNCTION("""COMPUTED_VALUE"""),5.0)</f>
        <v>5</v>
      </c>
      <c r="H54" s="46">
        <f>IFERROR(__xludf.DUMMYFUNCTION("""COMPUTED_VALUE"""),3.0)</f>
        <v>3</v>
      </c>
      <c r="I54" s="50">
        <f>IFERROR(__xludf.DUMMYFUNCTION("""COMPUTED_VALUE"""),4.0)</f>
        <v>4</v>
      </c>
      <c r="J54" s="50">
        <f>IFERROR(__xludf.DUMMYFUNCTION("""COMPUTED_VALUE"""),3.2)</f>
        <v>3.2</v>
      </c>
      <c r="K54" s="51">
        <f>IFERROR(__xludf.DUMMYFUNCTION("""COMPUTED_VALUE"""),0.034003200000000004)</f>
        <v>0.0340032</v>
      </c>
      <c r="L54" s="46">
        <f>IFERROR(__xludf.DUMMYFUNCTION("""COMPUTED_VALUE"""),0.0)</f>
        <v>0</v>
      </c>
      <c r="M54" s="46">
        <f>IFERROR(__xludf.DUMMYFUNCTION("""COMPUTED_VALUE"""),2.0)</f>
        <v>2</v>
      </c>
      <c r="N54" s="46">
        <f>IFERROR(__xludf.DUMMYFUNCTION("""COMPUTED_VALUE"""),0.0)</f>
        <v>0</v>
      </c>
      <c r="O54" s="48">
        <f>IFERROR(__xludf.DUMMYFUNCTION("""COMPUTED_VALUE"""),2.0)</f>
        <v>2</v>
      </c>
      <c r="P54" s="52">
        <f>IFERROR(__xludf.DUMMYFUNCTION("""COMPUTED_VALUE"""),2.0340032)</f>
        <v>2.0340032</v>
      </c>
    </row>
    <row r="55" hidden="1">
      <c r="A55" s="48" t="str">
        <f>IFERROR(__xludf.DUMMYFUNCTION("""COMPUTED_VALUE"""),"abril_Yasmin")</f>
        <v>abril_Yasmin</v>
      </c>
      <c r="B55" s="48">
        <f>IFERROR(__xludf.DUMMYFUNCTION("""COMPUTED_VALUE"""),2026.0)</f>
        <v>2026</v>
      </c>
      <c r="C55" s="49">
        <f>IFERROR(__xludf.DUMMYFUNCTION("""COMPUTED_VALUE"""),46138.0)</f>
        <v>46138</v>
      </c>
      <c r="D55" s="46">
        <f>IFERROR(__xludf.DUMMYFUNCTION("""COMPUTED_VALUE"""),8.0)</f>
        <v>8</v>
      </c>
      <c r="E55" s="46" t="str">
        <f>IFERROR(__xludf.DUMMYFUNCTION("""COMPUTED_VALUE"""),"Yasmin")</f>
        <v>Yasmin</v>
      </c>
      <c r="F55" s="46" t="str">
        <f>IFERROR(__xludf.DUMMYFUNCTION("""COMPUTED_VALUE"""),"Veloci-ramp-tor")</f>
        <v>Veloci-ramp-tor</v>
      </c>
      <c r="G55" s="46">
        <f>IFERROR(__xludf.DUMMYFUNCTION("""COMPUTED_VALUE"""),5.0)</f>
        <v>5</v>
      </c>
      <c r="H55" s="46">
        <f>IFERROR(__xludf.DUMMYFUNCTION("""COMPUTED_VALUE"""),3.0)</f>
        <v>3</v>
      </c>
      <c r="I55" s="50">
        <f>IFERROR(__xludf.DUMMYFUNCTION("""COMPUTED_VALUE"""),4.0)</f>
        <v>4</v>
      </c>
      <c r="J55" s="50">
        <f>IFERROR(__xludf.DUMMYFUNCTION("""COMPUTED_VALUE"""),3.2)</f>
        <v>3.2</v>
      </c>
      <c r="K55" s="51">
        <f>IFERROR(__xludf.DUMMYFUNCTION("""COMPUTED_VALUE"""),0.034003200000000004)</f>
        <v>0.0340032</v>
      </c>
      <c r="L55" s="46">
        <f>IFERROR(__xludf.DUMMYFUNCTION("""COMPUTED_VALUE"""),0.0)</f>
        <v>0</v>
      </c>
      <c r="M55" s="46">
        <f>IFERROR(__xludf.DUMMYFUNCTION("""COMPUTED_VALUE"""),2.0)</f>
        <v>2</v>
      </c>
      <c r="N55" s="46">
        <f>IFERROR(__xludf.DUMMYFUNCTION("""COMPUTED_VALUE"""),0.0)</f>
        <v>0</v>
      </c>
      <c r="O55" s="48">
        <f>IFERROR(__xludf.DUMMYFUNCTION("""COMPUTED_VALUE"""),2.0)</f>
        <v>2</v>
      </c>
      <c r="P55" s="52">
        <f>IFERROR(__xludf.DUMMYFUNCTION("""COMPUTED_VALUE"""),2.0340032)</f>
        <v>2.0340032</v>
      </c>
    </row>
    <row r="56" hidden="1">
      <c r="A56" s="48" t="str">
        <f>IFERROR(__xludf.DUMMYFUNCTION("""COMPUTED_VALUE"""),"abril_Gabriel P.")</f>
        <v>abril_Gabriel P.</v>
      </c>
      <c r="B56" s="48">
        <f>IFERROR(__xludf.DUMMYFUNCTION("""COMPUTED_VALUE"""),2026.0)</f>
        <v>2026</v>
      </c>
      <c r="C56" s="49">
        <f>IFERROR(__xludf.DUMMYFUNCTION("""COMPUTED_VALUE"""),46138.0)</f>
        <v>46138</v>
      </c>
      <c r="D56" s="46">
        <f>IFERROR(__xludf.DUMMYFUNCTION("""COMPUTED_VALUE"""),9.0)</f>
        <v>9</v>
      </c>
      <c r="E56" s="46" t="str">
        <f>IFERROR(__xludf.DUMMYFUNCTION("""COMPUTED_VALUE"""),"Gabriel P.")</f>
        <v>Gabriel P.</v>
      </c>
      <c r="F56" s="46" t="str">
        <f>IFERROR(__xludf.DUMMYFUNCTION("""COMPUTED_VALUE"""),"Quick Draw")</f>
        <v>Quick Draw</v>
      </c>
      <c r="G56" s="46">
        <f>IFERROR(__xludf.DUMMYFUNCTION("""COMPUTED_VALUE"""),4.0)</f>
        <v>4</v>
      </c>
      <c r="H56" s="46">
        <f>IFERROR(__xludf.DUMMYFUNCTION("""COMPUTED_VALUE"""),3.0)</f>
        <v>3</v>
      </c>
      <c r="I56" s="50">
        <f>IFERROR(__xludf.DUMMYFUNCTION("""COMPUTED_VALUE"""),3.44)</f>
        <v>3.44</v>
      </c>
      <c r="J56" s="50">
        <f>IFERROR(__xludf.DUMMYFUNCTION("""COMPUTED_VALUE"""),1.33)</f>
        <v>1.33</v>
      </c>
      <c r="K56" s="51">
        <f>IFERROR(__xludf.DUMMYFUNCTION("""COMPUTED_VALUE"""),0.13344133)</f>
        <v>0.13344133</v>
      </c>
      <c r="L56" s="46">
        <f>IFERROR(__xludf.DUMMYFUNCTION("""COMPUTED_VALUE"""),1.0)</f>
        <v>1</v>
      </c>
      <c r="M56" s="46">
        <f>IFERROR(__xludf.DUMMYFUNCTION("""COMPUTED_VALUE"""),1.0)</f>
        <v>1</v>
      </c>
      <c r="N56" s="46">
        <f>IFERROR(__xludf.DUMMYFUNCTION("""COMPUTED_VALUE"""),1.0)</f>
        <v>1</v>
      </c>
      <c r="O56" s="48">
        <f>IFERROR(__xludf.DUMMYFUNCTION("""COMPUTED_VALUE"""),1.0)</f>
        <v>1</v>
      </c>
      <c r="P56" s="52">
        <f>IFERROR(__xludf.DUMMYFUNCTION("""COMPUTED_VALUE"""),1.13344133)</f>
        <v>1.13344133</v>
      </c>
    </row>
    <row r="57">
      <c r="A57" s="48" t="str">
        <f>IFERROR(__xludf.DUMMYFUNCTION("""COMPUTED_VALUE"""),"abril_TendiNietzsche")</f>
        <v>abril_TendiNietzsche</v>
      </c>
      <c r="B57" s="48">
        <f>IFERROR(__xludf.DUMMYFUNCTION("""COMPUTED_VALUE"""),2026.0)</f>
        <v>2026</v>
      </c>
      <c r="C57" s="49">
        <f>IFERROR(__xludf.DUMMYFUNCTION("""COMPUTED_VALUE"""),46138.0)</f>
        <v>46138</v>
      </c>
      <c r="D57" s="46">
        <f>IFERROR(__xludf.DUMMYFUNCTION("""COMPUTED_VALUE"""),10.0)</f>
        <v>10</v>
      </c>
      <c r="E57" s="46" t="str">
        <f>IFERROR(__xludf.DUMMYFUNCTION("""COMPUTED_VALUE"""),"TendiNietzsche")</f>
        <v>TendiNietzsche</v>
      </c>
      <c r="F57" s="46" t="str">
        <f>IFERROR(__xludf.DUMMYFUNCTION("""COMPUTED_VALUE"""),"Scions &amp; Spellcraft")</f>
        <v>Scions &amp; Spellcraft</v>
      </c>
      <c r="G57" s="46">
        <f>IFERROR(__xludf.DUMMYFUNCTION("""COMPUTED_VALUE"""),4.0)</f>
        <v>4</v>
      </c>
      <c r="H57" s="46">
        <f>IFERROR(__xludf.DUMMYFUNCTION("""COMPUTED_VALUE"""),0.0)</f>
        <v>0</v>
      </c>
      <c r="I57" s="50">
        <f>IFERROR(__xludf.DUMMYFUNCTION("""COMPUTED_VALUE"""),3.17)</f>
        <v>3.17</v>
      </c>
      <c r="J57" s="50">
        <f>IFERROR(__xludf.DUMMYFUNCTION("""COMPUTED_VALUE"""),2.5)</f>
        <v>2.5</v>
      </c>
      <c r="K57" s="51">
        <f>IFERROR(__xludf.DUMMYFUNCTION("""COMPUTED_VALUE"""),0.0031725)</f>
        <v>0.0031725</v>
      </c>
      <c r="L57" s="46">
        <f>IFERROR(__xludf.DUMMYFUNCTION("""COMPUTED_VALUE"""),0.0)</f>
        <v>0</v>
      </c>
      <c r="M57" s="46">
        <f>IFERROR(__xludf.DUMMYFUNCTION("""COMPUTED_VALUE"""),1.0)</f>
        <v>1</v>
      </c>
      <c r="N57" s="46">
        <f>IFERROR(__xludf.DUMMYFUNCTION("""COMPUTED_VALUE"""),1.0)</f>
        <v>1</v>
      </c>
      <c r="O57" s="48">
        <f>IFERROR(__xludf.DUMMYFUNCTION("""COMPUTED_VALUE"""),1.0)</f>
        <v>1</v>
      </c>
      <c r="P57" s="52">
        <f>IFERROR(__xludf.DUMMYFUNCTION("""COMPUTED_VALUE"""),1.0031725)</f>
        <v>1.0031725</v>
      </c>
    </row>
    <row r="58" hidden="1">
      <c r="A58" s="48" t="str">
        <f>IFERROR(__xludf.DUMMYFUNCTION("""COMPUTED_VALUE"""),"abril_Matheus Pereira")</f>
        <v>abril_Matheus Pereira</v>
      </c>
      <c r="B58" s="48">
        <f>IFERROR(__xludf.DUMMYFUNCTION("""COMPUTED_VALUE"""),2026.0)</f>
        <v>2026</v>
      </c>
      <c r="C58" s="49">
        <f>IFERROR(__xludf.DUMMYFUNCTION("""COMPUTED_VALUE"""),46138.0)</f>
        <v>46138</v>
      </c>
      <c r="D58" s="46">
        <f>IFERROR(__xludf.DUMMYFUNCTION("""COMPUTED_VALUE"""),11.0)</f>
        <v>11</v>
      </c>
      <c r="E58" s="46" t="str">
        <f>IFERROR(__xludf.DUMMYFUNCTION("""COMPUTED_VALUE"""),"Matheus Pereira")</f>
        <v>Matheus Pereira</v>
      </c>
      <c r="F58" s="46" t="str">
        <f>IFERROR(__xludf.DUMMYFUNCTION("""COMPUTED_VALUE"""),"Quandrix Unlimited")</f>
        <v>Quandrix Unlimited</v>
      </c>
      <c r="G58" s="46">
        <f>IFERROR(__xludf.DUMMYFUNCTION("""COMPUTED_VALUE"""),3.0)</f>
        <v>3</v>
      </c>
      <c r="H58" s="46">
        <f>IFERROR(__xludf.DUMMYFUNCTION("""COMPUTED_VALUE"""),0.0)</f>
        <v>0</v>
      </c>
      <c r="I58" s="50">
        <f>IFERROR(__xludf.DUMMYFUNCTION("""COMPUTED_VALUE"""),3.83)</f>
        <v>3.83</v>
      </c>
      <c r="J58" s="50">
        <f>IFERROR(__xludf.DUMMYFUNCTION("""COMPUTED_VALUE"""),1.33)</f>
        <v>1.33</v>
      </c>
      <c r="K58" s="51">
        <f>IFERROR(__xludf.DUMMYFUNCTION("""COMPUTED_VALUE"""),0.00383133)</f>
        <v>0.00383133</v>
      </c>
      <c r="L58" s="46">
        <f>IFERROR(__xludf.DUMMYFUNCTION("""COMPUTED_VALUE"""),0.0)</f>
        <v>0</v>
      </c>
      <c r="M58" s="46">
        <f>IFERROR(__xludf.DUMMYFUNCTION("""COMPUTED_VALUE"""),0.0)</f>
        <v>0</v>
      </c>
      <c r="N58" s="46">
        <f>IFERROR(__xludf.DUMMYFUNCTION("""COMPUTED_VALUE"""),2.0)</f>
        <v>2</v>
      </c>
      <c r="O58" s="48">
        <f>IFERROR(__xludf.DUMMYFUNCTION("""COMPUTED_VALUE"""),1.0)</f>
        <v>1</v>
      </c>
      <c r="P58" s="52">
        <f>IFERROR(__xludf.DUMMYFUNCTION("""COMPUTED_VALUE"""),1.00383133)</f>
        <v>1.00383133</v>
      </c>
    </row>
    <row r="59" hidden="1">
      <c r="A59" s="48" t="str">
        <f>IFERROR(__xludf.DUMMYFUNCTION("""COMPUTED_VALUE"""),"abril_França")</f>
        <v>abril_França</v>
      </c>
      <c r="B59" s="48">
        <f>IFERROR(__xludf.DUMMYFUNCTION("""COMPUTED_VALUE"""),2026.0)</f>
        <v>2026</v>
      </c>
      <c r="C59" s="49">
        <f>IFERROR(__xludf.DUMMYFUNCTION("""COMPUTED_VALUE"""),46138.0)</f>
        <v>46138</v>
      </c>
      <c r="D59" s="46">
        <f>IFERROR(__xludf.DUMMYFUNCTION("""COMPUTED_VALUE"""),12.0)</f>
        <v>12</v>
      </c>
      <c r="E59" s="46" t="str">
        <f>IFERROR(__xludf.DUMMYFUNCTION("""COMPUTED_VALUE"""),"França")</f>
        <v>França</v>
      </c>
      <c r="F59" s="46" t="str">
        <f>IFERROR(__xludf.DUMMYFUNCTION("""COMPUTED_VALUE"""),"Witherbloom Pestilence")</f>
        <v>Witherbloom Pestilence</v>
      </c>
      <c r="G59" s="46">
        <f>IFERROR(__xludf.DUMMYFUNCTION("""COMPUTED_VALUE"""),3.0)</f>
        <v>3</v>
      </c>
      <c r="H59" s="46">
        <f>IFERROR(__xludf.DUMMYFUNCTION("""COMPUTED_VALUE"""),0.0)</f>
        <v>0</v>
      </c>
      <c r="I59" s="50">
        <f>IFERROR(__xludf.DUMMYFUNCTION("""COMPUTED_VALUE"""),3.67)</f>
        <v>3.67</v>
      </c>
      <c r="J59" s="50">
        <f>IFERROR(__xludf.DUMMYFUNCTION("""COMPUTED_VALUE"""),1.83)</f>
        <v>1.83</v>
      </c>
      <c r="K59" s="51">
        <f>IFERROR(__xludf.DUMMYFUNCTION("""COMPUTED_VALUE"""),0.00367183)</f>
        <v>0.00367183</v>
      </c>
      <c r="L59" s="46">
        <f>IFERROR(__xludf.DUMMYFUNCTION("""COMPUTED_VALUE"""),0.0)</f>
        <v>0</v>
      </c>
      <c r="M59" s="46">
        <f>IFERROR(__xludf.DUMMYFUNCTION("""COMPUTED_VALUE"""),0.0)</f>
        <v>0</v>
      </c>
      <c r="N59" s="46">
        <f>IFERROR(__xludf.DUMMYFUNCTION("""COMPUTED_VALUE"""),2.0)</f>
        <v>2</v>
      </c>
      <c r="O59" s="48">
        <f>IFERROR(__xludf.DUMMYFUNCTION("""COMPUTED_VALUE"""),1.0)</f>
        <v>1</v>
      </c>
      <c r="P59" s="52">
        <f>IFERROR(__xludf.DUMMYFUNCTION("""COMPUTED_VALUE"""),1.00367183)</f>
        <v>1.00367183</v>
      </c>
    </row>
    <row r="60" hidden="1">
      <c r="A60" s="48" t="str">
        <f>IFERROR(__xludf.DUMMYFUNCTION("""COMPUTED_VALUE"""),"abril_Pexe")</f>
        <v>abril_Pexe</v>
      </c>
      <c r="B60" s="48">
        <f>IFERROR(__xludf.DUMMYFUNCTION("""COMPUTED_VALUE"""),2026.0)</f>
        <v>2026</v>
      </c>
      <c r="C60" s="49">
        <f>IFERROR(__xludf.DUMMYFUNCTION("""COMPUTED_VALUE"""),46138.0)</f>
        <v>46138</v>
      </c>
      <c r="D60" s="46">
        <f>IFERROR(__xludf.DUMMYFUNCTION("""COMPUTED_VALUE"""),13.0)</f>
        <v>13</v>
      </c>
      <c r="E60" s="46" t="str">
        <f>IFERROR(__xludf.DUMMYFUNCTION("""COMPUTED_VALUE"""),"Pexe")</f>
        <v>Pexe</v>
      </c>
      <c r="F60" s="46" t="str">
        <f>IFERROR(__xludf.DUMMYFUNCTION("""COMPUTED_VALUE"""),"Scions &amp; Spellcraft")</f>
        <v>Scions &amp; Spellcraft</v>
      </c>
      <c r="G60" s="46">
        <f>IFERROR(__xludf.DUMMYFUNCTION("""COMPUTED_VALUE"""),3.0)</f>
        <v>3</v>
      </c>
      <c r="H60" s="46">
        <f>IFERROR(__xludf.DUMMYFUNCTION("""COMPUTED_VALUE"""),0.0)</f>
        <v>0</v>
      </c>
      <c r="I60" s="50">
        <f>IFERROR(__xludf.DUMMYFUNCTION("""COMPUTED_VALUE"""),3.4)</f>
        <v>3.4</v>
      </c>
      <c r="J60" s="50">
        <f>IFERROR(__xludf.DUMMYFUNCTION("""COMPUTED_VALUE"""),1.8)</f>
        <v>1.8</v>
      </c>
      <c r="K60" s="51">
        <f>IFERROR(__xludf.DUMMYFUNCTION("""COMPUTED_VALUE"""),0.0034018)</f>
        <v>0.0034018</v>
      </c>
      <c r="L60" s="46">
        <f>IFERROR(__xludf.DUMMYFUNCTION("""COMPUTED_VALUE"""),0.0)</f>
        <v>0</v>
      </c>
      <c r="M60" s="46">
        <f>IFERROR(__xludf.DUMMYFUNCTION("""COMPUTED_VALUE"""),0.0)</f>
        <v>0</v>
      </c>
      <c r="N60" s="46">
        <f>IFERROR(__xludf.DUMMYFUNCTION("""COMPUTED_VALUE"""),2.0)</f>
        <v>2</v>
      </c>
      <c r="O60" s="48">
        <f>IFERROR(__xludf.DUMMYFUNCTION("""COMPUTED_VALUE"""),1.0)</f>
        <v>1</v>
      </c>
      <c r="P60" s="52">
        <f>IFERROR(__xludf.DUMMYFUNCTION("""COMPUTED_VALUE"""),1.0034018)</f>
        <v>1.0034018</v>
      </c>
    </row>
    <row r="61" hidden="1">
      <c r="A61" s="48" t="str">
        <f>IFERROR(__xludf.DUMMYFUNCTION("""COMPUTED_VALUE"""),"abril_jtRipper")</f>
        <v>abril_jtRipper</v>
      </c>
      <c r="B61" s="48">
        <f>IFERROR(__xludf.DUMMYFUNCTION("""COMPUTED_VALUE"""),2026.0)</f>
        <v>2026</v>
      </c>
      <c r="C61" s="49">
        <f>IFERROR(__xludf.DUMMYFUNCTION("""COMPUTED_VALUE"""),46138.0)</f>
        <v>46138</v>
      </c>
      <c r="D61" s="46">
        <f>IFERROR(__xludf.DUMMYFUNCTION("""COMPUTED_VALUE"""),14.0)</f>
        <v>14</v>
      </c>
      <c r="E61" s="46" t="str">
        <f>IFERROR(__xludf.DUMMYFUNCTION("""COMPUTED_VALUE"""),"jtRipper")</f>
        <v>jtRipper</v>
      </c>
      <c r="F61" s="46" t="str">
        <f>IFERROR(__xludf.DUMMYFUNCTION("""COMPUTED_VALUE"""),"Power Hungry")</f>
        <v>Power Hungry</v>
      </c>
      <c r="G61" s="46">
        <f>IFERROR(__xludf.DUMMYFUNCTION("""COMPUTED_VALUE"""),3.0)</f>
        <v>3</v>
      </c>
      <c r="H61" s="46">
        <f>IFERROR(__xludf.DUMMYFUNCTION("""COMPUTED_VALUE"""),0.0)</f>
        <v>0</v>
      </c>
      <c r="I61" s="50">
        <f>IFERROR(__xludf.DUMMYFUNCTION("""COMPUTED_VALUE"""),3.0)</f>
        <v>3</v>
      </c>
      <c r="J61" s="50">
        <f>IFERROR(__xludf.DUMMYFUNCTION("""COMPUTED_VALUE"""),2.83)</f>
        <v>2.83</v>
      </c>
      <c r="K61" s="51">
        <f>IFERROR(__xludf.DUMMYFUNCTION("""COMPUTED_VALUE"""),0.00300283)</f>
        <v>0.00300283</v>
      </c>
      <c r="L61" s="46">
        <f>IFERROR(__xludf.DUMMYFUNCTION("""COMPUTED_VALUE"""),0.0)</f>
        <v>0</v>
      </c>
      <c r="M61" s="46">
        <f>IFERROR(__xludf.DUMMYFUNCTION("""COMPUTED_VALUE"""),0.0)</f>
        <v>0</v>
      </c>
      <c r="N61" s="46">
        <f>IFERROR(__xludf.DUMMYFUNCTION("""COMPUTED_VALUE"""),2.0)</f>
        <v>2</v>
      </c>
      <c r="O61" s="48">
        <f>IFERROR(__xludf.DUMMYFUNCTION("""COMPUTED_VALUE"""),1.0)</f>
        <v>1</v>
      </c>
      <c r="P61" s="52">
        <f>IFERROR(__xludf.DUMMYFUNCTION("""COMPUTED_VALUE"""),1.00300283)</f>
        <v>1.00300283</v>
      </c>
    </row>
    <row r="62" hidden="1">
      <c r="A62" s="48" t="str">
        <f>IFERROR(__xludf.DUMMYFUNCTION("""COMPUTED_VALUE"""),"abril_Matheus h")</f>
        <v>abril_Matheus h</v>
      </c>
      <c r="B62" s="48">
        <f>IFERROR(__xludf.DUMMYFUNCTION("""COMPUTED_VALUE"""),2026.0)</f>
        <v>2026</v>
      </c>
      <c r="C62" s="49">
        <f>IFERROR(__xludf.DUMMYFUNCTION("""COMPUTED_VALUE"""),46138.0)</f>
        <v>46138</v>
      </c>
      <c r="D62" s="46">
        <f>IFERROR(__xludf.DUMMYFUNCTION("""COMPUTED_VALUE"""),15.0)</f>
        <v>15</v>
      </c>
      <c r="E62" s="46" t="str">
        <f>IFERROR(__xludf.DUMMYFUNCTION("""COMPUTED_VALUE"""),"Matheus h")</f>
        <v>Matheus h</v>
      </c>
      <c r="F62" s="46" t="str">
        <f>IFERROR(__xludf.DUMMYFUNCTION("""COMPUTED_VALUE"""),"Family Matters")</f>
        <v>Family Matters</v>
      </c>
      <c r="G62" s="46">
        <f>IFERROR(__xludf.DUMMYFUNCTION("""COMPUTED_VALUE"""),3.0)</f>
        <v>3</v>
      </c>
      <c r="H62" s="46">
        <f>IFERROR(__xludf.DUMMYFUNCTION("""COMPUTED_VALUE"""),0.0)</f>
        <v>0</v>
      </c>
      <c r="I62" s="50">
        <f>IFERROR(__xludf.DUMMYFUNCTION("""COMPUTED_VALUE"""),2.57)</f>
        <v>2.57</v>
      </c>
      <c r="J62" s="50">
        <f>IFERROR(__xludf.DUMMYFUNCTION("""COMPUTED_VALUE"""),1.57)</f>
        <v>1.57</v>
      </c>
      <c r="K62" s="51">
        <f>IFERROR(__xludf.DUMMYFUNCTION("""COMPUTED_VALUE"""),0.10257157000000001)</f>
        <v>0.10257157</v>
      </c>
      <c r="L62" s="46">
        <f>IFERROR(__xludf.DUMMYFUNCTION("""COMPUTED_VALUE"""),1.0)</f>
        <v>1</v>
      </c>
      <c r="M62" s="46">
        <f>IFERROR(__xludf.DUMMYFUNCTION("""COMPUTED_VALUE"""),0.0)</f>
        <v>0</v>
      </c>
      <c r="N62" s="46">
        <f>IFERROR(__xludf.DUMMYFUNCTION("""COMPUTED_VALUE"""),2.0)</f>
        <v>2</v>
      </c>
      <c r="O62" s="48">
        <f>IFERROR(__xludf.DUMMYFUNCTION("""COMPUTED_VALUE"""),1.0)</f>
        <v>1</v>
      </c>
      <c r="P62" s="52">
        <f>IFERROR(__xludf.DUMMYFUNCTION("""COMPUTED_VALUE"""),1.10257157)</f>
        <v>1.10257157</v>
      </c>
    </row>
    <row r="63" hidden="1">
      <c r="A63" s="48" t="str">
        <f>IFERROR(__xludf.DUMMYFUNCTION("""COMPUTED_VALUE"""),"abril_Fabio C")</f>
        <v>abril_Fabio C</v>
      </c>
      <c r="B63" s="48">
        <f>IFERROR(__xludf.DUMMYFUNCTION("""COMPUTED_VALUE"""),2026.0)</f>
        <v>2026</v>
      </c>
      <c r="C63" s="49">
        <f>IFERROR(__xludf.DUMMYFUNCTION("""COMPUTED_VALUE"""),46138.0)</f>
        <v>46138</v>
      </c>
      <c r="D63" s="46">
        <f>IFERROR(__xludf.DUMMYFUNCTION("""COMPUTED_VALUE"""),16.0)</f>
        <v>16</v>
      </c>
      <c r="E63" s="46" t="str">
        <f>IFERROR(__xludf.DUMMYFUNCTION("""COMPUTED_VALUE"""),"Fabio C")</f>
        <v>Fabio C</v>
      </c>
      <c r="F63" s="46" t="str">
        <f>IFERROR(__xludf.DUMMYFUNCTION("""COMPUTED_VALUE"""),"Turtle Power!")</f>
        <v>Turtle Power!</v>
      </c>
      <c r="G63" s="46">
        <f>IFERROR(__xludf.DUMMYFUNCTION("""COMPUTED_VALUE"""),2.0)</f>
        <v>2</v>
      </c>
      <c r="H63" s="46">
        <f>IFERROR(__xludf.DUMMYFUNCTION("""COMPUTED_VALUE"""),4.0)</f>
        <v>4</v>
      </c>
      <c r="I63" s="50">
        <f>IFERROR(__xludf.DUMMYFUNCTION("""COMPUTED_VALUE"""),3.57)</f>
        <v>3.57</v>
      </c>
      <c r="J63" s="50">
        <f>IFERROR(__xludf.DUMMYFUNCTION("""COMPUTED_VALUE"""),4.86)</f>
        <v>4.86</v>
      </c>
      <c r="K63" s="51">
        <f>IFERROR(__xludf.DUMMYFUNCTION("""COMPUTED_VALUE"""),0.04357486)</f>
        <v>0.04357486</v>
      </c>
      <c r="L63" s="46">
        <f>IFERROR(__xludf.DUMMYFUNCTION("""COMPUTED_VALUE"""),0.0)</f>
        <v>0</v>
      </c>
      <c r="M63" s="46">
        <f>IFERROR(__xludf.DUMMYFUNCTION("""COMPUTED_VALUE"""),2.0)</f>
        <v>2</v>
      </c>
      <c r="N63" s="46">
        <f>IFERROR(__xludf.DUMMYFUNCTION("""COMPUTED_VALUE"""),1.0)</f>
        <v>1</v>
      </c>
      <c r="O63" s="48">
        <f>IFERROR(__xludf.DUMMYFUNCTION("""COMPUTED_VALUE"""),1.0)</f>
        <v>1</v>
      </c>
      <c r="P63" s="52">
        <f>IFERROR(__xludf.DUMMYFUNCTION("""COMPUTED_VALUE"""),1.04357486)</f>
        <v>1.04357486</v>
      </c>
    </row>
    <row r="64" hidden="1">
      <c r="A64" s="48" t="str">
        <f>IFERROR(__xludf.DUMMYFUNCTION("""COMPUTED_VALUE"""),"abril_Campera")</f>
        <v>abril_Campera</v>
      </c>
      <c r="B64" s="48">
        <f>IFERROR(__xludf.DUMMYFUNCTION("""COMPUTED_VALUE"""),2026.0)</f>
        <v>2026</v>
      </c>
      <c r="C64" s="49">
        <f>IFERROR(__xludf.DUMMYFUNCTION("""COMPUTED_VALUE"""),46138.0)</f>
        <v>46138</v>
      </c>
      <c r="D64" s="46">
        <f>IFERROR(__xludf.DUMMYFUNCTION("""COMPUTED_VALUE"""),17.0)</f>
        <v>17</v>
      </c>
      <c r="E64" s="46" t="str">
        <f>IFERROR(__xludf.DUMMYFUNCTION("""COMPUTED_VALUE"""),"Campera")</f>
        <v>Campera</v>
      </c>
      <c r="F64" s="46" t="str">
        <f>IFERROR(__xludf.DUMMYFUNCTION("""COMPUTED_VALUE"""),"Jeskai Striker")</f>
        <v>Jeskai Striker</v>
      </c>
      <c r="G64" s="46">
        <f>IFERROR(__xludf.DUMMYFUNCTION("""COMPUTED_VALUE"""),2.0)</f>
        <v>2</v>
      </c>
      <c r="H64" s="46">
        <f>IFERROR(__xludf.DUMMYFUNCTION("""COMPUTED_VALUE"""),4.0)</f>
        <v>4</v>
      </c>
      <c r="I64" s="50">
        <f>IFERROR(__xludf.DUMMYFUNCTION("""COMPUTED_VALUE"""),3.57)</f>
        <v>3.57</v>
      </c>
      <c r="J64" s="50">
        <f>IFERROR(__xludf.DUMMYFUNCTION("""COMPUTED_VALUE"""),4.0)</f>
        <v>4</v>
      </c>
      <c r="K64" s="51">
        <f>IFERROR(__xludf.DUMMYFUNCTION("""COMPUTED_VALUE"""),0.043573999999999995)</f>
        <v>0.043574</v>
      </c>
      <c r="L64" s="46">
        <f>IFERROR(__xludf.DUMMYFUNCTION("""COMPUTED_VALUE"""),0.0)</f>
        <v>0</v>
      </c>
      <c r="M64" s="46">
        <f>IFERROR(__xludf.DUMMYFUNCTION("""COMPUTED_VALUE"""),2.0)</f>
        <v>2</v>
      </c>
      <c r="N64" s="46">
        <f>IFERROR(__xludf.DUMMYFUNCTION("""COMPUTED_VALUE"""),1.0)</f>
        <v>1</v>
      </c>
      <c r="O64" s="48">
        <f>IFERROR(__xludf.DUMMYFUNCTION("""COMPUTED_VALUE"""),1.0)</f>
        <v>1</v>
      </c>
      <c r="P64" s="52">
        <f>IFERROR(__xludf.DUMMYFUNCTION("""COMPUTED_VALUE"""),1.043574)</f>
        <v>1.043574</v>
      </c>
    </row>
    <row r="65" hidden="1">
      <c r="A65" s="48" t="str">
        <f>IFERROR(__xludf.DUMMYFUNCTION("""COMPUTED_VALUE"""),"abril_FlorCarnivora")</f>
        <v>abril_FlorCarnivora</v>
      </c>
      <c r="B65" s="48">
        <f>IFERROR(__xludf.DUMMYFUNCTION("""COMPUTED_VALUE"""),2026.0)</f>
        <v>2026</v>
      </c>
      <c r="C65" s="49">
        <f>IFERROR(__xludf.DUMMYFUNCTION("""COMPUTED_VALUE"""),46138.0)</f>
        <v>46138</v>
      </c>
      <c r="D65" s="46">
        <f>IFERROR(__xludf.DUMMYFUNCTION("""COMPUTED_VALUE"""),18.0)</f>
        <v>18</v>
      </c>
      <c r="E65" s="46" t="str">
        <f>IFERROR(__xludf.DUMMYFUNCTION("""COMPUTED_VALUE"""),"FlorCarnivora")</f>
        <v>FlorCarnivora</v>
      </c>
      <c r="F65" s="46" t="str">
        <f>IFERROR(__xludf.DUMMYFUNCTION("""COMPUTED_VALUE"""),"Prismari Performance")</f>
        <v>Prismari Performance</v>
      </c>
      <c r="G65" s="46">
        <f>IFERROR(__xludf.DUMMYFUNCTION("""COMPUTED_VALUE"""),2.0)</f>
        <v>2</v>
      </c>
      <c r="H65" s="46">
        <f>IFERROR(__xludf.DUMMYFUNCTION("""COMPUTED_VALUE"""),4.0)</f>
        <v>4</v>
      </c>
      <c r="I65" s="50">
        <f>IFERROR(__xludf.DUMMYFUNCTION("""COMPUTED_VALUE"""),3.0)</f>
        <v>3</v>
      </c>
      <c r="J65" s="50">
        <f>IFERROR(__xludf.DUMMYFUNCTION("""COMPUTED_VALUE"""),4.29)</f>
        <v>4.29</v>
      </c>
      <c r="K65" s="51">
        <f>IFERROR(__xludf.DUMMYFUNCTION("""COMPUTED_VALUE"""),0.04300429)</f>
        <v>0.04300429</v>
      </c>
      <c r="L65" s="46">
        <f>IFERROR(__xludf.DUMMYFUNCTION("""COMPUTED_VALUE"""),0.0)</f>
        <v>0</v>
      </c>
      <c r="M65" s="46">
        <f>IFERROR(__xludf.DUMMYFUNCTION("""COMPUTED_VALUE"""),2.0)</f>
        <v>2</v>
      </c>
      <c r="N65" s="46">
        <f>IFERROR(__xludf.DUMMYFUNCTION("""COMPUTED_VALUE"""),1.0)</f>
        <v>1</v>
      </c>
      <c r="O65" s="48">
        <f>IFERROR(__xludf.DUMMYFUNCTION("""COMPUTED_VALUE"""),1.0)</f>
        <v>1</v>
      </c>
      <c r="P65" s="52">
        <f>IFERROR(__xludf.DUMMYFUNCTION("""COMPUTED_VALUE"""),1.04300429)</f>
        <v>1.04300429</v>
      </c>
    </row>
    <row r="66" hidden="1">
      <c r="A66" s="48" t="str">
        <f>IFERROR(__xludf.DUMMYFUNCTION("""COMPUTED_VALUE"""),"abril_Erickpd")</f>
        <v>abril_Erickpd</v>
      </c>
      <c r="B66" s="48">
        <f>IFERROR(__xludf.DUMMYFUNCTION("""COMPUTED_VALUE"""),2026.0)</f>
        <v>2026</v>
      </c>
      <c r="C66" s="49">
        <f>IFERROR(__xludf.DUMMYFUNCTION("""COMPUTED_VALUE"""),46138.0)</f>
        <v>46138</v>
      </c>
      <c r="D66" s="46">
        <f>IFERROR(__xludf.DUMMYFUNCTION("""COMPUTED_VALUE"""),19.0)</f>
        <v>19</v>
      </c>
      <c r="E66" s="46" t="str">
        <f>IFERROR(__xludf.DUMMYFUNCTION("""COMPUTED_VALUE"""),"Erickpd")</f>
        <v>Erickpd</v>
      </c>
      <c r="F66" s="46" t="str">
        <f>IFERROR(__xludf.DUMMYFUNCTION("""COMPUTED_VALUE"""),"Limit Break")</f>
        <v>Limit Break</v>
      </c>
      <c r="G66" s="46">
        <f>IFERROR(__xludf.DUMMYFUNCTION("""COMPUTED_VALUE"""),1.0)</f>
        <v>1</v>
      </c>
      <c r="H66" s="46">
        <f>IFERROR(__xludf.DUMMYFUNCTION("""COMPUTED_VALUE"""),2.0)</f>
        <v>2</v>
      </c>
      <c r="I66" s="50">
        <f>IFERROR(__xludf.DUMMYFUNCTION("""COMPUTED_VALUE"""),3.67)</f>
        <v>3.67</v>
      </c>
      <c r="J66" s="50">
        <f>IFERROR(__xludf.DUMMYFUNCTION("""COMPUTED_VALUE"""),3.33)</f>
        <v>3.33</v>
      </c>
      <c r="K66" s="51">
        <f>IFERROR(__xludf.DUMMYFUNCTION("""COMPUTED_VALUE"""),0.02367333)</f>
        <v>0.02367333</v>
      </c>
      <c r="L66" s="46">
        <f>IFERROR(__xludf.DUMMYFUNCTION("""COMPUTED_VALUE"""),0.0)</f>
        <v>0</v>
      </c>
      <c r="M66" s="46">
        <f>IFERROR(__xludf.DUMMYFUNCTION("""COMPUTED_VALUE"""),1.0)</f>
        <v>1</v>
      </c>
      <c r="N66" s="46">
        <f>IFERROR(__xludf.DUMMYFUNCTION("""COMPUTED_VALUE"""),1.0)</f>
        <v>1</v>
      </c>
      <c r="O66" s="48">
        <f>IFERROR(__xludf.DUMMYFUNCTION("""COMPUTED_VALUE"""),1.0)</f>
        <v>1</v>
      </c>
      <c r="P66" s="52">
        <f>IFERROR(__xludf.DUMMYFUNCTION("""COMPUTED_VALUE"""),1.02367333)</f>
        <v>1.02367333</v>
      </c>
    </row>
    <row r="67" hidden="1">
      <c r="A67" s="48" t="str">
        <f>IFERROR(__xludf.DUMMYFUNCTION("""COMPUTED_VALUE"""),"abril_Bernardo hs")</f>
        <v>abril_Bernardo hs</v>
      </c>
      <c r="B67" s="48">
        <f>IFERROR(__xludf.DUMMYFUNCTION("""COMPUTED_VALUE"""),2026.0)</f>
        <v>2026</v>
      </c>
      <c r="C67" s="49">
        <f>IFERROR(__xludf.DUMMYFUNCTION("""COMPUTED_VALUE"""),46138.0)</f>
        <v>46138</v>
      </c>
      <c r="D67" s="46">
        <f>IFERROR(__xludf.DUMMYFUNCTION("""COMPUTED_VALUE"""),20.0)</f>
        <v>20</v>
      </c>
      <c r="E67" s="46" t="str">
        <f>IFERROR(__xludf.DUMMYFUNCTION("""COMPUTED_VALUE"""),"Bernardo hs")</f>
        <v>Bernardo hs</v>
      </c>
      <c r="F67" s="46" t="str">
        <f>IFERROR(__xludf.DUMMYFUNCTION("""COMPUTED_VALUE"""),"The Hosts of Mordor")</f>
        <v>The Hosts of Mordor</v>
      </c>
      <c r="G67" s="46">
        <f>IFERROR(__xludf.DUMMYFUNCTION("""COMPUTED_VALUE"""),1.0)</f>
        <v>1</v>
      </c>
      <c r="H67" s="46">
        <f>IFERROR(__xludf.DUMMYFUNCTION("""COMPUTED_VALUE"""),2.0)</f>
        <v>2</v>
      </c>
      <c r="I67" s="50">
        <f>IFERROR(__xludf.DUMMYFUNCTION("""COMPUTED_VALUE"""),3.63)</f>
        <v>3.63</v>
      </c>
      <c r="J67" s="50">
        <f>IFERROR(__xludf.DUMMYFUNCTION("""COMPUTED_VALUE"""),2.75)</f>
        <v>2.75</v>
      </c>
      <c r="K67" s="51">
        <f>IFERROR(__xludf.DUMMYFUNCTION("""COMPUTED_VALUE"""),0.02363275)</f>
        <v>0.02363275</v>
      </c>
      <c r="L67" s="46">
        <f>IFERROR(__xludf.DUMMYFUNCTION("""COMPUTED_VALUE"""),0.0)</f>
        <v>0</v>
      </c>
      <c r="M67" s="46">
        <f>IFERROR(__xludf.DUMMYFUNCTION("""COMPUTED_VALUE"""),1.0)</f>
        <v>1</v>
      </c>
      <c r="N67" s="46">
        <f>IFERROR(__xludf.DUMMYFUNCTION("""COMPUTED_VALUE"""),2.0)</f>
        <v>2</v>
      </c>
      <c r="O67" s="48">
        <f>IFERROR(__xludf.DUMMYFUNCTION("""COMPUTED_VALUE"""),1.0)</f>
        <v>1</v>
      </c>
      <c r="P67" s="52">
        <f>IFERROR(__xludf.DUMMYFUNCTION("""COMPUTED_VALUE"""),1.02363275)</f>
        <v>1.02363275</v>
      </c>
    </row>
    <row r="68" hidden="1">
      <c r="A68" s="48" t="str">
        <f>IFERROR(__xludf.DUMMYFUNCTION("""COMPUTED_VALUE"""),"abril_caiobmbh")</f>
        <v>abril_caiobmbh</v>
      </c>
      <c r="B68" s="48">
        <f>IFERROR(__xludf.DUMMYFUNCTION("""COMPUTED_VALUE"""),2026.0)</f>
        <v>2026</v>
      </c>
      <c r="C68" s="49">
        <f>IFERROR(__xludf.DUMMYFUNCTION("""COMPUTED_VALUE"""),46138.0)</f>
        <v>46138</v>
      </c>
      <c r="D68" s="46">
        <f>IFERROR(__xludf.DUMMYFUNCTION("""COMPUTED_VALUE"""),21.0)</f>
        <v>21</v>
      </c>
      <c r="E68" s="46" t="str">
        <f>IFERROR(__xludf.DUMMYFUNCTION("""COMPUTED_VALUE"""),"caiobmbh")</f>
        <v>caiobmbh</v>
      </c>
      <c r="F68" s="46" t="str">
        <f>IFERROR(__xludf.DUMMYFUNCTION("""COMPUTED_VALUE"""),"Creative Energy")</f>
        <v>Creative Energy</v>
      </c>
      <c r="G68" s="46">
        <f>IFERROR(__xludf.DUMMYFUNCTION("""COMPUTED_VALUE"""),1.0)</f>
        <v>1</v>
      </c>
      <c r="H68" s="46">
        <f>IFERROR(__xludf.DUMMYFUNCTION("""COMPUTED_VALUE"""),2.0)</f>
        <v>2</v>
      </c>
      <c r="I68" s="50">
        <f>IFERROR(__xludf.DUMMYFUNCTION("""COMPUTED_VALUE"""),2.38)</f>
        <v>2.38</v>
      </c>
      <c r="J68" s="50">
        <f>IFERROR(__xludf.DUMMYFUNCTION("""COMPUTED_VALUE"""),2.25)</f>
        <v>2.25</v>
      </c>
      <c r="K68" s="51">
        <f>IFERROR(__xludf.DUMMYFUNCTION("""COMPUTED_VALUE"""),0.02238225)</f>
        <v>0.02238225</v>
      </c>
      <c r="L68" s="46">
        <f>IFERROR(__xludf.DUMMYFUNCTION("""COMPUTED_VALUE"""),0.0)</f>
        <v>0</v>
      </c>
      <c r="M68" s="46">
        <f>IFERROR(__xludf.DUMMYFUNCTION("""COMPUTED_VALUE"""),1.0)</f>
        <v>1</v>
      </c>
      <c r="N68" s="46">
        <f>IFERROR(__xludf.DUMMYFUNCTION("""COMPUTED_VALUE"""),2.0)</f>
        <v>2</v>
      </c>
      <c r="O68" s="48">
        <f>IFERROR(__xludf.DUMMYFUNCTION("""COMPUTED_VALUE"""),1.0)</f>
        <v>1</v>
      </c>
      <c r="P68" s="52">
        <f>IFERROR(__xludf.DUMMYFUNCTION("""COMPUTED_VALUE"""),1.02238225)</f>
        <v>1.02238225</v>
      </c>
    </row>
    <row r="69" hidden="1">
      <c r="A69" s="48" t="str">
        <f>IFERROR(__xludf.DUMMYFUNCTION("""COMPUTED_VALUE"""),"abril_Bife")</f>
        <v>abril_Bife</v>
      </c>
      <c r="B69" s="48">
        <f>IFERROR(__xludf.DUMMYFUNCTION("""COMPUTED_VALUE"""),2026.0)</f>
        <v>2026</v>
      </c>
      <c r="C69" s="49">
        <f>IFERROR(__xludf.DUMMYFUNCTION("""COMPUTED_VALUE"""),46138.0)</f>
        <v>46138</v>
      </c>
      <c r="D69" s="46">
        <f>IFERROR(__xludf.DUMMYFUNCTION("""COMPUTED_VALUE"""),22.0)</f>
        <v>22</v>
      </c>
      <c r="E69" s="46" t="str">
        <f>IFERROR(__xludf.DUMMYFUNCTION("""COMPUTED_VALUE"""),"Bife")</f>
        <v>Bife</v>
      </c>
      <c r="F69" s="46" t="str">
        <f>IFERROR(__xludf.DUMMYFUNCTION("""COMPUTED_VALUE"""),"Endless Punishment")</f>
        <v>Endless Punishment</v>
      </c>
      <c r="G69" s="46">
        <f>IFERROR(__xludf.DUMMYFUNCTION("""COMPUTED_VALUE"""),0.0)</f>
        <v>0</v>
      </c>
      <c r="H69" s="46">
        <f>IFERROR(__xludf.DUMMYFUNCTION("""COMPUTED_VALUE"""),0.0)</f>
        <v>0</v>
      </c>
      <c r="I69" s="50">
        <f>IFERROR(__xludf.DUMMYFUNCTION("""COMPUTED_VALUE"""),3.0)</f>
        <v>3</v>
      </c>
      <c r="J69" s="50">
        <f>IFERROR(__xludf.DUMMYFUNCTION("""COMPUTED_VALUE"""),2.0)</f>
        <v>2</v>
      </c>
      <c r="K69" s="51">
        <f>IFERROR(__xludf.DUMMYFUNCTION("""COMPUTED_VALUE"""),0.003002)</f>
        <v>0.003002</v>
      </c>
      <c r="L69" s="46">
        <f>IFERROR(__xludf.DUMMYFUNCTION("""COMPUTED_VALUE"""),0.0)</f>
        <v>0</v>
      </c>
      <c r="M69" s="46">
        <f>IFERROR(__xludf.DUMMYFUNCTION("""COMPUTED_VALUE"""),0.0)</f>
        <v>0</v>
      </c>
      <c r="N69" s="46">
        <f>IFERROR(__xludf.DUMMYFUNCTION("""COMPUTED_VALUE"""),3.0)</f>
        <v>3</v>
      </c>
      <c r="O69" s="48">
        <f>IFERROR(__xludf.DUMMYFUNCTION("""COMPUTED_VALUE"""),1.0)</f>
        <v>1</v>
      </c>
      <c r="P69" s="52">
        <f>IFERROR(__xludf.DUMMYFUNCTION("""COMPUTED_VALUE"""),1.003002)</f>
        <v>1.003002</v>
      </c>
    </row>
    <row r="70" hidden="1">
      <c r="A70" s="48" t="str">
        <f>IFERROR(__xludf.DUMMYFUNCTION("""COMPUTED_VALUE"""),"abril_Flegons")</f>
        <v>abril_Flegons</v>
      </c>
      <c r="B70" s="48">
        <f>IFERROR(__xludf.DUMMYFUNCTION("""COMPUTED_VALUE"""),2026.0)</f>
        <v>2026</v>
      </c>
      <c r="C70" s="49">
        <f>IFERROR(__xludf.DUMMYFUNCTION("""COMPUTED_VALUE"""),46138.0)</f>
        <v>46138</v>
      </c>
      <c r="D70" s="46">
        <f>IFERROR(__xludf.DUMMYFUNCTION("""COMPUTED_VALUE"""),23.0)</f>
        <v>23</v>
      </c>
      <c r="E70" s="46" t="str">
        <f>IFERROR(__xludf.DUMMYFUNCTION("""COMPUTED_VALUE"""),"Flegons")</f>
        <v>Flegons</v>
      </c>
      <c r="F70" s="46" t="str">
        <f>IFERROR(__xludf.DUMMYFUNCTION("""COMPUTED_VALUE"""),"Blood Rites")</f>
        <v>Blood Rites</v>
      </c>
      <c r="G70" s="46">
        <f>IFERROR(__xludf.DUMMYFUNCTION("""COMPUTED_VALUE"""),0.0)</f>
        <v>0</v>
      </c>
      <c r="H70" s="46">
        <f>IFERROR(__xludf.DUMMYFUNCTION("""COMPUTED_VALUE"""),0.0)</f>
        <v>0</v>
      </c>
      <c r="I70" s="50">
        <f>IFERROR(__xludf.DUMMYFUNCTION("""COMPUTED_VALUE"""),2.86)</f>
        <v>2.86</v>
      </c>
      <c r="J70" s="50">
        <f>IFERROR(__xludf.DUMMYFUNCTION("""COMPUTED_VALUE"""),1.57)</f>
        <v>1.57</v>
      </c>
      <c r="K70" s="51">
        <f>IFERROR(__xludf.DUMMYFUNCTION("""COMPUTED_VALUE"""),0.00286157)</f>
        <v>0.00286157</v>
      </c>
      <c r="L70" s="46">
        <f>IFERROR(__xludf.DUMMYFUNCTION("""COMPUTED_VALUE"""),0.0)</f>
        <v>0</v>
      </c>
      <c r="M70" s="46">
        <f>IFERROR(__xludf.DUMMYFUNCTION("""COMPUTED_VALUE"""),0.0)</f>
        <v>0</v>
      </c>
      <c r="N70" s="46">
        <f>IFERROR(__xludf.DUMMYFUNCTION("""COMPUTED_VALUE"""),3.0)</f>
        <v>3</v>
      </c>
      <c r="O70" s="48">
        <f>IFERROR(__xludf.DUMMYFUNCTION("""COMPUTED_VALUE"""),1.0)</f>
        <v>1</v>
      </c>
      <c r="P70" s="52">
        <f>IFERROR(__xludf.DUMMYFUNCTION("""COMPUTED_VALUE"""),1.00286157)</f>
        <v>1.00286157</v>
      </c>
    </row>
    <row r="71" hidden="1">
      <c r="A71" s="48" t="str">
        <f>IFERROR(__xludf.DUMMYFUNCTION("""COMPUTED_VALUE"""),"maio_Theus Tech")</f>
        <v>maio_Theus Tech</v>
      </c>
      <c r="B71" s="48">
        <f>IFERROR(__xludf.DUMMYFUNCTION("""COMPUTED_VALUE"""),2026.0)</f>
        <v>2026</v>
      </c>
      <c r="C71" s="49">
        <f>IFERROR(__xludf.DUMMYFUNCTION("""COMPUTED_VALUE"""),46158.0)</f>
        <v>46158</v>
      </c>
      <c r="D71" s="46">
        <f>IFERROR(__xludf.DUMMYFUNCTION("""COMPUTED_VALUE"""),1.0)</f>
        <v>1</v>
      </c>
      <c r="E71" s="46" t="str">
        <f>IFERROR(__xludf.DUMMYFUNCTION("""COMPUTED_VALUE"""),"Theus Tech")</f>
        <v>Theus Tech</v>
      </c>
      <c r="F71" s="46" t="str">
        <f>IFERROR(__xludf.DUMMYFUNCTION("""COMPUTED_VALUE"""),"Quandrix Unlimited")</f>
        <v>Quandrix Unlimited</v>
      </c>
      <c r="G71" s="46">
        <f>IFERROR(__xludf.DUMMYFUNCTION("""COMPUTED_VALUE"""),7.0)</f>
        <v>7</v>
      </c>
      <c r="H71" s="46">
        <f>IFERROR(__xludf.DUMMYFUNCTION("""COMPUTED_VALUE"""),6.0)</f>
        <v>6</v>
      </c>
      <c r="I71" s="50">
        <f>IFERROR(__xludf.DUMMYFUNCTION("""COMPUTED_VALUE"""),3.63)</f>
        <v>3.63</v>
      </c>
      <c r="J71" s="50">
        <f>IFERROR(__xludf.DUMMYFUNCTION("""COMPUTED_VALUE"""),1.88)</f>
        <v>1.88</v>
      </c>
      <c r="K71" s="51">
        <f>IFERROR(__xludf.DUMMYFUNCTION("""COMPUTED_VALUE"""),0.36363188)</f>
        <v>0.36363188</v>
      </c>
      <c r="L71" s="46">
        <f>IFERROR(__xludf.DUMMYFUNCTION("""COMPUTED_VALUE"""),3.0)</f>
        <v>3</v>
      </c>
      <c r="M71" s="46">
        <f>IFERROR(__xludf.DUMMYFUNCTION("""COMPUTED_VALUE"""),1.0)</f>
        <v>1</v>
      </c>
      <c r="N71" s="46">
        <f>IFERROR(__xludf.DUMMYFUNCTION("""COMPUTED_VALUE"""),0.0)</f>
        <v>0</v>
      </c>
      <c r="O71" s="48">
        <f>IFERROR(__xludf.DUMMYFUNCTION("""COMPUTED_VALUE"""),3.0)</f>
        <v>3</v>
      </c>
      <c r="P71" s="52">
        <f>IFERROR(__xludf.DUMMYFUNCTION("""COMPUTED_VALUE"""),3.36363188)</f>
        <v>3.36363188</v>
      </c>
    </row>
    <row r="72" hidden="1">
      <c r="A72" s="48" t="str">
        <f>IFERROR(__xludf.DUMMYFUNCTION("""COMPUTED_VALUE"""),"maio_Campera")</f>
        <v>maio_Campera</v>
      </c>
      <c r="B72" s="48">
        <f>IFERROR(__xludf.DUMMYFUNCTION("""COMPUTED_VALUE"""),2026.0)</f>
        <v>2026</v>
      </c>
      <c r="C72" s="49">
        <f>IFERROR(__xludf.DUMMYFUNCTION("""COMPUTED_VALUE"""),46158.0)</f>
        <v>46158</v>
      </c>
      <c r="D72" s="46">
        <f>IFERROR(__xludf.DUMMYFUNCTION("""COMPUTED_VALUE"""),2.0)</f>
        <v>2</v>
      </c>
      <c r="E72" s="46" t="str">
        <f>IFERROR(__xludf.DUMMYFUNCTION("""COMPUTED_VALUE"""),"Campera")</f>
        <v>Campera</v>
      </c>
      <c r="F72" s="46" t="str">
        <f>IFERROR(__xludf.DUMMYFUNCTION("""COMPUTED_VALUE"""),"Jeskai Striker")</f>
        <v>Jeskai Striker</v>
      </c>
      <c r="G72" s="46">
        <f>IFERROR(__xludf.DUMMYFUNCTION("""COMPUTED_VALUE"""),6.0)</f>
        <v>6</v>
      </c>
      <c r="H72" s="46">
        <f>IFERROR(__xludf.DUMMYFUNCTION("""COMPUTED_VALUE"""),4.0)</f>
        <v>4</v>
      </c>
      <c r="I72" s="50">
        <f>IFERROR(__xludf.DUMMYFUNCTION("""COMPUTED_VALUE"""),3.63)</f>
        <v>3.63</v>
      </c>
      <c r="J72" s="50">
        <f>IFERROR(__xludf.DUMMYFUNCTION("""COMPUTED_VALUE"""),2.25)</f>
        <v>2.25</v>
      </c>
      <c r="K72" s="51">
        <f>IFERROR(__xludf.DUMMYFUNCTION("""COMPUTED_VALUE"""),0.24363225000000002)</f>
        <v>0.24363225</v>
      </c>
      <c r="L72" s="46">
        <f>IFERROR(__xludf.DUMMYFUNCTION("""COMPUTED_VALUE"""),2.0)</f>
        <v>2</v>
      </c>
      <c r="M72" s="46">
        <f>IFERROR(__xludf.DUMMYFUNCTION("""COMPUTED_VALUE"""),0.0)</f>
        <v>0</v>
      </c>
      <c r="N72" s="46">
        <f>IFERROR(__xludf.DUMMYFUNCTION("""COMPUTED_VALUE"""),2.0)</f>
        <v>2</v>
      </c>
      <c r="O72" s="48">
        <f>IFERROR(__xludf.DUMMYFUNCTION("""COMPUTED_VALUE"""),2.0)</f>
        <v>2</v>
      </c>
      <c r="P72" s="52">
        <f>IFERROR(__xludf.DUMMYFUNCTION("""COMPUTED_VALUE"""),2.24363225)</f>
        <v>2.24363225</v>
      </c>
    </row>
    <row r="73" hidden="1">
      <c r="A73" s="48" t="str">
        <f>IFERROR(__xludf.DUMMYFUNCTION("""COMPUTED_VALUE"""),"maio_Henrique")</f>
        <v>maio_Henrique</v>
      </c>
      <c r="B73" s="48">
        <f>IFERROR(__xludf.DUMMYFUNCTION("""COMPUTED_VALUE"""),2026.0)</f>
        <v>2026</v>
      </c>
      <c r="C73" s="49">
        <f>IFERROR(__xludf.DUMMYFUNCTION("""COMPUTED_VALUE"""),46158.0)</f>
        <v>46158</v>
      </c>
      <c r="D73" s="46">
        <f>IFERROR(__xludf.DUMMYFUNCTION("""COMPUTED_VALUE"""),3.0)</f>
        <v>3</v>
      </c>
      <c r="E73" s="46" t="str">
        <f>IFERROR(__xludf.DUMMYFUNCTION("""COMPUTED_VALUE"""),"Henrique")</f>
        <v>Henrique</v>
      </c>
      <c r="F73" s="46" t="str">
        <f>IFERROR(__xludf.DUMMYFUNCTION("""COMPUTED_VALUE"""),"Riders of Rohan")</f>
        <v>Riders of Rohan</v>
      </c>
      <c r="G73" s="46">
        <f>IFERROR(__xludf.DUMMYFUNCTION("""COMPUTED_VALUE"""),6.0)</f>
        <v>6</v>
      </c>
      <c r="H73" s="46">
        <f>IFERROR(__xludf.DUMMYFUNCTION("""COMPUTED_VALUE"""),3.0)</f>
        <v>3</v>
      </c>
      <c r="I73" s="50">
        <f>IFERROR(__xludf.DUMMYFUNCTION("""COMPUTED_VALUE"""),2.63)</f>
        <v>2.63</v>
      </c>
      <c r="J73" s="50">
        <f>IFERROR(__xludf.DUMMYFUNCTION("""COMPUTED_VALUE"""),1.5)</f>
        <v>1.5</v>
      </c>
      <c r="K73" s="51">
        <f>IFERROR(__xludf.DUMMYFUNCTION("""COMPUTED_VALUE"""),0.2326315)</f>
        <v>0.2326315</v>
      </c>
      <c r="L73" s="46">
        <f>IFERROR(__xludf.DUMMYFUNCTION("""COMPUTED_VALUE"""),2.0)</f>
        <v>2</v>
      </c>
      <c r="M73" s="46">
        <f>IFERROR(__xludf.DUMMYFUNCTION("""COMPUTED_VALUE"""),0.0)</f>
        <v>0</v>
      </c>
      <c r="N73" s="46">
        <f>IFERROR(__xludf.DUMMYFUNCTION("""COMPUTED_VALUE"""),2.0)</f>
        <v>2</v>
      </c>
      <c r="O73" s="48">
        <f>IFERROR(__xludf.DUMMYFUNCTION("""COMPUTED_VALUE"""),2.0)</f>
        <v>2</v>
      </c>
      <c r="P73" s="52">
        <f>IFERROR(__xludf.DUMMYFUNCTION("""COMPUTED_VALUE"""),2.2326315)</f>
        <v>2.2326315</v>
      </c>
    </row>
    <row r="74">
      <c r="A74" s="48" t="str">
        <f>IFERROR(__xludf.DUMMYFUNCTION("""COMPUTED_VALUE"""),"maio_TendiNietzsche")</f>
        <v>maio_TendiNietzsche</v>
      </c>
      <c r="B74" s="48">
        <f>IFERROR(__xludf.DUMMYFUNCTION("""COMPUTED_VALUE"""),2026.0)</f>
        <v>2026</v>
      </c>
      <c r="C74" s="49">
        <f>IFERROR(__xludf.DUMMYFUNCTION("""COMPUTED_VALUE"""),46158.0)</f>
        <v>46158</v>
      </c>
      <c r="D74" s="46">
        <f>IFERROR(__xludf.DUMMYFUNCTION("""COMPUTED_VALUE"""),4.0)</f>
        <v>4</v>
      </c>
      <c r="E74" s="46" t="str">
        <f>IFERROR(__xludf.DUMMYFUNCTION("""COMPUTED_VALUE"""),"TendiNietzsche")</f>
        <v>TendiNietzsche</v>
      </c>
      <c r="F74" s="46" t="str">
        <f>IFERROR(__xludf.DUMMYFUNCTION("""COMPUTED_VALUE"""),"Deep Clue Sea")</f>
        <v>Deep Clue Sea</v>
      </c>
      <c r="G74" s="46">
        <f>IFERROR(__xludf.DUMMYFUNCTION("""COMPUTED_VALUE"""),4.0)</f>
        <v>4</v>
      </c>
      <c r="H74" s="46">
        <f>IFERROR(__xludf.DUMMYFUNCTION("""COMPUTED_VALUE"""),4.0)</f>
        <v>4</v>
      </c>
      <c r="I74" s="50">
        <f>IFERROR(__xludf.DUMMYFUNCTION("""COMPUTED_VALUE"""),3.14)</f>
        <v>3.14</v>
      </c>
      <c r="J74" s="50">
        <f>IFERROR(__xludf.DUMMYFUNCTION("""COMPUTED_VALUE"""),2.43)</f>
        <v>2.43</v>
      </c>
      <c r="K74" s="51">
        <f>IFERROR(__xludf.DUMMYFUNCTION("""COMPUTED_VALUE"""),0.14314243000000001)</f>
        <v>0.14314243</v>
      </c>
      <c r="L74" s="46">
        <f>IFERROR(__xludf.DUMMYFUNCTION("""COMPUTED_VALUE"""),1.0)</f>
        <v>1</v>
      </c>
      <c r="M74" s="46">
        <f>IFERROR(__xludf.DUMMYFUNCTION("""COMPUTED_VALUE"""),1.0)</f>
        <v>1</v>
      </c>
      <c r="N74" s="46">
        <f>IFERROR(__xludf.DUMMYFUNCTION("""COMPUTED_VALUE"""),2.0)</f>
        <v>2</v>
      </c>
      <c r="O74" s="48">
        <f>IFERROR(__xludf.DUMMYFUNCTION("""COMPUTED_VALUE"""),2.0)</f>
        <v>2</v>
      </c>
      <c r="P74" s="52">
        <f>IFERROR(__xludf.DUMMYFUNCTION("""COMPUTED_VALUE"""),2.14314243)</f>
        <v>2.14314243</v>
      </c>
    </row>
    <row r="75" hidden="1">
      <c r="A75" s="48" t="str">
        <f>IFERROR(__xludf.DUMMYFUNCTION("""COMPUTED_VALUE"""),"maio_Fabio C")</f>
        <v>maio_Fabio C</v>
      </c>
      <c r="B75" s="48">
        <f>IFERROR(__xludf.DUMMYFUNCTION("""COMPUTED_VALUE"""),2026.0)</f>
        <v>2026</v>
      </c>
      <c r="C75" s="49">
        <f>IFERROR(__xludf.DUMMYFUNCTION("""COMPUTED_VALUE"""),46158.0)</f>
        <v>46158</v>
      </c>
      <c r="D75" s="46">
        <f>IFERROR(__xludf.DUMMYFUNCTION("""COMPUTED_VALUE"""),5.0)</f>
        <v>5</v>
      </c>
      <c r="E75" s="46" t="str">
        <f>IFERROR(__xludf.DUMMYFUNCTION("""COMPUTED_VALUE"""),"Fabio C")</f>
        <v>Fabio C</v>
      </c>
      <c r="F75" s="46" t="str">
        <f>IFERROR(__xludf.DUMMYFUNCTION("""COMPUTED_VALUE"""),"The Ruinous Powers")</f>
        <v>The Ruinous Powers</v>
      </c>
      <c r="G75" s="46">
        <f>IFERROR(__xludf.DUMMYFUNCTION("""COMPUTED_VALUE"""),4.0)</f>
        <v>4</v>
      </c>
      <c r="H75" s="46">
        <f>IFERROR(__xludf.DUMMYFUNCTION("""COMPUTED_VALUE"""),2.0)</f>
        <v>2</v>
      </c>
      <c r="I75" s="50">
        <f>IFERROR(__xludf.DUMMYFUNCTION("""COMPUTED_VALUE"""),3.5)</f>
        <v>3.5</v>
      </c>
      <c r="J75" s="50">
        <f>IFERROR(__xludf.DUMMYFUNCTION("""COMPUTED_VALUE"""),2.13)</f>
        <v>2.13</v>
      </c>
      <c r="K75" s="51">
        <f>IFERROR(__xludf.DUMMYFUNCTION("""COMPUTED_VALUE"""),0.02350213)</f>
        <v>0.02350213</v>
      </c>
      <c r="L75" s="46">
        <f>IFERROR(__xludf.DUMMYFUNCTION("""COMPUTED_VALUE"""),0.0)</f>
        <v>0</v>
      </c>
      <c r="M75" s="46">
        <f>IFERROR(__xludf.DUMMYFUNCTION("""COMPUTED_VALUE"""),1.0)</f>
        <v>1</v>
      </c>
      <c r="N75" s="46">
        <f>IFERROR(__xludf.DUMMYFUNCTION("""COMPUTED_VALUE"""),1.0)</f>
        <v>1</v>
      </c>
      <c r="O75" s="48">
        <f>IFERROR(__xludf.DUMMYFUNCTION("""COMPUTED_VALUE"""),2.0)</f>
        <v>2</v>
      </c>
      <c r="P75" s="52">
        <f>IFERROR(__xludf.DUMMYFUNCTION("""COMPUTED_VALUE"""),2.02350213)</f>
        <v>2.02350213</v>
      </c>
    </row>
    <row r="76" hidden="1">
      <c r="A76" s="48" t="str">
        <f>IFERROR(__xludf.DUMMYFUNCTION("""COMPUTED_VALUE"""),"maio_caiobmbh")</f>
        <v>maio_caiobmbh</v>
      </c>
      <c r="B76" s="48">
        <f>IFERROR(__xludf.DUMMYFUNCTION("""COMPUTED_VALUE"""),2026.0)</f>
        <v>2026</v>
      </c>
      <c r="C76" s="49">
        <f>IFERROR(__xludf.DUMMYFUNCTION("""COMPUTED_VALUE"""),46158.0)</f>
        <v>46158</v>
      </c>
      <c r="D76" s="46">
        <f>IFERROR(__xludf.DUMMYFUNCTION("""COMPUTED_VALUE"""),6.0)</f>
        <v>6</v>
      </c>
      <c r="E76" s="46" t="str">
        <f>IFERROR(__xludf.DUMMYFUNCTION("""COMPUTED_VALUE"""),"caiobmbh")</f>
        <v>caiobmbh</v>
      </c>
      <c r="F76" s="46" t="str">
        <f>IFERROR(__xludf.DUMMYFUNCTION("""COMPUTED_VALUE"""),"Creative Energy")</f>
        <v>Creative Energy</v>
      </c>
      <c r="G76" s="46">
        <f>IFERROR(__xludf.DUMMYFUNCTION("""COMPUTED_VALUE"""),4.0)</f>
        <v>4</v>
      </c>
      <c r="H76" s="46">
        <f>IFERROR(__xludf.DUMMYFUNCTION("""COMPUTED_VALUE"""),0.0)</f>
        <v>0</v>
      </c>
      <c r="I76" s="50">
        <f>IFERROR(__xludf.DUMMYFUNCTION("""COMPUTED_VALUE"""),4.33)</f>
        <v>4.33</v>
      </c>
      <c r="J76" s="50">
        <f>IFERROR(__xludf.DUMMYFUNCTION("""COMPUTED_VALUE"""),1.5)</f>
        <v>1.5</v>
      </c>
      <c r="K76" s="51">
        <f>IFERROR(__xludf.DUMMYFUNCTION("""COMPUTED_VALUE"""),0.004331499999999999)</f>
        <v>0.0043315</v>
      </c>
      <c r="L76" s="46">
        <f>IFERROR(__xludf.DUMMYFUNCTION("""COMPUTED_VALUE"""),0.0)</f>
        <v>0</v>
      </c>
      <c r="M76" s="46">
        <f>IFERROR(__xludf.DUMMYFUNCTION("""COMPUTED_VALUE"""),1.0)</f>
        <v>1</v>
      </c>
      <c r="N76" s="46">
        <f>IFERROR(__xludf.DUMMYFUNCTION("""COMPUTED_VALUE"""),1.0)</f>
        <v>1</v>
      </c>
      <c r="O76" s="48">
        <f>IFERROR(__xludf.DUMMYFUNCTION("""COMPUTED_VALUE"""),2.0)</f>
        <v>2</v>
      </c>
      <c r="P76" s="52">
        <f>IFERROR(__xludf.DUMMYFUNCTION("""COMPUTED_VALUE"""),2.0043315)</f>
        <v>2.0043315</v>
      </c>
    </row>
    <row r="77" hidden="1">
      <c r="A77" s="48" t="str">
        <f>IFERROR(__xludf.DUMMYFUNCTION("""COMPUTED_VALUE"""),"maio_AndreVL")</f>
        <v>maio_AndreVL</v>
      </c>
      <c r="B77" s="48">
        <f>IFERROR(__xludf.DUMMYFUNCTION("""COMPUTED_VALUE"""),2026.0)</f>
        <v>2026</v>
      </c>
      <c r="C77" s="49">
        <f>IFERROR(__xludf.DUMMYFUNCTION("""COMPUTED_VALUE"""),46158.0)</f>
        <v>46158</v>
      </c>
      <c r="D77" s="46">
        <f>IFERROR(__xludf.DUMMYFUNCTION("""COMPUTED_VALUE"""),7.0)</f>
        <v>7</v>
      </c>
      <c r="E77" s="46" t="str">
        <f>IFERROR(__xludf.DUMMYFUNCTION("""COMPUTED_VALUE"""),"AndreVL")</f>
        <v>AndreVL</v>
      </c>
      <c r="F77" s="46" t="str">
        <f>IFERROR(__xludf.DUMMYFUNCTION("""COMPUTED_VALUE"""),"Buckle Up")</f>
        <v>Buckle Up</v>
      </c>
      <c r="G77" s="46">
        <f>IFERROR(__xludf.DUMMYFUNCTION("""COMPUTED_VALUE"""),4.0)</f>
        <v>4</v>
      </c>
      <c r="H77" s="46">
        <f>IFERROR(__xludf.DUMMYFUNCTION("""COMPUTED_VALUE"""),0.0)</f>
        <v>0</v>
      </c>
      <c r="I77" s="50">
        <f>IFERROR(__xludf.DUMMYFUNCTION("""COMPUTED_VALUE"""),3.17)</f>
        <v>3.17</v>
      </c>
      <c r="J77" s="50">
        <f>IFERROR(__xludf.DUMMYFUNCTION("""COMPUTED_VALUE"""),1.17)</f>
        <v>1.17</v>
      </c>
      <c r="K77" s="51">
        <f>IFERROR(__xludf.DUMMYFUNCTION("""COMPUTED_VALUE"""),0.00317117)</f>
        <v>0.00317117</v>
      </c>
      <c r="L77" s="46">
        <f>IFERROR(__xludf.DUMMYFUNCTION("""COMPUTED_VALUE"""),0.0)</f>
        <v>0</v>
      </c>
      <c r="M77" s="46">
        <f>IFERROR(__xludf.DUMMYFUNCTION("""COMPUTED_VALUE"""),1.0)</f>
        <v>1</v>
      </c>
      <c r="N77" s="46">
        <f>IFERROR(__xludf.DUMMYFUNCTION("""COMPUTED_VALUE"""),1.0)</f>
        <v>1</v>
      </c>
      <c r="O77" s="48">
        <f>IFERROR(__xludf.DUMMYFUNCTION("""COMPUTED_VALUE"""),2.0)</f>
        <v>2</v>
      </c>
      <c r="P77" s="52">
        <f>IFERROR(__xludf.DUMMYFUNCTION("""COMPUTED_VALUE"""),2.00317117)</f>
        <v>2.00317117</v>
      </c>
    </row>
    <row r="78" hidden="1">
      <c r="A78" s="48" t="str">
        <f>IFERROR(__xludf.DUMMYFUNCTION("""COMPUTED_VALUE"""),"maio_Eric Torres")</f>
        <v>maio_Eric Torres</v>
      </c>
      <c r="B78" s="48">
        <f>IFERROR(__xludf.DUMMYFUNCTION("""COMPUTED_VALUE"""),2026.0)</f>
        <v>2026</v>
      </c>
      <c r="C78" s="49">
        <f>IFERROR(__xludf.DUMMYFUNCTION("""COMPUTED_VALUE"""),46158.0)</f>
        <v>46158</v>
      </c>
      <c r="D78" s="46">
        <f>IFERROR(__xludf.DUMMYFUNCTION("""COMPUTED_VALUE"""),8.0)</f>
        <v>8</v>
      </c>
      <c r="E78" s="46" t="str">
        <f>IFERROR(__xludf.DUMMYFUNCTION("""COMPUTED_VALUE"""),"Eric Torres")</f>
        <v>Eric Torres</v>
      </c>
      <c r="F78" s="46" t="str">
        <f>IFERROR(__xludf.DUMMYFUNCTION("""COMPUTED_VALUE"""),"Riders of Rohan")</f>
        <v>Riders of Rohan</v>
      </c>
      <c r="G78" s="46">
        <f>IFERROR(__xludf.DUMMYFUNCTION("""COMPUTED_VALUE"""),4.0)</f>
        <v>4</v>
      </c>
      <c r="H78" s="46">
        <f>IFERROR(__xludf.DUMMYFUNCTION("""COMPUTED_VALUE"""),0.0)</f>
        <v>0</v>
      </c>
      <c r="I78" s="50">
        <f>IFERROR(__xludf.DUMMYFUNCTION("""COMPUTED_VALUE"""),2.67)</f>
        <v>2.67</v>
      </c>
      <c r="J78" s="50">
        <f>IFERROR(__xludf.DUMMYFUNCTION("""COMPUTED_VALUE"""),0.83)</f>
        <v>0.83</v>
      </c>
      <c r="K78" s="51">
        <f>IFERROR(__xludf.DUMMYFUNCTION("""COMPUTED_VALUE"""),0.00267083)</f>
        <v>0.00267083</v>
      </c>
      <c r="L78" s="46">
        <f>IFERROR(__xludf.DUMMYFUNCTION("""COMPUTED_VALUE"""),0.0)</f>
        <v>0</v>
      </c>
      <c r="M78" s="46">
        <f>IFERROR(__xludf.DUMMYFUNCTION("""COMPUTED_VALUE"""),1.0)</f>
        <v>1</v>
      </c>
      <c r="N78" s="46">
        <f>IFERROR(__xludf.DUMMYFUNCTION("""COMPUTED_VALUE"""),1.0)</f>
        <v>1</v>
      </c>
      <c r="O78" s="48">
        <f>IFERROR(__xludf.DUMMYFUNCTION("""COMPUTED_VALUE"""),2.0)</f>
        <v>2</v>
      </c>
      <c r="P78" s="52">
        <f>IFERROR(__xludf.DUMMYFUNCTION("""COMPUTED_VALUE"""),2.00267083)</f>
        <v>2.00267083</v>
      </c>
    </row>
    <row r="79" hidden="1">
      <c r="A79" s="48" t="str">
        <f>IFERROR(__xludf.DUMMYFUNCTION("""COMPUTED_VALUE"""),"maio_Gabriel P.")</f>
        <v>maio_Gabriel P.</v>
      </c>
      <c r="B79" s="48">
        <f>IFERROR(__xludf.DUMMYFUNCTION("""COMPUTED_VALUE"""),2026.0)</f>
        <v>2026</v>
      </c>
      <c r="C79" s="49">
        <f>IFERROR(__xludf.DUMMYFUNCTION("""COMPUTED_VALUE"""),46158.0)</f>
        <v>46158</v>
      </c>
      <c r="D79" s="46">
        <f>IFERROR(__xludf.DUMMYFUNCTION("""COMPUTED_VALUE"""),9.0)</f>
        <v>9</v>
      </c>
      <c r="E79" s="46" t="str">
        <f>IFERROR(__xludf.DUMMYFUNCTION("""COMPUTED_VALUE"""),"Gabriel P.")</f>
        <v>Gabriel P.</v>
      </c>
      <c r="F79" s="46" t="str">
        <f>IFERROR(__xludf.DUMMYFUNCTION("""COMPUTED_VALUE"""),"Quick Draw")</f>
        <v>Quick Draw</v>
      </c>
      <c r="G79" s="46">
        <f>IFERROR(__xludf.DUMMYFUNCTION("""COMPUTED_VALUE"""),3.0)</f>
        <v>3</v>
      </c>
      <c r="H79" s="46">
        <f>IFERROR(__xludf.DUMMYFUNCTION("""COMPUTED_VALUE"""),2.0)</f>
        <v>2</v>
      </c>
      <c r="I79" s="50">
        <f>IFERROR(__xludf.DUMMYFUNCTION("""COMPUTED_VALUE"""),4.0)</f>
        <v>4</v>
      </c>
      <c r="J79" s="50">
        <f>IFERROR(__xludf.DUMMYFUNCTION("""COMPUTED_VALUE"""),2.5)</f>
        <v>2.5</v>
      </c>
      <c r="K79" s="51">
        <f>IFERROR(__xludf.DUMMYFUNCTION("""COMPUTED_VALUE"""),0.12400250000000002)</f>
        <v>0.1240025</v>
      </c>
      <c r="L79" s="46">
        <f>IFERROR(__xludf.DUMMYFUNCTION("""COMPUTED_VALUE"""),1.0)</f>
        <v>1</v>
      </c>
      <c r="M79" s="46">
        <f>IFERROR(__xludf.DUMMYFUNCTION("""COMPUTED_VALUE"""),0.0)</f>
        <v>0</v>
      </c>
      <c r="N79" s="46">
        <f>IFERROR(__xludf.DUMMYFUNCTION("""COMPUTED_VALUE"""),2.0)</f>
        <v>2</v>
      </c>
      <c r="O79" s="48">
        <f>IFERROR(__xludf.DUMMYFUNCTION("""COMPUTED_VALUE"""),1.0)</f>
        <v>1</v>
      </c>
      <c r="P79" s="52">
        <f>IFERROR(__xludf.DUMMYFUNCTION("""COMPUTED_VALUE"""),1.1240025)</f>
        <v>1.1240025</v>
      </c>
    </row>
    <row r="80" hidden="1">
      <c r="A80" s="48" t="str">
        <f>IFERROR(__xludf.DUMMYFUNCTION("""COMPUTED_VALUE"""),"maio_Matheus h")</f>
        <v>maio_Matheus h</v>
      </c>
      <c r="B80" s="48">
        <f>IFERROR(__xludf.DUMMYFUNCTION("""COMPUTED_VALUE"""),2026.0)</f>
        <v>2026</v>
      </c>
      <c r="C80" s="49">
        <f>IFERROR(__xludf.DUMMYFUNCTION("""COMPUTED_VALUE"""),46158.0)</f>
        <v>46158</v>
      </c>
      <c r="D80" s="46">
        <f>IFERROR(__xludf.DUMMYFUNCTION("""COMPUTED_VALUE"""),10.0)</f>
        <v>10</v>
      </c>
      <c r="E80" s="46" t="str">
        <f>IFERROR(__xludf.DUMMYFUNCTION("""COMPUTED_VALUE"""),"Matheus h")</f>
        <v>Matheus h</v>
      </c>
      <c r="F80" s="46" t="str">
        <f>IFERROR(__xludf.DUMMYFUNCTION("""COMPUTED_VALUE"""),"Cabaretti Cacophony")</f>
        <v>Cabaretti Cacophony</v>
      </c>
      <c r="G80" s="46">
        <f>IFERROR(__xludf.DUMMYFUNCTION("""COMPUTED_VALUE"""),3.0)</f>
        <v>3</v>
      </c>
      <c r="H80" s="46">
        <f>IFERROR(__xludf.DUMMYFUNCTION("""COMPUTED_VALUE"""),1.0)</f>
        <v>1</v>
      </c>
      <c r="I80" s="50">
        <f>IFERROR(__xludf.DUMMYFUNCTION("""COMPUTED_VALUE"""),2.29)</f>
        <v>2.29</v>
      </c>
      <c r="J80" s="50">
        <f>IFERROR(__xludf.DUMMYFUNCTION("""COMPUTED_VALUE"""),0.71)</f>
        <v>0.71</v>
      </c>
      <c r="K80" s="51">
        <f>IFERROR(__xludf.DUMMYFUNCTION("""COMPUTED_VALUE"""),0.11229071)</f>
        <v>0.11229071</v>
      </c>
      <c r="L80" s="46">
        <f>IFERROR(__xludf.DUMMYFUNCTION("""COMPUTED_VALUE"""),1.0)</f>
        <v>1</v>
      </c>
      <c r="M80" s="46">
        <f>IFERROR(__xludf.DUMMYFUNCTION("""COMPUTED_VALUE"""),0.0)</f>
        <v>0</v>
      </c>
      <c r="N80" s="46">
        <f>IFERROR(__xludf.DUMMYFUNCTION("""COMPUTED_VALUE"""),2.0)</f>
        <v>2</v>
      </c>
      <c r="O80" s="48">
        <f>IFERROR(__xludf.DUMMYFUNCTION("""COMPUTED_VALUE"""),1.0)</f>
        <v>1</v>
      </c>
      <c r="P80" s="52">
        <f>IFERROR(__xludf.DUMMYFUNCTION("""COMPUTED_VALUE"""),1.11229071)</f>
        <v>1.11229071</v>
      </c>
    </row>
    <row r="81" hidden="1">
      <c r="A81" s="48" t="str">
        <f>IFERROR(__xludf.DUMMYFUNCTION("""COMPUTED_VALUE"""),"maio_França")</f>
        <v>maio_França</v>
      </c>
      <c r="B81" s="48">
        <f>IFERROR(__xludf.DUMMYFUNCTION("""COMPUTED_VALUE"""),2026.0)</f>
        <v>2026</v>
      </c>
      <c r="C81" s="49">
        <f>IFERROR(__xludf.DUMMYFUNCTION("""COMPUTED_VALUE"""),46158.0)</f>
        <v>46158</v>
      </c>
      <c r="D81" s="46">
        <f>IFERROR(__xludf.DUMMYFUNCTION("""COMPUTED_VALUE"""),11.0)</f>
        <v>11</v>
      </c>
      <c r="E81" s="46" t="str">
        <f>IFERROR(__xludf.DUMMYFUNCTION("""COMPUTED_VALUE"""),"França")</f>
        <v>França</v>
      </c>
      <c r="F81" s="46" t="str">
        <f>IFERROR(__xludf.DUMMYFUNCTION("""COMPUTED_VALUE"""),"Witherbloom Pestilence")</f>
        <v>Witherbloom Pestilence</v>
      </c>
      <c r="G81" s="46">
        <f>IFERROR(__xludf.DUMMYFUNCTION("""COMPUTED_VALUE"""),3.0)</f>
        <v>3</v>
      </c>
      <c r="H81" s="46">
        <f>IFERROR(__xludf.DUMMYFUNCTION("""COMPUTED_VALUE"""),0.0)</f>
        <v>0</v>
      </c>
      <c r="I81" s="50">
        <f>IFERROR(__xludf.DUMMYFUNCTION("""COMPUTED_VALUE"""),4.67)</f>
        <v>4.67</v>
      </c>
      <c r="J81" s="50">
        <f>IFERROR(__xludf.DUMMYFUNCTION("""COMPUTED_VALUE"""),2.0)</f>
        <v>2</v>
      </c>
      <c r="K81" s="51">
        <f>IFERROR(__xludf.DUMMYFUNCTION("""COMPUTED_VALUE"""),0.004672)</f>
        <v>0.004672</v>
      </c>
      <c r="L81" s="46">
        <f>IFERROR(__xludf.DUMMYFUNCTION("""COMPUTED_VALUE"""),0.0)</f>
        <v>0</v>
      </c>
      <c r="M81" s="46">
        <f>IFERROR(__xludf.DUMMYFUNCTION("""COMPUTED_VALUE"""),0.0)</f>
        <v>0</v>
      </c>
      <c r="N81" s="46">
        <f>IFERROR(__xludf.DUMMYFUNCTION("""COMPUTED_VALUE"""),2.0)</f>
        <v>2</v>
      </c>
      <c r="O81" s="48">
        <f>IFERROR(__xludf.DUMMYFUNCTION("""COMPUTED_VALUE"""),1.0)</f>
        <v>1</v>
      </c>
      <c r="P81" s="52">
        <f>IFERROR(__xludf.DUMMYFUNCTION("""COMPUTED_VALUE"""),1.004672)</f>
        <v>1.004672</v>
      </c>
    </row>
    <row r="82" hidden="1">
      <c r="A82" s="48" t="str">
        <f>IFERROR(__xludf.DUMMYFUNCTION("""COMPUTED_VALUE"""),"maio_Lanna")</f>
        <v>maio_Lanna</v>
      </c>
      <c r="B82" s="48">
        <f>IFERROR(__xludf.DUMMYFUNCTION("""COMPUTED_VALUE"""),2026.0)</f>
        <v>2026</v>
      </c>
      <c r="C82" s="49">
        <f>IFERROR(__xludf.DUMMYFUNCTION("""COMPUTED_VALUE"""),46158.0)</f>
        <v>46158</v>
      </c>
      <c r="D82" s="46">
        <f>IFERROR(__xludf.DUMMYFUNCTION("""COMPUTED_VALUE"""),12.0)</f>
        <v>12</v>
      </c>
      <c r="E82" s="46" t="str">
        <f>IFERROR(__xludf.DUMMYFUNCTION("""COMPUTED_VALUE"""),"Lanna")</f>
        <v>Lanna</v>
      </c>
      <c r="F82" s="46" t="str">
        <f>IFERROR(__xludf.DUMMYFUNCTION("""COMPUTED_VALUE"""),"Quandrix Unlimited")</f>
        <v>Quandrix Unlimited</v>
      </c>
      <c r="G82" s="46">
        <f>IFERROR(__xludf.DUMMYFUNCTION("""COMPUTED_VALUE"""),3.0)</f>
        <v>3</v>
      </c>
      <c r="H82" s="46">
        <f>IFERROR(__xludf.DUMMYFUNCTION("""COMPUTED_VALUE"""),0.0)</f>
        <v>0</v>
      </c>
      <c r="I82" s="50">
        <f>IFERROR(__xludf.DUMMYFUNCTION("""COMPUTED_VALUE"""),4.5)</f>
        <v>4.5</v>
      </c>
      <c r="J82" s="50">
        <f>IFERROR(__xludf.DUMMYFUNCTION("""COMPUTED_VALUE"""),2.0)</f>
        <v>2</v>
      </c>
      <c r="K82" s="51">
        <f>IFERROR(__xludf.DUMMYFUNCTION("""COMPUTED_VALUE"""),0.004502)</f>
        <v>0.004502</v>
      </c>
      <c r="L82" s="46">
        <f>IFERROR(__xludf.DUMMYFUNCTION("""COMPUTED_VALUE"""),0.0)</f>
        <v>0</v>
      </c>
      <c r="M82" s="46">
        <f>IFERROR(__xludf.DUMMYFUNCTION("""COMPUTED_VALUE"""),0.0)</f>
        <v>0</v>
      </c>
      <c r="N82" s="46">
        <f>IFERROR(__xludf.DUMMYFUNCTION("""COMPUTED_VALUE"""),2.0)</f>
        <v>2</v>
      </c>
      <c r="O82" s="48">
        <f>IFERROR(__xludf.DUMMYFUNCTION("""COMPUTED_VALUE"""),1.0)</f>
        <v>1</v>
      </c>
      <c r="P82" s="52">
        <f>IFERROR(__xludf.DUMMYFUNCTION("""COMPUTED_VALUE"""),1.004502)</f>
        <v>1.004502</v>
      </c>
    </row>
    <row r="83" hidden="1">
      <c r="A83" s="48" t="str">
        <f>IFERROR(__xludf.DUMMYFUNCTION("""COMPUTED_VALUE"""),"maio_Optimus")</f>
        <v>maio_Optimus</v>
      </c>
      <c r="B83" s="48">
        <f>IFERROR(__xludf.DUMMYFUNCTION("""COMPUTED_VALUE"""),2026.0)</f>
        <v>2026</v>
      </c>
      <c r="C83" s="49">
        <f>IFERROR(__xludf.DUMMYFUNCTION("""COMPUTED_VALUE"""),46158.0)</f>
        <v>46158</v>
      </c>
      <c r="D83" s="46">
        <f>IFERROR(__xludf.DUMMYFUNCTION("""COMPUTED_VALUE"""),13.0)</f>
        <v>13</v>
      </c>
      <c r="E83" s="46" t="str">
        <f>IFERROR(__xludf.DUMMYFUNCTION("""COMPUTED_VALUE"""),"Optimus")</f>
        <v>Optimus</v>
      </c>
      <c r="F83" s="46" t="str">
        <f>IFERROR(__xludf.DUMMYFUNCTION("""COMPUTED_VALUE"""),"Silverquill Influence")</f>
        <v>Silverquill Influence</v>
      </c>
      <c r="G83" s="46">
        <f>IFERROR(__xludf.DUMMYFUNCTION("""COMPUTED_VALUE"""),3.0)</f>
        <v>3</v>
      </c>
      <c r="H83" s="46">
        <f>IFERROR(__xludf.DUMMYFUNCTION("""COMPUTED_VALUE"""),0.0)</f>
        <v>0</v>
      </c>
      <c r="I83" s="50">
        <f>IFERROR(__xludf.DUMMYFUNCTION("""COMPUTED_VALUE"""),3.0)</f>
        <v>3</v>
      </c>
      <c r="J83" s="50">
        <f>IFERROR(__xludf.DUMMYFUNCTION("""COMPUTED_VALUE"""),1.33)</f>
        <v>1.33</v>
      </c>
      <c r="K83" s="51">
        <f>IFERROR(__xludf.DUMMYFUNCTION("""COMPUTED_VALUE"""),0.00300133)</f>
        <v>0.00300133</v>
      </c>
      <c r="L83" s="46">
        <f>IFERROR(__xludf.DUMMYFUNCTION("""COMPUTED_VALUE"""),0.0)</f>
        <v>0</v>
      </c>
      <c r="M83" s="46">
        <f>IFERROR(__xludf.DUMMYFUNCTION("""COMPUTED_VALUE"""),0.0)</f>
        <v>0</v>
      </c>
      <c r="N83" s="46">
        <f>IFERROR(__xludf.DUMMYFUNCTION("""COMPUTED_VALUE"""),1.0)</f>
        <v>1</v>
      </c>
      <c r="O83" s="48">
        <f>IFERROR(__xludf.DUMMYFUNCTION("""COMPUTED_VALUE"""),1.0)</f>
        <v>1</v>
      </c>
      <c r="P83" s="52">
        <f>IFERROR(__xludf.DUMMYFUNCTION("""COMPUTED_VALUE"""),1.00300133)</f>
        <v>1.00300133</v>
      </c>
    </row>
    <row r="84" hidden="1">
      <c r="A84" s="48" t="str">
        <f>IFERROR(__xludf.DUMMYFUNCTION("""COMPUTED_VALUE"""),"maio_ViniCVR")</f>
        <v>maio_ViniCVR</v>
      </c>
      <c r="B84" s="48">
        <f>IFERROR(__xludf.DUMMYFUNCTION("""COMPUTED_VALUE"""),2026.0)</f>
        <v>2026</v>
      </c>
      <c r="C84" s="49">
        <f>IFERROR(__xludf.DUMMYFUNCTION("""COMPUTED_VALUE"""),46158.0)</f>
        <v>46158</v>
      </c>
      <c r="D84" s="46">
        <f>IFERROR(__xludf.DUMMYFUNCTION("""COMPUTED_VALUE"""),14.0)</f>
        <v>14</v>
      </c>
      <c r="E84" s="46" t="str">
        <f>IFERROR(__xludf.DUMMYFUNCTION("""COMPUTED_VALUE"""),"ViniCVR")</f>
        <v>ViniCVR</v>
      </c>
      <c r="F84" s="46" t="str">
        <f>IFERROR(__xludf.DUMMYFUNCTION("""COMPUTED_VALUE"""),"Turtle Power!")</f>
        <v>Turtle Power!</v>
      </c>
      <c r="G84" s="46">
        <f>IFERROR(__xludf.DUMMYFUNCTION("""COMPUTED_VALUE"""),3.0)</f>
        <v>3</v>
      </c>
      <c r="H84" s="46">
        <f>IFERROR(__xludf.DUMMYFUNCTION("""COMPUTED_VALUE"""),0.0)</f>
        <v>0</v>
      </c>
      <c r="I84" s="50">
        <f>IFERROR(__xludf.DUMMYFUNCTION("""COMPUTED_VALUE"""),2.5)</f>
        <v>2.5</v>
      </c>
      <c r="J84" s="50">
        <f>IFERROR(__xludf.DUMMYFUNCTION("""COMPUTED_VALUE"""),1.67)</f>
        <v>1.67</v>
      </c>
      <c r="K84" s="51">
        <f>IFERROR(__xludf.DUMMYFUNCTION("""COMPUTED_VALUE"""),0.00250167)</f>
        <v>0.00250167</v>
      </c>
      <c r="L84" s="46">
        <f>IFERROR(__xludf.DUMMYFUNCTION("""COMPUTED_VALUE"""),0.0)</f>
        <v>0</v>
      </c>
      <c r="M84" s="46">
        <f>IFERROR(__xludf.DUMMYFUNCTION("""COMPUTED_VALUE"""),0.0)</f>
        <v>0</v>
      </c>
      <c r="N84" s="46">
        <f>IFERROR(__xludf.DUMMYFUNCTION("""COMPUTED_VALUE"""),2.0)</f>
        <v>2</v>
      </c>
      <c r="O84" s="48">
        <f>IFERROR(__xludf.DUMMYFUNCTION("""COMPUTED_VALUE"""),1.0)</f>
        <v>1</v>
      </c>
      <c r="P84" s="52">
        <f>IFERROR(__xludf.DUMMYFUNCTION("""COMPUTED_VALUE"""),1.00250167)</f>
        <v>1.00250167</v>
      </c>
    </row>
    <row r="85" hidden="1">
      <c r="A85" s="48" t="str">
        <f>IFERROR(__xludf.DUMMYFUNCTION("""COMPUTED_VALUE"""),"maio_Morkan")</f>
        <v>maio_Morkan</v>
      </c>
      <c r="B85" s="48">
        <f>IFERROR(__xludf.DUMMYFUNCTION("""COMPUTED_VALUE"""),2026.0)</f>
        <v>2026</v>
      </c>
      <c r="C85" s="49">
        <f>IFERROR(__xludf.DUMMYFUNCTION("""COMPUTED_VALUE"""),46158.0)</f>
        <v>46158</v>
      </c>
      <c r="D85" s="46">
        <f>IFERROR(__xludf.DUMMYFUNCTION("""COMPUTED_VALUE"""),15.0)</f>
        <v>15</v>
      </c>
      <c r="E85" s="46" t="str">
        <f>IFERROR(__xludf.DUMMYFUNCTION("""COMPUTED_VALUE"""),"Morkan")</f>
        <v>Morkan</v>
      </c>
      <c r="F85" s="46" t="str">
        <f>IFERROR(__xludf.DUMMYFUNCTION("""COMPUTED_VALUE"""),"Blood Rites")</f>
        <v>Blood Rites</v>
      </c>
      <c r="G85" s="46">
        <f>IFERROR(__xludf.DUMMYFUNCTION("""COMPUTED_VALUE"""),3.0)</f>
        <v>3</v>
      </c>
      <c r="H85" s="46">
        <f>IFERROR(__xludf.DUMMYFUNCTION("""COMPUTED_VALUE"""),0.0)</f>
        <v>0</v>
      </c>
      <c r="I85" s="50">
        <f>IFERROR(__xludf.DUMMYFUNCTION("""COMPUTED_VALUE"""),1.67)</f>
        <v>1.67</v>
      </c>
      <c r="J85" s="50">
        <f>IFERROR(__xludf.DUMMYFUNCTION("""COMPUTED_VALUE"""),0.5)</f>
        <v>0.5</v>
      </c>
      <c r="K85" s="51">
        <f>IFERROR(__xludf.DUMMYFUNCTION("""COMPUTED_VALUE"""),0.0016705000000000001)</f>
        <v>0.0016705</v>
      </c>
      <c r="L85" s="46">
        <f>IFERROR(__xludf.DUMMYFUNCTION("""COMPUTED_VALUE"""),0.0)</f>
        <v>0</v>
      </c>
      <c r="M85" s="46">
        <f>IFERROR(__xludf.DUMMYFUNCTION("""COMPUTED_VALUE"""),0.0)</f>
        <v>0</v>
      </c>
      <c r="N85" s="46">
        <f>IFERROR(__xludf.DUMMYFUNCTION("""COMPUTED_VALUE"""),2.0)</f>
        <v>2</v>
      </c>
      <c r="O85" s="48">
        <f>IFERROR(__xludf.DUMMYFUNCTION("""COMPUTED_VALUE"""),1.0)</f>
        <v>1</v>
      </c>
      <c r="P85" s="52">
        <f>IFERROR(__xludf.DUMMYFUNCTION("""COMPUTED_VALUE"""),1.0016705)</f>
        <v>1.0016705</v>
      </c>
    </row>
    <row r="86" hidden="1">
      <c r="A86" s="48" t="str">
        <f>IFERROR(__xludf.DUMMYFUNCTION("""COMPUTED_VALUE"""),"maio_Felipe")</f>
        <v>maio_Felipe</v>
      </c>
      <c r="B86" s="48">
        <f>IFERROR(__xludf.DUMMYFUNCTION("""COMPUTED_VALUE"""),2026.0)</f>
        <v>2026</v>
      </c>
      <c r="C86" s="49">
        <f>IFERROR(__xludf.DUMMYFUNCTION("""COMPUTED_VALUE"""),46158.0)</f>
        <v>46158</v>
      </c>
      <c r="D86" s="46">
        <f>IFERROR(__xludf.DUMMYFUNCTION("""COMPUTED_VALUE"""),16.0)</f>
        <v>16</v>
      </c>
      <c r="E86" s="46" t="str">
        <f>IFERROR(__xludf.DUMMYFUNCTION("""COMPUTED_VALUE"""),"Felipe")</f>
        <v>Felipe</v>
      </c>
      <c r="F86" s="46" t="str">
        <f>IFERROR(__xludf.DUMMYFUNCTION("""COMPUTED_VALUE"""),"Witherbloom Pestilence")</f>
        <v>Witherbloom Pestilence</v>
      </c>
      <c r="G86" s="46">
        <f>IFERROR(__xludf.DUMMYFUNCTION("""COMPUTED_VALUE"""),2.0)</f>
        <v>2</v>
      </c>
      <c r="H86" s="46">
        <f>IFERROR(__xludf.DUMMYFUNCTION("""COMPUTED_VALUE"""),3.0)</f>
        <v>3</v>
      </c>
      <c r="I86" s="50">
        <f>IFERROR(__xludf.DUMMYFUNCTION("""COMPUTED_VALUE"""),4.33)</f>
        <v>4.33</v>
      </c>
      <c r="J86" s="50">
        <f>IFERROR(__xludf.DUMMYFUNCTION("""COMPUTED_VALUE"""),2.33)</f>
        <v>2.33</v>
      </c>
      <c r="K86" s="51">
        <f>IFERROR(__xludf.DUMMYFUNCTION("""COMPUTED_VALUE"""),0.03433233)</f>
        <v>0.03433233</v>
      </c>
      <c r="L86" s="46">
        <f>IFERROR(__xludf.DUMMYFUNCTION("""COMPUTED_VALUE"""),0.0)</f>
        <v>0</v>
      </c>
      <c r="M86" s="46">
        <f>IFERROR(__xludf.DUMMYFUNCTION("""COMPUTED_VALUE"""),2.0)</f>
        <v>2</v>
      </c>
      <c r="N86" s="46">
        <f>IFERROR(__xludf.DUMMYFUNCTION("""COMPUTED_VALUE"""),1.0)</f>
        <v>1</v>
      </c>
      <c r="O86" s="48">
        <f>IFERROR(__xludf.DUMMYFUNCTION("""COMPUTED_VALUE"""),1.0)</f>
        <v>1</v>
      </c>
      <c r="P86" s="52">
        <f>IFERROR(__xludf.DUMMYFUNCTION("""COMPUTED_VALUE"""),1.03433233)</f>
        <v>1.03433233</v>
      </c>
    </row>
    <row r="87" hidden="1">
      <c r="A87" s="48" t="str">
        <f>IFERROR(__xludf.DUMMYFUNCTION("""COMPUTED_VALUE"""),"maio_Claudio")</f>
        <v>maio_Claudio</v>
      </c>
      <c r="B87" s="48">
        <f>IFERROR(__xludf.DUMMYFUNCTION("""COMPUTED_VALUE"""),2026.0)</f>
        <v>2026</v>
      </c>
      <c r="C87" s="49">
        <f>IFERROR(__xludf.DUMMYFUNCTION("""COMPUTED_VALUE"""),46158.0)</f>
        <v>46158</v>
      </c>
      <c r="D87" s="46">
        <f>IFERROR(__xludf.DUMMYFUNCTION("""COMPUTED_VALUE"""),17.0)</f>
        <v>17</v>
      </c>
      <c r="E87" s="46" t="str">
        <f>IFERROR(__xludf.DUMMYFUNCTION("""COMPUTED_VALUE"""),"Claudio")</f>
        <v>Claudio</v>
      </c>
      <c r="F87" s="46" t="str">
        <f>IFERROR(__xludf.DUMMYFUNCTION("""COMPUTED_VALUE"""),"Prismari Artistry")</f>
        <v>Prismari Artistry</v>
      </c>
      <c r="G87" s="46">
        <f>IFERROR(__xludf.DUMMYFUNCTION("""COMPUTED_VALUE"""),0.0)</f>
        <v>0</v>
      </c>
      <c r="H87" s="46">
        <f>IFERROR(__xludf.DUMMYFUNCTION("""COMPUTED_VALUE"""),0.0)</f>
        <v>0</v>
      </c>
      <c r="I87" s="50">
        <f>IFERROR(__xludf.DUMMYFUNCTION("""COMPUTED_VALUE"""),3.17)</f>
        <v>3.17</v>
      </c>
      <c r="J87" s="50">
        <f>IFERROR(__xludf.DUMMYFUNCTION("""COMPUTED_VALUE"""),0.83)</f>
        <v>0.83</v>
      </c>
      <c r="K87" s="51">
        <f>IFERROR(__xludf.DUMMYFUNCTION("""COMPUTED_VALUE"""),0.00317083)</f>
        <v>0.00317083</v>
      </c>
      <c r="L87" s="46">
        <f>IFERROR(__xludf.DUMMYFUNCTION("""COMPUTED_VALUE"""),0.0)</f>
        <v>0</v>
      </c>
      <c r="M87" s="46">
        <f>IFERROR(__xludf.DUMMYFUNCTION("""COMPUTED_VALUE"""),0.0)</f>
        <v>0</v>
      </c>
      <c r="N87" s="46">
        <f>IFERROR(__xludf.DUMMYFUNCTION("""COMPUTED_VALUE"""),2.0)</f>
        <v>2</v>
      </c>
      <c r="O87" s="48">
        <f>IFERROR(__xludf.DUMMYFUNCTION("""COMPUTED_VALUE"""),1.0)</f>
        <v>1</v>
      </c>
      <c r="P87" s="52">
        <f>IFERROR(__xludf.DUMMYFUNCTION("""COMPUTED_VALUE"""),1.00317083)</f>
        <v>1.00317083</v>
      </c>
    </row>
    <row r="88" hidden="1">
      <c r="A88" s="48" t="str">
        <f>IFERROR(__xludf.DUMMYFUNCTION("""COMPUTED_VALUE"""),"maio_Yasmin")</f>
        <v>maio_Yasmin</v>
      </c>
      <c r="B88" s="48">
        <f>IFERROR(__xludf.DUMMYFUNCTION("""COMPUTED_VALUE"""),2026.0)</f>
        <v>2026</v>
      </c>
      <c r="C88" s="49">
        <f>IFERROR(__xludf.DUMMYFUNCTION("""COMPUTED_VALUE"""),46158.0)</f>
        <v>46158</v>
      </c>
      <c r="D88" s="46">
        <f>IFERROR(__xludf.DUMMYFUNCTION("""COMPUTED_VALUE"""),18.0)</f>
        <v>18</v>
      </c>
      <c r="E88" s="46" t="str">
        <f>IFERROR(__xludf.DUMMYFUNCTION("""COMPUTED_VALUE"""),"Yasmin")</f>
        <v>Yasmin</v>
      </c>
      <c r="F88" s="46" t="str">
        <f>IFERROR(__xludf.DUMMYFUNCTION("""COMPUTED_VALUE"""),"Legends' Legacy")</f>
        <v>Legends' Legacy</v>
      </c>
      <c r="G88" s="46">
        <f>IFERROR(__xludf.DUMMYFUNCTION("""COMPUTED_VALUE"""),0.0)</f>
        <v>0</v>
      </c>
      <c r="H88" s="46">
        <f>IFERROR(__xludf.DUMMYFUNCTION("""COMPUTED_VALUE"""),0.0)</f>
        <v>0</v>
      </c>
      <c r="I88" s="50">
        <f>IFERROR(__xludf.DUMMYFUNCTION("""COMPUTED_VALUE"""),3.0)</f>
        <v>3</v>
      </c>
      <c r="J88" s="50">
        <f>IFERROR(__xludf.DUMMYFUNCTION("""COMPUTED_VALUE"""),1.33)</f>
        <v>1.33</v>
      </c>
      <c r="K88" s="51">
        <f>IFERROR(__xludf.DUMMYFUNCTION("""COMPUTED_VALUE"""),0.00300133)</f>
        <v>0.00300133</v>
      </c>
      <c r="L88" s="46">
        <f>IFERROR(__xludf.DUMMYFUNCTION("""COMPUTED_VALUE"""),0.0)</f>
        <v>0</v>
      </c>
      <c r="M88" s="46">
        <f>IFERROR(__xludf.DUMMYFUNCTION("""COMPUTED_VALUE"""),0.0)</f>
        <v>0</v>
      </c>
      <c r="N88" s="46">
        <f>IFERROR(__xludf.DUMMYFUNCTION("""COMPUTED_VALUE"""),2.0)</f>
        <v>2</v>
      </c>
      <c r="O88" s="48">
        <f>IFERROR(__xludf.DUMMYFUNCTION("""COMPUTED_VALUE"""),1.0)</f>
        <v>1</v>
      </c>
      <c r="P88" s="52">
        <f>IFERROR(__xludf.DUMMYFUNCTION("""COMPUTED_VALUE"""),1.00300133)</f>
        <v>1.00300133</v>
      </c>
    </row>
    <row r="89" hidden="1">
      <c r="A89" s="48" t="str">
        <f>IFERROR(__xludf.DUMMYFUNCTION("""COMPUTED_VALUE"""),"maio_Crothen")</f>
        <v>maio_Crothen</v>
      </c>
      <c r="B89" s="48">
        <f>IFERROR(__xludf.DUMMYFUNCTION("""COMPUTED_VALUE"""),2026.0)</f>
        <v>2026</v>
      </c>
      <c r="C89" s="49">
        <f>IFERROR(__xludf.DUMMYFUNCTION("""COMPUTED_VALUE"""),46158.0)</f>
        <v>46158</v>
      </c>
      <c r="D89" s="46">
        <f>IFERROR(__xludf.DUMMYFUNCTION("""COMPUTED_VALUE"""),19.0)</f>
        <v>19</v>
      </c>
      <c r="E89" s="46" t="str">
        <f>IFERROR(__xludf.DUMMYFUNCTION("""COMPUTED_VALUE"""),"Crothen")</f>
        <v>Crothen</v>
      </c>
      <c r="F89" s="46" t="str">
        <f>IFERROR(__xludf.DUMMYFUNCTION("""COMPUTED_VALUE"""),"Counter Intelligence")</f>
        <v>Counter Intelligence</v>
      </c>
      <c r="G89" s="46">
        <f>IFERROR(__xludf.DUMMYFUNCTION("""COMPUTED_VALUE"""),0.0)</f>
        <v>0</v>
      </c>
      <c r="H89" s="46">
        <f>IFERROR(__xludf.DUMMYFUNCTION("""COMPUTED_VALUE"""),0.0)</f>
        <v>0</v>
      </c>
      <c r="I89" s="50">
        <f>IFERROR(__xludf.DUMMYFUNCTION("""COMPUTED_VALUE"""),3.0)</f>
        <v>3</v>
      </c>
      <c r="J89" s="50">
        <f>IFERROR(__xludf.DUMMYFUNCTION("""COMPUTED_VALUE"""),0.8)</f>
        <v>0.8</v>
      </c>
      <c r="K89" s="51">
        <f>IFERROR(__xludf.DUMMYFUNCTION("""COMPUTED_VALUE"""),0.0030008)</f>
        <v>0.0030008</v>
      </c>
      <c r="L89" s="46">
        <f>IFERROR(__xludf.DUMMYFUNCTION("""COMPUTED_VALUE"""),0.0)</f>
        <v>0</v>
      </c>
      <c r="M89" s="46">
        <f>IFERROR(__xludf.DUMMYFUNCTION("""COMPUTED_VALUE"""),0.0)</f>
        <v>0</v>
      </c>
      <c r="N89" s="46">
        <f>IFERROR(__xludf.DUMMYFUNCTION("""COMPUTED_VALUE"""),2.0)</f>
        <v>2</v>
      </c>
      <c r="O89" s="48">
        <f>IFERROR(__xludf.DUMMYFUNCTION("""COMPUTED_VALUE"""),1.0)</f>
        <v>1</v>
      </c>
      <c r="P89" s="52">
        <f>IFERROR(__xludf.DUMMYFUNCTION("""COMPUTED_VALUE"""),1.0030008)</f>
        <v>1.0030008</v>
      </c>
    </row>
    <row r="90" hidden="1">
      <c r="A90" s="48" t="str">
        <f>IFERROR(__xludf.DUMMYFUNCTION("""COMPUTED_VALUE"""),"junho_Yasmin")</f>
        <v>junho_Yasmin</v>
      </c>
      <c r="B90" s="48">
        <f>IFERROR(__xludf.DUMMYFUNCTION("""COMPUTED_VALUE"""),2026.0)</f>
        <v>2026</v>
      </c>
      <c r="C90" s="49">
        <f>IFERROR(__xludf.DUMMYFUNCTION("""COMPUTED_VALUE"""),46194.0)</f>
        <v>46194</v>
      </c>
      <c r="D90" s="46">
        <f>IFERROR(__xludf.DUMMYFUNCTION("""COMPUTED_VALUE"""),1.0)</f>
        <v>1</v>
      </c>
      <c r="E90" s="46" t="str">
        <f>IFERROR(__xludf.DUMMYFUNCTION("""COMPUTED_VALUE"""),"Yasmin")</f>
        <v>Yasmin</v>
      </c>
      <c r="F90" s="46" t="str">
        <f>IFERROR(__xludf.DUMMYFUNCTION("""COMPUTED_VALUE"""),"Cavalry Charge")</f>
        <v>Cavalry Charge</v>
      </c>
      <c r="G90" s="46">
        <f>IFERROR(__xludf.DUMMYFUNCTION("""COMPUTED_VALUE"""),4.0)</f>
        <v>4</v>
      </c>
      <c r="H90" s="46">
        <f>IFERROR(__xludf.DUMMYFUNCTION("""COMPUTED_VALUE"""),4.0)</f>
        <v>4</v>
      </c>
      <c r="I90" s="50">
        <f>IFERROR(__xludf.DUMMYFUNCTION("""COMPUTED_VALUE"""),3.38)</f>
        <v>3.38</v>
      </c>
      <c r="J90" s="50">
        <f>IFERROR(__xludf.DUMMYFUNCTION("""COMPUTED_VALUE"""),3.0)</f>
        <v>3</v>
      </c>
      <c r="K90" s="51">
        <f>IFERROR(__xludf.DUMMYFUNCTION("""COMPUTED_VALUE"""),0.24338300000000002)</f>
        <v>0.243383</v>
      </c>
      <c r="L90" s="46">
        <f>IFERROR(__xludf.DUMMYFUNCTION("""COMPUTED_VALUE"""),2.0)</f>
        <v>2</v>
      </c>
      <c r="M90" s="46">
        <f>IFERROR(__xludf.DUMMYFUNCTION("""COMPUTED_VALUE"""),1.0)</f>
        <v>1</v>
      </c>
      <c r="N90" s="46">
        <f>IFERROR(__xludf.DUMMYFUNCTION("""COMPUTED_VALUE"""),1.0)</f>
        <v>1</v>
      </c>
      <c r="O90" s="48">
        <f>IFERROR(__xludf.DUMMYFUNCTION("""COMPUTED_VALUE"""),3.0)</f>
        <v>3</v>
      </c>
      <c r="P90" s="52">
        <f>IFERROR(__xludf.DUMMYFUNCTION("""COMPUTED_VALUE"""),3.243383)</f>
        <v>3.243383</v>
      </c>
    </row>
    <row r="91" hidden="1">
      <c r="A91" s="48" t="str">
        <f>IFERROR(__xludf.DUMMYFUNCTION("""COMPUTED_VALUE"""),"junho_Fabio C")</f>
        <v>junho_Fabio C</v>
      </c>
      <c r="B91" s="48">
        <f>IFERROR(__xludf.DUMMYFUNCTION("""COMPUTED_VALUE"""),2026.0)</f>
        <v>2026</v>
      </c>
      <c r="C91" s="49">
        <f>IFERROR(__xludf.DUMMYFUNCTION("""COMPUTED_VALUE"""),46194.0)</f>
        <v>46194</v>
      </c>
      <c r="D91" s="46">
        <f>IFERROR(__xludf.DUMMYFUNCTION("""COMPUTED_VALUE"""),2.0)</f>
        <v>2</v>
      </c>
      <c r="E91" s="46" t="str">
        <f>IFERROR(__xludf.DUMMYFUNCTION("""COMPUTED_VALUE"""),"Fabio C")</f>
        <v>Fabio C</v>
      </c>
      <c r="F91" s="46" t="str">
        <f>IFERROR(__xludf.DUMMYFUNCTION("""COMPUTED_VALUE"""),"Endless Punishment")</f>
        <v>Endless Punishment</v>
      </c>
      <c r="G91" s="46">
        <f>IFERROR(__xludf.DUMMYFUNCTION("""COMPUTED_VALUE"""),7.0)</f>
        <v>7</v>
      </c>
      <c r="H91" s="46">
        <f>IFERROR(__xludf.DUMMYFUNCTION("""COMPUTED_VALUE"""),6.0)</f>
        <v>6</v>
      </c>
      <c r="I91" s="50">
        <f>IFERROR(__xludf.DUMMYFUNCTION("""COMPUTED_VALUE"""),2.38)</f>
        <v>2.38</v>
      </c>
      <c r="J91" s="50">
        <f>IFERROR(__xludf.DUMMYFUNCTION("""COMPUTED_VALUE"""),2.5)</f>
        <v>2.5</v>
      </c>
      <c r="K91" s="51">
        <f>IFERROR(__xludf.DUMMYFUNCTION("""COMPUTED_VALUE"""),0.2623825)</f>
        <v>0.2623825</v>
      </c>
      <c r="L91" s="46">
        <f>IFERROR(__xludf.DUMMYFUNCTION("""COMPUTED_VALUE"""),2.0)</f>
        <v>2</v>
      </c>
      <c r="M91" s="46">
        <f>IFERROR(__xludf.DUMMYFUNCTION("""COMPUTED_VALUE"""),1.0)</f>
        <v>1</v>
      </c>
      <c r="N91" s="46">
        <f>IFERROR(__xludf.DUMMYFUNCTION("""COMPUTED_VALUE"""),1.0)</f>
        <v>1</v>
      </c>
      <c r="O91" s="48">
        <f>IFERROR(__xludf.DUMMYFUNCTION("""COMPUTED_VALUE"""),2.0)</f>
        <v>2</v>
      </c>
      <c r="P91" s="52">
        <f>IFERROR(__xludf.DUMMYFUNCTION("""COMPUTED_VALUE"""),2.2623825)</f>
        <v>2.2623825</v>
      </c>
    </row>
    <row r="92" hidden="1">
      <c r="A92" s="48" t="str">
        <f>IFERROR(__xludf.DUMMYFUNCTION("""COMPUTED_VALUE"""),"junho_Bydo")</f>
        <v>junho_Bydo</v>
      </c>
      <c r="B92" s="48">
        <f>IFERROR(__xludf.DUMMYFUNCTION("""COMPUTED_VALUE"""),2026.0)</f>
        <v>2026</v>
      </c>
      <c r="C92" s="49">
        <f>IFERROR(__xludf.DUMMYFUNCTION("""COMPUTED_VALUE"""),46194.0)</f>
        <v>46194</v>
      </c>
      <c r="D92" s="46">
        <f>IFERROR(__xludf.DUMMYFUNCTION("""COMPUTED_VALUE"""),3.0)</f>
        <v>3</v>
      </c>
      <c r="E92" s="46" t="str">
        <f>IFERROR(__xludf.DUMMYFUNCTION("""COMPUTED_VALUE"""),"Bydo")</f>
        <v>Bydo</v>
      </c>
      <c r="F92" s="46" t="str">
        <f>IFERROR(__xludf.DUMMYFUNCTION("""COMPUTED_VALUE"""),"Lorehold Spirit")</f>
        <v>Lorehold Spirit</v>
      </c>
      <c r="G92" s="46">
        <f>IFERROR(__xludf.DUMMYFUNCTION("""COMPUTED_VALUE"""),6.0)</f>
        <v>6</v>
      </c>
      <c r="H92" s="46">
        <f>IFERROR(__xludf.DUMMYFUNCTION("""COMPUTED_VALUE"""),4.0)</f>
        <v>4</v>
      </c>
      <c r="I92" s="50">
        <f>IFERROR(__xludf.DUMMYFUNCTION("""COMPUTED_VALUE"""),3.63)</f>
        <v>3.63</v>
      </c>
      <c r="J92" s="50">
        <f>IFERROR(__xludf.DUMMYFUNCTION("""COMPUTED_VALUE"""),2.63)</f>
        <v>2.63</v>
      </c>
      <c r="K92" s="51">
        <f>IFERROR(__xludf.DUMMYFUNCTION("""COMPUTED_VALUE"""),0.24363263000000002)</f>
        <v>0.24363263</v>
      </c>
      <c r="L92" s="46">
        <f>IFERROR(__xludf.DUMMYFUNCTION("""COMPUTED_VALUE"""),2.0)</f>
        <v>2</v>
      </c>
      <c r="M92" s="46">
        <f>IFERROR(__xludf.DUMMYFUNCTION("""COMPUTED_VALUE"""),0.0)</f>
        <v>0</v>
      </c>
      <c r="N92" s="46">
        <f>IFERROR(__xludf.DUMMYFUNCTION("""COMPUTED_VALUE"""),2.0)</f>
        <v>2</v>
      </c>
      <c r="O92" s="48">
        <f>IFERROR(__xludf.DUMMYFUNCTION("""COMPUTED_VALUE"""),2.0)</f>
        <v>2</v>
      </c>
      <c r="P92" s="52">
        <f>IFERROR(__xludf.DUMMYFUNCTION("""COMPUTED_VALUE"""),2.24363263)</f>
        <v>2.24363263</v>
      </c>
    </row>
    <row r="93" hidden="1">
      <c r="A93" s="48" t="str">
        <f>IFERROR(__xludf.DUMMYFUNCTION("""COMPUTED_VALUE"""),"junho_Gabriel P.")</f>
        <v>junho_Gabriel P.</v>
      </c>
      <c r="B93" s="48">
        <f>IFERROR(__xludf.DUMMYFUNCTION("""COMPUTED_VALUE"""),2026.0)</f>
        <v>2026</v>
      </c>
      <c r="C93" s="49">
        <f>IFERROR(__xludf.DUMMYFUNCTION("""COMPUTED_VALUE"""),46194.0)</f>
        <v>46194</v>
      </c>
      <c r="D93" s="46">
        <f>IFERROR(__xludf.DUMMYFUNCTION("""COMPUTED_VALUE"""),4.0)</f>
        <v>4</v>
      </c>
      <c r="E93" s="46" t="str">
        <f>IFERROR(__xludf.DUMMYFUNCTION("""COMPUTED_VALUE"""),"Gabriel P.")</f>
        <v>Gabriel P.</v>
      </c>
      <c r="F93" s="46" t="str">
        <f>IFERROR(__xludf.DUMMYFUNCTION("""COMPUTED_VALUE"""),"Quick Draw")</f>
        <v>Quick Draw</v>
      </c>
      <c r="G93" s="46">
        <f>IFERROR(__xludf.DUMMYFUNCTION("""COMPUTED_VALUE"""),6.0)</f>
        <v>6</v>
      </c>
      <c r="H93" s="46">
        <f>IFERROR(__xludf.DUMMYFUNCTION("""COMPUTED_VALUE"""),3.0)</f>
        <v>3</v>
      </c>
      <c r="I93" s="50">
        <f>IFERROR(__xludf.DUMMYFUNCTION("""COMPUTED_VALUE"""),1.67)</f>
        <v>1.67</v>
      </c>
      <c r="J93" s="50">
        <f>IFERROR(__xludf.DUMMYFUNCTION("""COMPUTED_VALUE"""),1.56)</f>
        <v>1.56</v>
      </c>
      <c r="K93" s="51">
        <f>IFERROR(__xludf.DUMMYFUNCTION("""COMPUTED_VALUE"""),0.23167156000000003)</f>
        <v>0.23167156</v>
      </c>
      <c r="L93" s="46">
        <f>IFERROR(__xludf.DUMMYFUNCTION("""COMPUTED_VALUE"""),2.0)</f>
        <v>2</v>
      </c>
      <c r="M93" s="46">
        <f>IFERROR(__xludf.DUMMYFUNCTION("""COMPUTED_VALUE"""),0.0)</f>
        <v>0</v>
      </c>
      <c r="N93" s="46">
        <f>IFERROR(__xludf.DUMMYFUNCTION("""COMPUTED_VALUE"""),2.0)</f>
        <v>2</v>
      </c>
      <c r="O93" s="48">
        <f>IFERROR(__xludf.DUMMYFUNCTION("""COMPUTED_VALUE"""),2.0)</f>
        <v>2</v>
      </c>
      <c r="P93" s="52">
        <f>IFERROR(__xludf.DUMMYFUNCTION("""COMPUTED_VALUE"""),2.23167156)</f>
        <v>2.23167156</v>
      </c>
    </row>
    <row r="94" hidden="1">
      <c r="A94" s="48" t="str">
        <f>IFERROR(__xludf.DUMMYFUNCTION("""COMPUTED_VALUE"""),"junho_Lanna")</f>
        <v>junho_Lanna</v>
      </c>
      <c r="B94" s="48">
        <f>IFERROR(__xludf.DUMMYFUNCTION("""COMPUTED_VALUE"""),2026.0)</f>
        <v>2026</v>
      </c>
      <c r="C94" s="49">
        <f>IFERROR(__xludf.DUMMYFUNCTION("""COMPUTED_VALUE"""),46194.0)</f>
        <v>46194</v>
      </c>
      <c r="D94" s="46">
        <f>IFERROR(__xludf.DUMMYFUNCTION("""COMPUTED_VALUE"""),5.0)</f>
        <v>5</v>
      </c>
      <c r="E94" s="46" t="str">
        <f>IFERROR(__xludf.DUMMYFUNCTION("""COMPUTED_VALUE"""),"Lanna")</f>
        <v>Lanna</v>
      </c>
      <c r="F94" s="46" t="str">
        <f>IFERROR(__xludf.DUMMYFUNCTION("""COMPUTED_VALUE"""),"Silverquill Influence")</f>
        <v>Silverquill Influence</v>
      </c>
      <c r="G94" s="46">
        <f>IFERROR(__xludf.DUMMYFUNCTION("""COMPUTED_VALUE"""),4.0)</f>
        <v>4</v>
      </c>
      <c r="H94" s="46">
        <f>IFERROR(__xludf.DUMMYFUNCTION("""COMPUTED_VALUE"""),3.0)</f>
        <v>3</v>
      </c>
      <c r="I94" s="50">
        <f>IFERROR(__xludf.DUMMYFUNCTION("""COMPUTED_VALUE"""),2.29)</f>
        <v>2.29</v>
      </c>
      <c r="J94" s="50">
        <f>IFERROR(__xludf.DUMMYFUNCTION("""COMPUTED_VALUE"""),2.57)</f>
        <v>2.57</v>
      </c>
      <c r="K94" s="51">
        <f>IFERROR(__xludf.DUMMYFUNCTION("""COMPUTED_VALUE"""),0.13229257)</f>
        <v>0.13229257</v>
      </c>
      <c r="L94" s="46">
        <f>IFERROR(__xludf.DUMMYFUNCTION("""COMPUTED_VALUE"""),1.0)</f>
        <v>1</v>
      </c>
      <c r="M94" s="46">
        <f>IFERROR(__xludf.DUMMYFUNCTION("""COMPUTED_VALUE"""),1.0)</f>
        <v>1</v>
      </c>
      <c r="N94" s="46">
        <f>IFERROR(__xludf.DUMMYFUNCTION("""COMPUTED_VALUE"""),1.0)</f>
        <v>1</v>
      </c>
      <c r="O94" s="48">
        <f>IFERROR(__xludf.DUMMYFUNCTION("""COMPUTED_VALUE"""),2.0)</f>
        <v>2</v>
      </c>
      <c r="P94" s="52">
        <f>IFERROR(__xludf.DUMMYFUNCTION("""COMPUTED_VALUE"""),2.13229257)</f>
        <v>2.13229257</v>
      </c>
    </row>
    <row r="95" hidden="1">
      <c r="A95" s="48" t="str">
        <f>IFERROR(__xludf.DUMMYFUNCTION("""COMPUTED_VALUE"""),"junho_Optimus")</f>
        <v>junho_Optimus</v>
      </c>
      <c r="B95" s="48">
        <f>IFERROR(__xludf.DUMMYFUNCTION("""COMPUTED_VALUE"""),2026.0)</f>
        <v>2026</v>
      </c>
      <c r="C95" s="49">
        <f>IFERROR(__xludf.DUMMYFUNCTION("""COMPUTED_VALUE"""),46194.0)</f>
        <v>46194</v>
      </c>
      <c r="D95" s="46">
        <f>IFERROR(__xludf.DUMMYFUNCTION("""COMPUTED_VALUE"""),6.0)</f>
        <v>6</v>
      </c>
      <c r="E95" s="46" t="str">
        <f>IFERROR(__xludf.DUMMYFUNCTION("""COMPUTED_VALUE"""),"Optimus")</f>
        <v>Optimus</v>
      </c>
      <c r="F95" s="46" t="str">
        <f>IFERROR(__xludf.DUMMYFUNCTION("""COMPUTED_VALUE"""),"Lorehold Spirit")</f>
        <v>Lorehold Spirit</v>
      </c>
      <c r="G95" s="46">
        <f>IFERROR(__xludf.DUMMYFUNCTION("""COMPUTED_VALUE"""),4.0)</f>
        <v>4</v>
      </c>
      <c r="H95" s="46">
        <f>IFERROR(__xludf.DUMMYFUNCTION("""COMPUTED_VALUE"""),3.0)</f>
        <v>3</v>
      </c>
      <c r="I95" s="50">
        <f>IFERROR(__xludf.DUMMYFUNCTION("""COMPUTED_VALUE"""),1.88)</f>
        <v>1.88</v>
      </c>
      <c r="J95" s="50">
        <f>IFERROR(__xludf.DUMMYFUNCTION("""COMPUTED_VALUE"""),1.0)</f>
        <v>1</v>
      </c>
      <c r="K95" s="51">
        <f>IFERROR(__xludf.DUMMYFUNCTION("""COMPUTED_VALUE"""),0.131881)</f>
        <v>0.131881</v>
      </c>
      <c r="L95" s="46">
        <f>IFERROR(__xludf.DUMMYFUNCTION("""COMPUTED_VALUE"""),1.0)</f>
        <v>1</v>
      </c>
      <c r="M95" s="46">
        <f>IFERROR(__xludf.DUMMYFUNCTION("""COMPUTED_VALUE"""),1.0)</f>
        <v>1</v>
      </c>
      <c r="N95" s="46">
        <f>IFERROR(__xludf.DUMMYFUNCTION("""COMPUTED_VALUE"""),1.0)</f>
        <v>1</v>
      </c>
      <c r="O95" s="48">
        <f>IFERROR(__xludf.DUMMYFUNCTION("""COMPUTED_VALUE"""),2.0)</f>
        <v>2</v>
      </c>
      <c r="P95" s="52">
        <f>IFERROR(__xludf.DUMMYFUNCTION("""COMPUTED_VALUE"""),2.131881)</f>
        <v>2.131881</v>
      </c>
    </row>
    <row r="96" hidden="1">
      <c r="A96" s="48" t="str">
        <f>IFERROR(__xludf.DUMMYFUNCTION("""COMPUTED_VALUE"""),"junho_Pagliatti")</f>
        <v>junho_Pagliatti</v>
      </c>
      <c r="B96" s="48">
        <f>IFERROR(__xludf.DUMMYFUNCTION("""COMPUTED_VALUE"""),2026.0)</f>
        <v>2026</v>
      </c>
      <c r="C96" s="49">
        <f>IFERROR(__xludf.DUMMYFUNCTION("""COMPUTED_VALUE"""),46194.0)</f>
        <v>46194</v>
      </c>
      <c r="D96" s="46">
        <f>IFERROR(__xludf.DUMMYFUNCTION("""COMPUTED_VALUE"""),7.0)</f>
        <v>7</v>
      </c>
      <c r="E96" s="46" t="str">
        <f>IFERROR(__xludf.DUMMYFUNCTION("""COMPUTED_VALUE"""),"Pagliatti")</f>
        <v>Pagliatti</v>
      </c>
      <c r="F96" s="46" t="str">
        <f>IFERROR(__xludf.DUMMYFUNCTION("""COMPUTED_VALUE"""),"Blight Curse")</f>
        <v>Blight Curse</v>
      </c>
      <c r="G96" s="46">
        <f>IFERROR(__xludf.DUMMYFUNCTION("""COMPUTED_VALUE"""),3.0)</f>
        <v>3</v>
      </c>
      <c r="H96" s="46">
        <f>IFERROR(__xludf.DUMMYFUNCTION("""COMPUTED_VALUE"""),2.0)</f>
        <v>2</v>
      </c>
      <c r="I96" s="50">
        <f>IFERROR(__xludf.DUMMYFUNCTION("""COMPUTED_VALUE"""),2.75)</f>
        <v>2.75</v>
      </c>
      <c r="J96" s="50">
        <f>IFERROR(__xludf.DUMMYFUNCTION("""COMPUTED_VALUE"""),2.38)</f>
        <v>2.38</v>
      </c>
      <c r="K96" s="51">
        <f>IFERROR(__xludf.DUMMYFUNCTION("""COMPUTED_VALUE"""),0.12275238000000001)</f>
        <v>0.12275238</v>
      </c>
      <c r="L96" s="46">
        <f>IFERROR(__xludf.DUMMYFUNCTION("""COMPUTED_VALUE"""),1.0)</f>
        <v>1</v>
      </c>
      <c r="M96" s="46">
        <f>IFERROR(__xludf.DUMMYFUNCTION("""COMPUTED_VALUE"""),0.0)</f>
        <v>0</v>
      </c>
      <c r="N96" s="46">
        <f>IFERROR(__xludf.DUMMYFUNCTION("""COMPUTED_VALUE"""),2.0)</f>
        <v>2</v>
      </c>
      <c r="O96" s="48">
        <f>IFERROR(__xludf.DUMMYFUNCTION("""COMPUTED_VALUE"""),2.0)</f>
        <v>2</v>
      </c>
      <c r="P96" s="52">
        <f>IFERROR(__xludf.DUMMYFUNCTION("""COMPUTED_VALUE"""),2.12275238)</f>
        <v>2.12275238</v>
      </c>
    </row>
    <row r="97" hidden="1">
      <c r="A97" s="48" t="str">
        <f>IFERROR(__xludf.DUMMYFUNCTION("""COMPUTED_VALUE"""),"junho_Morkan")</f>
        <v>junho_Morkan</v>
      </c>
      <c r="B97" s="48">
        <f>IFERROR(__xludf.DUMMYFUNCTION("""COMPUTED_VALUE"""),2026.0)</f>
        <v>2026</v>
      </c>
      <c r="C97" s="49">
        <f>IFERROR(__xludf.DUMMYFUNCTION("""COMPUTED_VALUE"""),46194.0)</f>
        <v>46194</v>
      </c>
      <c r="D97" s="46">
        <f>IFERROR(__xludf.DUMMYFUNCTION("""COMPUTED_VALUE"""),8.0)</f>
        <v>8</v>
      </c>
      <c r="E97" s="46" t="str">
        <f>IFERROR(__xludf.DUMMYFUNCTION("""COMPUTED_VALUE"""),"Morkan")</f>
        <v>Morkan</v>
      </c>
      <c r="F97" s="46" t="str">
        <f>IFERROR(__xludf.DUMMYFUNCTION("""COMPUTED_VALUE"""),"Lorehold Spirit")</f>
        <v>Lorehold Spirit</v>
      </c>
      <c r="G97" s="46">
        <f>IFERROR(__xludf.DUMMYFUNCTION("""COMPUTED_VALUE"""),3.0)</f>
        <v>3</v>
      </c>
      <c r="H97" s="46">
        <f>IFERROR(__xludf.DUMMYFUNCTION("""COMPUTED_VALUE"""),1.0)</f>
        <v>1</v>
      </c>
      <c r="I97" s="50">
        <f>IFERROR(__xludf.DUMMYFUNCTION("""COMPUTED_VALUE"""),2.56)</f>
        <v>2.56</v>
      </c>
      <c r="J97" s="50">
        <f>IFERROR(__xludf.DUMMYFUNCTION("""COMPUTED_VALUE"""),2.0)</f>
        <v>2</v>
      </c>
      <c r="K97" s="51">
        <f>IFERROR(__xludf.DUMMYFUNCTION("""COMPUTED_VALUE"""),0.11256200000000001)</f>
        <v>0.112562</v>
      </c>
      <c r="L97" s="46">
        <f>IFERROR(__xludf.DUMMYFUNCTION("""COMPUTED_VALUE"""),1.0)</f>
        <v>1</v>
      </c>
      <c r="M97" s="46">
        <f>IFERROR(__xludf.DUMMYFUNCTION("""COMPUTED_VALUE"""),0.0)</f>
        <v>0</v>
      </c>
      <c r="N97" s="46">
        <f>IFERROR(__xludf.DUMMYFUNCTION("""COMPUTED_VALUE"""),2.0)</f>
        <v>2</v>
      </c>
      <c r="O97" s="48">
        <f>IFERROR(__xludf.DUMMYFUNCTION("""COMPUTED_VALUE"""),2.0)</f>
        <v>2</v>
      </c>
      <c r="P97" s="52">
        <f>IFERROR(__xludf.DUMMYFUNCTION("""COMPUTED_VALUE"""),2.112562)</f>
        <v>2.112562</v>
      </c>
    </row>
    <row r="98" hidden="1">
      <c r="A98" s="48" t="str">
        <f>IFERROR(__xludf.DUMMYFUNCTION("""COMPUTED_VALUE"""),"junho_Erickpd")</f>
        <v>junho_Erickpd</v>
      </c>
      <c r="B98" s="48">
        <f>IFERROR(__xludf.DUMMYFUNCTION("""COMPUTED_VALUE"""),2026.0)</f>
        <v>2026</v>
      </c>
      <c r="C98" s="49">
        <f>IFERROR(__xludf.DUMMYFUNCTION("""COMPUTED_VALUE"""),46194.0)</f>
        <v>46194</v>
      </c>
      <c r="D98" s="46">
        <f>IFERROR(__xludf.DUMMYFUNCTION("""COMPUTED_VALUE"""),9.0)</f>
        <v>9</v>
      </c>
      <c r="E98" s="46" t="str">
        <f>IFERROR(__xludf.DUMMYFUNCTION("""COMPUTED_VALUE"""),"Erickpd")</f>
        <v>Erickpd</v>
      </c>
      <c r="F98" s="46" t="str">
        <f>IFERROR(__xludf.DUMMYFUNCTION("""COMPUTED_VALUE"""),"Prismari Artistry")</f>
        <v>Prismari Artistry</v>
      </c>
      <c r="G98" s="46">
        <f>IFERROR(__xludf.DUMMYFUNCTION("""COMPUTED_VALUE"""),3.0)</f>
        <v>3</v>
      </c>
      <c r="H98" s="46">
        <f>IFERROR(__xludf.DUMMYFUNCTION("""COMPUTED_VALUE"""),0.0)</f>
        <v>0</v>
      </c>
      <c r="I98" s="50">
        <f>IFERROR(__xludf.DUMMYFUNCTION("""COMPUTED_VALUE"""),2.38)</f>
        <v>2.38</v>
      </c>
      <c r="J98" s="50">
        <f>IFERROR(__xludf.DUMMYFUNCTION("""COMPUTED_VALUE"""),1.38)</f>
        <v>1.38</v>
      </c>
      <c r="K98" s="51">
        <f>IFERROR(__xludf.DUMMYFUNCTION("""COMPUTED_VALUE"""),0.10238138)</f>
        <v>0.10238138</v>
      </c>
      <c r="L98" s="46">
        <f>IFERROR(__xludf.DUMMYFUNCTION("""COMPUTED_VALUE"""),1.0)</f>
        <v>1</v>
      </c>
      <c r="M98" s="46">
        <f>IFERROR(__xludf.DUMMYFUNCTION("""COMPUTED_VALUE"""),0.0)</f>
        <v>0</v>
      </c>
      <c r="N98" s="46">
        <f>IFERROR(__xludf.DUMMYFUNCTION("""COMPUTED_VALUE"""),2.0)</f>
        <v>2</v>
      </c>
      <c r="O98" s="48">
        <f>IFERROR(__xludf.DUMMYFUNCTION("""COMPUTED_VALUE"""),1.0)</f>
        <v>1</v>
      </c>
      <c r="P98" s="52">
        <f>IFERROR(__xludf.DUMMYFUNCTION("""COMPUTED_VALUE"""),1.10238138)</f>
        <v>1.10238138</v>
      </c>
    </row>
    <row r="99" hidden="1">
      <c r="A99" s="48" t="str">
        <f>IFERROR(__xludf.DUMMYFUNCTION("""COMPUTED_VALUE"""),"junho_Crothen")</f>
        <v>junho_Crothen</v>
      </c>
      <c r="B99" s="48">
        <f>IFERROR(__xludf.DUMMYFUNCTION("""COMPUTED_VALUE"""),2026.0)</f>
        <v>2026</v>
      </c>
      <c r="C99" s="49">
        <f>IFERROR(__xludf.DUMMYFUNCTION("""COMPUTED_VALUE"""),46194.0)</f>
        <v>46194</v>
      </c>
      <c r="D99" s="46">
        <f>IFERROR(__xludf.DUMMYFUNCTION("""COMPUTED_VALUE"""),10.0)</f>
        <v>10</v>
      </c>
      <c r="E99" s="46" t="str">
        <f>IFERROR(__xludf.DUMMYFUNCTION("""COMPUTED_VALUE"""),"Crothen")</f>
        <v>Crothen</v>
      </c>
      <c r="F99" s="46" t="str">
        <f>IFERROR(__xludf.DUMMYFUNCTION("""COMPUTED_VALUE"""),"Counter Intelligence")</f>
        <v>Counter Intelligence</v>
      </c>
      <c r="G99" s="46">
        <f>IFERROR(__xludf.DUMMYFUNCTION("""COMPUTED_VALUE"""),2.0)</f>
        <v>2</v>
      </c>
      <c r="H99" s="46">
        <f>IFERROR(__xludf.DUMMYFUNCTION("""COMPUTED_VALUE"""),4.0)</f>
        <v>4</v>
      </c>
      <c r="I99" s="50">
        <f>IFERROR(__xludf.DUMMYFUNCTION("""COMPUTED_VALUE"""),3.86)</f>
        <v>3.86</v>
      </c>
      <c r="J99" s="50">
        <f>IFERROR(__xludf.DUMMYFUNCTION("""COMPUTED_VALUE"""),3.29)</f>
        <v>3.29</v>
      </c>
      <c r="K99" s="51">
        <f>IFERROR(__xludf.DUMMYFUNCTION("""COMPUTED_VALUE"""),0.043863290000000006)</f>
        <v>0.04386329</v>
      </c>
      <c r="L99" s="46">
        <f>IFERROR(__xludf.DUMMYFUNCTION("""COMPUTED_VALUE"""),0.0)</f>
        <v>0</v>
      </c>
      <c r="M99" s="46">
        <f>IFERROR(__xludf.DUMMYFUNCTION("""COMPUTED_VALUE"""),2.0)</f>
        <v>2</v>
      </c>
      <c r="N99" s="46">
        <f>IFERROR(__xludf.DUMMYFUNCTION("""COMPUTED_VALUE"""),1.0)</f>
        <v>1</v>
      </c>
      <c r="O99" s="48">
        <f>IFERROR(__xludf.DUMMYFUNCTION("""COMPUTED_VALUE"""),1.0)</f>
        <v>1</v>
      </c>
      <c r="P99" s="52">
        <f>IFERROR(__xludf.DUMMYFUNCTION("""COMPUTED_VALUE"""),1.04386329)</f>
        <v>1.04386329</v>
      </c>
    </row>
    <row r="100" hidden="1">
      <c r="A100" s="48" t="str">
        <f>IFERROR(__xludf.DUMMYFUNCTION("""COMPUTED_VALUE"""),"junho_VentiladorDeTeto")</f>
        <v>junho_VentiladorDeTeto</v>
      </c>
      <c r="B100" s="48">
        <f>IFERROR(__xludf.DUMMYFUNCTION("""COMPUTED_VALUE"""),2026.0)</f>
        <v>2026</v>
      </c>
      <c r="C100" s="49">
        <f>IFERROR(__xludf.DUMMYFUNCTION("""COMPUTED_VALUE"""),46194.0)</f>
        <v>46194</v>
      </c>
      <c r="D100" s="46">
        <f>IFERROR(__xludf.DUMMYFUNCTION("""COMPUTED_VALUE"""),11.0)</f>
        <v>11</v>
      </c>
      <c r="E100" s="46" t="str">
        <f>IFERROR(__xludf.DUMMYFUNCTION("""COMPUTED_VALUE"""),"VentiladorDeTeto")</f>
        <v>VentiladorDeTeto</v>
      </c>
      <c r="F100" s="46" t="str">
        <f>IFERROR(__xludf.DUMMYFUNCTION("""COMPUTED_VALUE"""),"Food and Fellowship")</f>
        <v>Food and Fellowship</v>
      </c>
      <c r="G100" s="46">
        <f>IFERROR(__xludf.DUMMYFUNCTION("""COMPUTED_VALUE"""),2.0)</f>
        <v>2</v>
      </c>
      <c r="H100" s="46">
        <f>IFERROR(__xludf.DUMMYFUNCTION("""COMPUTED_VALUE"""),4.0)</f>
        <v>4</v>
      </c>
      <c r="I100" s="50">
        <f>IFERROR(__xludf.DUMMYFUNCTION("""COMPUTED_VALUE"""),3.86)</f>
        <v>3.86</v>
      </c>
      <c r="J100" s="50">
        <f>IFERROR(__xludf.DUMMYFUNCTION("""COMPUTED_VALUE"""),3.29)</f>
        <v>3.29</v>
      </c>
      <c r="K100" s="51">
        <f>IFERROR(__xludf.DUMMYFUNCTION("""COMPUTED_VALUE"""),0.043863290000000006)</f>
        <v>0.04386329</v>
      </c>
      <c r="L100" s="46">
        <f>IFERROR(__xludf.DUMMYFUNCTION("""COMPUTED_VALUE"""),0.0)</f>
        <v>0</v>
      </c>
      <c r="M100" s="46">
        <f>IFERROR(__xludf.DUMMYFUNCTION("""COMPUTED_VALUE"""),2.0)</f>
        <v>2</v>
      </c>
      <c r="N100" s="46">
        <f>IFERROR(__xludf.DUMMYFUNCTION("""COMPUTED_VALUE"""),1.0)</f>
        <v>1</v>
      </c>
      <c r="O100" s="48">
        <f>IFERROR(__xludf.DUMMYFUNCTION("""COMPUTED_VALUE"""),1.0)</f>
        <v>1</v>
      </c>
      <c r="P100" s="52">
        <f>IFERROR(__xludf.DUMMYFUNCTION("""COMPUTED_VALUE"""),1.04386329)</f>
        <v>1.04386329</v>
      </c>
    </row>
    <row r="101">
      <c r="A101" s="48" t="str">
        <f>IFERROR(__xludf.DUMMYFUNCTION("""COMPUTED_VALUE"""),"junho_TendiNietzsche")</f>
        <v>junho_TendiNietzsche</v>
      </c>
      <c r="B101" s="48">
        <f>IFERROR(__xludf.DUMMYFUNCTION("""COMPUTED_VALUE"""),2026.0)</f>
        <v>2026</v>
      </c>
      <c r="C101" s="49">
        <f>IFERROR(__xludf.DUMMYFUNCTION("""COMPUTED_VALUE"""),46194.0)</f>
        <v>46194</v>
      </c>
      <c r="D101" s="46">
        <f>IFERROR(__xludf.DUMMYFUNCTION("""COMPUTED_VALUE"""),12.0)</f>
        <v>12</v>
      </c>
      <c r="E101" s="46" t="str">
        <f>IFERROR(__xludf.DUMMYFUNCTION("""COMPUTED_VALUE"""),"TendiNietzsche")</f>
        <v>TendiNietzsche</v>
      </c>
      <c r="F101" s="46" t="str">
        <f>IFERROR(__xludf.DUMMYFUNCTION("""COMPUTED_VALUE"""),"Counter Blitz")</f>
        <v>Counter Blitz</v>
      </c>
      <c r="G101" s="46">
        <f>IFERROR(__xludf.DUMMYFUNCTION("""COMPUTED_VALUE"""),1.0)</f>
        <v>1</v>
      </c>
      <c r="H101" s="46">
        <f>IFERROR(__xludf.DUMMYFUNCTION("""COMPUTED_VALUE"""),2.0)</f>
        <v>2</v>
      </c>
      <c r="I101" s="50">
        <f>IFERROR(__xludf.DUMMYFUNCTION("""COMPUTED_VALUE"""),2.71)</f>
        <v>2.71</v>
      </c>
      <c r="J101" s="50">
        <f>IFERROR(__xludf.DUMMYFUNCTION("""COMPUTED_VALUE"""),2.71)</f>
        <v>2.71</v>
      </c>
      <c r="K101" s="51">
        <f>IFERROR(__xludf.DUMMYFUNCTION("""COMPUTED_VALUE"""),0.02271271)</f>
        <v>0.02271271</v>
      </c>
      <c r="L101" s="46">
        <f>IFERROR(__xludf.DUMMYFUNCTION("""COMPUTED_VALUE"""),0.0)</f>
        <v>0</v>
      </c>
      <c r="M101" s="46">
        <f>IFERROR(__xludf.DUMMYFUNCTION("""COMPUTED_VALUE"""),1.0)</f>
        <v>1</v>
      </c>
      <c r="N101" s="46">
        <f>IFERROR(__xludf.DUMMYFUNCTION("""COMPUTED_VALUE"""),2.0)</f>
        <v>2</v>
      </c>
      <c r="O101" s="48">
        <f>IFERROR(__xludf.DUMMYFUNCTION("""COMPUTED_VALUE"""),1.0)</f>
        <v>1</v>
      </c>
      <c r="P101" s="52">
        <f>IFERROR(__xludf.DUMMYFUNCTION("""COMPUTED_VALUE"""),1.02271271)</f>
        <v>1.02271271</v>
      </c>
    </row>
    <row r="102" hidden="1">
      <c r="A102" s="48" t="str">
        <f>IFERROR(__xludf.DUMMYFUNCTION("""COMPUTED_VALUE"""),"junho_AndreVL")</f>
        <v>junho_AndreVL</v>
      </c>
      <c r="B102" s="48">
        <f>IFERROR(__xludf.DUMMYFUNCTION("""COMPUTED_VALUE"""),2026.0)</f>
        <v>2026</v>
      </c>
      <c r="C102" s="49">
        <f>IFERROR(__xludf.DUMMYFUNCTION("""COMPUTED_VALUE"""),46194.0)</f>
        <v>46194</v>
      </c>
      <c r="D102" s="46">
        <f>IFERROR(__xludf.DUMMYFUNCTION("""COMPUTED_VALUE"""),13.0)</f>
        <v>13</v>
      </c>
      <c r="E102" s="46" t="str">
        <f>IFERROR(__xludf.DUMMYFUNCTION("""COMPUTED_VALUE"""),"AndreVL")</f>
        <v>AndreVL</v>
      </c>
      <c r="F102" s="46" t="str">
        <f>IFERROR(__xludf.DUMMYFUNCTION("""COMPUTED_VALUE"""),"Temur Roar")</f>
        <v>Temur Roar</v>
      </c>
      <c r="G102" s="46">
        <f>IFERROR(__xludf.DUMMYFUNCTION("""COMPUTED_VALUE"""),1.0)</f>
        <v>1</v>
      </c>
      <c r="H102" s="46">
        <f>IFERROR(__xludf.DUMMYFUNCTION("""COMPUTED_VALUE"""),1.0)</f>
        <v>1</v>
      </c>
      <c r="I102" s="50">
        <f>IFERROR(__xludf.DUMMYFUNCTION("""COMPUTED_VALUE"""),2.57)</f>
        <v>2.57</v>
      </c>
      <c r="J102" s="50">
        <f>IFERROR(__xludf.DUMMYFUNCTION("""COMPUTED_VALUE"""),2.29)</f>
        <v>2.29</v>
      </c>
      <c r="K102" s="51">
        <f>IFERROR(__xludf.DUMMYFUNCTION("""COMPUTED_VALUE"""),0.01257229)</f>
        <v>0.01257229</v>
      </c>
      <c r="L102" s="46">
        <f>IFERROR(__xludf.DUMMYFUNCTION("""COMPUTED_VALUE"""),0.0)</f>
        <v>0</v>
      </c>
      <c r="M102" s="46">
        <f>IFERROR(__xludf.DUMMYFUNCTION("""COMPUTED_VALUE"""),1.0)</f>
        <v>1</v>
      </c>
      <c r="N102" s="46">
        <f>IFERROR(__xludf.DUMMYFUNCTION("""COMPUTED_VALUE"""),2.0)</f>
        <v>2</v>
      </c>
      <c r="O102" s="48">
        <f>IFERROR(__xludf.DUMMYFUNCTION("""COMPUTED_VALUE"""),1.0)</f>
        <v>1</v>
      </c>
      <c r="P102" s="52">
        <f>IFERROR(__xludf.DUMMYFUNCTION("""COMPUTED_VALUE"""),1.01257229)</f>
        <v>1.01257229</v>
      </c>
    </row>
    <row r="103" hidden="1">
      <c r="A103" s="48" t="str">
        <f>IFERROR(__xludf.DUMMYFUNCTION("""COMPUTED_VALUE"""),"junho_LuizSD")</f>
        <v>junho_LuizSD</v>
      </c>
      <c r="B103" s="48">
        <f>IFERROR(__xludf.DUMMYFUNCTION("""COMPUTED_VALUE"""),2026.0)</f>
        <v>2026</v>
      </c>
      <c r="C103" s="49">
        <f>IFERROR(__xludf.DUMMYFUNCTION("""COMPUTED_VALUE"""),46194.0)</f>
        <v>46194</v>
      </c>
      <c r="D103" s="46">
        <f>IFERROR(__xludf.DUMMYFUNCTION("""COMPUTED_VALUE"""),14.0)</f>
        <v>14</v>
      </c>
      <c r="E103" s="46" t="str">
        <f>IFERROR(__xludf.DUMMYFUNCTION("""COMPUTED_VALUE"""),"LuizSD")</f>
        <v>LuizSD</v>
      </c>
      <c r="F103" s="46" t="str">
        <f>IFERROR(__xludf.DUMMYFUNCTION("""COMPUTED_VALUE"""),"Scions &amp; Spellcraft")</f>
        <v>Scions &amp; Spellcraft</v>
      </c>
      <c r="G103" s="46">
        <f>IFERROR(__xludf.DUMMYFUNCTION("""COMPUTED_VALUE"""),1.0)</f>
        <v>1</v>
      </c>
      <c r="H103" s="46">
        <f>IFERROR(__xludf.DUMMYFUNCTION("""COMPUTED_VALUE"""),1.0)</f>
        <v>1</v>
      </c>
      <c r="I103" s="50">
        <f>IFERROR(__xludf.DUMMYFUNCTION("""COMPUTED_VALUE"""),2.57)</f>
        <v>2.57</v>
      </c>
      <c r="J103" s="50">
        <f>IFERROR(__xludf.DUMMYFUNCTION("""COMPUTED_VALUE"""),2.29)</f>
        <v>2.29</v>
      </c>
      <c r="K103" s="51">
        <f>IFERROR(__xludf.DUMMYFUNCTION("""COMPUTED_VALUE"""),0.01257229)</f>
        <v>0.01257229</v>
      </c>
      <c r="L103" s="46">
        <f>IFERROR(__xludf.DUMMYFUNCTION("""COMPUTED_VALUE"""),0.0)</f>
        <v>0</v>
      </c>
      <c r="M103" s="46">
        <f>IFERROR(__xludf.DUMMYFUNCTION("""COMPUTED_VALUE"""),1.0)</f>
        <v>1</v>
      </c>
      <c r="N103" s="46">
        <f>IFERROR(__xludf.DUMMYFUNCTION("""COMPUTED_VALUE"""),2.0)</f>
        <v>2</v>
      </c>
      <c r="O103" s="48">
        <f>IFERROR(__xludf.DUMMYFUNCTION("""COMPUTED_VALUE"""),1.0)</f>
        <v>1</v>
      </c>
      <c r="P103" s="52">
        <f>IFERROR(__xludf.DUMMYFUNCTION("""COMPUTED_VALUE"""),1.01257229)</f>
        <v>1.01257229</v>
      </c>
    </row>
    <row r="104" hidden="1">
      <c r="A104" s="48" t="str">
        <f>IFERROR(__xludf.DUMMYFUNCTION("""COMPUTED_VALUE"""),"junho_Theus Tech")</f>
        <v>junho_Theus Tech</v>
      </c>
      <c r="B104" s="48">
        <f>IFERROR(__xludf.DUMMYFUNCTION("""COMPUTED_VALUE"""),2026.0)</f>
        <v>2026</v>
      </c>
      <c r="C104" s="49">
        <f>IFERROR(__xludf.DUMMYFUNCTION("""COMPUTED_VALUE"""),46194.0)</f>
        <v>46194</v>
      </c>
      <c r="D104" s="46">
        <f>IFERROR(__xludf.DUMMYFUNCTION("""COMPUTED_VALUE"""),15.0)</f>
        <v>15</v>
      </c>
      <c r="E104" s="46" t="str">
        <f>IFERROR(__xludf.DUMMYFUNCTION("""COMPUTED_VALUE"""),"Theus Tech")</f>
        <v>Theus Tech</v>
      </c>
      <c r="F104" s="46" t="str">
        <f>IFERROR(__xludf.DUMMYFUNCTION("""COMPUTED_VALUE"""),"Blood Rites")</f>
        <v>Blood Rites</v>
      </c>
      <c r="G104" s="46">
        <f>IFERROR(__xludf.DUMMYFUNCTION("""COMPUTED_VALUE"""),1.0)</f>
        <v>1</v>
      </c>
      <c r="H104" s="46">
        <f>IFERROR(__xludf.DUMMYFUNCTION("""COMPUTED_VALUE"""),1.0)</f>
        <v>1</v>
      </c>
      <c r="I104" s="50">
        <f>IFERROR(__xludf.DUMMYFUNCTION("""COMPUTED_VALUE"""),2.0)</f>
        <v>2</v>
      </c>
      <c r="J104" s="50">
        <f>IFERROR(__xludf.DUMMYFUNCTION("""COMPUTED_VALUE"""),1.5)</f>
        <v>1.5</v>
      </c>
      <c r="K104" s="51">
        <f>IFERROR(__xludf.DUMMYFUNCTION("""COMPUTED_VALUE"""),0.0120015)</f>
        <v>0.0120015</v>
      </c>
      <c r="L104" s="46">
        <f>IFERROR(__xludf.DUMMYFUNCTION("""COMPUTED_VALUE"""),0.0)</f>
        <v>0</v>
      </c>
      <c r="M104" s="46">
        <f>IFERROR(__xludf.DUMMYFUNCTION("""COMPUTED_VALUE"""),1.0)</f>
        <v>1</v>
      </c>
      <c r="N104" s="46">
        <f>IFERROR(__xludf.DUMMYFUNCTION("""COMPUTED_VALUE"""),2.0)</f>
        <v>2</v>
      </c>
      <c r="O104" s="48">
        <f>IFERROR(__xludf.DUMMYFUNCTION("""COMPUTED_VALUE"""),1.0)</f>
        <v>1</v>
      </c>
      <c r="P104" s="52">
        <f>IFERROR(__xludf.DUMMYFUNCTION("""COMPUTED_VALUE"""),1.0120015)</f>
        <v>1.0120015</v>
      </c>
    </row>
    <row r="105" hidden="1">
      <c r="A105" s="48" t="str">
        <f>IFERROR(__xludf.DUMMYFUNCTION("""COMPUTED_VALUE"""),"junho_Bife")</f>
        <v>junho_Bife</v>
      </c>
      <c r="B105" s="48">
        <f>IFERROR(__xludf.DUMMYFUNCTION("""COMPUTED_VALUE"""),2026.0)</f>
        <v>2026</v>
      </c>
      <c r="C105" s="49">
        <f>IFERROR(__xludf.DUMMYFUNCTION("""COMPUTED_VALUE"""),46194.0)</f>
        <v>46194</v>
      </c>
      <c r="D105" s="46">
        <f>IFERROR(__xludf.DUMMYFUNCTION("""COMPUTED_VALUE"""),16.0)</f>
        <v>16</v>
      </c>
      <c r="E105" s="46" t="str">
        <f>IFERROR(__xludf.DUMMYFUNCTION("""COMPUTED_VALUE"""),"Bife")</f>
        <v>Bife</v>
      </c>
      <c r="F105" s="46" t="str">
        <f>IFERROR(__xludf.DUMMYFUNCTION("""COMPUTED_VALUE"""),"Mutant Menace")</f>
        <v>Mutant Menace</v>
      </c>
      <c r="G105" s="46">
        <f>IFERROR(__xludf.DUMMYFUNCTION("""COMPUTED_VALUE"""),0.0)</f>
        <v>0</v>
      </c>
      <c r="H105" s="46">
        <f>IFERROR(__xludf.DUMMYFUNCTION("""COMPUTED_VALUE"""),0.0)</f>
        <v>0</v>
      </c>
      <c r="I105" s="50">
        <f>IFERROR(__xludf.DUMMYFUNCTION("""COMPUTED_VALUE"""),2.13)</f>
        <v>2.13</v>
      </c>
      <c r="J105" s="50">
        <f>IFERROR(__xludf.DUMMYFUNCTION("""COMPUTED_VALUE"""),1.13)</f>
        <v>1.13</v>
      </c>
      <c r="K105" s="51">
        <f>IFERROR(__xludf.DUMMYFUNCTION("""COMPUTED_VALUE"""),0.0021311299999999997)</f>
        <v>0.00213113</v>
      </c>
      <c r="L105" s="46">
        <f>IFERROR(__xludf.DUMMYFUNCTION("""COMPUTED_VALUE"""),0.0)</f>
        <v>0</v>
      </c>
      <c r="M105" s="46">
        <f>IFERROR(__xludf.DUMMYFUNCTION("""COMPUTED_VALUE"""),0.0)</f>
        <v>0</v>
      </c>
      <c r="N105" s="46">
        <f>IFERROR(__xludf.DUMMYFUNCTION("""COMPUTED_VALUE"""),3.0)</f>
        <v>3</v>
      </c>
      <c r="O105" s="48">
        <f>IFERROR(__xludf.DUMMYFUNCTION("""COMPUTED_VALUE"""),1.0)</f>
        <v>1</v>
      </c>
      <c r="P105" s="52">
        <f>IFERROR(__xludf.DUMMYFUNCTION("""COMPUTED_VALUE"""),1.00213113)</f>
        <v>1.00213113</v>
      </c>
    </row>
    <row r="106" hidden="1">
      <c r="A106" s="48" t="str">
        <f>IFERROR(__xludf.DUMMYFUNCTION("""COMPUTED_VALUE"""),"junho_caiobmbh")</f>
        <v>junho_caiobmbh</v>
      </c>
      <c r="B106" s="48">
        <f>IFERROR(__xludf.DUMMYFUNCTION("""COMPUTED_VALUE"""),2026.0)</f>
        <v>2026</v>
      </c>
      <c r="C106" s="49">
        <f>IFERROR(__xludf.DUMMYFUNCTION("""COMPUTED_VALUE"""),46194.0)</f>
        <v>46194</v>
      </c>
      <c r="D106" s="46">
        <f>IFERROR(__xludf.DUMMYFUNCTION("""COMPUTED_VALUE"""),17.0)</f>
        <v>17</v>
      </c>
      <c r="E106" s="46" t="str">
        <f>IFERROR(__xludf.DUMMYFUNCTION("""COMPUTED_VALUE"""),"caiobmbh")</f>
        <v>caiobmbh</v>
      </c>
      <c r="F106" s="46" t="str">
        <f>IFERROR(__xludf.DUMMYFUNCTION("""COMPUTED_VALUE"""),"Counter Intelligence")</f>
        <v>Counter Intelligence</v>
      </c>
      <c r="G106" s="46">
        <f>IFERROR(__xludf.DUMMYFUNCTION("""COMPUTED_VALUE"""),0.0)</f>
        <v>0</v>
      </c>
      <c r="H106" s="46">
        <f>IFERROR(__xludf.DUMMYFUNCTION("""COMPUTED_VALUE"""),0.0)</f>
        <v>0</v>
      </c>
      <c r="I106" s="50">
        <f>IFERROR(__xludf.DUMMYFUNCTION("""COMPUTED_VALUE"""),2.13)</f>
        <v>2.13</v>
      </c>
      <c r="J106" s="50">
        <f>IFERROR(__xludf.DUMMYFUNCTION("""COMPUTED_VALUE"""),1.13)</f>
        <v>1.13</v>
      </c>
      <c r="K106" s="51">
        <f>IFERROR(__xludf.DUMMYFUNCTION("""COMPUTED_VALUE"""),0.0021311299999999997)</f>
        <v>0.00213113</v>
      </c>
      <c r="L106" s="46">
        <f>IFERROR(__xludf.DUMMYFUNCTION("""COMPUTED_VALUE"""),0.0)</f>
        <v>0</v>
      </c>
      <c r="M106" s="46">
        <f>IFERROR(__xludf.DUMMYFUNCTION("""COMPUTED_VALUE"""),0.0)</f>
        <v>0</v>
      </c>
      <c r="N106" s="46">
        <f>IFERROR(__xludf.DUMMYFUNCTION("""COMPUTED_VALUE"""),3.0)</f>
        <v>3</v>
      </c>
      <c r="O106" s="48">
        <f>IFERROR(__xludf.DUMMYFUNCTION("""COMPUTED_VALUE"""),1.0)</f>
        <v>1</v>
      </c>
      <c r="P106" s="52">
        <f>IFERROR(__xludf.DUMMYFUNCTION("""COMPUTED_VALUE"""),1.00213113)</f>
        <v>1.00213113</v>
      </c>
    </row>
    <row r="107" hidden="1">
      <c r="A107" s="48" t="str">
        <f>IFERROR(__xludf.DUMMYFUNCTION("""COMPUTED_VALUE"""),"junho_ViniCVR")</f>
        <v>junho_ViniCVR</v>
      </c>
      <c r="B107" s="48">
        <f>IFERROR(__xludf.DUMMYFUNCTION("""COMPUTED_VALUE"""),2026.0)</f>
        <v>2026</v>
      </c>
      <c r="C107" s="49">
        <f>IFERROR(__xludf.DUMMYFUNCTION("""COMPUTED_VALUE"""),46194.0)</f>
        <v>46194</v>
      </c>
      <c r="D107" s="46">
        <f>IFERROR(__xludf.DUMMYFUNCTION("""COMPUTED_VALUE"""),18.0)</f>
        <v>18</v>
      </c>
      <c r="E107" s="46" t="str">
        <f>IFERROR(__xludf.DUMMYFUNCTION("""COMPUTED_VALUE"""),"ViniCVR")</f>
        <v>ViniCVR</v>
      </c>
      <c r="F107" s="46" t="str">
        <f>IFERROR(__xludf.DUMMYFUNCTION("""COMPUTED_VALUE"""),"Dance of the Elements")</f>
        <v>Dance of the Elements</v>
      </c>
      <c r="G107" s="46">
        <f>IFERROR(__xludf.DUMMYFUNCTION("""COMPUTED_VALUE"""),0.0)</f>
        <v>0</v>
      </c>
      <c r="H107" s="46">
        <f>IFERROR(__xludf.DUMMYFUNCTION("""COMPUTED_VALUE"""),0.0)</f>
        <v>0</v>
      </c>
      <c r="I107" s="50">
        <f>IFERROR(__xludf.DUMMYFUNCTION("""COMPUTED_VALUE"""),2.0)</f>
        <v>2</v>
      </c>
      <c r="J107" s="50">
        <f>IFERROR(__xludf.DUMMYFUNCTION("""COMPUTED_VALUE"""),0.83)</f>
        <v>0.83</v>
      </c>
      <c r="K107" s="51">
        <f>IFERROR(__xludf.DUMMYFUNCTION("""COMPUTED_VALUE"""),0.00200083)</f>
        <v>0.00200083</v>
      </c>
      <c r="L107" s="46">
        <f>IFERROR(__xludf.DUMMYFUNCTION("""COMPUTED_VALUE"""),0.0)</f>
        <v>0</v>
      </c>
      <c r="M107" s="46">
        <f>IFERROR(__xludf.DUMMYFUNCTION("""COMPUTED_VALUE"""),0.0)</f>
        <v>0</v>
      </c>
      <c r="N107" s="46">
        <f>IFERROR(__xludf.DUMMYFUNCTION("""COMPUTED_VALUE"""),3.0)</f>
        <v>3</v>
      </c>
      <c r="O107" s="48">
        <f>IFERROR(__xludf.DUMMYFUNCTION("""COMPUTED_VALUE"""),1.0)</f>
        <v>1</v>
      </c>
      <c r="P107" s="52">
        <f>IFERROR(__xludf.DUMMYFUNCTION("""COMPUTED_VALUE"""),1.00200083)</f>
        <v>1.00200083</v>
      </c>
    </row>
    <row r="108" hidden="1">
      <c r="A108" s="48" t="str">
        <f>IFERROR(__xludf.DUMMYFUNCTION("""COMPUTED_VALUE"""),"junho_Campera")</f>
        <v>junho_Campera</v>
      </c>
      <c r="B108" s="48">
        <f>IFERROR(__xludf.DUMMYFUNCTION("""COMPUTED_VALUE"""),2026.0)</f>
        <v>2026</v>
      </c>
      <c r="C108" s="49">
        <f>IFERROR(__xludf.DUMMYFUNCTION("""COMPUTED_VALUE"""),46194.0)</f>
        <v>46194</v>
      </c>
      <c r="D108" s="46">
        <f>IFERROR(__xludf.DUMMYFUNCTION("""COMPUTED_VALUE"""),19.0)</f>
        <v>19</v>
      </c>
      <c r="E108" s="46" t="str">
        <f>IFERROR(__xludf.DUMMYFUNCTION("""COMPUTED_VALUE"""),"Campera")</f>
        <v>Campera</v>
      </c>
      <c r="F108" s="46" t="str">
        <f>IFERROR(__xludf.DUMMYFUNCTION("""COMPUTED_VALUE"""),"Creative Energy")</f>
        <v>Creative Energy</v>
      </c>
      <c r="G108" s="46">
        <f>IFERROR(__xludf.DUMMYFUNCTION("""COMPUTED_VALUE"""),0.0)</f>
        <v>0</v>
      </c>
      <c r="H108" s="46">
        <f>IFERROR(__xludf.DUMMYFUNCTION("""COMPUTED_VALUE"""),0.0)</f>
        <v>0</v>
      </c>
      <c r="I108" s="50">
        <f>IFERROR(__xludf.DUMMYFUNCTION("""COMPUTED_VALUE"""),1.89)</f>
        <v>1.89</v>
      </c>
      <c r="J108" s="50">
        <f>IFERROR(__xludf.DUMMYFUNCTION("""COMPUTED_VALUE"""),1.44)</f>
        <v>1.44</v>
      </c>
      <c r="K108" s="51">
        <f>IFERROR(__xludf.DUMMYFUNCTION("""COMPUTED_VALUE"""),0.0018914399999999999)</f>
        <v>0.00189144</v>
      </c>
      <c r="L108" s="46">
        <f>IFERROR(__xludf.DUMMYFUNCTION("""COMPUTED_VALUE"""),0.0)</f>
        <v>0</v>
      </c>
      <c r="M108" s="46">
        <f>IFERROR(__xludf.DUMMYFUNCTION("""COMPUTED_VALUE"""),0.0)</f>
        <v>0</v>
      </c>
      <c r="N108" s="46">
        <f>IFERROR(__xludf.DUMMYFUNCTION("""COMPUTED_VALUE"""),3.0)</f>
        <v>3</v>
      </c>
      <c r="O108" s="48">
        <f>IFERROR(__xludf.DUMMYFUNCTION("""COMPUTED_VALUE"""),1.0)</f>
        <v>1</v>
      </c>
      <c r="P108" s="52">
        <f>IFERROR(__xludf.DUMMYFUNCTION("""COMPUTED_VALUE"""),1.00189144)</f>
        <v>1.00189144</v>
      </c>
    </row>
    <row r="109" hidden="1">
      <c r="A109" s="48" t="str">
        <f>IFERROR(__xludf.DUMMYFUNCTION("""COMPUTED_VALUE"""),"junho_Eduardo Bachman")</f>
        <v>junho_Eduardo Bachman</v>
      </c>
      <c r="B109" s="48">
        <f>IFERROR(__xludf.DUMMYFUNCTION("""COMPUTED_VALUE"""),2026.0)</f>
        <v>2026</v>
      </c>
      <c r="C109" s="49">
        <f>IFERROR(__xludf.DUMMYFUNCTION("""COMPUTED_VALUE"""),46194.0)</f>
        <v>46194</v>
      </c>
      <c r="D109" s="46">
        <f>IFERROR(__xludf.DUMMYFUNCTION("""COMPUTED_VALUE"""),20.0)</f>
        <v>20</v>
      </c>
      <c r="E109" s="46" t="str">
        <f>IFERROR(__xludf.DUMMYFUNCTION("""COMPUTED_VALUE"""),"Eduardo Bachman")</f>
        <v>Eduardo Bachman</v>
      </c>
      <c r="F109" s="46" t="str">
        <f>IFERROR(__xludf.DUMMYFUNCTION("""COMPUTED_VALUE"""),"Turtle Power!")</f>
        <v>Turtle Power!</v>
      </c>
      <c r="G109" s="46">
        <f>IFERROR(__xludf.DUMMYFUNCTION("""COMPUTED_VALUE"""),0.0)</f>
        <v>0</v>
      </c>
      <c r="H109" s="46">
        <f>IFERROR(__xludf.DUMMYFUNCTION("""COMPUTED_VALUE"""),0.0)</f>
        <v>0</v>
      </c>
      <c r="I109" s="50">
        <f>IFERROR(__xludf.DUMMYFUNCTION("""COMPUTED_VALUE"""),1.29)</f>
        <v>1.29</v>
      </c>
      <c r="J109" s="50">
        <f>IFERROR(__xludf.DUMMYFUNCTION("""COMPUTED_VALUE"""),0.43)</f>
        <v>0.43</v>
      </c>
      <c r="K109" s="51">
        <f>IFERROR(__xludf.DUMMYFUNCTION("""COMPUTED_VALUE"""),0.00129043)</f>
        <v>0.00129043</v>
      </c>
      <c r="L109" s="46">
        <f>IFERROR(__xludf.DUMMYFUNCTION("""COMPUTED_VALUE"""),0.0)</f>
        <v>0</v>
      </c>
      <c r="M109" s="46">
        <f>IFERROR(__xludf.DUMMYFUNCTION("""COMPUTED_VALUE"""),0.0)</f>
        <v>0</v>
      </c>
      <c r="N109" s="46">
        <f>IFERROR(__xludf.DUMMYFUNCTION("""COMPUTED_VALUE"""),2.0)</f>
        <v>2</v>
      </c>
      <c r="O109" s="48">
        <f>IFERROR(__xludf.DUMMYFUNCTION("""COMPUTED_VALUE"""),1.0)</f>
        <v>1</v>
      </c>
      <c r="P109" s="52">
        <f>IFERROR(__xludf.DUMMYFUNCTION("""COMPUTED_VALUE"""),1.00129043)</f>
        <v>1.00129043</v>
      </c>
    </row>
    <row r="110" hidden="1">
      <c r="A110" s="48" t="str">
        <f>IFERROR(__xludf.DUMMYFUNCTION("""COMPUTED_VALUE"""),"junho_Obake")</f>
        <v>junho_Obake</v>
      </c>
      <c r="B110" s="48">
        <f>IFERROR(__xludf.DUMMYFUNCTION("""COMPUTED_VALUE"""),2026.0)</f>
        <v>2026</v>
      </c>
      <c r="C110" s="49">
        <f>IFERROR(__xludf.DUMMYFUNCTION("""COMPUTED_VALUE"""),46194.0)</f>
        <v>46194</v>
      </c>
      <c r="D110" s="46">
        <f>IFERROR(__xludf.DUMMYFUNCTION("""COMPUTED_VALUE"""),21.0)</f>
        <v>21</v>
      </c>
      <c r="E110" s="46" t="str">
        <f>IFERROR(__xludf.DUMMYFUNCTION("""COMPUTED_VALUE"""),"Obake")</f>
        <v>Obake</v>
      </c>
      <c r="F110" s="46" t="str">
        <f>IFERROR(__xludf.DUMMYFUNCTION("""COMPUTED_VALUE"""),"Scions &amp; Spellcraft")</f>
        <v>Scions &amp; Spellcraft</v>
      </c>
      <c r="G110" s="46">
        <f>IFERROR(__xludf.DUMMYFUNCTION("""COMPUTED_VALUE"""),0.0)</f>
        <v>0</v>
      </c>
      <c r="H110" s="46">
        <f>IFERROR(__xludf.DUMMYFUNCTION("""COMPUTED_VALUE"""),0.0)</f>
        <v>0</v>
      </c>
      <c r="I110" s="50">
        <f>IFERROR(__xludf.DUMMYFUNCTION("""COMPUTED_VALUE"""),0.0)</f>
        <v>0</v>
      </c>
      <c r="J110" s="50">
        <f>IFERROR(__xludf.DUMMYFUNCTION("""COMPUTED_VALUE"""),0.0)</f>
        <v>0</v>
      </c>
      <c r="K110" s="51">
        <f>IFERROR(__xludf.DUMMYFUNCTION("""COMPUTED_VALUE"""),0.0)</f>
        <v>0</v>
      </c>
      <c r="L110" s="46">
        <f>IFERROR(__xludf.DUMMYFUNCTION("""COMPUTED_VALUE"""),0.0)</f>
        <v>0</v>
      </c>
      <c r="M110" s="46">
        <f>IFERROR(__xludf.DUMMYFUNCTION("""COMPUTED_VALUE"""),0.0)</f>
        <v>0</v>
      </c>
      <c r="N110" s="46">
        <f>IFERROR(__xludf.DUMMYFUNCTION("""COMPUTED_VALUE"""),1.0)</f>
        <v>1</v>
      </c>
      <c r="O110" s="48">
        <f>IFERROR(__xludf.DUMMYFUNCTION("""COMPUTED_VALUE"""),1.0)</f>
        <v>1</v>
      </c>
      <c r="P110" s="52">
        <f>IFERROR(__xludf.DUMMYFUNCTION("""COMPUTED_VALUE"""),1.0)</f>
        <v>1</v>
      </c>
    </row>
    <row r="111" hidden="1">
      <c r="A111" s="48" t="str">
        <f>IFERROR(__xludf.DUMMYFUNCTION("""COMPUTED_VALUE"""),"julho_Montezuma")</f>
        <v>julho_Montezuma</v>
      </c>
      <c r="B111" s="48">
        <f>IFERROR(__xludf.DUMMYFUNCTION("""COMPUTED_VALUE"""),2026.0)</f>
        <v>2026</v>
      </c>
      <c r="C111" s="49">
        <f>IFERROR(__xludf.DUMMYFUNCTION("""COMPUTED_VALUE"""),46221.0)</f>
        <v>46221</v>
      </c>
      <c r="D111" s="46">
        <f>IFERROR(__xludf.DUMMYFUNCTION("""COMPUTED_VALUE"""),1.0)</f>
        <v>1</v>
      </c>
      <c r="E111" s="46" t="str">
        <f>IFERROR(__xludf.DUMMYFUNCTION("""COMPUTED_VALUE"""),"Montezuma")</f>
        <v>Montezuma</v>
      </c>
      <c r="F111" s="46" t="str">
        <f>IFERROR(__xludf.DUMMYFUNCTION("""COMPUTED_VALUE"""),"Reap the Tides")</f>
        <v>Reap the Tides</v>
      </c>
      <c r="G111" s="46">
        <f>IFERROR(__xludf.DUMMYFUNCTION("""COMPUTED_VALUE"""),7.0)</f>
        <v>7</v>
      </c>
      <c r="H111" s="46">
        <f>IFERROR(__xludf.DUMMYFUNCTION("""COMPUTED_VALUE"""),6.0)</f>
        <v>6</v>
      </c>
      <c r="I111" s="50">
        <f>IFERROR(__xludf.DUMMYFUNCTION("""COMPUTED_VALUE"""),2.67)</f>
        <v>2.67</v>
      </c>
      <c r="J111" s="50">
        <f>IFERROR(__xludf.DUMMYFUNCTION("""COMPUTED_VALUE"""),2.89)</f>
        <v>2.89</v>
      </c>
      <c r="K111" s="51">
        <f>IFERROR(__xludf.DUMMYFUNCTION("""COMPUTED_VALUE"""),0.36267288999999997)</f>
        <v>0.36267289</v>
      </c>
      <c r="L111" s="46">
        <f>IFERROR(__xludf.DUMMYFUNCTION("""COMPUTED_VALUE"""),3.0)</f>
        <v>3</v>
      </c>
      <c r="M111" s="46">
        <f>IFERROR(__xludf.DUMMYFUNCTION("""COMPUTED_VALUE"""),1.0)</f>
        <v>1</v>
      </c>
      <c r="N111" s="46">
        <f>IFERROR(__xludf.DUMMYFUNCTION("""COMPUTED_VALUE"""),0.0)</f>
        <v>0</v>
      </c>
      <c r="O111" s="48">
        <f>IFERROR(__xludf.DUMMYFUNCTION("""COMPUTED_VALUE"""),3.0)</f>
        <v>3</v>
      </c>
      <c r="P111" s="52">
        <f>IFERROR(__xludf.DUMMYFUNCTION("""COMPUTED_VALUE"""),3.36267289)</f>
        <v>3.36267289</v>
      </c>
    </row>
    <row r="112" hidden="1">
      <c r="A112" s="48" t="str">
        <f>IFERROR(__xludf.DUMMYFUNCTION("""COMPUTED_VALUE"""),"julho_Crothen")</f>
        <v>julho_Crothen</v>
      </c>
      <c r="B112" s="48">
        <f>IFERROR(__xludf.DUMMYFUNCTION("""COMPUTED_VALUE"""),2026.0)</f>
        <v>2026</v>
      </c>
      <c r="C112" s="49">
        <f>IFERROR(__xludf.DUMMYFUNCTION("""COMPUTED_VALUE"""),46221.0)</f>
        <v>46221</v>
      </c>
      <c r="D112" s="46">
        <f>IFERROR(__xludf.DUMMYFUNCTION("""COMPUTED_VALUE"""),2.0)</f>
        <v>2</v>
      </c>
      <c r="E112" s="46" t="str">
        <f>IFERROR(__xludf.DUMMYFUNCTION("""COMPUTED_VALUE"""),"Crothen")</f>
        <v>Crothen</v>
      </c>
      <c r="F112" s="46" t="str">
        <f>IFERROR(__xludf.DUMMYFUNCTION("""COMPUTED_VALUE"""),"Corrupting Influence")</f>
        <v>Corrupting Influence</v>
      </c>
      <c r="G112" s="46">
        <f>IFERROR(__xludf.DUMMYFUNCTION("""COMPUTED_VALUE"""),6.0)</f>
        <v>6</v>
      </c>
      <c r="H112" s="46">
        <f>IFERROR(__xludf.DUMMYFUNCTION("""COMPUTED_VALUE"""),3.0)</f>
        <v>3</v>
      </c>
      <c r="I112" s="50">
        <f>IFERROR(__xludf.DUMMYFUNCTION("""COMPUTED_VALUE"""),2.78)</f>
        <v>2.78</v>
      </c>
      <c r="J112" s="50">
        <f>IFERROR(__xludf.DUMMYFUNCTION("""COMPUTED_VALUE"""),2.56)</f>
        <v>2.56</v>
      </c>
      <c r="K112" s="51">
        <f>IFERROR(__xludf.DUMMYFUNCTION("""COMPUTED_VALUE"""),0.23278256000000003)</f>
        <v>0.23278256</v>
      </c>
      <c r="L112" s="46">
        <f>IFERROR(__xludf.DUMMYFUNCTION("""COMPUTED_VALUE"""),2.0)</f>
        <v>2</v>
      </c>
      <c r="M112" s="46">
        <f>IFERROR(__xludf.DUMMYFUNCTION("""COMPUTED_VALUE"""),0.0)</f>
        <v>0</v>
      </c>
      <c r="N112" s="46">
        <f>IFERROR(__xludf.DUMMYFUNCTION("""COMPUTED_VALUE"""),2.0)</f>
        <v>2</v>
      </c>
      <c r="O112" s="48">
        <f>IFERROR(__xludf.DUMMYFUNCTION("""COMPUTED_VALUE"""),2.0)</f>
        <v>2</v>
      </c>
      <c r="P112" s="52">
        <f>IFERROR(__xludf.DUMMYFUNCTION("""COMPUTED_VALUE"""),2.23278256)</f>
        <v>2.23278256</v>
      </c>
    </row>
    <row r="113" hidden="1">
      <c r="A113" s="48" t="str">
        <f>IFERROR(__xludf.DUMMYFUNCTION("""COMPUTED_VALUE"""),"julho_Theus Tech")</f>
        <v>julho_Theus Tech</v>
      </c>
      <c r="B113" s="48">
        <f>IFERROR(__xludf.DUMMYFUNCTION("""COMPUTED_VALUE"""),2026.0)</f>
        <v>2026</v>
      </c>
      <c r="C113" s="49">
        <f>IFERROR(__xludf.DUMMYFUNCTION("""COMPUTED_VALUE"""),46221.0)</f>
        <v>46221</v>
      </c>
      <c r="D113" s="46">
        <f>IFERROR(__xludf.DUMMYFUNCTION("""COMPUTED_VALUE"""),3.0)</f>
        <v>3</v>
      </c>
      <c r="E113" s="46" t="str">
        <f>IFERROR(__xludf.DUMMYFUNCTION("""COMPUTED_VALUE"""),"Theus Tech")</f>
        <v>Theus Tech</v>
      </c>
      <c r="F113" s="46" t="str">
        <f>IFERROR(__xludf.DUMMYFUNCTION("""COMPUTED_VALUE"""),"Quandrix Unlimited")</f>
        <v>Quandrix Unlimited</v>
      </c>
      <c r="G113" s="46">
        <f>IFERROR(__xludf.DUMMYFUNCTION("""COMPUTED_VALUE"""),6.0)</f>
        <v>6</v>
      </c>
      <c r="H113" s="46">
        <f>IFERROR(__xludf.DUMMYFUNCTION("""COMPUTED_VALUE"""),3.0)</f>
        <v>3</v>
      </c>
      <c r="I113" s="50">
        <f>IFERROR(__xludf.DUMMYFUNCTION("""COMPUTED_VALUE"""),1.38)</f>
        <v>1.38</v>
      </c>
      <c r="J113" s="50">
        <f>IFERROR(__xludf.DUMMYFUNCTION("""COMPUTED_VALUE"""),1.25)</f>
        <v>1.25</v>
      </c>
      <c r="K113" s="51">
        <f>IFERROR(__xludf.DUMMYFUNCTION("""COMPUTED_VALUE"""),0.23138125)</f>
        <v>0.23138125</v>
      </c>
      <c r="L113" s="46">
        <f>IFERROR(__xludf.DUMMYFUNCTION("""COMPUTED_VALUE"""),2.0)</f>
        <v>2</v>
      </c>
      <c r="M113" s="46">
        <f>IFERROR(__xludf.DUMMYFUNCTION("""COMPUTED_VALUE"""),0.0)</f>
        <v>0</v>
      </c>
      <c r="N113" s="46">
        <f>IFERROR(__xludf.DUMMYFUNCTION("""COMPUTED_VALUE"""),2.0)</f>
        <v>2</v>
      </c>
      <c r="O113" s="48">
        <f>IFERROR(__xludf.DUMMYFUNCTION("""COMPUTED_VALUE"""),2.0)</f>
        <v>2</v>
      </c>
      <c r="P113" s="52">
        <f>IFERROR(__xludf.DUMMYFUNCTION("""COMPUTED_VALUE"""),2.23138125)</f>
        <v>2.23138125</v>
      </c>
    </row>
    <row r="114" hidden="1">
      <c r="A114" s="48" t="str">
        <f>IFERROR(__xludf.DUMMYFUNCTION("""COMPUTED_VALUE"""),"julho_Campera")</f>
        <v>julho_Campera</v>
      </c>
      <c r="B114" s="48">
        <f>IFERROR(__xludf.DUMMYFUNCTION("""COMPUTED_VALUE"""),2026.0)</f>
        <v>2026</v>
      </c>
      <c r="C114" s="49">
        <f>IFERROR(__xludf.DUMMYFUNCTION("""COMPUTED_VALUE"""),46221.0)</f>
        <v>46221</v>
      </c>
      <c r="D114" s="46">
        <f>IFERROR(__xludf.DUMMYFUNCTION("""COMPUTED_VALUE"""),4.0)</f>
        <v>4</v>
      </c>
      <c r="E114" s="46" t="str">
        <f>IFERROR(__xludf.DUMMYFUNCTION("""COMPUTED_VALUE"""),"Campera")</f>
        <v>Campera</v>
      </c>
      <c r="F114" s="46" t="str">
        <f>IFERROR(__xludf.DUMMYFUNCTION("""COMPUTED_VALUE"""),"Quandrix Unlimited")</f>
        <v>Quandrix Unlimited</v>
      </c>
      <c r="G114" s="46">
        <f>IFERROR(__xludf.DUMMYFUNCTION("""COMPUTED_VALUE"""),4.0)</f>
        <v>4</v>
      </c>
      <c r="H114" s="46">
        <f>IFERROR(__xludf.DUMMYFUNCTION("""COMPUTED_VALUE"""),3.0)</f>
        <v>3</v>
      </c>
      <c r="I114" s="50">
        <f>IFERROR(__xludf.DUMMYFUNCTION("""COMPUTED_VALUE"""),1.67)</f>
        <v>1.67</v>
      </c>
      <c r="J114" s="50">
        <f>IFERROR(__xludf.DUMMYFUNCTION("""COMPUTED_VALUE"""),1.0)</f>
        <v>1</v>
      </c>
      <c r="K114" s="51">
        <f>IFERROR(__xludf.DUMMYFUNCTION("""COMPUTED_VALUE"""),0.131671)</f>
        <v>0.131671</v>
      </c>
      <c r="L114" s="46">
        <f>IFERROR(__xludf.DUMMYFUNCTION("""COMPUTED_VALUE"""),1.0)</f>
        <v>1</v>
      </c>
      <c r="M114" s="46">
        <f>IFERROR(__xludf.DUMMYFUNCTION("""COMPUTED_VALUE"""),1.0)</f>
        <v>1</v>
      </c>
      <c r="N114" s="46">
        <f>IFERROR(__xludf.DUMMYFUNCTION("""COMPUTED_VALUE"""),2.0)</f>
        <v>2</v>
      </c>
      <c r="O114" s="48">
        <f>IFERROR(__xludf.DUMMYFUNCTION("""COMPUTED_VALUE"""),2.0)</f>
        <v>2</v>
      </c>
      <c r="P114" s="52">
        <f>IFERROR(__xludf.DUMMYFUNCTION("""COMPUTED_VALUE"""),2.131671)</f>
        <v>2.131671</v>
      </c>
    </row>
    <row r="115" hidden="1">
      <c r="A115" s="48" t="str">
        <f>IFERROR(__xludf.DUMMYFUNCTION("""COMPUTED_VALUE"""),"julho_Euclides")</f>
        <v>julho_Euclides</v>
      </c>
      <c r="B115" s="48">
        <f>IFERROR(__xludf.DUMMYFUNCTION("""COMPUTED_VALUE"""),2026.0)</f>
        <v>2026</v>
      </c>
      <c r="C115" s="49">
        <f>IFERROR(__xludf.DUMMYFUNCTION("""COMPUTED_VALUE"""),46221.0)</f>
        <v>46221</v>
      </c>
      <c r="D115" s="46">
        <f>IFERROR(__xludf.DUMMYFUNCTION("""COMPUTED_VALUE"""),5.0)</f>
        <v>5</v>
      </c>
      <c r="E115" s="46" t="str">
        <f>IFERROR(__xludf.DUMMYFUNCTION("""COMPUTED_VALUE"""),"Euclides")</f>
        <v>Euclides</v>
      </c>
      <c r="F115" s="46" t="str">
        <f>IFERROR(__xludf.DUMMYFUNCTION("""COMPUTED_VALUE"""),"Blight Curse")</f>
        <v>Blight Curse</v>
      </c>
      <c r="G115" s="46">
        <f>IFERROR(__xludf.DUMMYFUNCTION("""COMPUTED_VALUE"""),4.0)</f>
        <v>4</v>
      </c>
      <c r="H115" s="46">
        <f>IFERROR(__xludf.DUMMYFUNCTION("""COMPUTED_VALUE"""),1.0)</f>
        <v>1</v>
      </c>
      <c r="I115" s="50">
        <f>IFERROR(__xludf.DUMMYFUNCTION("""COMPUTED_VALUE"""),3.0)</f>
        <v>3</v>
      </c>
      <c r="J115" s="50">
        <f>IFERROR(__xludf.DUMMYFUNCTION("""COMPUTED_VALUE"""),4.5)</f>
        <v>4.5</v>
      </c>
      <c r="K115" s="51">
        <f>IFERROR(__xludf.DUMMYFUNCTION("""COMPUTED_VALUE"""),0.0130045)</f>
        <v>0.0130045</v>
      </c>
      <c r="L115" s="46">
        <f>IFERROR(__xludf.DUMMYFUNCTION("""COMPUTED_VALUE"""),0.0)</f>
        <v>0</v>
      </c>
      <c r="M115" s="46">
        <f>IFERROR(__xludf.DUMMYFUNCTION("""COMPUTED_VALUE"""),1.0)</f>
        <v>1</v>
      </c>
      <c r="N115" s="46">
        <f>IFERROR(__xludf.DUMMYFUNCTION("""COMPUTED_VALUE"""),1.0)</f>
        <v>1</v>
      </c>
      <c r="O115" s="48">
        <f>IFERROR(__xludf.DUMMYFUNCTION("""COMPUTED_VALUE"""),2.0)</f>
        <v>2</v>
      </c>
      <c r="P115" s="52">
        <f>IFERROR(__xludf.DUMMYFUNCTION("""COMPUTED_VALUE"""),2.0130045)</f>
        <v>2.0130045</v>
      </c>
    </row>
    <row r="116" hidden="1">
      <c r="A116" s="48" t="str">
        <f>IFERROR(__xludf.DUMMYFUNCTION("""COMPUTED_VALUE"""),"julho_Morkan")</f>
        <v>julho_Morkan</v>
      </c>
      <c r="B116" s="48">
        <f>IFERROR(__xludf.DUMMYFUNCTION("""COMPUTED_VALUE"""),2026.0)</f>
        <v>2026</v>
      </c>
      <c r="C116" s="49">
        <f>IFERROR(__xludf.DUMMYFUNCTION("""COMPUTED_VALUE"""),46221.0)</f>
        <v>46221</v>
      </c>
      <c r="D116" s="46">
        <f>IFERROR(__xludf.DUMMYFUNCTION("""COMPUTED_VALUE"""),6.0)</f>
        <v>6</v>
      </c>
      <c r="E116" s="46" t="str">
        <f>IFERROR(__xludf.DUMMYFUNCTION("""COMPUTED_VALUE"""),"Morkan")</f>
        <v>Morkan</v>
      </c>
      <c r="F116" s="46" t="str">
        <f>IFERROR(__xludf.DUMMYFUNCTION("""COMPUTED_VALUE"""),"Sultai Arisen")</f>
        <v>Sultai Arisen</v>
      </c>
      <c r="G116" s="46">
        <f>IFERROR(__xludf.DUMMYFUNCTION("""COMPUTED_VALUE"""),3.0)</f>
        <v>3</v>
      </c>
      <c r="H116" s="46">
        <f>IFERROR(__xludf.DUMMYFUNCTION("""COMPUTED_VALUE"""),6.0)</f>
        <v>6</v>
      </c>
      <c r="I116" s="50">
        <f>IFERROR(__xludf.DUMMYFUNCTION("""COMPUTED_VALUE"""),3.29)</f>
        <v>3.29</v>
      </c>
      <c r="J116" s="50">
        <f>IFERROR(__xludf.DUMMYFUNCTION("""COMPUTED_VALUE"""),4.43)</f>
        <v>4.43</v>
      </c>
      <c r="K116" s="51">
        <f>IFERROR(__xludf.DUMMYFUNCTION("""COMPUTED_VALUE"""),0.06329443)</f>
        <v>0.06329443</v>
      </c>
      <c r="L116" s="46">
        <f>IFERROR(__xludf.DUMMYFUNCTION("""COMPUTED_VALUE"""),0.0)</f>
        <v>0</v>
      </c>
      <c r="M116" s="46">
        <f>IFERROR(__xludf.DUMMYFUNCTION("""COMPUTED_VALUE"""),3.0)</f>
        <v>3</v>
      </c>
      <c r="N116" s="46">
        <f>IFERROR(__xludf.DUMMYFUNCTION("""COMPUTED_VALUE"""),0.0)</f>
        <v>0</v>
      </c>
      <c r="O116" s="48">
        <f>IFERROR(__xludf.DUMMYFUNCTION("""COMPUTED_VALUE"""),2.0)</f>
        <v>2</v>
      </c>
      <c r="P116" s="52">
        <f>IFERROR(__xludf.DUMMYFUNCTION("""COMPUTED_VALUE"""),2.06329443)</f>
        <v>2.06329443</v>
      </c>
    </row>
    <row r="117" hidden="1">
      <c r="A117" s="48" t="str">
        <f>IFERROR(__xludf.DUMMYFUNCTION("""COMPUTED_VALUE"""),"julho_lmendes")</f>
        <v>julho_lmendes</v>
      </c>
      <c r="B117" s="48">
        <f>IFERROR(__xludf.DUMMYFUNCTION("""COMPUTED_VALUE"""),2026.0)</f>
        <v>2026</v>
      </c>
      <c r="C117" s="49">
        <f>IFERROR(__xludf.DUMMYFUNCTION("""COMPUTED_VALUE"""),46221.0)</f>
        <v>46221</v>
      </c>
      <c r="D117" s="46">
        <f>IFERROR(__xludf.DUMMYFUNCTION("""COMPUTED_VALUE"""),7.0)</f>
        <v>7</v>
      </c>
      <c r="E117" s="46" t="str">
        <f>IFERROR(__xludf.DUMMYFUNCTION("""COMPUTED_VALUE"""),"lmendes")</f>
        <v>lmendes</v>
      </c>
      <c r="F117" s="46" t="str">
        <f>IFERROR(__xludf.DUMMYFUNCTION("""COMPUTED_VALUE"""),"Temur Roar")</f>
        <v>Temur Roar</v>
      </c>
      <c r="G117" s="46">
        <f>IFERROR(__xludf.DUMMYFUNCTION("""COMPUTED_VALUE"""),3.0)</f>
        <v>3</v>
      </c>
      <c r="H117" s="46">
        <f>IFERROR(__xludf.DUMMYFUNCTION("""COMPUTED_VALUE"""),6.0)</f>
        <v>6</v>
      </c>
      <c r="I117" s="50">
        <f>IFERROR(__xludf.DUMMYFUNCTION("""COMPUTED_VALUE"""),3.29)</f>
        <v>3.29</v>
      </c>
      <c r="J117" s="50">
        <f>IFERROR(__xludf.DUMMYFUNCTION("""COMPUTED_VALUE"""),4.29)</f>
        <v>4.29</v>
      </c>
      <c r="K117" s="51">
        <f>IFERROR(__xludf.DUMMYFUNCTION("""COMPUTED_VALUE"""),0.06329429)</f>
        <v>0.06329429</v>
      </c>
      <c r="L117" s="46">
        <f>IFERROR(__xludf.DUMMYFUNCTION("""COMPUTED_VALUE"""),0.0)</f>
        <v>0</v>
      </c>
      <c r="M117" s="46">
        <f>IFERROR(__xludf.DUMMYFUNCTION("""COMPUTED_VALUE"""),3.0)</f>
        <v>3</v>
      </c>
      <c r="N117" s="46">
        <f>IFERROR(__xludf.DUMMYFUNCTION("""COMPUTED_VALUE"""),0.0)</f>
        <v>0</v>
      </c>
      <c r="O117" s="48">
        <f>IFERROR(__xludf.DUMMYFUNCTION("""COMPUTED_VALUE"""),2.0)</f>
        <v>2</v>
      </c>
      <c r="P117" s="52">
        <f>IFERROR(__xludf.DUMMYFUNCTION("""COMPUTED_VALUE"""),2.06329429)</f>
        <v>2.06329429</v>
      </c>
    </row>
    <row r="118" hidden="1">
      <c r="A118" s="48" t="str">
        <f>IFERROR(__xludf.DUMMYFUNCTION("""COMPUTED_VALUE"""),"julho_Bydo")</f>
        <v>julho_Bydo</v>
      </c>
      <c r="B118" s="48">
        <f>IFERROR(__xludf.DUMMYFUNCTION("""COMPUTED_VALUE"""),2026.0)</f>
        <v>2026</v>
      </c>
      <c r="C118" s="49">
        <f>IFERROR(__xludf.DUMMYFUNCTION("""COMPUTED_VALUE"""),46221.0)</f>
        <v>46221</v>
      </c>
      <c r="D118" s="46">
        <f>IFERROR(__xludf.DUMMYFUNCTION("""COMPUTED_VALUE"""),8.0)</f>
        <v>8</v>
      </c>
      <c r="E118" s="46" t="str">
        <f>IFERROR(__xludf.DUMMYFUNCTION("""COMPUTED_VALUE"""),"Bydo")</f>
        <v>Bydo</v>
      </c>
      <c r="F118" s="46" t="str">
        <f>IFERROR(__xludf.DUMMYFUNCTION("""COMPUTED_VALUE"""),"Virtue and Valor")</f>
        <v>Virtue and Valor</v>
      </c>
      <c r="G118" s="46">
        <f>IFERROR(__xludf.DUMMYFUNCTION("""COMPUTED_VALUE"""),3.0)</f>
        <v>3</v>
      </c>
      <c r="H118" s="46">
        <f>IFERROR(__xludf.DUMMYFUNCTION("""COMPUTED_VALUE"""),6.0)</f>
        <v>6</v>
      </c>
      <c r="I118" s="50">
        <f>IFERROR(__xludf.DUMMYFUNCTION("""COMPUTED_VALUE"""),3.0)</f>
        <v>3</v>
      </c>
      <c r="J118" s="50">
        <f>IFERROR(__xludf.DUMMYFUNCTION("""COMPUTED_VALUE"""),4.71)</f>
        <v>4.71</v>
      </c>
      <c r="K118" s="51">
        <f>IFERROR(__xludf.DUMMYFUNCTION("""COMPUTED_VALUE"""),0.06300471)</f>
        <v>0.06300471</v>
      </c>
      <c r="L118" s="46">
        <f>IFERROR(__xludf.DUMMYFUNCTION("""COMPUTED_VALUE"""),0.0)</f>
        <v>0</v>
      </c>
      <c r="M118" s="46">
        <f>IFERROR(__xludf.DUMMYFUNCTION("""COMPUTED_VALUE"""),3.0)</f>
        <v>3</v>
      </c>
      <c r="N118" s="46">
        <f>IFERROR(__xludf.DUMMYFUNCTION("""COMPUTED_VALUE"""),0.0)</f>
        <v>0</v>
      </c>
      <c r="O118" s="48">
        <f>IFERROR(__xludf.DUMMYFUNCTION("""COMPUTED_VALUE"""),2.0)</f>
        <v>2</v>
      </c>
      <c r="P118" s="52">
        <f>IFERROR(__xludf.DUMMYFUNCTION("""COMPUTED_VALUE"""),2.06300471)</f>
        <v>2.06300471</v>
      </c>
    </row>
    <row r="119" hidden="1">
      <c r="A119" s="48" t="str">
        <f>IFERROR(__xludf.DUMMYFUNCTION("""COMPUTED_VALUE"""),"julho_Fabio C")</f>
        <v>julho_Fabio C</v>
      </c>
      <c r="B119" s="48">
        <f>IFERROR(__xludf.DUMMYFUNCTION("""COMPUTED_VALUE"""),2026.0)</f>
        <v>2026</v>
      </c>
      <c r="C119" s="49">
        <f>IFERROR(__xludf.DUMMYFUNCTION("""COMPUTED_VALUE"""),46221.0)</f>
        <v>46221</v>
      </c>
      <c r="D119" s="46">
        <f>IFERROR(__xludf.DUMMYFUNCTION("""COMPUTED_VALUE"""),9.0)</f>
        <v>9</v>
      </c>
      <c r="E119" s="46" t="str">
        <f>IFERROR(__xludf.DUMMYFUNCTION("""COMPUTED_VALUE"""),"Fabio C")</f>
        <v>Fabio C</v>
      </c>
      <c r="F119" s="46" t="str">
        <f>IFERROR(__xludf.DUMMYFUNCTION("""COMPUTED_VALUE"""),"Endless Punishment")</f>
        <v>Endless Punishment</v>
      </c>
      <c r="G119" s="46">
        <f>IFERROR(__xludf.DUMMYFUNCTION("""COMPUTED_VALUE"""),3.0)</f>
        <v>3</v>
      </c>
      <c r="H119" s="46">
        <f>IFERROR(__xludf.DUMMYFUNCTION("""COMPUTED_VALUE"""),2.0)</f>
        <v>2</v>
      </c>
      <c r="I119" s="50">
        <f>IFERROR(__xludf.DUMMYFUNCTION("""COMPUTED_VALUE"""),3.13)</f>
        <v>3.13</v>
      </c>
      <c r="J119" s="50">
        <f>IFERROR(__xludf.DUMMYFUNCTION("""COMPUTED_VALUE"""),2.88)</f>
        <v>2.88</v>
      </c>
      <c r="K119" s="51">
        <f>IFERROR(__xludf.DUMMYFUNCTION("""COMPUTED_VALUE"""),0.12313288)</f>
        <v>0.12313288</v>
      </c>
      <c r="L119" s="46">
        <f>IFERROR(__xludf.DUMMYFUNCTION("""COMPUTED_VALUE"""),1.0)</f>
        <v>1</v>
      </c>
      <c r="M119" s="46">
        <f>IFERROR(__xludf.DUMMYFUNCTION("""COMPUTED_VALUE"""),0.0)</f>
        <v>0</v>
      </c>
      <c r="N119" s="46">
        <f>IFERROR(__xludf.DUMMYFUNCTION("""COMPUTED_VALUE"""),2.0)</f>
        <v>2</v>
      </c>
      <c r="O119" s="48">
        <f>IFERROR(__xludf.DUMMYFUNCTION("""COMPUTED_VALUE"""),1.0)</f>
        <v>1</v>
      </c>
      <c r="P119" s="52">
        <f>IFERROR(__xludf.DUMMYFUNCTION("""COMPUTED_VALUE"""),1.12313288)</f>
        <v>1.12313288</v>
      </c>
    </row>
    <row r="120" hidden="1">
      <c r="A120" s="48" t="str">
        <f>IFERROR(__xludf.DUMMYFUNCTION("""COMPUTED_VALUE"""),"julho_Shandryll")</f>
        <v>julho_Shandryll</v>
      </c>
      <c r="B120" s="48">
        <f>IFERROR(__xludf.DUMMYFUNCTION("""COMPUTED_VALUE"""),2026.0)</f>
        <v>2026</v>
      </c>
      <c r="C120" s="49">
        <f>IFERROR(__xludf.DUMMYFUNCTION("""COMPUTED_VALUE"""),46221.0)</f>
        <v>46221</v>
      </c>
      <c r="D120" s="46">
        <f>IFERROR(__xludf.DUMMYFUNCTION("""COMPUTED_VALUE"""),10.0)</f>
        <v>10</v>
      </c>
      <c r="E120" s="46" t="str">
        <f>IFERROR(__xludf.DUMMYFUNCTION("""COMPUTED_VALUE"""),"Shandryll")</f>
        <v>Shandryll</v>
      </c>
      <c r="F120" s="46" t="str">
        <f>IFERROR(__xludf.DUMMYFUNCTION("""COMPUTED_VALUE"""),"Counter Blitz")</f>
        <v>Counter Blitz</v>
      </c>
      <c r="G120" s="46">
        <f>IFERROR(__xludf.DUMMYFUNCTION("""COMPUTED_VALUE"""),3.0)</f>
        <v>3</v>
      </c>
      <c r="H120" s="46">
        <f>IFERROR(__xludf.DUMMYFUNCTION("""COMPUTED_VALUE"""),0.0)</f>
        <v>0</v>
      </c>
      <c r="I120" s="50">
        <f>IFERROR(__xludf.DUMMYFUNCTION("""COMPUTED_VALUE"""),2.14)</f>
        <v>2.14</v>
      </c>
      <c r="J120" s="50">
        <f>IFERROR(__xludf.DUMMYFUNCTION("""COMPUTED_VALUE"""),1.29)</f>
        <v>1.29</v>
      </c>
      <c r="K120" s="51">
        <f>IFERROR(__xludf.DUMMYFUNCTION("""COMPUTED_VALUE"""),0.10214129000000001)</f>
        <v>0.10214129</v>
      </c>
      <c r="L120" s="46">
        <f>IFERROR(__xludf.DUMMYFUNCTION("""COMPUTED_VALUE"""),1.0)</f>
        <v>1</v>
      </c>
      <c r="M120" s="46">
        <f>IFERROR(__xludf.DUMMYFUNCTION("""COMPUTED_VALUE"""),0.0)</f>
        <v>0</v>
      </c>
      <c r="N120" s="46">
        <f>IFERROR(__xludf.DUMMYFUNCTION("""COMPUTED_VALUE"""),2.0)</f>
        <v>2</v>
      </c>
      <c r="O120" s="48">
        <f>IFERROR(__xludf.DUMMYFUNCTION("""COMPUTED_VALUE"""),1.0)</f>
        <v>1</v>
      </c>
      <c r="P120" s="52">
        <f>IFERROR(__xludf.DUMMYFUNCTION("""COMPUTED_VALUE"""),1.10214129)</f>
        <v>1.10214129</v>
      </c>
    </row>
    <row r="121" hidden="1">
      <c r="A121" s="48" t="str">
        <f>IFERROR(__xludf.DUMMYFUNCTION("""COMPUTED_VALUE"""),"julho_Erickpd")</f>
        <v>julho_Erickpd</v>
      </c>
      <c r="B121" s="48">
        <f>IFERROR(__xludf.DUMMYFUNCTION("""COMPUTED_VALUE"""),2026.0)</f>
        <v>2026</v>
      </c>
      <c r="C121" s="49">
        <f>IFERROR(__xludf.DUMMYFUNCTION("""COMPUTED_VALUE"""),46221.0)</f>
        <v>46221</v>
      </c>
      <c r="D121" s="46">
        <f>IFERROR(__xludf.DUMMYFUNCTION("""COMPUTED_VALUE"""),11.0)</f>
        <v>11</v>
      </c>
      <c r="E121" s="46" t="str">
        <f>IFERROR(__xludf.DUMMYFUNCTION("""COMPUTED_VALUE"""),"Erickpd")</f>
        <v>Erickpd</v>
      </c>
      <c r="F121" s="46" t="str">
        <f>IFERROR(__xludf.DUMMYFUNCTION("""COMPUTED_VALUE"""),"Lorehold Spirit")</f>
        <v>Lorehold Spirit</v>
      </c>
      <c r="G121" s="46">
        <f>IFERROR(__xludf.DUMMYFUNCTION("""COMPUTED_VALUE"""),2.0)</f>
        <v>2</v>
      </c>
      <c r="H121" s="46">
        <f>IFERROR(__xludf.DUMMYFUNCTION("""COMPUTED_VALUE"""),4.0)</f>
        <v>4</v>
      </c>
      <c r="I121" s="50">
        <f>IFERROR(__xludf.DUMMYFUNCTION("""COMPUTED_VALUE"""),3.14)</f>
        <v>3.14</v>
      </c>
      <c r="J121" s="50">
        <f>IFERROR(__xludf.DUMMYFUNCTION("""COMPUTED_VALUE"""),4.0)</f>
        <v>4</v>
      </c>
      <c r="K121" s="51">
        <f>IFERROR(__xludf.DUMMYFUNCTION("""COMPUTED_VALUE"""),0.043143999999999995)</f>
        <v>0.043144</v>
      </c>
      <c r="L121" s="46">
        <f>IFERROR(__xludf.DUMMYFUNCTION("""COMPUTED_VALUE"""),0.0)</f>
        <v>0</v>
      </c>
      <c r="M121" s="46">
        <f>IFERROR(__xludf.DUMMYFUNCTION("""COMPUTED_VALUE"""),2.0)</f>
        <v>2</v>
      </c>
      <c r="N121" s="46">
        <f>IFERROR(__xludf.DUMMYFUNCTION("""COMPUTED_VALUE"""),1.0)</f>
        <v>1</v>
      </c>
      <c r="O121" s="48">
        <f>IFERROR(__xludf.DUMMYFUNCTION("""COMPUTED_VALUE"""),1.0)</f>
        <v>1</v>
      </c>
      <c r="P121" s="52">
        <f>IFERROR(__xludf.DUMMYFUNCTION("""COMPUTED_VALUE"""),1.043144)</f>
        <v>1.043144</v>
      </c>
    </row>
    <row r="122" hidden="1">
      <c r="A122" s="48" t="str">
        <f>IFERROR(__xludf.DUMMYFUNCTION("""COMPUTED_VALUE"""),"julho_Karyum")</f>
        <v>julho_Karyum</v>
      </c>
      <c r="B122" s="48">
        <f>IFERROR(__xludf.DUMMYFUNCTION("""COMPUTED_VALUE"""),2026.0)</f>
        <v>2026</v>
      </c>
      <c r="C122" s="49">
        <f>IFERROR(__xludf.DUMMYFUNCTION("""COMPUTED_VALUE"""),46221.0)</f>
        <v>46221</v>
      </c>
      <c r="D122" s="46">
        <f>IFERROR(__xludf.DUMMYFUNCTION("""COMPUTED_VALUE"""),12.0)</f>
        <v>12</v>
      </c>
      <c r="E122" s="46" t="str">
        <f>IFERROR(__xludf.DUMMYFUNCTION("""COMPUTED_VALUE"""),"Karyum")</f>
        <v>Karyum</v>
      </c>
      <c r="F122" s="46" t="str">
        <f>IFERROR(__xludf.DUMMYFUNCTION("""COMPUTED_VALUE"""),"Quick Draw")</f>
        <v>Quick Draw</v>
      </c>
      <c r="G122" s="46">
        <f>IFERROR(__xludf.DUMMYFUNCTION("""COMPUTED_VALUE"""),2.0)</f>
        <v>2</v>
      </c>
      <c r="H122" s="46">
        <f>IFERROR(__xludf.DUMMYFUNCTION("""COMPUTED_VALUE"""),4.0)</f>
        <v>4</v>
      </c>
      <c r="I122" s="50">
        <f>IFERROR(__xludf.DUMMYFUNCTION("""COMPUTED_VALUE"""),3.14)</f>
        <v>3.14</v>
      </c>
      <c r="J122" s="50">
        <f>IFERROR(__xludf.DUMMYFUNCTION("""COMPUTED_VALUE"""),4.0)</f>
        <v>4</v>
      </c>
      <c r="K122" s="51">
        <f>IFERROR(__xludf.DUMMYFUNCTION("""COMPUTED_VALUE"""),0.043143999999999995)</f>
        <v>0.043144</v>
      </c>
      <c r="L122" s="46">
        <f>IFERROR(__xludf.DUMMYFUNCTION("""COMPUTED_VALUE"""),0.0)</f>
        <v>0</v>
      </c>
      <c r="M122" s="46">
        <f>IFERROR(__xludf.DUMMYFUNCTION("""COMPUTED_VALUE"""),2.0)</f>
        <v>2</v>
      </c>
      <c r="N122" s="46">
        <f>IFERROR(__xludf.DUMMYFUNCTION("""COMPUTED_VALUE"""),1.0)</f>
        <v>1</v>
      </c>
      <c r="O122" s="48">
        <f>IFERROR(__xludf.DUMMYFUNCTION("""COMPUTED_VALUE"""),1.0)</f>
        <v>1</v>
      </c>
      <c r="P122" s="52">
        <f>IFERROR(__xludf.DUMMYFUNCTION("""COMPUTED_VALUE"""),1.043144)</f>
        <v>1.043144</v>
      </c>
    </row>
    <row r="123" hidden="1">
      <c r="A123" s="48" t="str">
        <f>IFERROR(__xludf.DUMMYFUNCTION("""COMPUTED_VALUE"""),"julho_BrunoDala-Paula")</f>
        <v>julho_BrunoDala-Paula</v>
      </c>
      <c r="B123" s="48">
        <f>IFERROR(__xludf.DUMMYFUNCTION("""COMPUTED_VALUE"""),2026.0)</f>
        <v>2026</v>
      </c>
      <c r="C123" s="49">
        <f>IFERROR(__xludf.DUMMYFUNCTION("""COMPUTED_VALUE"""),46221.0)</f>
        <v>46221</v>
      </c>
      <c r="D123" s="46">
        <f>IFERROR(__xludf.DUMMYFUNCTION("""COMPUTED_VALUE"""),13.0)</f>
        <v>13</v>
      </c>
      <c r="E123" s="46" t="str">
        <f>IFERROR(__xludf.DUMMYFUNCTION("""COMPUTED_VALUE"""),"BrunoDala-Paula")</f>
        <v>BrunoDala-Paula</v>
      </c>
      <c r="F123" s="46" t="str">
        <f>IFERROR(__xludf.DUMMYFUNCTION("""COMPUTED_VALUE"""),"Blight Curse")</f>
        <v>Blight Curse</v>
      </c>
      <c r="G123" s="46">
        <f>IFERROR(__xludf.DUMMYFUNCTION("""COMPUTED_VALUE"""),2.0)</f>
        <v>2</v>
      </c>
      <c r="H123" s="46">
        <f>IFERROR(__xludf.DUMMYFUNCTION("""COMPUTED_VALUE"""),4.0)</f>
        <v>4</v>
      </c>
      <c r="I123" s="50">
        <f>IFERROR(__xludf.DUMMYFUNCTION("""COMPUTED_VALUE"""),3.13)</f>
        <v>3.13</v>
      </c>
      <c r="J123" s="50">
        <f>IFERROR(__xludf.DUMMYFUNCTION("""COMPUTED_VALUE"""),3.75)</f>
        <v>3.75</v>
      </c>
      <c r="K123" s="51">
        <f>IFERROR(__xludf.DUMMYFUNCTION("""COMPUTED_VALUE"""),0.04313375)</f>
        <v>0.04313375</v>
      </c>
      <c r="L123" s="46">
        <f>IFERROR(__xludf.DUMMYFUNCTION("""COMPUTED_VALUE"""),0.0)</f>
        <v>0</v>
      </c>
      <c r="M123" s="46">
        <f>IFERROR(__xludf.DUMMYFUNCTION("""COMPUTED_VALUE"""),2.0)</f>
        <v>2</v>
      </c>
      <c r="N123" s="46">
        <f>IFERROR(__xludf.DUMMYFUNCTION("""COMPUTED_VALUE"""),1.0)</f>
        <v>1</v>
      </c>
      <c r="O123" s="48">
        <f>IFERROR(__xludf.DUMMYFUNCTION("""COMPUTED_VALUE"""),1.0)</f>
        <v>1</v>
      </c>
      <c r="P123" s="52">
        <f>IFERROR(__xludf.DUMMYFUNCTION("""COMPUTED_VALUE"""),1.04313375)</f>
        <v>1.04313375</v>
      </c>
    </row>
    <row r="124" hidden="1">
      <c r="A124" s="48" t="str">
        <f>IFERROR(__xludf.DUMMYFUNCTION("""COMPUTED_VALUE"""),"julho_caiobmbh")</f>
        <v>julho_caiobmbh</v>
      </c>
      <c r="B124" s="48">
        <f>IFERROR(__xludf.DUMMYFUNCTION("""COMPUTED_VALUE"""),2026.0)</f>
        <v>2026</v>
      </c>
      <c r="C124" s="49">
        <f>IFERROR(__xludf.DUMMYFUNCTION("""COMPUTED_VALUE"""),46221.0)</f>
        <v>46221</v>
      </c>
      <c r="D124" s="46">
        <f>IFERROR(__xludf.DUMMYFUNCTION("""COMPUTED_VALUE"""),14.0)</f>
        <v>14</v>
      </c>
      <c r="E124" s="46" t="str">
        <f>IFERROR(__xludf.DUMMYFUNCTION("""COMPUTED_VALUE"""),"caiobmbh")</f>
        <v>caiobmbh</v>
      </c>
      <c r="F124" s="46" t="str">
        <f>IFERROR(__xludf.DUMMYFUNCTION("""COMPUTED_VALUE"""),"Creative Energy")</f>
        <v>Creative Energy</v>
      </c>
      <c r="G124" s="46">
        <f>IFERROR(__xludf.DUMMYFUNCTION("""COMPUTED_VALUE"""),2.0)</f>
        <v>2</v>
      </c>
      <c r="H124" s="46">
        <f>IFERROR(__xludf.DUMMYFUNCTION("""COMPUTED_VALUE"""),4.0)</f>
        <v>4</v>
      </c>
      <c r="I124" s="50">
        <f>IFERROR(__xludf.DUMMYFUNCTION("""COMPUTED_VALUE"""),2.88)</f>
        <v>2.88</v>
      </c>
      <c r="J124" s="50">
        <f>IFERROR(__xludf.DUMMYFUNCTION("""COMPUTED_VALUE"""),4.0)</f>
        <v>4</v>
      </c>
      <c r="K124" s="51">
        <f>IFERROR(__xludf.DUMMYFUNCTION("""COMPUTED_VALUE"""),0.042884)</f>
        <v>0.042884</v>
      </c>
      <c r="L124" s="46">
        <f>IFERROR(__xludf.DUMMYFUNCTION("""COMPUTED_VALUE"""),0.0)</f>
        <v>0</v>
      </c>
      <c r="M124" s="46">
        <f>IFERROR(__xludf.DUMMYFUNCTION("""COMPUTED_VALUE"""),2.0)</f>
        <v>2</v>
      </c>
      <c r="N124" s="46">
        <f>IFERROR(__xludf.DUMMYFUNCTION("""COMPUTED_VALUE"""),1.0)</f>
        <v>1</v>
      </c>
      <c r="O124" s="48">
        <f>IFERROR(__xludf.DUMMYFUNCTION("""COMPUTED_VALUE"""),1.0)</f>
        <v>1</v>
      </c>
      <c r="P124" s="52">
        <f>IFERROR(__xludf.DUMMYFUNCTION("""COMPUTED_VALUE"""),1.042884)</f>
        <v>1.042884</v>
      </c>
    </row>
    <row r="125" hidden="1">
      <c r="A125" s="48" t="str">
        <f>IFERROR(__xludf.DUMMYFUNCTION("""COMPUTED_VALUE"""),"julho_Lanna")</f>
        <v>julho_Lanna</v>
      </c>
      <c r="B125" s="48">
        <f>IFERROR(__xludf.DUMMYFUNCTION("""COMPUTED_VALUE"""),2026.0)</f>
        <v>2026</v>
      </c>
      <c r="C125" s="49">
        <f>IFERROR(__xludf.DUMMYFUNCTION("""COMPUTED_VALUE"""),46221.0)</f>
        <v>46221</v>
      </c>
      <c r="D125" s="46">
        <f>IFERROR(__xludf.DUMMYFUNCTION("""COMPUTED_VALUE"""),15.0)</f>
        <v>15</v>
      </c>
      <c r="E125" s="46" t="str">
        <f>IFERROR(__xludf.DUMMYFUNCTION("""COMPUTED_VALUE"""),"Lanna")</f>
        <v>Lanna</v>
      </c>
      <c r="F125" s="46" t="str">
        <f>IFERROR(__xludf.DUMMYFUNCTION("""COMPUTED_VALUE"""),"Dance of the Elements")</f>
        <v>Dance of the Elements</v>
      </c>
      <c r="G125" s="46">
        <f>IFERROR(__xludf.DUMMYFUNCTION("""COMPUTED_VALUE"""),2.0)</f>
        <v>2</v>
      </c>
      <c r="H125" s="46">
        <f>IFERROR(__xludf.DUMMYFUNCTION("""COMPUTED_VALUE"""),3.0)</f>
        <v>3</v>
      </c>
      <c r="I125" s="50">
        <f>IFERROR(__xludf.DUMMYFUNCTION("""COMPUTED_VALUE"""),3.33)</f>
        <v>3.33</v>
      </c>
      <c r="J125" s="50">
        <f>IFERROR(__xludf.DUMMYFUNCTION("""COMPUTED_VALUE"""),3.33)</f>
        <v>3.33</v>
      </c>
      <c r="K125" s="51">
        <f>IFERROR(__xludf.DUMMYFUNCTION("""COMPUTED_VALUE"""),0.03333333)</f>
        <v>0.03333333</v>
      </c>
      <c r="L125" s="46">
        <f>IFERROR(__xludf.DUMMYFUNCTION("""COMPUTED_VALUE"""),0.0)</f>
        <v>0</v>
      </c>
      <c r="M125" s="46">
        <f>IFERROR(__xludf.DUMMYFUNCTION("""COMPUTED_VALUE"""),2.0)</f>
        <v>2</v>
      </c>
      <c r="N125" s="46">
        <f>IFERROR(__xludf.DUMMYFUNCTION("""COMPUTED_VALUE"""),1.0)</f>
        <v>1</v>
      </c>
      <c r="O125" s="48">
        <f>IFERROR(__xludf.DUMMYFUNCTION("""COMPUTED_VALUE"""),1.0)</f>
        <v>1</v>
      </c>
      <c r="P125" s="52">
        <f>IFERROR(__xludf.DUMMYFUNCTION("""COMPUTED_VALUE"""),1.03333333)</f>
        <v>1.03333333</v>
      </c>
    </row>
    <row r="126" hidden="1">
      <c r="A126" s="48" t="str">
        <f>IFERROR(__xludf.DUMMYFUNCTION("""COMPUTED_VALUE"""),"julho_VentiladorDeTeto")</f>
        <v>julho_VentiladorDeTeto</v>
      </c>
      <c r="B126" s="48">
        <f>IFERROR(__xludf.DUMMYFUNCTION("""COMPUTED_VALUE"""),2026.0)</f>
        <v>2026</v>
      </c>
      <c r="C126" s="49">
        <f>IFERROR(__xludf.DUMMYFUNCTION("""COMPUTED_VALUE"""),46221.0)</f>
        <v>46221</v>
      </c>
      <c r="D126" s="46">
        <f>IFERROR(__xludf.DUMMYFUNCTION("""COMPUTED_VALUE"""),16.0)</f>
        <v>16</v>
      </c>
      <c r="E126" s="46" t="str">
        <f>IFERROR(__xludf.DUMMYFUNCTION("""COMPUTED_VALUE"""),"VentiladorDeTeto")</f>
        <v>VentiladorDeTeto</v>
      </c>
      <c r="F126" s="46" t="str">
        <f>IFERROR(__xludf.DUMMYFUNCTION("""COMPUTED_VALUE"""),"Sultai Arisen")</f>
        <v>Sultai Arisen</v>
      </c>
      <c r="G126" s="46">
        <f>IFERROR(__xludf.DUMMYFUNCTION("""COMPUTED_VALUE"""),1.0)</f>
        <v>1</v>
      </c>
      <c r="H126" s="46">
        <f>IFERROR(__xludf.DUMMYFUNCTION("""COMPUTED_VALUE"""),0.0)</f>
        <v>0</v>
      </c>
      <c r="I126" s="50">
        <f>IFERROR(__xludf.DUMMYFUNCTION("""COMPUTED_VALUE"""),2.75)</f>
        <v>2.75</v>
      </c>
      <c r="J126" s="50">
        <f>IFERROR(__xludf.DUMMYFUNCTION("""COMPUTED_VALUE"""),1.5)</f>
        <v>1.5</v>
      </c>
      <c r="K126" s="51">
        <f>IFERROR(__xludf.DUMMYFUNCTION("""COMPUTED_VALUE"""),0.0027515)</f>
        <v>0.0027515</v>
      </c>
      <c r="L126" s="46">
        <f>IFERROR(__xludf.DUMMYFUNCTION("""COMPUTED_VALUE"""),0.0)</f>
        <v>0</v>
      </c>
      <c r="M126" s="46">
        <f>IFERROR(__xludf.DUMMYFUNCTION("""COMPUTED_VALUE"""),1.0)</f>
        <v>1</v>
      </c>
      <c r="N126" s="46">
        <f>IFERROR(__xludf.DUMMYFUNCTION("""COMPUTED_VALUE"""),2.0)</f>
        <v>2</v>
      </c>
      <c r="O126" s="48">
        <f>IFERROR(__xludf.DUMMYFUNCTION("""COMPUTED_VALUE"""),1.0)</f>
        <v>1</v>
      </c>
      <c r="P126" s="52">
        <f>IFERROR(__xludf.DUMMYFUNCTION("""COMPUTED_VALUE"""),1.0027515)</f>
        <v>1.0027515</v>
      </c>
    </row>
    <row r="127" hidden="1">
      <c r="A127" s="48" t="str">
        <f>IFERROR(__xludf.DUMMYFUNCTION("""COMPUTED_VALUE"""),"julho_ViniCVR")</f>
        <v>julho_ViniCVR</v>
      </c>
      <c r="B127" s="48">
        <f>IFERROR(__xludf.DUMMYFUNCTION("""COMPUTED_VALUE"""),2026.0)</f>
        <v>2026</v>
      </c>
      <c r="C127" s="49">
        <f>IFERROR(__xludf.DUMMYFUNCTION("""COMPUTED_VALUE"""),46221.0)</f>
        <v>46221</v>
      </c>
      <c r="D127" s="46">
        <f>IFERROR(__xludf.DUMMYFUNCTION("""COMPUTED_VALUE"""),17.0)</f>
        <v>17</v>
      </c>
      <c r="E127" s="46" t="str">
        <f>IFERROR(__xludf.DUMMYFUNCTION("""COMPUTED_VALUE"""),"ViniCVR")</f>
        <v>ViniCVR</v>
      </c>
      <c r="F127" s="46" t="str">
        <f>IFERROR(__xludf.DUMMYFUNCTION("""COMPUTED_VALUE"""),"Creative Energy")</f>
        <v>Creative Energy</v>
      </c>
      <c r="G127" s="46">
        <f>IFERROR(__xludf.DUMMYFUNCTION("""COMPUTED_VALUE"""),1.0)</f>
        <v>1</v>
      </c>
      <c r="H127" s="46">
        <f>IFERROR(__xludf.DUMMYFUNCTION("""COMPUTED_VALUE"""),0.0)</f>
        <v>0</v>
      </c>
      <c r="I127" s="50">
        <f>IFERROR(__xludf.DUMMYFUNCTION("""COMPUTED_VALUE"""),2.13)</f>
        <v>2.13</v>
      </c>
      <c r="J127" s="50">
        <f>IFERROR(__xludf.DUMMYFUNCTION("""COMPUTED_VALUE"""),1.5)</f>
        <v>1.5</v>
      </c>
      <c r="K127" s="51">
        <f>IFERROR(__xludf.DUMMYFUNCTION("""COMPUTED_VALUE"""),0.0021315)</f>
        <v>0.0021315</v>
      </c>
      <c r="L127" s="46">
        <f>IFERROR(__xludf.DUMMYFUNCTION("""COMPUTED_VALUE"""),0.0)</f>
        <v>0</v>
      </c>
      <c r="M127" s="46">
        <f>IFERROR(__xludf.DUMMYFUNCTION("""COMPUTED_VALUE"""),1.0)</f>
        <v>1</v>
      </c>
      <c r="N127" s="46">
        <f>IFERROR(__xludf.DUMMYFUNCTION("""COMPUTED_VALUE"""),2.0)</f>
        <v>2</v>
      </c>
      <c r="O127" s="48">
        <f>IFERROR(__xludf.DUMMYFUNCTION("""COMPUTED_VALUE"""),1.0)</f>
        <v>1</v>
      </c>
      <c r="P127" s="52">
        <f>IFERROR(__xludf.DUMMYFUNCTION("""COMPUTED_VALUE"""),1.0021315)</f>
        <v>1.0021315</v>
      </c>
    </row>
    <row r="128">
      <c r="A128" s="48" t="str">
        <f>IFERROR(__xludf.DUMMYFUNCTION("""COMPUTED_VALUE"""),"julho_TendiNietzsche")</f>
        <v>julho_TendiNietzsche</v>
      </c>
      <c r="B128" s="48">
        <f>IFERROR(__xludf.DUMMYFUNCTION("""COMPUTED_VALUE"""),2026.0)</f>
        <v>2026</v>
      </c>
      <c r="C128" s="49">
        <f>IFERROR(__xludf.DUMMYFUNCTION("""COMPUTED_VALUE"""),46221.0)</f>
        <v>46221</v>
      </c>
      <c r="D128" s="46">
        <f>IFERROR(__xludf.DUMMYFUNCTION("""COMPUTED_VALUE"""),18.0)</f>
        <v>18</v>
      </c>
      <c r="E128" s="46" t="str">
        <f>IFERROR(__xludf.DUMMYFUNCTION("""COMPUTED_VALUE"""),"TendiNietzsche")</f>
        <v>TendiNietzsche</v>
      </c>
      <c r="F128" s="46" t="str">
        <f>IFERROR(__xludf.DUMMYFUNCTION("""COMPUTED_VALUE"""),"Peace Offering")</f>
        <v>Peace Offering</v>
      </c>
      <c r="G128" s="46">
        <f>IFERROR(__xludf.DUMMYFUNCTION("""COMPUTED_VALUE"""),0.0)</f>
        <v>0</v>
      </c>
      <c r="H128" s="46">
        <f>IFERROR(__xludf.DUMMYFUNCTION("""COMPUTED_VALUE"""),0.0)</f>
        <v>0</v>
      </c>
      <c r="I128" s="50">
        <f>IFERROR(__xludf.DUMMYFUNCTION("""COMPUTED_VALUE"""),3.0)</f>
        <v>3</v>
      </c>
      <c r="J128" s="50">
        <f>IFERROR(__xludf.DUMMYFUNCTION("""COMPUTED_VALUE"""),1.67)</f>
        <v>1.67</v>
      </c>
      <c r="K128" s="51">
        <f>IFERROR(__xludf.DUMMYFUNCTION("""COMPUTED_VALUE"""),0.00300167)</f>
        <v>0.00300167</v>
      </c>
      <c r="L128" s="46">
        <f>IFERROR(__xludf.DUMMYFUNCTION("""COMPUTED_VALUE"""),0.0)</f>
        <v>0</v>
      </c>
      <c r="M128" s="46">
        <f>IFERROR(__xludf.DUMMYFUNCTION("""COMPUTED_VALUE"""),0.0)</f>
        <v>0</v>
      </c>
      <c r="N128" s="46">
        <f>IFERROR(__xludf.DUMMYFUNCTION("""COMPUTED_VALUE"""),1.0)</f>
        <v>1</v>
      </c>
      <c r="O128" s="48">
        <f>IFERROR(__xludf.DUMMYFUNCTION("""COMPUTED_VALUE"""),1.0)</f>
        <v>1</v>
      </c>
      <c r="P128" s="52">
        <f>IFERROR(__xludf.DUMMYFUNCTION("""COMPUTED_VALUE"""),1.00300167)</f>
        <v>1.00300167</v>
      </c>
    </row>
    <row r="129" hidden="1">
      <c r="A129" s="48" t="str">
        <f>IFERROR(__xludf.DUMMYFUNCTION("""COMPUTED_VALUE"""),"julho_Yasmin")</f>
        <v>julho_Yasmin</v>
      </c>
      <c r="B129" s="48">
        <f>IFERROR(__xludf.DUMMYFUNCTION("""COMPUTED_VALUE"""),2026.0)</f>
        <v>2026</v>
      </c>
      <c r="C129" s="49">
        <f>IFERROR(__xludf.DUMMYFUNCTION("""COMPUTED_VALUE"""),46221.0)</f>
        <v>46221</v>
      </c>
      <c r="D129" s="46">
        <f>IFERROR(__xludf.DUMMYFUNCTION("""COMPUTED_VALUE"""),19.0)</f>
        <v>19</v>
      </c>
      <c r="E129" s="46" t="str">
        <f>IFERROR(__xludf.DUMMYFUNCTION("""COMPUTED_VALUE"""),"Yasmin")</f>
        <v>Yasmin</v>
      </c>
      <c r="F129" s="46" t="str">
        <f>IFERROR(__xludf.DUMMYFUNCTION("""COMPUTED_VALUE"""),"Veloci-ramp-tor")</f>
        <v>Veloci-ramp-tor</v>
      </c>
      <c r="G129" s="46">
        <f>IFERROR(__xludf.DUMMYFUNCTION("""COMPUTED_VALUE"""),0.0)</f>
        <v>0</v>
      </c>
      <c r="H129" s="46">
        <f>IFERROR(__xludf.DUMMYFUNCTION("""COMPUTED_VALUE"""),0.0)</f>
        <v>0</v>
      </c>
      <c r="I129" s="50">
        <f>IFERROR(__xludf.DUMMYFUNCTION("""COMPUTED_VALUE"""),2.57)</f>
        <v>2.57</v>
      </c>
      <c r="J129" s="50">
        <f>IFERROR(__xludf.DUMMYFUNCTION("""COMPUTED_VALUE"""),1.29)</f>
        <v>1.29</v>
      </c>
      <c r="K129" s="51">
        <f>IFERROR(__xludf.DUMMYFUNCTION("""COMPUTED_VALUE"""),0.00257129)</f>
        <v>0.00257129</v>
      </c>
      <c r="L129" s="46">
        <f>IFERROR(__xludf.DUMMYFUNCTION("""COMPUTED_VALUE"""),0.0)</f>
        <v>0</v>
      </c>
      <c r="M129" s="46">
        <f>IFERROR(__xludf.DUMMYFUNCTION("""COMPUTED_VALUE"""),0.0)</f>
        <v>0</v>
      </c>
      <c r="N129" s="46">
        <f>IFERROR(__xludf.DUMMYFUNCTION("""COMPUTED_VALUE"""),3.0)</f>
        <v>3</v>
      </c>
      <c r="O129" s="48">
        <f>IFERROR(__xludf.DUMMYFUNCTION("""COMPUTED_VALUE"""),1.0)</f>
        <v>1</v>
      </c>
      <c r="P129" s="52">
        <f>IFERROR(__xludf.DUMMYFUNCTION("""COMPUTED_VALUE"""),1.00257129)</f>
        <v>1.00257129</v>
      </c>
    </row>
    <row r="130" hidden="1">
      <c r="A130" s="48" t="str">
        <f>IFERROR(__xludf.DUMMYFUNCTION("""COMPUTED_VALUE"""),"julho_Andre rezende")</f>
        <v>julho_Andre rezende</v>
      </c>
      <c r="B130" s="48">
        <f>IFERROR(__xludf.DUMMYFUNCTION("""COMPUTED_VALUE"""),2026.0)</f>
        <v>2026</v>
      </c>
      <c r="C130" s="49">
        <f>IFERROR(__xludf.DUMMYFUNCTION("""COMPUTED_VALUE"""),46221.0)</f>
        <v>46221</v>
      </c>
      <c r="D130" s="46">
        <f>IFERROR(__xludf.DUMMYFUNCTION("""COMPUTED_VALUE"""),20.0)</f>
        <v>20</v>
      </c>
      <c r="E130" s="46" t="str">
        <f>IFERROR(__xludf.DUMMYFUNCTION("""COMPUTED_VALUE"""),"Andre rezende")</f>
        <v>Andre rezende</v>
      </c>
      <c r="F130" s="46" t="str">
        <f>IFERROR(__xludf.DUMMYFUNCTION("""COMPUTED_VALUE"""),"Counter Blitz")</f>
        <v>Counter Blitz</v>
      </c>
      <c r="G130" s="46">
        <f>IFERROR(__xludf.DUMMYFUNCTION("""COMPUTED_VALUE"""),0.0)</f>
        <v>0</v>
      </c>
      <c r="H130" s="46">
        <f>IFERROR(__xludf.DUMMYFUNCTION("""COMPUTED_VALUE"""),0.0)</f>
        <v>0</v>
      </c>
      <c r="I130" s="50">
        <f>IFERROR(__xludf.DUMMYFUNCTION("""COMPUTED_VALUE"""),2.14)</f>
        <v>2.14</v>
      </c>
      <c r="J130" s="50">
        <f>IFERROR(__xludf.DUMMYFUNCTION("""COMPUTED_VALUE"""),0.86)</f>
        <v>0.86</v>
      </c>
      <c r="K130" s="51">
        <f>IFERROR(__xludf.DUMMYFUNCTION("""COMPUTED_VALUE"""),0.00214086)</f>
        <v>0.00214086</v>
      </c>
      <c r="L130" s="46">
        <f>IFERROR(__xludf.DUMMYFUNCTION("""COMPUTED_VALUE"""),0.0)</f>
        <v>0</v>
      </c>
      <c r="M130" s="46">
        <f>IFERROR(__xludf.DUMMYFUNCTION("""COMPUTED_VALUE"""),0.0)</f>
        <v>0</v>
      </c>
      <c r="N130" s="46">
        <f>IFERROR(__xludf.DUMMYFUNCTION("""COMPUTED_VALUE"""),3.0)</f>
        <v>3</v>
      </c>
      <c r="O130" s="48">
        <f>IFERROR(__xludf.DUMMYFUNCTION("""COMPUTED_VALUE"""),1.0)</f>
        <v>1</v>
      </c>
      <c r="P130" s="52">
        <f>IFERROR(__xludf.DUMMYFUNCTION("""COMPUTED_VALUE"""),1.00214086)</f>
        <v>1.00214086</v>
      </c>
    </row>
    <row r="131" hidden="1">
      <c r="A131" s="48" t="str">
        <f>IFERROR(__xludf.DUMMYFUNCTION("""COMPUTED_VALUE"""),"julho_Pexe")</f>
        <v>julho_Pexe</v>
      </c>
      <c r="B131" s="48">
        <f>IFERROR(__xludf.DUMMYFUNCTION("""COMPUTED_VALUE"""),2026.0)</f>
        <v>2026</v>
      </c>
      <c r="C131" s="49">
        <f>IFERROR(__xludf.DUMMYFUNCTION("""COMPUTED_VALUE"""),46221.0)</f>
        <v>46221</v>
      </c>
      <c r="D131" s="46">
        <f>IFERROR(__xludf.DUMMYFUNCTION("""COMPUTED_VALUE"""),21.0)</f>
        <v>21</v>
      </c>
      <c r="E131" s="46" t="str">
        <f>IFERROR(__xludf.DUMMYFUNCTION("""COMPUTED_VALUE"""),"Pexe")</f>
        <v>Pexe</v>
      </c>
      <c r="F131" s="46" t="str">
        <f>IFERROR(__xludf.DUMMYFUNCTION("""COMPUTED_VALUE"""),"Turtle Power!")</f>
        <v>Turtle Power!</v>
      </c>
      <c r="G131" s="46">
        <f>IFERROR(__xludf.DUMMYFUNCTION("""COMPUTED_VALUE"""),0.0)</f>
        <v>0</v>
      </c>
      <c r="H131" s="46">
        <f>IFERROR(__xludf.DUMMYFUNCTION("""COMPUTED_VALUE"""),0.0)</f>
        <v>0</v>
      </c>
      <c r="I131" s="50">
        <f>IFERROR(__xludf.DUMMYFUNCTION("""COMPUTED_VALUE"""),2.13)</f>
        <v>2.13</v>
      </c>
      <c r="J131" s="50">
        <f>IFERROR(__xludf.DUMMYFUNCTION("""COMPUTED_VALUE"""),1.0)</f>
        <v>1</v>
      </c>
      <c r="K131" s="51">
        <f>IFERROR(__xludf.DUMMYFUNCTION("""COMPUTED_VALUE"""),0.002131)</f>
        <v>0.002131</v>
      </c>
      <c r="L131" s="46">
        <f>IFERROR(__xludf.DUMMYFUNCTION("""COMPUTED_VALUE"""),0.0)</f>
        <v>0</v>
      </c>
      <c r="M131" s="46">
        <f>IFERROR(__xludf.DUMMYFUNCTION("""COMPUTED_VALUE"""),0.0)</f>
        <v>0</v>
      </c>
      <c r="N131" s="46">
        <f>IFERROR(__xludf.DUMMYFUNCTION("""COMPUTED_VALUE"""),3.0)</f>
        <v>3</v>
      </c>
      <c r="O131" s="48">
        <f>IFERROR(__xludf.DUMMYFUNCTION("""COMPUTED_VALUE"""),1.0)</f>
        <v>1</v>
      </c>
      <c r="P131" s="52">
        <f>IFERROR(__xludf.DUMMYFUNCTION("""COMPUTED_VALUE"""),1.002131)</f>
        <v>1.002131</v>
      </c>
    </row>
    <row r="132" hidden="1">
      <c r="A132" s="48" t="str">
        <f>IFERROR(__xludf.DUMMYFUNCTION("""COMPUTED_VALUE"""),"agosto_Fabio C")</f>
        <v>agosto_Fabio C</v>
      </c>
      <c r="B132" s="48">
        <f>IFERROR(__xludf.DUMMYFUNCTION("""COMPUTED_VALUE"""),2026.0)</f>
        <v>2026</v>
      </c>
      <c r="C132" s="49">
        <f>IFERROR(__xludf.DUMMYFUNCTION("""COMPUTED_VALUE"""),46249.0)</f>
        <v>46249</v>
      </c>
      <c r="D132" s="46">
        <f>IFERROR(__xludf.DUMMYFUNCTION("""COMPUTED_VALUE"""),1.0)</f>
        <v>1</v>
      </c>
      <c r="E132" s="46" t="str">
        <f>IFERROR(__xludf.DUMMYFUNCTION("""COMPUTED_VALUE"""),"Fabio C")</f>
        <v>Fabio C</v>
      </c>
      <c r="F132" s="46" t="str">
        <f>IFERROR(__xludf.DUMMYFUNCTION("""COMPUTED_VALUE"""),"Endless Punishment")</f>
        <v>Endless Punishment</v>
      </c>
      <c r="G132" s="46">
        <f>IFERROR(__xludf.DUMMYFUNCTION("""COMPUTED_VALUE"""),5.0)</f>
        <v>5</v>
      </c>
      <c r="H132" s="46">
        <f>IFERROR(__xludf.DUMMYFUNCTION("""COMPUTED_VALUE"""),6.0)</f>
        <v>6</v>
      </c>
      <c r="I132" s="50">
        <f>IFERROR(__xludf.DUMMYFUNCTION("""COMPUTED_VALUE"""),3.22)</f>
        <v>3.22</v>
      </c>
      <c r="J132" s="50">
        <f>IFERROR(__xludf.DUMMYFUNCTION("""COMPUTED_VALUE"""),3.44)</f>
        <v>3.44</v>
      </c>
      <c r="K132" s="51">
        <f>IFERROR(__xludf.DUMMYFUNCTION("""COMPUTED_VALUE"""),0.26322344000000003)</f>
        <v>0.26322344</v>
      </c>
      <c r="L132" s="46">
        <f>IFERROR(__xludf.DUMMYFUNCTION("""COMPUTED_VALUE"""),2.0)</f>
        <v>2</v>
      </c>
      <c r="M132" s="46">
        <f>IFERROR(__xludf.DUMMYFUNCTION("""COMPUTED_VALUE"""),2.0)</f>
        <v>2</v>
      </c>
      <c r="N132" s="46">
        <f>IFERROR(__xludf.DUMMYFUNCTION("""COMPUTED_VALUE"""),0.0)</f>
        <v>0</v>
      </c>
      <c r="O132" s="48">
        <f>IFERROR(__xludf.DUMMYFUNCTION("""COMPUTED_VALUE"""),3.0)</f>
        <v>3</v>
      </c>
      <c r="P132" s="52">
        <f>IFERROR(__xludf.DUMMYFUNCTION("""COMPUTED_VALUE"""),3.26322344)</f>
        <v>3.26322344</v>
      </c>
    </row>
    <row r="133" hidden="1">
      <c r="A133" s="48" t="str">
        <f>IFERROR(__xludf.DUMMYFUNCTION("""COMPUTED_VALUE"""),"agosto_Erickpd")</f>
        <v>agosto_Erickpd</v>
      </c>
      <c r="B133" s="48">
        <f>IFERROR(__xludf.DUMMYFUNCTION("""COMPUTED_VALUE"""),2026.0)</f>
        <v>2026</v>
      </c>
      <c r="C133" s="49">
        <f>IFERROR(__xludf.DUMMYFUNCTION("""COMPUTED_VALUE"""),46249.0)</f>
        <v>46249</v>
      </c>
      <c r="D133" s="46">
        <f>IFERROR(__xludf.DUMMYFUNCTION("""COMPUTED_VALUE"""),2.0)</f>
        <v>2</v>
      </c>
      <c r="E133" s="46" t="str">
        <f>IFERROR(__xludf.DUMMYFUNCTION("""COMPUTED_VALUE"""),"Erickpd")</f>
        <v>Erickpd</v>
      </c>
      <c r="F133" s="46" t="str">
        <f>IFERROR(__xludf.DUMMYFUNCTION("""COMPUTED_VALUE"""),"Explorers of the Deep")</f>
        <v>Explorers of the Deep</v>
      </c>
      <c r="G133" s="46">
        <f>IFERROR(__xludf.DUMMYFUNCTION("""COMPUTED_VALUE"""),7.0)</f>
        <v>7</v>
      </c>
      <c r="H133" s="46">
        <f>IFERROR(__xludf.DUMMYFUNCTION("""COMPUTED_VALUE"""),3.0)</f>
        <v>3</v>
      </c>
      <c r="I133" s="50">
        <f>IFERROR(__xludf.DUMMYFUNCTION("""COMPUTED_VALUE"""),3.17)</f>
        <v>3.17</v>
      </c>
      <c r="J133" s="50">
        <f>IFERROR(__xludf.DUMMYFUNCTION("""COMPUTED_VALUE"""),3.83)</f>
        <v>3.83</v>
      </c>
      <c r="K133" s="51">
        <f>IFERROR(__xludf.DUMMYFUNCTION("""COMPUTED_VALUE"""),0.13317383000000002)</f>
        <v>0.13317383</v>
      </c>
      <c r="L133" s="46">
        <f>IFERROR(__xludf.DUMMYFUNCTION("""COMPUTED_VALUE"""),1.0)</f>
        <v>1</v>
      </c>
      <c r="M133" s="46">
        <f>IFERROR(__xludf.DUMMYFUNCTION("""COMPUTED_VALUE"""),1.0)</f>
        <v>1</v>
      </c>
      <c r="N133" s="46">
        <f>IFERROR(__xludf.DUMMYFUNCTION("""COMPUTED_VALUE"""),1.0)</f>
        <v>1</v>
      </c>
      <c r="O133" s="48">
        <f>IFERROR(__xludf.DUMMYFUNCTION("""COMPUTED_VALUE"""),2.0)</f>
        <v>2</v>
      </c>
      <c r="P133" s="52">
        <f>IFERROR(__xludf.DUMMYFUNCTION("""COMPUTED_VALUE"""),2.13317383)</f>
        <v>2.13317383</v>
      </c>
    </row>
    <row r="134">
      <c r="A134" s="48" t="str">
        <f>IFERROR(__xludf.DUMMYFUNCTION("""COMPUTED_VALUE"""),"agosto_Da mata")</f>
        <v>agosto_Da mata</v>
      </c>
      <c r="B134" s="48">
        <f>IFERROR(__xludf.DUMMYFUNCTION("""COMPUTED_VALUE"""),2026.0)</f>
        <v>2026</v>
      </c>
      <c r="C134" s="49">
        <f>IFERROR(__xludf.DUMMYFUNCTION("""COMPUTED_VALUE"""),46249.0)</f>
        <v>46249</v>
      </c>
      <c r="D134" s="46">
        <f>IFERROR(__xludf.DUMMYFUNCTION("""COMPUTED_VALUE"""),3.0)</f>
        <v>3</v>
      </c>
      <c r="E134" s="46" t="str">
        <f>IFERROR(__xludf.DUMMYFUNCTION("""COMPUTED_VALUE"""),"Da mata")</f>
        <v>Da mata</v>
      </c>
      <c r="F134" s="46" t="str">
        <f>IFERROR(__xludf.DUMMYFUNCTION("""COMPUTED_VALUE"""),"Squirreled Away")</f>
        <v>Squirreled Away</v>
      </c>
      <c r="G134" s="46">
        <f>IFERROR(__xludf.DUMMYFUNCTION("""COMPUTED_VALUE"""),6.0)</f>
        <v>6</v>
      </c>
      <c r="H134" s="46">
        <f>IFERROR(__xludf.DUMMYFUNCTION("""COMPUTED_VALUE"""),3.0)</f>
        <v>3</v>
      </c>
      <c r="I134" s="50">
        <f>IFERROR(__xludf.DUMMYFUNCTION("""COMPUTED_VALUE"""),1.75)</f>
        <v>1.75</v>
      </c>
      <c r="J134" s="50">
        <f>IFERROR(__xludf.DUMMYFUNCTION("""COMPUTED_VALUE"""),1.13)</f>
        <v>1.13</v>
      </c>
      <c r="K134" s="51">
        <f>IFERROR(__xludf.DUMMYFUNCTION("""COMPUTED_VALUE"""),0.23175113)</f>
        <v>0.23175113</v>
      </c>
      <c r="L134" s="46">
        <f>IFERROR(__xludf.DUMMYFUNCTION("""COMPUTED_VALUE"""),2.0)</f>
        <v>2</v>
      </c>
      <c r="M134" s="46">
        <f>IFERROR(__xludf.DUMMYFUNCTION("""COMPUTED_VALUE"""),0.0)</f>
        <v>0</v>
      </c>
      <c r="N134" s="46">
        <f>IFERROR(__xludf.DUMMYFUNCTION("""COMPUTED_VALUE"""),2.0)</f>
        <v>2</v>
      </c>
      <c r="O134" s="48">
        <f>IFERROR(__xludf.DUMMYFUNCTION("""COMPUTED_VALUE"""),2.0)</f>
        <v>2</v>
      </c>
      <c r="P134" s="52">
        <f>IFERROR(__xludf.DUMMYFUNCTION("""COMPUTED_VALUE"""),2.23175113)</f>
        <v>2.23175113</v>
      </c>
    </row>
    <row r="135" hidden="1">
      <c r="A135" s="48" t="str">
        <f>IFERROR(__xludf.DUMMYFUNCTION("""COMPUTED_VALUE"""),"agosto_TendiNietzsche")</f>
        <v>agosto_TendiNietzsche</v>
      </c>
      <c r="B135" s="48">
        <f>IFERROR(__xludf.DUMMYFUNCTION("""COMPUTED_VALUE"""),2026.0)</f>
        <v>2026</v>
      </c>
      <c r="C135" s="49">
        <f>IFERROR(__xludf.DUMMYFUNCTION("""COMPUTED_VALUE"""),46249.0)</f>
        <v>46249</v>
      </c>
      <c r="D135" s="46">
        <f>IFERROR(__xludf.DUMMYFUNCTION("""COMPUTED_VALUE"""),4.0)</f>
        <v>4</v>
      </c>
      <c r="E135" s="46" t="str">
        <f>IFERROR(__xludf.DUMMYFUNCTION("""COMPUTED_VALUE"""),"TendiNietzsche")</f>
        <v>TendiNietzsche</v>
      </c>
      <c r="F135" s="46" t="str">
        <f>IFERROR(__xludf.DUMMYFUNCTION("""COMPUTED_VALUE"""),"Deep Clue Sea")</f>
        <v>Deep Clue Sea</v>
      </c>
      <c r="G135" s="46">
        <f>IFERROR(__xludf.DUMMYFUNCTION("""COMPUTED_VALUE"""),6.0)</f>
        <v>6</v>
      </c>
      <c r="H135" s="46">
        <f>IFERROR(__xludf.DUMMYFUNCTION("""COMPUTED_VALUE"""),0.0)</f>
        <v>0</v>
      </c>
      <c r="I135" s="50">
        <f>IFERROR(__xludf.DUMMYFUNCTION("""COMPUTED_VALUE"""),2.17)</f>
        <v>2.17</v>
      </c>
      <c r="J135" s="50">
        <f>IFERROR(__xludf.DUMMYFUNCTION("""COMPUTED_VALUE"""),0.67)</f>
        <v>0.67</v>
      </c>
      <c r="K135" s="51">
        <f>IFERROR(__xludf.DUMMYFUNCTION("""COMPUTED_VALUE"""),0.10217067)</f>
        <v>0.10217067</v>
      </c>
      <c r="L135" s="46">
        <f>IFERROR(__xludf.DUMMYFUNCTION("""COMPUTED_VALUE"""),1.0)</f>
        <v>1</v>
      </c>
      <c r="M135" s="46">
        <f>IFERROR(__xludf.DUMMYFUNCTION("""COMPUTED_VALUE"""),0.0)</f>
        <v>0</v>
      </c>
      <c r="N135" s="46">
        <f>IFERROR(__xludf.DUMMYFUNCTION("""COMPUTED_VALUE"""),2.0)</f>
        <v>2</v>
      </c>
      <c r="O135" s="48">
        <f>IFERROR(__xludf.DUMMYFUNCTION("""COMPUTED_VALUE"""),2.0)</f>
        <v>2</v>
      </c>
      <c r="P135" s="52">
        <f>IFERROR(__xludf.DUMMYFUNCTION("""COMPUTED_VALUE"""),2.10217067)</f>
        <v>2.10217067</v>
      </c>
    </row>
    <row r="136" hidden="1">
      <c r="A136" s="48" t="str">
        <f>IFERROR(__xludf.DUMMYFUNCTION("""COMPUTED_VALUE"""),"agosto_Bydo")</f>
        <v>agosto_Bydo</v>
      </c>
      <c r="B136" s="48">
        <f>IFERROR(__xludf.DUMMYFUNCTION("""COMPUTED_VALUE"""),2026.0)</f>
        <v>2026</v>
      </c>
      <c r="C136" s="49">
        <f>IFERROR(__xludf.DUMMYFUNCTION("""COMPUTED_VALUE"""),46249.0)</f>
        <v>46249</v>
      </c>
      <c r="D136" s="46">
        <f>IFERROR(__xludf.DUMMYFUNCTION("""COMPUTED_VALUE"""),5.0)</f>
        <v>5</v>
      </c>
      <c r="E136" s="46" t="str">
        <f>IFERROR(__xludf.DUMMYFUNCTION("""COMPUTED_VALUE"""),"Bydo")</f>
        <v>Bydo</v>
      </c>
      <c r="F136" s="46" t="str">
        <f>IFERROR(__xludf.DUMMYFUNCTION("""COMPUTED_VALUE"""),"Lorehold Spirit")</f>
        <v>Lorehold Spirit</v>
      </c>
      <c r="G136" s="46">
        <f>IFERROR(__xludf.DUMMYFUNCTION("""COMPUTED_VALUE"""),5.0)</f>
        <v>5</v>
      </c>
      <c r="H136" s="46">
        <f>IFERROR(__xludf.DUMMYFUNCTION("""COMPUTED_VALUE"""),6.0)</f>
        <v>6</v>
      </c>
      <c r="I136" s="50">
        <f>IFERROR(__xludf.DUMMYFUNCTION("""COMPUTED_VALUE"""),2.88)</f>
        <v>2.88</v>
      </c>
      <c r="J136" s="50">
        <f>IFERROR(__xludf.DUMMYFUNCTION("""COMPUTED_VALUE"""),3.38)</f>
        <v>3.38</v>
      </c>
      <c r="K136" s="51">
        <f>IFERROR(__xludf.DUMMYFUNCTION("""COMPUTED_VALUE"""),0.16288338)</f>
        <v>0.16288338</v>
      </c>
      <c r="L136" s="46">
        <f>IFERROR(__xludf.DUMMYFUNCTION("""COMPUTED_VALUE"""),1.0)</f>
        <v>1</v>
      </c>
      <c r="M136" s="46">
        <f>IFERROR(__xludf.DUMMYFUNCTION("""COMPUTED_VALUE"""),2.0)</f>
        <v>2</v>
      </c>
      <c r="N136" s="46">
        <f>IFERROR(__xludf.DUMMYFUNCTION("""COMPUTED_VALUE"""),0.0)</f>
        <v>0</v>
      </c>
      <c r="O136" s="48">
        <f>IFERROR(__xludf.DUMMYFUNCTION("""COMPUTED_VALUE"""),2.0)</f>
        <v>2</v>
      </c>
      <c r="P136" s="52">
        <f>IFERROR(__xludf.DUMMYFUNCTION("""COMPUTED_VALUE"""),2.16288338)</f>
        <v>2.16288338</v>
      </c>
    </row>
    <row r="137" hidden="1">
      <c r="A137" s="48" t="str">
        <f>IFERROR(__xludf.DUMMYFUNCTION("""COMPUTED_VALUE"""),"agosto_Morkan")</f>
        <v>agosto_Morkan</v>
      </c>
      <c r="B137" s="48">
        <f>IFERROR(__xludf.DUMMYFUNCTION("""COMPUTED_VALUE"""),2026.0)</f>
        <v>2026</v>
      </c>
      <c r="C137" s="49">
        <f>IFERROR(__xludf.DUMMYFUNCTION("""COMPUTED_VALUE"""),46249.0)</f>
        <v>46249</v>
      </c>
      <c r="D137" s="46">
        <f>IFERROR(__xludf.DUMMYFUNCTION("""COMPUTED_VALUE"""),6.0)</f>
        <v>6</v>
      </c>
      <c r="E137" s="46" t="str">
        <f>IFERROR(__xludf.DUMMYFUNCTION("""COMPUTED_VALUE"""),"Morkan")</f>
        <v>Morkan</v>
      </c>
      <c r="F137" s="46" t="str">
        <f>IFERROR(__xludf.DUMMYFUNCTION("""COMPUTED_VALUE"""),"Doom Prevails")</f>
        <v>Doom Prevails</v>
      </c>
      <c r="G137" s="46">
        <f>IFERROR(__xludf.DUMMYFUNCTION("""COMPUTED_VALUE"""),4.0)</f>
        <v>4</v>
      </c>
      <c r="H137" s="46">
        <f>IFERROR(__xludf.DUMMYFUNCTION("""COMPUTED_VALUE"""),3.0)</f>
        <v>3</v>
      </c>
      <c r="I137" s="50">
        <f>IFERROR(__xludf.DUMMYFUNCTION("""COMPUTED_VALUE"""),2.33)</f>
        <v>2.33</v>
      </c>
      <c r="J137" s="50">
        <f>IFERROR(__xludf.DUMMYFUNCTION("""COMPUTED_VALUE"""),2.11)</f>
        <v>2.11</v>
      </c>
      <c r="K137" s="51">
        <f>IFERROR(__xludf.DUMMYFUNCTION("""COMPUTED_VALUE"""),0.13233211)</f>
        <v>0.13233211</v>
      </c>
      <c r="L137" s="46">
        <f>IFERROR(__xludf.DUMMYFUNCTION("""COMPUTED_VALUE"""),1.0)</f>
        <v>1</v>
      </c>
      <c r="M137" s="46">
        <f>IFERROR(__xludf.DUMMYFUNCTION("""COMPUTED_VALUE"""),1.0)</f>
        <v>1</v>
      </c>
      <c r="N137" s="46">
        <f>IFERROR(__xludf.DUMMYFUNCTION("""COMPUTED_VALUE"""),1.0)</f>
        <v>1</v>
      </c>
      <c r="O137" s="48">
        <f>IFERROR(__xludf.DUMMYFUNCTION("""COMPUTED_VALUE"""),2.0)</f>
        <v>2</v>
      </c>
      <c r="P137" s="52">
        <f>IFERROR(__xludf.DUMMYFUNCTION("""COMPUTED_VALUE"""),2.13233211)</f>
        <v>2.13233211</v>
      </c>
    </row>
    <row r="138" hidden="1">
      <c r="A138" s="48" t="str">
        <f>IFERROR(__xludf.DUMMYFUNCTION("""COMPUTED_VALUE"""),"agosto_ViniCVR")</f>
        <v>agosto_ViniCVR</v>
      </c>
      <c r="B138" s="48">
        <f>IFERROR(__xludf.DUMMYFUNCTION("""COMPUTED_VALUE"""),2026.0)</f>
        <v>2026</v>
      </c>
      <c r="C138" s="49">
        <f>IFERROR(__xludf.DUMMYFUNCTION("""COMPUTED_VALUE"""),46249.0)</f>
        <v>46249</v>
      </c>
      <c r="D138" s="46">
        <f>IFERROR(__xludf.DUMMYFUNCTION("""COMPUTED_VALUE"""),7.0)</f>
        <v>7</v>
      </c>
      <c r="E138" s="46" t="str">
        <f>IFERROR(__xludf.DUMMYFUNCTION("""COMPUTED_VALUE"""),"ViniCVR")</f>
        <v>ViniCVR</v>
      </c>
      <c r="F138" s="46" t="str">
        <f>IFERROR(__xludf.DUMMYFUNCTION("""COMPUTED_VALUE"""),"Turtle Power!")</f>
        <v>Turtle Power!</v>
      </c>
      <c r="G138" s="46">
        <f>IFERROR(__xludf.DUMMYFUNCTION("""COMPUTED_VALUE"""),4.0)</f>
        <v>4</v>
      </c>
      <c r="H138" s="46">
        <f>IFERROR(__xludf.DUMMYFUNCTION("""COMPUTED_VALUE"""),1.0)</f>
        <v>1</v>
      </c>
      <c r="I138" s="50">
        <f>IFERROR(__xludf.DUMMYFUNCTION("""COMPUTED_VALUE"""),3.4)</f>
        <v>3.4</v>
      </c>
      <c r="J138" s="50">
        <f>IFERROR(__xludf.DUMMYFUNCTION("""COMPUTED_VALUE"""),4.4)</f>
        <v>4.4</v>
      </c>
      <c r="K138" s="51">
        <f>IFERROR(__xludf.DUMMYFUNCTION("""COMPUTED_VALUE"""),0.0134044)</f>
        <v>0.0134044</v>
      </c>
      <c r="L138" s="46">
        <f>IFERROR(__xludf.DUMMYFUNCTION("""COMPUTED_VALUE"""),0.0)</f>
        <v>0</v>
      </c>
      <c r="M138" s="46">
        <f>IFERROR(__xludf.DUMMYFUNCTION("""COMPUTED_VALUE"""),1.0)</f>
        <v>1</v>
      </c>
      <c r="N138" s="46">
        <f>IFERROR(__xludf.DUMMYFUNCTION("""COMPUTED_VALUE"""),1.0)</f>
        <v>1</v>
      </c>
      <c r="O138" s="48">
        <f>IFERROR(__xludf.DUMMYFUNCTION("""COMPUTED_VALUE"""),2.0)</f>
        <v>2</v>
      </c>
      <c r="P138" s="52">
        <f>IFERROR(__xludf.DUMMYFUNCTION("""COMPUTED_VALUE"""),2.0134044)</f>
        <v>2.0134044</v>
      </c>
    </row>
    <row r="139" hidden="1">
      <c r="A139" s="48" t="str">
        <f>IFERROR(__xludf.DUMMYFUNCTION("""COMPUTED_VALUE"""),"agosto_Crothen")</f>
        <v>agosto_Crothen</v>
      </c>
      <c r="B139" s="48">
        <f>IFERROR(__xludf.DUMMYFUNCTION("""COMPUTED_VALUE"""),2026.0)</f>
        <v>2026</v>
      </c>
      <c r="C139" s="49">
        <f>IFERROR(__xludf.DUMMYFUNCTION("""COMPUTED_VALUE"""),46249.0)</f>
        <v>46249</v>
      </c>
      <c r="D139" s="46">
        <f>IFERROR(__xludf.DUMMYFUNCTION("""COMPUTED_VALUE"""),8.0)</f>
        <v>8</v>
      </c>
      <c r="E139" s="46" t="str">
        <f>IFERROR(__xludf.DUMMYFUNCTION("""COMPUTED_VALUE"""),"Crothen")</f>
        <v>Crothen</v>
      </c>
      <c r="F139" s="46" t="str">
        <f>IFERROR(__xludf.DUMMYFUNCTION("""COMPUTED_VALUE"""),"Eldrazi Unbound")</f>
        <v>Eldrazi Unbound</v>
      </c>
      <c r="G139" s="46">
        <f>IFERROR(__xludf.DUMMYFUNCTION("""COMPUTED_VALUE"""),3.0)</f>
        <v>3</v>
      </c>
      <c r="H139" s="46">
        <f>IFERROR(__xludf.DUMMYFUNCTION("""COMPUTED_VALUE"""),6.0)</f>
        <v>6</v>
      </c>
      <c r="I139" s="50">
        <f>IFERROR(__xludf.DUMMYFUNCTION("""COMPUTED_VALUE"""),4.57)</f>
        <v>4.57</v>
      </c>
      <c r="J139" s="50">
        <f>IFERROR(__xludf.DUMMYFUNCTION("""COMPUTED_VALUE"""),3.86)</f>
        <v>3.86</v>
      </c>
      <c r="K139" s="51">
        <f>IFERROR(__xludf.DUMMYFUNCTION("""COMPUTED_VALUE"""),0.06457386)</f>
        <v>0.06457386</v>
      </c>
      <c r="L139" s="46">
        <f>IFERROR(__xludf.DUMMYFUNCTION("""COMPUTED_VALUE"""),0.0)</f>
        <v>0</v>
      </c>
      <c r="M139" s="46">
        <f>IFERROR(__xludf.DUMMYFUNCTION("""COMPUTED_VALUE"""),3.0)</f>
        <v>3</v>
      </c>
      <c r="N139" s="46">
        <f>IFERROR(__xludf.DUMMYFUNCTION("""COMPUTED_VALUE"""),0.0)</f>
        <v>0</v>
      </c>
      <c r="O139" s="48">
        <f>IFERROR(__xludf.DUMMYFUNCTION("""COMPUTED_VALUE"""),2.0)</f>
        <v>2</v>
      </c>
      <c r="P139" s="52">
        <f>IFERROR(__xludf.DUMMYFUNCTION("""COMPUTED_VALUE"""),2.06457386)</f>
        <v>2.06457386</v>
      </c>
    </row>
    <row r="140" hidden="1">
      <c r="A140" s="48" t="str">
        <f>IFERROR(__xludf.DUMMYFUNCTION("""COMPUTED_VALUE"""),"agosto_PaiDoArtur")</f>
        <v>agosto_PaiDoArtur</v>
      </c>
      <c r="B140" s="48">
        <f>IFERROR(__xludf.DUMMYFUNCTION("""COMPUTED_VALUE"""),2026.0)</f>
        <v>2026</v>
      </c>
      <c r="C140" s="49">
        <f>IFERROR(__xludf.DUMMYFUNCTION("""COMPUTED_VALUE"""),46249.0)</f>
        <v>46249</v>
      </c>
      <c r="D140" s="46">
        <f>IFERROR(__xludf.DUMMYFUNCTION("""COMPUTED_VALUE"""),9.0)</f>
        <v>9</v>
      </c>
      <c r="E140" s="46" t="str">
        <f>IFERROR(__xludf.DUMMYFUNCTION("""COMPUTED_VALUE"""),"PaiDoArtur")</f>
        <v>PaiDoArtur</v>
      </c>
      <c r="F140" s="46" t="str">
        <f>IFERROR(__xludf.DUMMYFUNCTION("""COMPUTED_VALUE"""),"Lorehold Spirit")</f>
        <v>Lorehold Spirit</v>
      </c>
      <c r="G140" s="46">
        <f>IFERROR(__xludf.DUMMYFUNCTION("""COMPUTED_VALUE"""),3.0)</f>
        <v>3</v>
      </c>
      <c r="H140" s="46">
        <f>IFERROR(__xludf.DUMMYFUNCTION("""COMPUTED_VALUE"""),6.0)</f>
        <v>6</v>
      </c>
      <c r="I140" s="50">
        <f>IFERROR(__xludf.DUMMYFUNCTION("""COMPUTED_VALUE"""),4.57)</f>
        <v>4.57</v>
      </c>
      <c r="J140" s="50">
        <f>IFERROR(__xludf.DUMMYFUNCTION("""COMPUTED_VALUE"""),3.86)</f>
        <v>3.86</v>
      </c>
      <c r="K140" s="51">
        <f>IFERROR(__xludf.DUMMYFUNCTION("""COMPUTED_VALUE"""),0.06457386)</f>
        <v>0.06457386</v>
      </c>
      <c r="L140" s="46">
        <f>IFERROR(__xludf.DUMMYFUNCTION("""COMPUTED_VALUE"""),0.0)</f>
        <v>0</v>
      </c>
      <c r="M140" s="46">
        <f>IFERROR(__xludf.DUMMYFUNCTION("""COMPUTED_VALUE"""),3.0)</f>
        <v>3</v>
      </c>
      <c r="N140" s="46">
        <f>IFERROR(__xludf.DUMMYFUNCTION("""COMPUTED_VALUE"""),0.0)</f>
        <v>0</v>
      </c>
      <c r="O140" s="48">
        <f>IFERROR(__xludf.DUMMYFUNCTION("""COMPUTED_VALUE"""),1.0)</f>
        <v>1</v>
      </c>
      <c r="P140" s="52">
        <f>IFERROR(__xludf.DUMMYFUNCTION("""COMPUTED_VALUE"""),1.06457386)</f>
        <v>1.06457386</v>
      </c>
    </row>
    <row r="141" hidden="1">
      <c r="A141" s="48" t="str">
        <f>IFERROR(__xludf.DUMMYFUNCTION("""COMPUTED_VALUE"""),"agosto_Yasmin")</f>
        <v>agosto_Yasmin</v>
      </c>
      <c r="B141" s="48">
        <f>IFERROR(__xludf.DUMMYFUNCTION("""COMPUTED_VALUE"""),2026.0)</f>
        <v>2026</v>
      </c>
      <c r="C141" s="49">
        <f>IFERROR(__xludf.DUMMYFUNCTION("""COMPUTED_VALUE"""),46249.0)</f>
        <v>46249</v>
      </c>
      <c r="D141" s="46">
        <f>IFERROR(__xludf.DUMMYFUNCTION("""COMPUTED_VALUE"""),10.0)</f>
        <v>10</v>
      </c>
      <c r="E141" s="46" t="str">
        <f>IFERROR(__xludf.DUMMYFUNCTION("""COMPUTED_VALUE"""),"Yasmin")</f>
        <v>Yasmin</v>
      </c>
      <c r="F141" s="46" t="str">
        <f>IFERROR(__xludf.DUMMYFUNCTION("""COMPUTED_VALUE"""),"Cavalry Charge")</f>
        <v>Cavalry Charge</v>
      </c>
      <c r="G141" s="46">
        <f>IFERROR(__xludf.DUMMYFUNCTION("""COMPUTED_VALUE"""),3.0)</f>
        <v>3</v>
      </c>
      <c r="H141" s="46">
        <f>IFERROR(__xludf.DUMMYFUNCTION("""COMPUTED_VALUE"""),2.0)</f>
        <v>2</v>
      </c>
      <c r="I141" s="50">
        <f>IFERROR(__xludf.DUMMYFUNCTION("""COMPUTED_VALUE"""),3.63)</f>
        <v>3.63</v>
      </c>
      <c r="J141" s="50">
        <f>IFERROR(__xludf.DUMMYFUNCTION("""COMPUTED_VALUE"""),2.5)</f>
        <v>2.5</v>
      </c>
      <c r="K141" s="51">
        <f>IFERROR(__xludf.DUMMYFUNCTION("""COMPUTED_VALUE"""),0.1236325)</f>
        <v>0.1236325</v>
      </c>
      <c r="L141" s="46">
        <f>IFERROR(__xludf.DUMMYFUNCTION("""COMPUTED_VALUE"""),1.0)</f>
        <v>1</v>
      </c>
      <c r="M141" s="46">
        <f>IFERROR(__xludf.DUMMYFUNCTION("""COMPUTED_VALUE"""),0.0)</f>
        <v>0</v>
      </c>
      <c r="N141" s="46">
        <f>IFERROR(__xludf.DUMMYFUNCTION("""COMPUTED_VALUE"""),2.0)</f>
        <v>2</v>
      </c>
      <c r="O141" s="48">
        <f>IFERROR(__xludf.DUMMYFUNCTION("""COMPUTED_VALUE"""),1.0)</f>
        <v>1</v>
      </c>
      <c r="P141" s="52">
        <f>IFERROR(__xludf.DUMMYFUNCTION("""COMPUTED_VALUE"""),1.1236325)</f>
        <v>1.1236325</v>
      </c>
    </row>
    <row r="142" hidden="1">
      <c r="A142" s="48" t="str">
        <f>IFERROR(__xludf.DUMMYFUNCTION("""COMPUTED_VALUE"""),"agosto_Shandryll")</f>
        <v>agosto_Shandryll</v>
      </c>
      <c r="B142" s="48">
        <f>IFERROR(__xludf.DUMMYFUNCTION("""COMPUTED_VALUE"""),2026.0)</f>
        <v>2026</v>
      </c>
      <c r="C142" s="49">
        <f>IFERROR(__xludf.DUMMYFUNCTION("""COMPUTED_VALUE"""),46249.0)</f>
        <v>46249</v>
      </c>
      <c r="D142" s="46">
        <f>IFERROR(__xludf.DUMMYFUNCTION("""COMPUTED_VALUE"""),11.0)</f>
        <v>11</v>
      </c>
      <c r="E142" s="46" t="str">
        <f>IFERROR(__xludf.DUMMYFUNCTION("""COMPUTED_VALUE"""),"Shandryll")</f>
        <v>Shandryll</v>
      </c>
      <c r="F142" s="46" t="str">
        <f>IFERROR(__xludf.DUMMYFUNCTION("""COMPUTED_VALUE"""),"World Shaper")</f>
        <v>World Shaper</v>
      </c>
      <c r="G142" s="46">
        <f>IFERROR(__xludf.DUMMYFUNCTION("""COMPUTED_VALUE"""),3.0)</f>
        <v>3</v>
      </c>
      <c r="H142" s="46">
        <f>IFERROR(__xludf.DUMMYFUNCTION("""COMPUTED_VALUE"""),2.0)</f>
        <v>2</v>
      </c>
      <c r="I142" s="50">
        <f>IFERROR(__xludf.DUMMYFUNCTION("""COMPUTED_VALUE"""),3.33)</f>
        <v>3.33</v>
      </c>
      <c r="J142" s="50">
        <f>IFERROR(__xludf.DUMMYFUNCTION("""COMPUTED_VALUE"""),1.78)</f>
        <v>1.78</v>
      </c>
      <c r="K142" s="51">
        <f>IFERROR(__xludf.DUMMYFUNCTION("""COMPUTED_VALUE"""),0.12333178000000002)</f>
        <v>0.12333178</v>
      </c>
      <c r="L142" s="46">
        <f>IFERROR(__xludf.DUMMYFUNCTION("""COMPUTED_VALUE"""),1.0)</f>
        <v>1</v>
      </c>
      <c r="M142" s="46">
        <f>IFERROR(__xludf.DUMMYFUNCTION("""COMPUTED_VALUE"""),0.0)</f>
        <v>0</v>
      </c>
      <c r="N142" s="46">
        <f>IFERROR(__xludf.DUMMYFUNCTION("""COMPUTED_VALUE"""),2.0)</f>
        <v>2</v>
      </c>
      <c r="O142" s="48">
        <f>IFERROR(__xludf.DUMMYFUNCTION("""COMPUTED_VALUE"""),1.0)</f>
        <v>1</v>
      </c>
      <c r="P142" s="52">
        <f>IFERROR(__xludf.DUMMYFUNCTION("""COMPUTED_VALUE"""),1.12333178)</f>
        <v>1.12333178</v>
      </c>
    </row>
    <row r="143" hidden="1">
      <c r="A143" s="48" t="str">
        <f>IFERROR(__xludf.DUMMYFUNCTION("""COMPUTED_VALUE"""),"agosto_caiobmbh")</f>
        <v>agosto_caiobmbh</v>
      </c>
      <c r="B143" s="48">
        <f>IFERROR(__xludf.DUMMYFUNCTION("""COMPUTED_VALUE"""),2026.0)</f>
        <v>2026</v>
      </c>
      <c r="C143" s="49">
        <f>IFERROR(__xludf.DUMMYFUNCTION("""COMPUTED_VALUE"""),46249.0)</f>
        <v>46249</v>
      </c>
      <c r="D143" s="46">
        <f>IFERROR(__xludf.DUMMYFUNCTION("""COMPUTED_VALUE"""),12.0)</f>
        <v>12</v>
      </c>
      <c r="E143" s="46" t="str">
        <f>IFERROR(__xludf.DUMMYFUNCTION("""COMPUTED_VALUE"""),"caiobmbh")</f>
        <v>caiobmbh</v>
      </c>
      <c r="F143" s="46" t="str">
        <f>IFERROR(__xludf.DUMMYFUNCTION("""COMPUTED_VALUE"""),"Creative Energy")</f>
        <v>Creative Energy</v>
      </c>
      <c r="G143" s="46">
        <f>IFERROR(__xludf.DUMMYFUNCTION("""COMPUTED_VALUE"""),3.0)</f>
        <v>3</v>
      </c>
      <c r="H143" s="46">
        <f>IFERROR(__xludf.DUMMYFUNCTION("""COMPUTED_VALUE"""),2.0)</f>
        <v>2</v>
      </c>
      <c r="I143" s="50">
        <f>IFERROR(__xludf.DUMMYFUNCTION("""COMPUTED_VALUE"""),3.25)</f>
        <v>3.25</v>
      </c>
      <c r="J143" s="50">
        <f>IFERROR(__xludf.DUMMYFUNCTION("""COMPUTED_VALUE"""),2.25)</f>
        <v>2.25</v>
      </c>
      <c r="K143" s="51">
        <f>IFERROR(__xludf.DUMMYFUNCTION("""COMPUTED_VALUE"""),0.12325225000000001)</f>
        <v>0.12325225</v>
      </c>
      <c r="L143" s="46">
        <f>IFERROR(__xludf.DUMMYFUNCTION("""COMPUTED_VALUE"""),1.0)</f>
        <v>1</v>
      </c>
      <c r="M143" s="46">
        <f>IFERROR(__xludf.DUMMYFUNCTION("""COMPUTED_VALUE"""),0.0)</f>
        <v>0</v>
      </c>
      <c r="N143" s="46">
        <f>IFERROR(__xludf.DUMMYFUNCTION("""COMPUTED_VALUE"""),2.0)</f>
        <v>2</v>
      </c>
      <c r="O143" s="48">
        <f>IFERROR(__xludf.DUMMYFUNCTION("""COMPUTED_VALUE"""),1.0)</f>
        <v>1</v>
      </c>
      <c r="P143" s="52">
        <f>IFERROR(__xludf.DUMMYFUNCTION("""COMPUTED_VALUE"""),1.12325225)</f>
        <v>1.12325225</v>
      </c>
    </row>
    <row r="144" hidden="1">
      <c r="A144" s="48" t="str">
        <f>IFERROR(__xludf.DUMMYFUNCTION("""COMPUTED_VALUE"""),"agosto_Gabriel P.")</f>
        <v>agosto_Gabriel P.</v>
      </c>
      <c r="B144" s="48">
        <f>IFERROR(__xludf.DUMMYFUNCTION("""COMPUTED_VALUE"""),2026.0)</f>
        <v>2026</v>
      </c>
      <c r="C144" s="49">
        <f>IFERROR(__xludf.DUMMYFUNCTION("""COMPUTED_VALUE"""),46249.0)</f>
        <v>46249</v>
      </c>
      <c r="D144" s="46">
        <f>IFERROR(__xludf.DUMMYFUNCTION("""COMPUTED_VALUE"""),13.0)</f>
        <v>13</v>
      </c>
      <c r="E144" s="46" t="str">
        <f>IFERROR(__xludf.DUMMYFUNCTION("""COMPUTED_VALUE"""),"Gabriel P.")</f>
        <v>Gabriel P.</v>
      </c>
      <c r="F144" s="46" t="str">
        <f>IFERROR(__xludf.DUMMYFUNCTION("""COMPUTED_VALUE"""),"World Shaper")</f>
        <v>World Shaper</v>
      </c>
      <c r="G144" s="46">
        <f>IFERROR(__xludf.DUMMYFUNCTION("""COMPUTED_VALUE"""),3.0)</f>
        <v>3</v>
      </c>
      <c r="H144" s="46">
        <f>IFERROR(__xludf.DUMMYFUNCTION("""COMPUTED_VALUE"""),1.0)</f>
        <v>1</v>
      </c>
      <c r="I144" s="50">
        <f>IFERROR(__xludf.DUMMYFUNCTION("""COMPUTED_VALUE"""),2.44)</f>
        <v>2.44</v>
      </c>
      <c r="J144" s="50">
        <f>IFERROR(__xludf.DUMMYFUNCTION("""COMPUTED_VALUE"""),1.0)</f>
        <v>1</v>
      </c>
      <c r="K144" s="51">
        <f>IFERROR(__xludf.DUMMYFUNCTION("""COMPUTED_VALUE"""),0.112441)</f>
        <v>0.112441</v>
      </c>
      <c r="L144" s="46">
        <f>IFERROR(__xludf.DUMMYFUNCTION("""COMPUTED_VALUE"""),1.0)</f>
        <v>1</v>
      </c>
      <c r="M144" s="46">
        <f>IFERROR(__xludf.DUMMYFUNCTION("""COMPUTED_VALUE"""),0.0)</f>
        <v>0</v>
      </c>
      <c r="N144" s="46">
        <f>IFERROR(__xludf.DUMMYFUNCTION("""COMPUTED_VALUE"""),2.0)</f>
        <v>2</v>
      </c>
      <c r="O144" s="48">
        <f>IFERROR(__xludf.DUMMYFUNCTION("""COMPUTED_VALUE"""),1.0)</f>
        <v>1</v>
      </c>
      <c r="P144" s="52">
        <f>IFERROR(__xludf.DUMMYFUNCTION("""COMPUTED_VALUE"""),1.112441)</f>
        <v>1.112441</v>
      </c>
    </row>
    <row r="145" hidden="1">
      <c r="A145" s="48" t="str">
        <f>IFERROR(__xludf.DUMMYFUNCTION("""COMPUTED_VALUE"""),"agosto_S1LVEIRA")</f>
        <v>agosto_S1LVEIRA</v>
      </c>
      <c r="B145" s="48">
        <f>IFERROR(__xludf.DUMMYFUNCTION("""COMPUTED_VALUE"""),2026.0)</f>
        <v>2026</v>
      </c>
      <c r="C145" s="49">
        <f>IFERROR(__xludf.DUMMYFUNCTION("""COMPUTED_VALUE"""),46249.0)</f>
        <v>46249</v>
      </c>
      <c r="D145" s="46">
        <f>IFERROR(__xludf.DUMMYFUNCTION("""COMPUTED_VALUE"""),14.0)</f>
        <v>14</v>
      </c>
      <c r="E145" s="46" t="str">
        <f>IFERROR(__xludf.DUMMYFUNCTION("""COMPUTED_VALUE"""),"S1LVEIRA")</f>
        <v>S1LVEIRA</v>
      </c>
      <c r="F145" s="46" t="str">
        <f>IFERROR(__xludf.DUMMYFUNCTION("""COMPUTED_VALUE"""),"Explorers of the Deep")</f>
        <v>Explorers of the Deep</v>
      </c>
      <c r="G145" s="46">
        <f>IFERROR(__xludf.DUMMYFUNCTION("""COMPUTED_VALUE"""),3.0)</f>
        <v>3</v>
      </c>
      <c r="H145" s="46">
        <f>IFERROR(__xludf.DUMMYFUNCTION("""COMPUTED_VALUE"""),0.0)</f>
        <v>0</v>
      </c>
      <c r="I145" s="50">
        <f>IFERROR(__xludf.DUMMYFUNCTION("""COMPUTED_VALUE"""),3.67)</f>
        <v>3.67</v>
      </c>
      <c r="J145" s="50">
        <f>IFERROR(__xludf.DUMMYFUNCTION("""COMPUTED_VALUE"""),1.67)</f>
        <v>1.67</v>
      </c>
      <c r="K145" s="51">
        <f>IFERROR(__xludf.DUMMYFUNCTION("""COMPUTED_VALUE"""),0.00367167)</f>
        <v>0.00367167</v>
      </c>
      <c r="L145" s="46">
        <f>IFERROR(__xludf.DUMMYFUNCTION("""COMPUTED_VALUE"""),0.0)</f>
        <v>0</v>
      </c>
      <c r="M145" s="46">
        <f>IFERROR(__xludf.DUMMYFUNCTION("""COMPUTED_VALUE"""),0.0)</f>
        <v>0</v>
      </c>
      <c r="N145" s="46">
        <f>IFERROR(__xludf.DUMMYFUNCTION("""COMPUTED_VALUE"""),2.0)</f>
        <v>2</v>
      </c>
      <c r="O145" s="48">
        <f>IFERROR(__xludf.DUMMYFUNCTION("""COMPUTED_VALUE"""),1.0)</f>
        <v>1</v>
      </c>
      <c r="P145" s="52">
        <f>IFERROR(__xludf.DUMMYFUNCTION("""COMPUTED_VALUE"""),1.00367167)</f>
        <v>1.00367167</v>
      </c>
    </row>
    <row r="146" hidden="1">
      <c r="A146" s="48" t="str">
        <f>IFERROR(__xludf.DUMMYFUNCTION("""COMPUTED_VALUE"""),"agosto_Vinison")</f>
        <v>agosto_Vinison</v>
      </c>
      <c r="B146" s="48">
        <f>IFERROR(__xludf.DUMMYFUNCTION("""COMPUTED_VALUE"""),2026.0)</f>
        <v>2026</v>
      </c>
      <c r="C146" s="49">
        <f>IFERROR(__xludf.DUMMYFUNCTION("""COMPUTED_VALUE"""),46249.0)</f>
        <v>46249</v>
      </c>
      <c r="D146" s="46">
        <f>IFERROR(__xludf.DUMMYFUNCTION("""COMPUTED_VALUE"""),15.0)</f>
        <v>15</v>
      </c>
      <c r="E146" s="46" t="str">
        <f>IFERROR(__xludf.DUMMYFUNCTION("""COMPUTED_VALUE"""),"Vinison")</f>
        <v>Vinison</v>
      </c>
      <c r="F146" s="46" t="str">
        <f>IFERROR(__xludf.DUMMYFUNCTION("""COMPUTED_VALUE"""),"Food and Fellowship")</f>
        <v>Food and Fellowship</v>
      </c>
      <c r="G146" s="46">
        <f>IFERROR(__xludf.DUMMYFUNCTION("""COMPUTED_VALUE"""),3.0)</f>
        <v>3</v>
      </c>
      <c r="H146" s="46">
        <f>IFERROR(__xludf.DUMMYFUNCTION("""COMPUTED_VALUE"""),0.0)</f>
        <v>0</v>
      </c>
      <c r="I146" s="50">
        <f>IFERROR(__xludf.DUMMYFUNCTION("""COMPUTED_VALUE"""),3.0)</f>
        <v>3</v>
      </c>
      <c r="J146" s="50">
        <f>IFERROR(__xludf.DUMMYFUNCTION("""COMPUTED_VALUE"""),0.6)</f>
        <v>0.6</v>
      </c>
      <c r="K146" s="51">
        <f>IFERROR(__xludf.DUMMYFUNCTION("""COMPUTED_VALUE"""),0.0030006)</f>
        <v>0.0030006</v>
      </c>
      <c r="L146" s="46">
        <f>IFERROR(__xludf.DUMMYFUNCTION("""COMPUTED_VALUE"""),0.0)</f>
        <v>0</v>
      </c>
      <c r="M146" s="46">
        <f>IFERROR(__xludf.DUMMYFUNCTION("""COMPUTED_VALUE"""),0.0)</f>
        <v>0</v>
      </c>
      <c r="N146" s="46">
        <f>IFERROR(__xludf.DUMMYFUNCTION("""COMPUTED_VALUE"""),2.0)</f>
        <v>2</v>
      </c>
      <c r="O146" s="48">
        <f>IFERROR(__xludf.DUMMYFUNCTION("""COMPUTED_VALUE"""),1.0)</f>
        <v>1</v>
      </c>
      <c r="P146" s="52">
        <f>IFERROR(__xludf.DUMMYFUNCTION("""COMPUTED_VALUE"""),1.0030006)</f>
        <v>1.0030006</v>
      </c>
    </row>
    <row r="147" hidden="1">
      <c r="A147" s="48" t="str">
        <f>IFERROR(__xludf.DUMMYFUNCTION("""COMPUTED_VALUE"""),"agosto_Carlinhos")</f>
        <v>agosto_Carlinhos</v>
      </c>
      <c r="B147" s="48">
        <f>IFERROR(__xludf.DUMMYFUNCTION("""COMPUTED_VALUE"""),2026.0)</f>
        <v>2026</v>
      </c>
      <c r="C147" s="49">
        <f>IFERROR(__xludf.DUMMYFUNCTION("""COMPUTED_VALUE"""),46249.0)</f>
        <v>46249</v>
      </c>
      <c r="D147" s="46">
        <f>IFERROR(__xludf.DUMMYFUNCTION("""COMPUTED_VALUE"""),16.0)</f>
        <v>16</v>
      </c>
      <c r="E147" s="46" t="str">
        <f>IFERROR(__xludf.DUMMYFUNCTION("""COMPUTED_VALUE"""),"Carlinhos")</f>
        <v>Carlinhos</v>
      </c>
      <c r="F147" s="46" t="str">
        <f>IFERROR(__xludf.DUMMYFUNCTION("""COMPUTED_VALUE"""),"Turtle Power!")</f>
        <v>Turtle Power!</v>
      </c>
      <c r="G147" s="46">
        <f>IFERROR(__xludf.DUMMYFUNCTION("""COMPUTED_VALUE"""),3.0)</f>
        <v>3</v>
      </c>
      <c r="H147" s="46">
        <f>IFERROR(__xludf.DUMMYFUNCTION("""COMPUTED_VALUE"""),0.0)</f>
        <v>0</v>
      </c>
      <c r="I147" s="50">
        <f>IFERROR(__xludf.DUMMYFUNCTION("""COMPUTED_VALUE"""),2.67)</f>
        <v>2.67</v>
      </c>
      <c r="J147" s="50">
        <f>IFERROR(__xludf.DUMMYFUNCTION("""COMPUTED_VALUE"""),0.83)</f>
        <v>0.83</v>
      </c>
      <c r="K147" s="51">
        <f>IFERROR(__xludf.DUMMYFUNCTION("""COMPUTED_VALUE"""),0.00267083)</f>
        <v>0.00267083</v>
      </c>
      <c r="L147" s="46">
        <f>IFERROR(__xludf.DUMMYFUNCTION("""COMPUTED_VALUE"""),0.0)</f>
        <v>0</v>
      </c>
      <c r="M147" s="46">
        <f>IFERROR(__xludf.DUMMYFUNCTION("""COMPUTED_VALUE"""),0.0)</f>
        <v>0</v>
      </c>
      <c r="N147" s="46">
        <f>IFERROR(__xludf.DUMMYFUNCTION("""COMPUTED_VALUE"""),2.0)</f>
        <v>2</v>
      </c>
      <c r="O147" s="48">
        <f>IFERROR(__xludf.DUMMYFUNCTION("""COMPUTED_VALUE"""),1.0)</f>
        <v>1</v>
      </c>
      <c r="P147" s="52">
        <f>IFERROR(__xludf.DUMMYFUNCTION("""COMPUTED_VALUE"""),1.00267083)</f>
        <v>1.00267083</v>
      </c>
    </row>
    <row r="148" hidden="1">
      <c r="A148" s="48" t="str">
        <f>IFERROR(__xludf.DUMMYFUNCTION("""COMPUTED_VALUE"""),"agosto_VentiladorDeTeto")</f>
        <v>agosto_VentiladorDeTeto</v>
      </c>
      <c r="B148" s="48">
        <f>IFERROR(__xludf.DUMMYFUNCTION("""COMPUTED_VALUE"""),2026.0)</f>
        <v>2026</v>
      </c>
      <c r="C148" s="49">
        <f>IFERROR(__xludf.DUMMYFUNCTION("""COMPUTED_VALUE"""),46249.0)</f>
        <v>46249</v>
      </c>
      <c r="D148" s="46">
        <f>IFERROR(__xludf.DUMMYFUNCTION("""COMPUTED_VALUE"""),17.0)</f>
        <v>17</v>
      </c>
      <c r="E148" s="46" t="str">
        <f>IFERROR(__xludf.DUMMYFUNCTION("""COMPUTED_VALUE"""),"VentiladorDeTeto")</f>
        <v>VentiladorDeTeto</v>
      </c>
      <c r="F148" s="46" t="str">
        <f>IFERROR(__xludf.DUMMYFUNCTION("""COMPUTED_VALUE"""),"Endless Punishment")</f>
        <v>Endless Punishment</v>
      </c>
      <c r="G148" s="46">
        <f>IFERROR(__xludf.DUMMYFUNCTION("""COMPUTED_VALUE"""),3.0)</f>
        <v>3</v>
      </c>
      <c r="H148" s="46">
        <f>IFERROR(__xludf.DUMMYFUNCTION("""COMPUTED_VALUE"""),0.0)</f>
        <v>0</v>
      </c>
      <c r="I148" s="50">
        <f>IFERROR(__xludf.DUMMYFUNCTION("""COMPUTED_VALUE"""),2.5)</f>
        <v>2.5</v>
      </c>
      <c r="J148" s="50">
        <f>IFERROR(__xludf.DUMMYFUNCTION("""COMPUTED_VALUE"""),1.0)</f>
        <v>1</v>
      </c>
      <c r="K148" s="51">
        <f>IFERROR(__xludf.DUMMYFUNCTION("""COMPUTED_VALUE"""),0.002501)</f>
        <v>0.002501</v>
      </c>
      <c r="L148" s="46">
        <f>IFERROR(__xludf.DUMMYFUNCTION("""COMPUTED_VALUE"""),0.0)</f>
        <v>0</v>
      </c>
      <c r="M148" s="46">
        <f>IFERROR(__xludf.DUMMYFUNCTION("""COMPUTED_VALUE"""),0.0)</f>
        <v>0</v>
      </c>
      <c r="N148" s="46">
        <f>IFERROR(__xludf.DUMMYFUNCTION("""COMPUTED_VALUE"""),2.0)</f>
        <v>2</v>
      </c>
      <c r="O148" s="48">
        <f>IFERROR(__xludf.DUMMYFUNCTION("""COMPUTED_VALUE"""),1.0)</f>
        <v>1</v>
      </c>
      <c r="P148" s="52">
        <f>IFERROR(__xludf.DUMMYFUNCTION("""COMPUTED_VALUE"""),1.002501)</f>
        <v>1.002501</v>
      </c>
    </row>
    <row r="149" hidden="1">
      <c r="A149" s="48" t="str">
        <f>IFERROR(__xludf.DUMMYFUNCTION("""COMPUTED_VALUE"""),"agosto_Campera")</f>
        <v>agosto_Campera</v>
      </c>
      <c r="B149" s="48">
        <f>IFERROR(__xludf.DUMMYFUNCTION("""COMPUTED_VALUE"""),2026.0)</f>
        <v>2026</v>
      </c>
      <c r="C149" s="49">
        <f>IFERROR(__xludf.DUMMYFUNCTION("""COMPUTED_VALUE"""),46249.0)</f>
        <v>46249</v>
      </c>
      <c r="D149" s="46">
        <f>IFERROR(__xludf.DUMMYFUNCTION("""COMPUTED_VALUE"""),18.0)</f>
        <v>18</v>
      </c>
      <c r="E149" s="46" t="str">
        <f>IFERROR(__xludf.DUMMYFUNCTION("""COMPUTED_VALUE"""),"Campera")</f>
        <v>Campera</v>
      </c>
      <c r="F149" s="46" t="str">
        <f>IFERROR(__xludf.DUMMYFUNCTION("""COMPUTED_VALUE"""),"Squirreled Away")</f>
        <v>Squirreled Away</v>
      </c>
      <c r="G149" s="46">
        <f>IFERROR(__xludf.DUMMYFUNCTION("""COMPUTED_VALUE"""),1.0)</f>
        <v>1</v>
      </c>
      <c r="H149" s="46">
        <f>IFERROR(__xludf.DUMMYFUNCTION("""COMPUTED_VALUE"""),2.0)</f>
        <v>2</v>
      </c>
      <c r="I149" s="50">
        <f>IFERROR(__xludf.DUMMYFUNCTION("""COMPUTED_VALUE"""),4.11)</f>
        <v>4.11</v>
      </c>
      <c r="J149" s="50">
        <f>IFERROR(__xludf.DUMMYFUNCTION("""COMPUTED_VALUE"""),2.89)</f>
        <v>2.89</v>
      </c>
      <c r="K149" s="51">
        <f>IFERROR(__xludf.DUMMYFUNCTION("""COMPUTED_VALUE"""),0.024112889999999998)</f>
        <v>0.02411289</v>
      </c>
      <c r="L149" s="46">
        <f>IFERROR(__xludf.DUMMYFUNCTION("""COMPUTED_VALUE"""),0.0)</f>
        <v>0</v>
      </c>
      <c r="M149" s="46">
        <f>IFERROR(__xludf.DUMMYFUNCTION("""COMPUTED_VALUE"""),1.0)</f>
        <v>1</v>
      </c>
      <c r="N149" s="46">
        <f>IFERROR(__xludf.DUMMYFUNCTION("""COMPUTED_VALUE"""),2.0)</f>
        <v>2</v>
      </c>
      <c r="O149" s="48">
        <f>IFERROR(__xludf.DUMMYFUNCTION("""COMPUTED_VALUE"""),1.0)</f>
        <v>1</v>
      </c>
      <c r="P149" s="52">
        <f>IFERROR(__xludf.DUMMYFUNCTION("""COMPUTED_VALUE"""),1.02411289)</f>
        <v>1.02411289</v>
      </c>
    </row>
    <row r="150" hidden="1">
      <c r="A150" s="48" t="str">
        <f>IFERROR(__xludf.DUMMYFUNCTION("""COMPUTED_VALUE"""),"agosto_Pexe")</f>
        <v>agosto_Pexe</v>
      </c>
      <c r="B150" s="48">
        <f>IFERROR(__xludf.DUMMYFUNCTION("""COMPUTED_VALUE"""),2026.0)</f>
        <v>2026</v>
      </c>
      <c r="C150" s="49">
        <f>IFERROR(__xludf.DUMMYFUNCTION("""COMPUTED_VALUE"""),46249.0)</f>
        <v>46249</v>
      </c>
      <c r="D150" s="46">
        <f>IFERROR(__xludf.DUMMYFUNCTION("""COMPUTED_VALUE"""),19.0)</f>
        <v>19</v>
      </c>
      <c r="E150" s="46" t="str">
        <f>IFERROR(__xludf.DUMMYFUNCTION("""COMPUTED_VALUE"""),"Pexe")</f>
        <v>Pexe</v>
      </c>
      <c r="F150" s="46" t="str">
        <f>IFERROR(__xludf.DUMMYFUNCTION("""COMPUTED_VALUE"""),"Spirit Squadron")</f>
        <v>Spirit Squadron</v>
      </c>
      <c r="G150" s="46">
        <f>IFERROR(__xludf.DUMMYFUNCTION("""COMPUTED_VALUE"""),1.0)</f>
        <v>1</v>
      </c>
      <c r="H150" s="46">
        <f>IFERROR(__xludf.DUMMYFUNCTION("""COMPUTED_VALUE"""),2.0)</f>
        <v>2</v>
      </c>
      <c r="I150" s="50">
        <f>IFERROR(__xludf.DUMMYFUNCTION("""COMPUTED_VALUE"""),3.22)</f>
        <v>3.22</v>
      </c>
      <c r="J150" s="50">
        <f>IFERROR(__xludf.DUMMYFUNCTION("""COMPUTED_VALUE"""),1.89)</f>
        <v>1.89</v>
      </c>
      <c r="K150" s="51">
        <f>IFERROR(__xludf.DUMMYFUNCTION("""COMPUTED_VALUE"""),0.023221890000000002)</f>
        <v>0.02322189</v>
      </c>
      <c r="L150" s="46">
        <f>IFERROR(__xludf.DUMMYFUNCTION("""COMPUTED_VALUE"""),0.0)</f>
        <v>0</v>
      </c>
      <c r="M150" s="46">
        <f>IFERROR(__xludf.DUMMYFUNCTION("""COMPUTED_VALUE"""),1.0)</f>
        <v>1</v>
      </c>
      <c r="N150" s="46">
        <f>IFERROR(__xludf.DUMMYFUNCTION("""COMPUTED_VALUE"""),2.0)</f>
        <v>2</v>
      </c>
      <c r="O150" s="48">
        <f>IFERROR(__xludf.DUMMYFUNCTION("""COMPUTED_VALUE"""),1.0)</f>
        <v>1</v>
      </c>
      <c r="P150" s="52">
        <f>IFERROR(__xludf.DUMMYFUNCTION("""COMPUTED_VALUE"""),1.02322189)</f>
        <v>1.02322189</v>
      </c>
    </row>
    <row r="151" hidden="1">
      <c r="A151" s="48" t="str">
        <f>IFERROR(__xludf.DUMMYFUNCTION("""COMPUTED_VALUE"""),"agosto_Dreifão")</f>
        <v>agosto_Dreifão</v>
      </c>
      <c r="B151" s="48">
        <f>IFERROR(__xludf.DUMMYFUNCTION("""COMPUTED_VALUE"""),2026.0)</f>
        <v>2026</v>
      </c>
      <c r="C151" s="49">
        <f>IFERROR(__xludf.DUMMYFUNCTION("""COMPUTED_VALUE"""),46249.0)</f>
        <v>46249</v>
      </c>
      <c r="D151" s="46">
        <f>IFERROR(__xludf.DUMMYFUNCTION("""COMPUTED_VALUE"""),20.0)</f>
        <v>20</v>
      </c>
      <c r="E151" s="46" t="str">
        <f>IFERROR(__xludf.DUMMYFUNCTION("""COMPUTED_VALUE"""),"Dreifão")</f>
        <v>Dreifão</v>
      </c>
      <c r="F151" s="46" t="str">
        <f>IFERROR(__xludf.DUMMYFUNCTION("""COMPUTED_VALUE"""),"Quandrix Unlimited")</f>
        <v>Quandrix Unlimited</v>
      </c>
      <c r="G151" s="46">
        <f>IFERROR(__xludf.DUMMYFUNCTION("""COMPUTED_VALUE"""),1.0)</f>
        <v>1</v>
      </c>
      <c r="H151" s="46">
        <f>IFERROR(__xludf.DUMMYFUNCTION("""COMPUTED_VALUE"""),1.0)</f>
        <v>1</v>
      </c>
      <c r="I151" s="50">
        <f>IFERROR(__xludf.DUMMYFUNCTION("""COMPUTED_VALUE"""),3.33)</f>
        <v>3.33</v>
      </c>
      <c r="J151" s="50">
        <f>IFERROR(__xludf.DUMMYFUNCTION("""COMPUTED_VALUE"""),5.0)</f>
        <v>5</v>
      </c>
      <c r="K151" s="51">
        <f>IFERROR(__xludf.DUMMYFUNCTION("""COMPUTED_VALUE"""),0.013335)</f>
        <v>0.013335</v>
      </c>
      <c r="L151" s="46">
        <f>IFERROR(__xludf.DUMMYFUNCTION("""COMPUTED_VALUE"""),0.0)</f>
        <v>0</v>
      </c>
      <c r="M151" s="46">
        <f>IFERROR(__xludf.DUMMYFUNCTION("""COMPUTED_VALUE"""),1.0)</f>
        <v>1</v>
      </c>
      <c r="N151" s="46">
        <f>IFERROR(__xludf.DUMMYFUNCTION("""COMPUTED_VALUE"""),0.0)</f>
        <v>0</v>
      </c>
      <c r="O151" s="48">
        <f>IFERROR(__xludf.DUMMYFUNCTION("""COMPUTED_VALUE"""),1.0)</f>
        <v>1</v>
      </c>
      <c r="P151" s="52">
        <f>IFERROR(__xludf.DUMMYFUNCTION("""COMPUTED_VALUE"""),1.013335)</f>
        <v>1.013335</v>
      </c>
    </row>
    <row r="152" hidden="1">
      <c r="A152" s="48" t="str">
        <f>IFERROR(__xludf.DUMMYFUNCTION("""COMPUTED_VALUE"""),"agosto_Lmendes")</f>
        <v>agosto_Lmendes</v>
      </c>
      <c r="B152" s="48">
        <f>IFERROR(__xludf.DUMMYFUNCTION("""COMPUTED_VALUE"""),2026.0)</f>
        <v>2026</v>
      </c>
      <c r="C152" s="49">
        <f>IFERROR(__xludf.DUMMYFUNCTION("""COMPUTED_VALUE"""),46249.0)</f>
        <v>46249</v>
      </c>
      <c r="D152" s="46">
        <f>IFERROR(__xludf.DUMMYFUNCTION("""COMPUTED_VALUE"""),21.0)</f>
        <v>21</v>
      </c>
      <c r="E152" s="46" t="str">
        <f>IFERROR(__xludf.DUMMYFUNCTION("""COMPUTED_VALUE"""),"Lmendes")</f>
        <v>Lmendes</v>
      </c>
      <c r="F152" s="46" t="str">
        <f>IFERROR(__xludf.DUMMYFUNCTION("""COMPUTED_VALUE"""),"Temur Roar")</f>
        <v>Temur Roar</v>
      </c>
      <c r="G152" s="46">
        <f>IFERROR(__xludf.DUMMYFUNCTION("""COMPUTED_VALUE"""),0.0)</f>
        <v>0</v>
      </c>
      <c r="H152" s="46">
        <f>IFERROR(__xludf.DUMMYFUNCTION("""COMPUTED_VALUE"""),0.0)</f>
        <v>0</v>
      </c>
      <c r="I152" s="50">
        <f>IFERROR(__xludf.DUMMYFUNCTION("""COMPUTED_VALUE"""),2.75)</f>
        <v>2.75</v>
      </c>
      <c r="J152" s="50">
        <f>IFERROR(__xludf.DUMMYFUNCTION("""COMPUTED_VALUE"""),0.75)</f>
        <v>0.75</v>
      </c>
      <c r="K152" s="51">
        <f>IFERROR(__xludf.DUMMYFUNCTION("""COMPUTED_VALUE"""),0.0027507499999999997)</f>
        <v>0.00275075</v>
      </c>
      <c r="L152" s="46">
        <f>IFERROR(__xludf.DUMMYFUNCTION("""COMPUTED_VALUE"""),0.0)</f>
        <v>0</v>
      </c>
      <c r="M152" s="46">
        <f>IFERROR(__xludf.DUMMYFUNCTION("""COMPUTED_VALUE"""),0.0)</f>
        <v>0</v>
      </c>
      <c r="N152" s="46">
        <f>IFERROR(__xludf.DUMMYFUNCTION("""COMPUTED_VALUE"""),3.0)</f>
        <v>3</v>
      </c>
      <c r="O152" s="48">
        <f>IFERROR(__xludf.DUMMYFUNCTION("""COMPUTED_VALUE"""),1.0)</f>
        <v>1</v>
      </c>
      <c r="P152" s="52">
        <f>IFERROR(__xludf.DUMMYFUNCTION("""COMPUTED_VALUE"""),1.00275075)</f>
        <v>1.00275075</v>
      </c>
    </row>
    <row r="153" hidden="1">
      <c r="A153" s="48" t="str">
        <f>IFERROR(__xludf.DUMMYFUNCTION("""COMPUTED_VALUE"""),"agosto_Manel")</f>
        <v>agosto_Manel</v>
      </c>
      <c r="B153" s="48">
        <f>IFERROR(__xludf.DUMMYFUNCTION("""COMPUTED_VALUE"""),2026.0)</f>
        <v>2026</v>
      </c>
      <c r="C153" s="49">
        <f>IFERROR(__xludf.DUMMYFUNCTION("""COMPUTED_VALUE"""),46249.0)</f>
        <v>46249</v>
      </c>
      <c r="D153" s="46">
        <f>IFERROR(__xludf.DUMMYFUNCTION("""COMPUTED_VALUE"""),22.0)</f>
        <v>22</v>
      </c>
      <c r="E153" s="46" t="str">
        <f>IFERROR(__xludf.DUMMYFUNCTION("""COMPUTED_VALUE"""),"Manel")</f>
        <v>Manel</v>
      </c>
      <c r="F153" s="46" t="str">
        <f>IFERROR(__xludf.DUMMYFUNCTION("""COMPUTED_VALUE"""),"Quandrix Unlimited")</f>
        <v>Quandrix Unlimited</v>
      </c>
      <c r="G153" s="46">
        <f>IFERROR(__xludf.DUMMYFUNCTION("""COMPUTED_VALUE"""),0.0)</f>
        <v>0</v>
      </c>
      <c r="H153" s="46">
        <f>IFERROR(__xludf.DUMMYFUNCTION("""COMPUTED_VALUE"""),0.0)</f>
        <v>0</v>
      </c>
      <c r="I153" s="50">
        <f>IFERROR(__xludf.DUMMYFUNCTION("""COMPUTED_VALUE"""),2.5)</f>
        <v>2.5</v>
      </c>
      <c r="J153" s="50">
        <f>IFERROR(__xludf.DUMMYFUNCTION("""COMPUTED_VALUE"""),1.38)</f>
        <v>1.38</v>
      </c>
      <c r="K153" s="51">
        <f>IFERROR(__xludf.DUMMYFUNCTION("""COMPUTED_VALUE"""),0.00250138)</f>
        <v>0.00250138</v>
      </c>
      <c r="L153" s="46">
        <f>IFERROR(__xludf.DUMMYFUNCTION("""COMPUTED_VALUE"""),0.0)</f>
        <v>0</v>
      </c>
      <c r="M153" s="46">
        <f>IFERROR(__xludf.DUMMYFUNCTION("""COMPUTED_VALUE"""),0.0)</f>
        <v>0</v>
      </c>
      <c r="N153" s="46">
        <f>IFERROR(__xludf.DUMMYFUNCTION("""COMPUTED_VALUE"""),3.0)</f>
        <v>3</v>
      </c>
      <c r="O153" s="48">
        <f>IFERROR(__xludf.DUMMYFUNCTION("""COMPUTED_VALUE"""),1.0)</f>
        <v>1</v>
      </c>
      <c r="P153" s="52">
        <f>IFERROR(__xludf.DUMMYFUNCTION("""COMPUTED_VALUE"""),1.00250138)</f>
        <v>1.00250138</v>
      </c>
    </row>
    <row r="154" hidden="1">
      <c r="A154" s="48" t="str">
        <f>IFERROR(__xludf.DUMMYFUNCTION("""COMPUTED_VALUE"""),"agosto_França")</f>
        <v>agosto_França</v>
      </c>
      <c r="B154" s="48">
        <f>IFERROR(__xludf.DUMMYFUNCTION("""COMPUTED_VALUE"""),2026.0)</f>
        <v>2026</v>
      </c>
      <c r="C154" s="49">
        <f>IFERROR(__xludf.DUMMYFUNCTION("""COMPUTED_VALUE"""),46249.0)</f>
        <v>46249</v>
      </c>
      <c r="D154" s="46">
        <f>IFERROR(__xludf.DUMMYFUNCTION("""COMPUTED_VALUE"""),23.0)</f>
        <v>23</v>
      </c>
      <c r="E154" s="46" t="str">
        <f>IFERROR(__xludf.DUMMYFUNCTION("""COMPUTED_VALUE"""),"França")</f>
        <v>França</v>
      </c>
      <c r="F154" s="46" t="str">
        <f>IFERROR(__xludf.DUMMYFUNCTION("""COMPUTED_VALUE"""),"Witherbloom Pestilence")</f>
        <v>Witherbloom Pestilence</v>
      </c>
      <c r="G154" s="46">
        <f>IFERROR(__xludf.DUMMYFUNCTION("""COMPUTED_VALUE"""),0.0)</f>
        <v>0</v>
      </c>
      <c r="H154" s="46">
        <f>IFERROR(__xludf.DUMMYFUNCTION("""COMPUTED_VALUE"""),0.0)</f>
        <v>0</v>
      </c>
      <c r="I154" s="50">
        <f>IFERROR(__xludf.DUMMYFUNCTION("""COMPUTED_VALUE"""),2.43)</f>
        <v>2.43</v>
      </c>
      <c r="J154" s="50">
        <f>IFERROR(__xludf.DUMMYFUNCTION("""COMPUTED_VALUE"""),1.43)</f>
        <v>1.43</v>
      </c>
      <c r="K154" s="51">
        <f>IFERROR(__xludf.DUMMYFUNCTION("""COMPUTED_VALUE"""),0.00243143)</f>
        <v>0.00243143</v>
      </c>
      <c r="L154" s="46">
        <f>IFERROR(__xludf.DUMMYFUNCTION("""COMPUTED_VALUE"""),0.0)</f>
        <v>0</v>
      </c>
      <c r="M154" s="46">
        <f>IFERROR(__xludf.DUMMYFUNCTION("""COMPUTED_VALUE"""),0.0)</f>
        <v>0</v>
      </c>
      <c r="N154" s="46">
        <f>IFERROR(__xludf.DUMMYFUNCTION("""COMPUTED_VALUE"""),3.0)</f>
        <v>3</v>
      </c>
      <c r="O154" s="48">
        <f>IFERROR(__xludf.DUMMYFUNCTION("""COMPUTED_VALUE"""),1.0)</f>
        <v>1</v>
      </c>
      <c r="P154" s="52">
        <f>IFERROR(__xludf.DUMMYFUNCTION("""COMPUTED_VALUE"""),1.00243143)</f>
        <v>1.00243143</v>
      </c>
    </row>
    <row r="155">
      <c r="A155" s="48" t="str">
        <f>IFERROR(__xludf.DUMMYFUNCTION("""COMPUTED_VALUE"""),"setembro_Erickpd")</f>
        <v>setembro_Erickpd</v>
      </c>
      <c r="B155" s="48">
        <f>IFERROR(__xludf.DUMMYFUNCTION("""COMPUTED_VALUE"""),2026.0)</f>
        <v>2026</v>
      </c>
      <c r="C155" s="49">
        <f>IFERROR(__xludf.DUMMYFUNCTION("""COMPUTED_VALUE"""),46295.0)</f>
        <v>46295</v>
      </c>
      <c r="D155" s="46">
        <f>IFERROR(__xludf.DUMMYFUNCTION("""COMPUTED_VALUE"""),1.0)</f>
        <v>1</v>
      </c>
      <c r="E155" s="46" t="str">
        <f>IFERROR(__xludf.DUMMYFUNCTION("""COMPUTED_VALUE"""),"Erickpd")</f>
        <v>Erickpd</v>
      </c>
      <c r="F155" s="46" t="str">
        <f>IFERROR(__xludf.DUMMYFUNCTION("""COMPUTED_VALUE"""),"Virtue and Valor")</f>
        <v>Virtue and Valor</v>
      </c>
      <c r="G155" s="46">
        <f>IFERROR(__xludf.DUMMYFUNCTION("""COMPUTED_VALUE"""),7.0)</f>
        <v>7</v>
      </c>
      <c r="H155" s="46">
        <f>IFERROR(__xludf.DUMMYFUNCTION("""COMPUTED_VALUE"""),6.0)</f>
        <v>6</v>
      </c>
      <c r="I155" s="50">
        <f>IFERROR(__xludf.DUMMYFUNCTION("""COMPUTED_VALUE"""),2.67)</f>
        <v>2.67</v>
      </c>
      <c r="J155" s="50">
        <f>IFERROR(__xludf.DUMMYFUNCTION("""COMPUTED_VALUE"""),3.33)</f>
        <v>3.33</v>
      </c>
      <c r="K155" s="51">
        <f>IFERROR(__xludf.DUMMYFUNCTION("""COMPUTED_VALUE"""),0.26267333000000004)</f>
        <v>0.26267333</v>
      </c>
      <c r="L155" s="46">
        <f>IFERROR(__xludf.DUMMYFUNCTION("""COMPUTED_VALUE"""),2.0)</f>
        <v>2</v>
      </c>
      <c r="M155" s="46">
        <f>IFERROR(__xludf.DUMMYFUNCTION("""COMPUTED_VALUE"""),1.0)</f>
        <v>1</v>
      </c>
      <c r="N155" s="46">
        <f>IFERROR(__xludf.DUMMYFUNCTION("""COMPUTED_VALUE"""),0.0)</f>
        <v>0</v>
      </c>
      <c r="O155" s="48"/>
      <c r="P155" s="52" t="str">
        <f>IFERROR(__xludf.DUMMYFUNCTION("""COMPUTED_VALUE"""),"")</f>
        <v/>
      </c>
    </row>
    <row r="156">
      <c r="A156" s="48" t="str">
        <f>IFERROR(__xludf.DUMMYFUNCTION("""COMPUTED_VALUE"""),"setembro_caiobmbh")</f>
        <v>setembro_caiobmbh</v>
      </c>
      <c r="B156" s="48">
        <f>IFERROR(__xludf.DUMMYFUNCTION("""COMPUTED_VALUE"""),2026.0)</f>
        <v>2026</v>
      </c>
      <c r="C156" s="49">
        <f>IFERROR(__xludf.DUMMYFUNCTION("""COMPUTED_VALUE"""),46295.0)</f>
        <v>46295</v>
      </c>
      <c r="D156" s="46">
        <f>IFERROR(__xludf.DUMMYFUNCTION("""COMPUTED_VALUE"""),2.0)</f>
        <v>2</v>
      </c>
      <c r="E156" s="46" t="str">
        <f>IFERROR(__xludf.DUMMYFUNCTION("""COMPUTED_VALUE"""),"caiobmbh")</f>
        <v>caiobmbh</v>
      </c>
      <c r="F156" s="46" t="str">
        <f>IFERROR(__xludf.DUMMYFUNCTION("""COMPUTED_VALUE"""),"Jeskai Striker")</f>
        <v>Jeskai Striker</v>
      </c>
      <c r="G156" s="46">
        <f>IFERROR(__xludf.DUMMYFUNCTION("""COMPUTED_VALUE"""),5.0)</f>
        <v>5</v>
      </c>
      <c r="H156" s="46">
        <f>IFERROR(__xludf.DUMMYFUNCTION("""COMPUTED_VALUE"""),6.0)</f>
        <v>6</v>
      </c>
      <c r="I156" s="50">
        <f>IFERROR(__xludf.DUMMYFUNCTION("""COMPUTED_VALUE"""),3.11)</f>
        <v>3.11</v>
      </c>
      <c r="J156" s="50">
        <f>IFERROR(__xludf.DUMMYFUNCTION("""COMPUTED_VALUE"""),4.22)</f>
        <v>4.22</v>
      </c>
      <c r="K156" s="51">
        <f>IFERROR(__xludf.DUMMYFUNCTION("""COMPUTED_VALUE"""),0.16311422)</f>
        <v>0.16311422</v>
      </c>
      <c r="L156" s="46">
        <f>IFERROR(__xludf.DUMMYFUNCTION("""COMPUTED_VALUE"""),1.0)</f>
        <v>1</v>
      </c>
      <c r="M156" s="46">
        <f>IFERROR(__xludf.DUMMYFUNCTION("""COMPUTED_VALUE"""),2.0)</f>
        <v>2</v>
      </c>
      <c r="N156" s="46">
        <f>IFERROR(__xludf.DUMMYFUNCTION("""COMPUTED_VALUE"""),0.0)</f>
        <v>0</v>
      </c>
      <c r="O156" s="48"/>
      <c r="P156" s="52" t="str">
        <f>IFERROR(__xludf.DUMMYFUNCTION("""COMPUTED_VALUE"""),"")</f>
        <v/>
      </c>
    </row>
    <row r="157">
      <c r="A157" s="48" t="str">
        <f>IFERROR(__xludf.DUMMYFUNCTION("""COMPUTED_VALUE"""),"setembro_Fabio C")</f>
        <v>setembro_Fabio C</v>
      </c>
      <c r="B157" s="48">
        <f>IFERROR(__xludf.DUMMYFUNCTION("""COMPUTED_VALUE"""),2026.0)</f>
        <v>2026</v>
      </c>
      <c r="C157" s="49">
        <f>IFERROR(__xludf.DUMMYFUNCTION("""COMPUTED_VALUE"""),46295.0)</f>
        <v>46295</v>
      </c>
      <c r="D157" s="46">
        <f>IFERROR(__xludf.DUMMYFUNCTION("""COMPUTED_VALUE"""),3.0)</f>
        <v>3</v>
      </c>
      <c r="E157" s="46" t="str">
        <f>IFERROR(__xludf.DUMMYFUNCTION("""COMPUTED_VALUE"""),"Fabio C")</f>
        <v>Fabio C</v>
      </c>
      <c r="F157" s="46" t="str">
        <f>IFERROR(__xludf.DUMMYFUNCTION("""COMPUTED_VALUE"""),"Blame Game")</f>
        <v>Blame Game</v>
      </c>
      <c r="G157" s="46">
        <f>IFERROR(__xludf.DUMMYFUNCTION("""COMPUTED_VALUE"""),4.0)</f>
        <v>4</v>
      </c>
      <c r="H157" s="46">
        <f>IFERROR(__xludf.DUMMYFUNCTION("""COMPUTED_VALUE"""),4.0)</f>
        <v>4</v>
      </c>
      <c r="I157" s="50">
        <f>IFERROR(__xludf.DUMMYFUNCTION("""COMPUTED_VALUE"""),3.38)</f>
        <v>3.38</v>
      </c>
      <c r="J157" s="50">
        <f>IFERROR(__xludf.DUMMYFUNCTION("""COMPUTED_VALUE"""),3.88)</f>
        <v>3.88</v>
      </c>
      <c r="K157" s="51">
        <f>IFERROR(__xludf.DUMMYFUNCTION("""COMPUTED_VALUE"""),0.14338388000000002)</f>
        <v>0.14338388</v>
      </c>
      <c r="L157" s="46">
        <f>IFERROR(__xludf.DUMMYFUNCTION("""COMPUTED_VALUE"""),1.0)</f>
        <v>1</v>
      </c>
      <c r="M157" s="46">
        <f>IFERROR(__xludf.DUMMYFUNCTION("""COMPUTED_VALUE"""),1.0)</f>
        <v>1</v>
      </c>
      <c r="N157" s="46">
        <f>IFERROR(__xludf.DUMMYFUNCTION("""COMPUTED_VALUE"""),1.0)</f>
        <v>1</v>
      </c>
      <c r="O157" s="48"/>
      <c r="P157" s="52" t="str">
        <f>IFERROR(__xludf.DUMMYFUNCTION("""COMPUTED_VALUE"""),"")</f>
        <v/>
      </c>
    </row>
    <row r="158">
      <c r="A158" s="48" t="str">
        <f>IFERROR(__xludf.DUMMYFUNCTION("""COMPUTED_VALUE"""),"setembro_Gabriel P.")</f>
        <v>setembro_Gabriel P.</v>
      </c>
      <c r="B158" s="48">
        <f>IFERROR(__xludf.DUMMYFUNCTION("""COMPUTED_VALUE"""),2026.0)</f>
        <v>2026</v>
      </c>
      <c r="C158" s="49">
        <f>IFERROR(__xludf.DUMMYFUNCTION("""COMPUTED_VALUE"""),46295.0)</f>
        <v>46295</v>
      </c>
      <c r="D158" s="46">
        <f>IFERROR(__xludf.DUMMYFUNCTION("""COMPUTED_VALUE"""),4.0)</f>
        <v>4</v>
      </c>
      <c r="E158" s="46" t="str">
        <f>IFERROR(__xludf.DUMMYFUNCTION("""COMPUTED_VALUE"""),"Gabriel P.")</f>
        <v>Gabriel P.</v>
      </c>
      <c r="F158" s="46" t="str">
        <f>IFERROR(__xludf.DUMMYFUNCTION("""COMPUTED_VALUE"""),"Quick Draw")</f>
        <v>Quick Draw</v>
      </c>
      <c r="G158" s="46">
        <f>IFERROR(__xludf.DUMMYFUNCTION("""COMPUTED_VALUE"""),4.0)</f>
        <v>4</v>
      </c>
      <c r="H158" s="46">
        <f>IFERROR(__xludf.DUMMYFUNCTION("""COMPUTED_VALUE"""),4.0)</f>
        <v>4</v>
      </c>
      <c r="I158" s="50">
        <f>IFERROR(__xludf.DUMMYFUNCTION("""COMPUTED_VALUE"""),2.56)</f>
        <v>2.56</v>
      </c>
      <c r="J158" s="50">
        <f>IFERROR(__xludf.DUMMYFUNCTION("""COMPUTED_VALUE"""),3.11)</f>
        <v>3.11</v>
      </c>
      <c r="K158" s="51">
        <f>IFERROR(__xludf.DUMMYFUNCTION("""COMPUTED_VALUE"""),0.14256311000000002)</f>
        <v>0.14256311</v>
      </c>
      <c r="L158" s="46">
        <f>IFERROR(__xludf.DUMMYFUNCTION("""COMPUTED_VALUE"""),1.0)</f>
        <v>1</v>
      </c>
      <c r="M158" s="46">
        <f>IFERROR(__xludf.DUMMYFUNCTION("""COMPUTED_VALUE"""),1.0)</f>
        <v>1</v>
      </c>
      <c r="N158" s="46">
        <f>IFERROR(__xludf.DUMMYFUNCTION("""COMPUTED_VALUE"""),1.0)</f>
        <v>1</v>
      </c>
      <c r="O158" s="48"/>
      <c r="P158" s="52" t="str">
        <f>IFERROR(__xludf.DUMMYFUNCTION("""COMPUTED_VALUE"""),"")</f>
        <v/>
      </c>
    </row>
    <row r="159">
      <c r="A159" s="48" t="str">
        <f>IFERROR(__xludf.DUMMYFUNCTION("""COMPUTED_VALUE"""),"setembro_Campera")</f>
        <v>setembro_Campera</v>
      </c>
      <c r="B159" s="48">
        <f>IFERROR(__xludf.DUMMYFUNCTION("""COMPUTED_VALUE"""),2026.0)</f>
        <v>2026</v>
      </c>
      <c r="C159" s="49">
        <f>IFERROR(__xludf.DUMMYFUNCTION("""COMPUTED_VALUE"""),46295.0)</f>
        <v>46295</v>
      </c>
      <c r="D159" s="46">
        <f>IFERROR(__xludf.DUMMYFUNCTION("""COMPUTED_VALUE"""),5.0)</f>
        <v>5</v>
      </c>
      <c r="E159" s="46" t="str">
        <f>IFERROR(__xludf.DUMMYFUNCTION("""COMPUTED_VALUE"""),"Campera")</f>
        <v>Campera</v>
      </c>
      <c r="F159" s="46" t="str">
        <f>IFERROR(__xludf.DUMMYFUNCTION("""COMPUTED_VALUE"""),"Blood Rites")</f>
        <v>Blood Rites</v>
      </c>
      <c r="G159" s="46">
        <f>IFERROR(__xludf.DUMMYFUNCTION("""COMPUTED_VALUE"""),3.0)</f>
        <v>3</v>
      </c>
      <c r="H159" s="46">
        <f>IFERROR(__xludf.DUMMYFUNCTION("""COMPUTED_VALUE"""),6.0)</f>
        <v>6</v>
      </c>
      <c r="I159" s="50">
        <f>IFERROR(__xludf.DUMMYFUNCTION("""COMPUTED_VALUE"""),3.71)</f>
        <v>3.71</v>
      </c>
      <c r="J159" s="50">
        <f>IFERROR(__xludf.DUMMYFUNCTION("""COMPUTED_VALUE"""),5.14)</f>
        <v>5.14</v>
      </c>
      <c r="K159" s="51">
        <f>IFERROR(__xludf.DUMMYFUNCTION("""COMPUTED_VALUE"""),0.06371514)</f>
        <v>0.06371514</v>
      </c>
      <c r="L159" s="46">
        <f>IFERROR(__xludf.DUMMYFUNCTION("""COMPUTED_VALUE"""),0.0)</f>
        <v>0</v>
      </c>
      <c r="M159" s="46">
        <f>IFERROR(__xludf.DUMMYFUNCTION("""COMPUTED_VALUE"""),3.0)</f>
        <v>3</v>
      </c>
      <c r="N159" s="46">
        <f>IFERROR(__xludf.DUMMYFUNCTION("""COMPUTED_VALUE"""),0.0)</f>
        <v>0</v>
      </c>
      <c r="O159" s="48"/>
      <c r="P159" s="52" t="str">
        <f>IFERROR(__xludf.DUMMYFUNCTION("""COMPUTED_VALUE"""),"")</f>
        <v/>
      </c>
    </row>
    <row r="160">
      <c r="A160" s="48" t="str">
        <f>IFERROR(__xludf.DUMMYFUNCTION("""COMPUTED_VALUE"""),"setembro_Morkan")</f>
        <v>setembro_Morkan</v>
      </c>
      <c r="B160" s="48">
        <f>IFERROR(__xludf.DUMMYFUNCTION("""COMPUTED_VALUE"""),2026.0)</f>
        <v>2026</v>
      </c>
      <c r="C160" s="49">
        <f>IFERROR(__xludf.DUMMYFUNCTION("""COMPUTED_VALUE"""),46295.0)</f>
        <v>46295</v>
      </c>
      <c r="D160" s="46">
        <f>IFERROR(__xludf.DUMMYFUNCTION("""COMPUTED_VALUE"""),6.0)</f>
        <v>6</v>
      </c>
      <c r="E160" s="46" t="str">
        <f>IFERROR(__xludf.DUMMYFUNCTION("""COMPUTED_VALUE"""),"Morkan")</f>
        <v>Morkan</v>
      </c>
      <c r="F160" s="46" t="str">
        <f>IFERROR(__xludf.DUMMYFUNCTION("""COMPUTED_VALUE"""),"Lorehold Spirit")</f>
        <v>Lorehold Spirit</v>
      </c>
      <c r="G160" s="46">
        <f>IFERROR(__xludf.DUMMYFUNCTION("""COMPUTED_VALUE"""),3.0)</f>
        <v>3</v>
      </c>
      <c r="H160" s="46">
        <f>IFERROR(__xludf.DUMMYFUNCTION("""COMPUTED_VALUE"""),6.0)</f>
        <v>6</v>
      </c>
      <c r="I160" s="50">
        <f>IFERROR(__xludf.DUMMYFUNCTION("""COMPUTED_VALUE"""),3.25)</f>
        <v>3.25</v>
      </c>
      <c r="J160" s="50">
        <f>IFERROR(__xludf.DUMMYFUNCTION("""COMPUTED_VALUE"""),4.88)</f>
        <v>4.88</v>
      </c>
      <c r="K160" s="51">
        <f>IFERROR(__xludf.DUMMYFUNCTION("""COMPUTED_VALUE"""),0.06325488)</f>
        <v>0.06325488</v>
      </c>
      <c r="L160" s="46">
        <f>IFERROR(__xludf.DUMMYFUNCTION("""COMPUTED_VALUE"""),0.0)</f>
        <v>0</v>
      </c>
      <c r="M160" s="46">
        <f>IFERROR(__xludf.DUMMYFUNCTION("""COMPUTED_VALUE"""),3.0)</f>
        <v>3</v>
      </c>
      <c r="N160" s="46">
        <f>IFERROR(__xludf.DUMMYFUNCTION("""COMPUTED_VALUE"""),0.0)</f>
        <v>0</v>
      </c>
      <c r="O160" s="48"/>
      <c r="P160" s="52" t="str">
        <f>IFERROR(__xludf.DUMMYFUNCTION("""COMPUTED_VALUE"""),"")</f>
        <v/>
      </c>
    </row>
    <row r="161">
      <c r="A161" s="48" t="str">
        <f>IFERROR(__xludf.DUMMYFUNCTION("""COMPUTED_VALUE"""),"setembro_Bydo")</f>
        <v>setembro_Bydo</v>
      </c>
      <c r="B161" s="48">
        <f>IFERROR(__xludf.DUMMYFUNCTION("""COMPUTED_VALUE"""),2026.0)</f>
        <v>2026</v>
      </c>
      <c r="C161" s="49">
        <f>IFERROR(__xludf.DUMMYFUNCTION("""COMPUTED_VALUE"""),46295.0)</f>
        <v>46295</v>
      </c>
      <c r="D161" s="46">
        <f>IFERROR(__xludf.DUMMYFUNCTION("""COMPUTED_VALUE"""),7.0)</f>
        <v>7</v>
      </c>
      <c r="E161" s="46" t="str">
        <f>IFERROR(__xludf.DUMMYFUNCTION("""COMPUTED_VALUE"""),"Bydo")</f>
        <v>Bydo</v>
      </c>
      <c r="F161" s="46" t="str">
        <f>IFERROR(__xludf.DUMMYFUNCTION("""COMPUTED_VALUE"""),"Animated Army")</f>
        <v>Animated Army</v>
      </c>
      <c r="G161" s="46">
        <f>IFERROR(__xludf.DUMMYFUNCTION("""COMPUTED_VALUE"""),3.0)</f>
        <v>3</v>
      </c>
      <c r="H161" s="46">
        <f>IFERROR(__xludf.DUMMYFUNCTION("""COMPUTED_VALUE"""),6.0)</f>
        <v>6</v>
      </c>
      <c r="I161" s="50">
        <f>IFERROR(__xludf.DUMMYFUNCTION("""COMPUTED_VALUE"""),3.14)</f>
        <v>3.14</v>
      </c>
      <c r="J161" s="50">
        <f>IFERROR(__xludf.DUMMYFUNCTION("""COMPUTED_VALUE"""),5.14)</f>
        <v>5.14</v>
      </c>
      <c r="K161" s="51">
        <f>IFERROR(__xludf.DUMMYFUNCTION("""COMPUTED_VALUE"""),0.06314514)</f>
        <v>0.06314514</v>
      </c>
      <c r="L161" s="46">
        <f>IFERROR(__xludf.DUMMYFUNCTION("""COMPUTED_VALUE"""),0.0)</f>
        <v>0</v>
      </c>
      <c r="M161" s="46">
        <f>IFERROR(__xludf.DUMMYFUNCTION("""COMPUTED_VALUE"""),3.0)</f>
        <v>3</v>
      </c>
      <c r="N161" s="46">
        <f>IFERROR(__xludf.DUMMYFUNCTION("""COMPUTED_VALUE"""),0.0)</f>
        <v>0</v>
      </c>
      <c r="O161" s="48"/>
      <c r="P161" s="52" t="str">
        <f>IFERROR(__xludf.DUMMYFUNCTION("""COMPUTED_VALUE"""),"")</f>
        <v/>
      </c>
    </row>
    <row r="162">
      <c r="A162" s="48" t="str">
        <f>IFERROR(__xludf.DUMMYFUNCTION("""COMPUTED_VALUE"""),"setembro_Like a Dragon")</f>
        <v>setembro_Like a Dragon</v>
      </c>
      <c r="B162" s="48">
        <f>IFERROR(__xludf.DUMMYFUNCTION("""COMPUTED_VALUE"""),2026.0)</f>
        <v>2026</v>
      </c>
      <c r="C162" s="49">
        <f>IFERROR(__xludf.DUMMYFUNCTION("""COMPUTED_VALUE"""),46295.0)</f>
        <v>46295</v>
      </c>
      <c r="D162" s="46">
        <f>IFERROR(__xludf.DUMMYFUNCTION("""COMPUTED_VALUE"""),8.0)</f>
        <v>8</v>
      </c>
      <c r="E162" s="46" t="str">
        <f>IFERROR(__xludf.DUMMYFUNCTION("""COMPUTED_VALUE"""),"Like a Dragon")</f>
        <v>Like a Dragon</v>
      </c>
      <c r="F162" s="46" t="str">
        <f>IFERROR(__xludf.DUMMYFUNCTION("""COMPUTED_VALUE"""),"Revival Trance")</f>
        <v>Revival Trance</v>
      </c>
      <c r="G162" s="46">
        <f>IFERROR(__xludf.DUMMYFUNCTION("""COMPUTED_VALUE"""),3.0)</f>
        <v>3</v>
      </c>
      <c r="H162" s="46">
        <f>IFERROR(__xludf.DUMMYFUNCTION("""COMPUTED_VALUE"""),6.0)</f>
        <v>6</v>
      </c>
      <c r="I162" s="50">
        <f>IFERROR(__xludf.DUMMYFUNCTION("""COMPUTED_VALUE"""),2.57)</f>
        <v>2.57</v>
      </c>
      <c r="J162" s="50">
        <f>IFERROR(__xludf.DUMMYFUNCTION("""COMPUTED_VALUE"""),4.57)</f>
        <v>4.57</v>
      </c>
      <c r="K162" s="51">
        <f>IFERROR(__xludf.DUMMYFUNCTION("""COMPUTED_VALUE"""),0.06257457)</f>
        <v>0.06257457</v>
      </c>
      <c r="L162" s="46">
        <f>IFERROR(__xludf.DUMMYFUNCTION("""COMPUTED_VALUE"""),0.0)</f>
        <v>0</v>
      </c>
      <c r="M162" s="46">
        <f>IFERROR(__xludf.DUMMYFUNCTION("""COMPUTED_VALUE"""),3.0)</f>
        <v>3</v>
      </c>
      <c r="N162" s="46">
        <f>IFERROR(__xludf.DUMMYFUNCTION("""COMPUTED_VALUE"""),0.0)</f>
        <v>0</v>
      </c>
      <c r="O162" s="48"/>
      <c r="P162" s="52" t="str">
        <f>IFERROR(__xludf.DUMMYFUNCTION("""COMPUTED_VALUE"""),"")</f>
        <v/>
      </c>
    </row>
    <row r="163">
      <c r="A163" s="48" t="str">
        <f>IFERROR(__xludf.DUMMYFUNCTION("""COMPUTED_VALUE"""),"setembro_Skeeter")</f>
        <v>setembro_Skeeter</v>
      </c>
      <c r="B163" s="48">
        <f>IFERROR(__xludf.DUMMYFUNCTION("""COMPUTED_VALUE"""),2026.0)</f>
        <v>2026</v>
      </c>
      <c r="C163" s="49">
        <f>IFERROR(__xludf.DUMMYFUNCTION("""COMPUTED_VALUE"""),46295.0)</f>
        <v>46295</v>
      </c>
      <c r="D163" s="46">
        <f>IFERROR(__xludf.DUMMYFUNCTION("""COMPUTED_VALUE"""),9.0)</f>
        <v>9</v>
      </c>
      <c r="E163" s="46" t="str">
        <f>IFERROR(__xludf.DUMMYFUNCTION("""COMPUTED_VALUE"""),"Skeeter")</f>
        <v>Skeeter</v>
      </c>
      <c r="F163" s="46" t="str">
        <f>IFERROR(__xludf.DUMMYFUNCTION("""COMPUTED_VALUE"""),"Blight Curse")</f>
        <v>Blight Curse</v>
      </c>
      <c r="G163" s="46">
        <f>IFERROR(__xludf.DUMMYFUNCTION("""COMPUTED_VALUE"""),3.0)</f>
        <v>3</v>
      </c>
      <c r="H163" s="46">
        <f>IFERROR(__xludf.DUMMYFUNCTION("""COMPUTED_VALUE"""),0.0)</f>
        <v>0</v>
      </c>
      <c r="I163" s="50">
        <f>IFERROR(__xludf.DUMMYFUNCTION("""COMPUTED_VALUE"""),2.8)</f>
        <v>2.8</v>
      </c>
      <c r="J163" s="50">
        <f>IFERROR(__xludf.DUMMYFUNCTION("""COMPUTED_VALUE"""),3.8)</f>
        <v>3.8</v>
      </c>
      <c r="K163" s="51">
        <f>IFERROR(__xludf.DUMMYFUNCTION("""COMPUTED_VALUE"""),0.0028038)</f>
        <v>0.0028038</v>
      </c>
      <c r="L163" s="46">
        <f>IFERROR(__xludf.DUMMYFUNCTION("""COMPUTED_VALUE"""),0.0)</f>
        <v>0</v>
      </c>
      <c r="M163" s="46">
        <f>IFERROR(__xludf.DUMMYFUNCTION("""COMPUTED_VALUE"""),0.0)</f>
        <v>0</v>
      </c>
      <c r="N163" s="46">
        <f>IFERROR(__xludf.DUMMYFUNCTION("""COMPUTED_VALUE"""),2.0)</f>
        <v>2</v>
      </c>
      <c r="O163" s="48"/>
      <c r="P163" s="52" t="str">
        <f>IFERROR(__xludf.DUMMYFUNCTION("""COMPUTED_VALUE"""),"")</f>
        <v/>
      </c>
    </row>
    <row r="164">
      <c r="A164" s="48" t="str">
        <f>IFERROR(__xludf.DUMMYFUNCTION("""COMPUTED_VALUE"""),"setembro_Luiz Felipe Barroso")</f>
        <v>setembro_Luiz Felipe Barroso</v>
      </c>
      <c r="B164" s="48">
        <f>IFERROR(__xludf.DUMMYFUNCTION("""COMPUTED_VALUE"""),2026.0)</f>
        <v>2026</v>
      </c>
      <c r="C164" s="49">
        <f>IFERROR(__xludf.DUMMYFUNCTION("""COMPUTED_VALUE"""),46295.0)</f>
        <v>46295</v>
      </c>
      <c r="D164" s="46">
        <f>IFERROR(__xludf.DUMMYFUNCTION("""COMPUTED_VALUE"""),10.0)</f>
        <v>10</v>
      </c>
      <c r="E164" s="46" t="str">
        <f>IFERROR(__xludf.DUMMYFUNCTION("""COMPUTED_VALUE"""),"Luiz Felipe Barroso")</f>
        <v>Luiz Felipe Barroso</v>
      </c>
      <c r="F164" s="46" t="str">
        <f>IFERROR(__xludf.DUMMYFUNCTION("""COMPUTED_VALUE"""),"Revival Trance")</f>
        <v>Revival Trance</v>
      </c>
      <c r="G164" s="46">
        <f>IFERROR(__xludf.DUMMYFUNCTION("""COMPUTED_VALUE"""),2.0)</f>
        <v>2</v>
      </c>
      <c r="H164" s="46">
        <f>IFERROR(__xludf.DUMMYFUNCTION("""COMPUTED_VALUE"""),4.0)</f>
        <v>4</v>
      </c>
      <c r="I164" s="50">
        <f>IFERROR(__xludf.DUMMYFUNCTION("""COMPUTED_VALUE"""),4.0)</f>
        <v>4</v>
      </c>
      <c r="J164" s="50">
        <f>IFERROR(__xludf.DUMMYFUNCTION("""COMPUTED_VALUE"""),5.14)</f>
        <v>5.14</v>
      </c>
      <c r="K164" s="51">
        <f>IFERROR(__xludf.DUMMYFUNCTION("""COMPUTED_VALUE"""),0.04400514)</f>
        <v>0.04400514</v>
      </c>
      <c r="L164" s="46">
        <f>IFERROR(__xludf.DUMMYFUNCTION("""COMPUTED_VALUE"""),0.0)</f>
        <v>0</v>
      </c>
      <c r="M164" s="46">
        <f>IFERROR(__xludf.DUMMYFUNCTION("""COMPUTED_VALUE"""),2.0)</f>
        <v>2</v>
      </c>
      <c r="N164" s="46">
        <f>IFERROR(__xludf.DUMMYFUNCTION("""COMPUTED_VALUE"""),1.0)</f>
        <v>1</v>
      </c>
      <c r="O164" s="48"/>
      <c r="P164" s="52" t="str">
        <f>IFERROR(__xludf.DUMMYFUNCTION("""COMPUTED_VALUE"""),"")</f>
        <v/>
      </c>
    </row>
    <row r="165">
      <c r="A165" s="48" t="str">
        <f>IFERROR(__xludf.DUMMYFUNCTION("""COMPUTED_VALUE"""),"setembro_Salmonela")</f>
        <v>setembro_Salmonela</v>
      </c>
      <c r="B165" s="48">
        <f>IFERROR(__xludf.DUMMYFUNCTION("""COMPUTED_VALUE"""),2026.0)</f>
        <v>2026</v>
      </c>
      <c r="C165" s="49">
        <f>IFERROR(__xludf.DUMMYFUNCTION("""COMPUTED_VALUE"""),46295.0)</f>
        <v>46295</v>
      </c>
      <c r="D165" s="46">
        <f>IFERROR(__xludf.DUMMYFUNCTION("""COMPUTED_VALUE"""),11.0)</f>
        <v>11</v>
      </c>
      <c r="E165" s="46" t="str">
        <f>IFERROR(__xludf.DUMMYFUNCTION("""COMPUTED_VALUE"""),"Salmonela")</f>
        <v>Salmonela</v>
      </c>
      <c r="F165" s="46" t="str">
        <f>IFERROR(__xludf.DUMMYFUNCTION("""COMPUTED_VALUE"""),"Wakanda Forever")</f>
        <v>Wakanda Forever</v>
      </c>
      <c r="G165" s="46">
        <f>IFERROR(__xludf.DUMMYFUNCTION("""COMPUTED_VALUE"""),2.0)</f>
        <v>2</v>
      </c>
      <c r="H165" s="46">
        <f>IFERROR(__xludf.DUMMYFUNCTION("""COMPUTED_VALUE"""),4.0)</f>
        <v>4</v>
      </c>
      <c r="I165" s="50">
        <f>IFERROR(__xludf.DUMMYFUNCTION("""COMPUTED_VALUE"""),2.56)</f>
        <v>2.56</v>
      </c>
      <c r="J165" s="50">
        <f>IFERROR(__xludf.DUMMYFUNCTION("""COMPUTED_VALUE"""),3.89)</f>
        <v>3.89</v>
      </c>
      <c r="K165" s="51">
        <f>IFERROR(__xludf.DUMMYFUNCTION("""COMPUTED_VALUE"""),0.04256389)</f>
        <v>0.04256389</v>
      </c>
      <c r="L165" s="46">
        <f>IFERROR(__xludf.DUMMYFUNCTION("""COMPUTED_VALUE"""),0.0)</f>
        <v>0</v>
      </c>
      <c r="M165" s="46">
        <f>IFERROR(__xludf.DUMMYFUNCTION("""COMPUTED_VALUE"""),2.0)</f>
        <v>2</v>
      </c>
      <c r="N165" s="46">
        <f>IFERROR(__xludf.DUMMYFUNCTION("""COMPUTED_VALUE"""),1.0)</f>
        <v>1</v>
      </c>
      <c r="O165" s="48"/>
      <c r="P165" s="52" t="str">
        <f>IFERROR(__xludf.DUMMYFUNCTION("""COMPUTED_VALUE"""),"")</f>
        <v/>
      </c>
    </row>
    <row r="166">
      <c r="A166" s="48" t="str">
        <f>IFERROR(__xludf.DUMMYFUNCTION("""COMPUTED_VALUE"""),"setembro_Karyum")</f>
        <v>setembro_Karyum</v>
      </c>
      <c r="B166" s="48">
        <f>IFERROR(__xludf.DUMMYFUNCTION("""COMPUTED_VALUE"""),2026.0)</f>
        <v>2026</v>
      </c>
      <c r="C166" s="49">
        <f>IFERROR(__xludf.DUMMYFUNCTION("""COMPUTED_VALUE"""),46295.0)</f>
        <v>46295</v>
      </c>
      <c r="D166" s="46">
        <f>IFERROR(__xludf.DUMMYFUNCTION("""COMPUTED_VALUE"""),12.0)</f>
        <v>12</v>
      </c>
      <c r="E166" s="46" t="str">
        <f>IFERROR(__xludf.DUMMYFUNCTION("""COMPUTED_VALUE"""),"Karyum")</f>
        <v>Karyum</v>
      </c>
      <c r="F166" s="46" t="str">
        <f>IFERROR(__xludf.DUMMYFUNCTION("""COMPUTED_VALUE"""),"Ahoy Mateys")</f>
        <v>Ahoy Mateys</v>
      </c>
      <c r="G166" s="46">
        <f>IFERROR(__xludf.DUMMYFUNCTION("""COMPUTED_VALUE"""),2.0)</f>
        <v>2</v>
      </c>
      <c r="H166" s="46">
        <f>IFERROR(__xludf.DUMMYFUNCTION("""COMPUTED_VALUE"""),3.0)</f>
        <v>3</v>
      </c>
      <c r="I166" s="50">
        <f>IFERROR(__xludf.DUMMYFUNCTION("""COMPUTED_VALUE"""),1.89)</f>
        <v>1.89</v>
      </c>
      <c r="J166" s="50">
        <f>IFERROR(__xludf.DUMMYFUNCTION("""COMPUTED_VALUE"""),2.0)</f>
        <v>2</v>
      </c>
      <c r="K166" s="51">
        <f>IFERROR(__xludf.DUMMYFUNCTION("""COMPUTED_VALUE"""),0.031892000000000004)</f>
        <v>0.031892</v>
      </c>
      <c r="L166" s="46">
        <f>IFERROR(__xludf.DUMMYFUNCTION("""COMPUTED_VALUE"""),0.0)</f>
        <v>0</v>
      </c>
      <c r="M166" s="46">
        <f>IFERROR(__xludf.DUMMYFUNCTION("""COMPUTED_VALUE"""),2.0)</f>
        <v>2</v>
      </c>
      <c r="N166" s="46">
        <f>IFERROR(__xludf.DUMMYFUNCTION("""COMPUTED_VALUE"""),1.0)</f>
        <v>1</v>
      </c>
      <c r="O166" s="48"/>
      <c r="P166" s="52" t="str">
        <f>IFERROR(__xludf.DUMMYFUNCTION("""COMPUTED_VALUE"""),"")</f>
        <v/>
      </c>
    </row>
    <row r="167">
      <c r="A167" s="48" t="str">
        <f>IFERROR(__xludf.DUMMYFUNCTION("""COMPUTED_VALUE"""),"setembro_Yasmin")</f>
        <v>setembro_Yasmin</v>
      </c>
      <c r="B167" s="48">
        <f>IFERROR(__xludf.DUMMYFUNCTION("""COMPUTED_VALUE"""),2026.0)</f>
        <v>2026</v>
      </c>
      <c r="C167" s="49">
        <f>IFERROR(__xludf.DUMMYFUNCTION("""COMPUTED_VALUE"""),46295.0)</f>
        <v>46295</v>
      </c>
      <c r="D167" s="46">
        <f>IFERROR(__xludf.DUMMYFUNCTION("""COMPUTED_VALUE"""),13.0)</f>
        <v>13</v>
      </c>
      <c r="E167" s="46" t="str">
        <f>IFERROR(__xludf.DUMMYFUNCTION("""COMPUTED_VALUE"""),"Yasmin")</f>
        <v>Yasmin</v>
      </c>
      <c r="F167" s="46" t="str">
        <f>IFERROR(__xludf.DUMMYFUNCTION("""COMPUTED_VALUE"""),"Cavalry Charge")</f>
        <v>Cavalry Charge</v>
      </c>
      <c r="G167" s="46">
        <f>IFERROR(__xludf.DUMMYFUNCTION("""COMPUTED_VALUE"""),1.0)</f>
        <v>1</v>
      </c>
      <c r="H167" s="46">
        <f>IFERROR(__xludf.DUMMYFUNCTION("""COMPUTED_VALUE"""),2.0)</f>
        <v>2</v>
      </c>
      <c r="I167" s="50">
        <f>IFERROR(__xludf.DUMMYFUNCTION("""COMPUTED_VALUE"""),3.25)</f>
        <v>3.25</v>
      </c>
      <c r="J167" s="50">
        <f>IFERROR(__xludf.DUMMYFUNCTION("""COMPUTED_VALUE"""),4.13)</f>
        <v>4.13</v>
      </c>
      <c r="K167" s="51">
        <f>IFERROR(__xludf.DUMMYFUNCTION("""COMPUTED_VALUE"""),0.02325413)</f>
        <v>0.02325413</v>
      </c>
      <c r="L167" s="46">
        <f>IFERROR(__xludf.DUMMYFUNCTION("""COMPUTED_VALUE"""),0.0)</f>
        <v>0</v>
      </c>
      <c r="M167" s="46">
        <f>IFERROR(__xludf.DUMMYFUNCTION("""COMPUTED_VALUE"""),1.0)</f>
        <v>1</v>
      </c>
      <c r="N167" s="46">
        <f>IFERROR(__xludf.DUMMYFUNCTION("""COMPUTED_VALUE"""),2.0)</f>
        <v>2</v>
      </c>
      <c r="O167" s="48"/>
      <c r="P167" s="52" t="str">
        <f>IFERROR(__xludf.DUMMYFUNCTION("""COMPUTED_VALUE"""),"")</f>
        <v/>
      </c>
    </row>
    <row r="168">
      <c r="A168" s="48" t="str">
        <f>IFERROR(__xludf.DUMMYFUNCTION("""COMPUTED_VALUE"""),"setembro_TendiNietzsche")</f>
        <v>setembro_TendiNietzsche</v>
      </c>
      <c r="B168" s="48">
        <f>IFERROR(__xludf.DUMMYFUNCTION("""COMPUTED_VALUE"""),2026.0)</f>
        <v>2026</v>
      </c>
      <c r="C168" s="49">
        <f>IFERROR(__xludf.DUMMYFUNCTION("""COMPUTED_VALUE"""),46295.0)</f>
        <v>46295</v>
      </c>
      <c r="D168" s="46">
        <f>IFERROR(__xludf.DUMMYFUNCTION("""COMPUTED_VALUE"""),14.0)</f>
        <v>14</v>
      </c>
      <c r="E168" s="46" t="str">
        <f>IFERROR(__xludf.DUMMYFUNCTION("""COMPUTED_VALUE"""),"TendiNietzsche")</f>
        <v>TendiNietzsche</v>
      </c>
      <c r="F168" s="46" t="str">
        <f>IFERROR(__xludf.DUMMYFUNCTION("""COMPUTED_VALUE"""),"Enduring Enchantments")</f>
        <v>Enduring Enchantments</v>
      </c>
      <c r="G168" s="46">
        <f>IFERROR(__xludf.DUMMYFUNCTION("""COMPUTED_VALUE"""),1.0)</f>
        <v>1</v>
      </c>
      <c r="H168" s="46">
        <f>IFERROR(__xludf.DUMMYFUNCTION("""COMPUTED_VALUE"""),2.0)</f>
        <v>2</v>
      </c>
      <c r="I168" s="50">
        <f>IFERROR(__xludf.DUMMYFUNCTION("""COMPUTED_VALUE"""),2.33)</f>
        <v>2.33</v>
      </c>
      <c r="J168" s="50">
        <f>IFERROR(__xludf.DUMMYFUNCTION("""COMPUTED_VALUE"""),4.33)</f>
        <v>4.33</v>
      </c>
      <c r="K168" s="51">
        <f>IFERROR(__xludf.DUMMYFUNCTION("""COMPUTED_VALUE"""),0.02233433)</f>
        <v>0.02233433</v>
      </c>
      <c r="L168" s="46">
        <f>IFERROR(__xludf.DUMMYFUNCTION("""COMPUTED_VALUE"""),0.0)</f>
        <v>0</v>
      </c>
      <c r="M168" s="46">
        <f>IFERROR(__xludf.DUMMYFUNCTION("""COMPUTED_VALUE"""),1.0)</f>
        <v>1</v>
      </c>
      <c r="N168" s="46">
        <f>IFERROR(__xludf.DUMMYFUNCTION("""COMPUTED_VALUE"""),0.0)</f>
        <v>0</v>
      </c>
      <c r="O168" s="48"/>
      <c r="P168" s="52" t="str">
        <f>IFERROR(__xludf.DUMMYFUNCTION("""COMPUTED_VALUE"""),"")</f>
        <v/>
      </c>
    </row>
    <row r="169">
      <c r="A169" s="48" t="str">
        <f>IFERROR(__xludf.DUMMYFUNCTION("""COMPUTED_VALUE"""),"setembro_Crothen")</f>
        <v>setembro_Crothen</v>
      </c>
      <c r="B169" s="48">
        <f>IFERROR(__xludf.DUMMYFUNCTION("""COMPUTED_VALUE"""),2026.0)</f>
        <v>2026</v>
      </c>
      <c r="C169" s="49">
        <f>IFERROR(__xludf.DUMMYFUNCTION("""COMPUTED_VALUE"""),46295.0)</f>
        <v>46295</v>
      </c>
      <c r="D169" s="46">
        <f>IFERROR(__xludf.DUMMYFUNCTION("""COMPUTED_VALUE"""),15.0)</f>
        <v>15</v>
      </c>
      <c r="E169" s="46" t="str">
        <f>IFERROR(__xludf.DUMMYFUNCTION("""COMPUTED_VALUE"""),"Crothen")</f>
        <v>Crothen</v>
      </c>
      <c r="F169" s="46" t="str">
        <f>IFERROR(__xludf.DUMMYFUNCTION("""COMPUTED_VALUE"""),"Corrupting Influence")</f>
        <v>Corrupting Influence</v>
      </c>
      <c r="G169" s="46">
        <f>IFERROR(__xludf.DUMMYFUNCTION("""COMPUTED_VALUE"""),1.0)</f>
        <v>1</v>
      </c>
      <c r="H169" s="46">
        <f>IFERROR(__xludf.DUMMYFUNCTION("""COMPUTED_VALUE"""),0.0)</f>
        <v>0</v>
      </c>
      <c r="I169" s="50">
        <f>IFERROR(__xludf.DUMMYFUNCTION("""COMPUTED_VALUE"""),3.0)</f>
        <v>3</v>
      </c>
      <c r="J169" s="50">
        <f>IFERROR(__xludf.DUMMYFUNCTION("""COMPUTED_VALUE"""),2.6)</f>
        <v>2.6</v>
      </c>
      <c r="K169" s="51">
        <f>IFERROR(__xludf.DUMMYFUNCTION("""COMPUTED_VALUE"""),0.0030026000000000002)</f>
        <v>0.0030026</v>
      </c>
      <c r="L169" s="46">
        <f>IFERROR(__xludf.DUMMYFUNCTION("""COMPUTED_VALUE"""),0.0)</f>
        <v>0</v>
      </c>
      <c r="M169" s="46">
        <f>IFERROR(__xludf.DUMMYFUNCTION("""COMPUTED_VALUE"""),1.0)</f>
        <v>1</v>
      </c>
      <c r="N169" s="46">
        <f>IFERROR(__xludf.DUMMYFUNCTION("""COMPUTED_VALUE"""),2.0)</f>
        <v>2</v>
      </c>
      <c r="O169" s="48"/>
      <c r="P169" s="52" t="str">
        <f>IFERROR(__xludf.DUMMYFUNCTION("""COMPUTED_VALUE"""),"")</f>
        <v/>
      </c>
    </row>
    <row r="170">
      <c r="A170" s="48" t="str">
        <f>IFERROR(__xludf.DUMMYFUNCTION("""COMPUTED_VALUE"""),"setembro_Henrique")</f>
        <v>setembro_Henrique</v>
      </c>
      <c r="B170" s="48">
        <f>IFERROR(__xludf.DUMMYFUNCTION("""COMPUTED_VALUE"""),2026.0)</f>
        <v>2026</v>
      </c>
      <c r="C170" s="49">
        <f>IFERROR(__xludf.DUMMYFUNCTION("""COMPUTED_VALUE"""),46295.0)</f>
        <v>46295</v>
      </c>
      <c r="D170" s="46">
        <f>IFERROR(__xludf.DUMMYFUNCTION("""COMPUTED_VALUE"""),16.0)</f>
        <v>16</v>
      </c>
      <c r="E170" s="46" t="str">
        <f>IFERROR(__xludf.DUMMYFUNCTION("""COMPUTED_VALUE"""),"Henrique")</f>
        <v>Henrique</v>
      </c>
      <c r="F170" s="46" t="str">
        <f>IFERROR(__xludf.DUMMYFUNCTION("""COMPUTED_VALUE"""),"Explorers of the Deep")</f>
        <v>Explorers of the Deep</v>
      </c>
      <c r="G170" s="46">
        <f>IFERROR(__xludf.DUMMYFUNCTION("""COMPUTED_VALUE"""),1.0)</f>
        <v>1</v>
      </c>
      <c r="H170" s="46">
        <f>IFERROR(__xludf.DUMMYFUNCTION("""COMPUTED_VALUE"""),0.0)</f>
        <v>0</v>
      </c>
      <c r="I170" s="50">
        <f>IFERROR(__xludf.DUMMYFUNCTION("""COMPUTED_VALUE"""),3.0)</f>
        <v>3</v>
      </c>
      <c r="J170" s="50">
        <f>IFERROR(__xludf.DUMMYFUNCTION("""COMPUTED_VALUE"""),2.6)</f>
        <v>2.6</v>
      </c>
      <c r="K170" s="51">
        <f>IFERROR(__xludf.DUMMYFUNCTION("""COMPUTED_VALUE"""),0.0030026000000000002)</f>
        <v>0.0030026</v>
      </c>
      <c r="L170" s="46">
        <f>IFERROR(__xludf.DUMMYFUNCTION("""COMPUTED_VALUE"""),0.0)</f>
        <v>0</v>
      </c>
      <c r="M170" s="46">
        <f>IFERROR(__xludf.DUMMYFUNCTION("""COMPUTED_VALUE"""),1.0)</f>
        <v>1</v>
      </c>
      <c r="N170" s="46">
        <f>IFERROR(__xludf.DUMMYFUNCTION("""COMPUTED_VALUE"""),2.0)</f>
        <v>2</v>
      </c>
      <c r="O170" s="48"/>
      <c r="P170" s="52" t="str">
        <f>IFERROR(__xludf.DUMMYFUNCTION("""COMPUTED_VALUE"""),"")</f>
        <v/>
      </c>
    </row>
    <row r="171">
      <c r="A171" s="48" t="str">
        <f>IFERROR(__xludf.DUMMYFUNCTION("""COMPUTED_VALUE"""),"setembro_Matheus h")</f>
        <v>setembro_Matheus h</v>
      </c>
      <c r="B171" s="48">
        <f>IFERROR(__xludf.DUMMYFUNCTION("""COMPUTED_VALUE"""),2026.0)</f>
        <v>2026</v>
      </c>
      <c r="C171" s="49">
        <f>IFERROR(__xludf.DUMMYFUNCTION("""COMPUTED_VALUE"""),46295.0)</f>
        <v>46295</v>
      </c>
      <c r="D171" s="46">
        <f>IFERROR(__xludf.DUMMYFUNCTION("""COMPUTED_VALUE"""),17.0)</f>
        <v>17</v>
      </c>
      <c r="E171" s="46" t="str">
        <f>IFERROR(__xludf.DUMMYFUNCTION("""COMPUTED_VALUE"""),"Matheus h")</f>
        <v>Matheus h</v>
      </c>
      <c r="F171" s="46" t="str">
        <f>IFERROR(__xludf.DUMMYFUNCTION("""COMPUTED_VALUE"""),"Scions &amp; Spellcraft")</f>
        <v>Scions &amp; Spellcraft</v>
      </c>
      <c r="G171" s="46">
        <f>IFERROR(__xludf.DUMMYFUNCTION("""COMPUTED_VALUE"""),1.0)</f>
        <v>1</v>
      </c>
      <c r="H171" s="46">
        <f>IFERROR(__xludf.DUMMYFUNCTION("""COMPUTED_VALUE"""),0.0)</f>
        <v>0</v>
      </c>
      <c r="I171" s="50">
        <f>IFERROR(__xludf.DUMMYFUNCTION("""COMPUTED_VALUE"""),3.0)</f>
        <v>3</v>
      </c>
      <c r="J171" s="50">
        <f>IFERROR(__xludf.DUMMYFUNCTION("""COMPUTED_VALUE"""),2.6)</f>
        <v>2.6</v>
      </c>
      <c r="K171" s="51">
        <f>IFERROR(__xludf.DUMMYFUNCTION("""COMPUTED_VALUE"""),0.0030026000000000002)</f>
        <v>0.0030026</v>
      </c>
      <c r="L171" s="46">
        <f>IFERROR(__xludf.DUMMYFUNCTION("""COMPUTED_VALUE"""),0.0)</f>
        <v>0</v>
      </c>
      <c r="M171" s="46">
        <f>IFERROR(__xludf.DUMMYFUNCTION("""COMPUTED_VALUE"""),1.0)</f>
        <v>1</v>
      </c>
      <c r="N171" s="46">
        <f>IFERROR(__xludf.DUMMYFUNCTION("""COMPUTED_VALUE"""),2.0)</f>
        <v>2</v>
      </c>
      <c r="O171" s="48"/>
      <c r="P171" s="52" t="str">
        <f>IFERROR(__xludf.DUMMYFUNCTION("""COMPUTED_VALUE"""),"")</f>
        <v/>
      </c>
    </row>
    <row r="172">
      <c r="A172" s="48" t="str">
        <f>IFERROR(__xludf.DUMMYFUNCTION("""COMPUTED_VALUE"""),"")</f>
        <v/>
      </c>
      <c r="B172" s="48"/>
      <c r="C172" s="49"/>
      <c r="D172" s="46"/>
      <c r="E172" s="46"/>
      <c r="F172" s="46"/>
      <c r="G172" s="46"/>
      <c r="H172" s="46"/>
      <c r="I172" s="50"/>
      <c r="J172" s="50"/>
      <c r="K172" s="51" t="str">
        <f>IFERROR(__xludf.DUMMYFUNCTION("""COMPUTED_VALUE"""),"")</f>
        <v/>
      </c>
      <c r="L172" s="46" t="str">
        <f>IFERROR(__xludf.DUMMYFUNCTION("""COMPUTED_VALUE"""),"")</f>
        <v/>
      </c>
      <c r="M172" s="46" t="str">
        <f>IFERROR(__xludf.DUMMYFUNCTION("""COMPUTED_VALUE"""),"")</f>
        <v/>
      </c>
      <c r="N172" s="46" t="str">
        <f>IFERROR(__xludf.DUMMYFUNCTION("""COMPUTED_VALUE"""),"")</f>
        <v/>
      </c>
      <c r="O172" s="48"/>
      <c r="P172" s="52" t="str">
        <f>IFERROR(__xludf.DUMMYFUNCTION("""COMPUTED_VALUE"""),"")</f>
        <v/>
      </c>
    </row>
    <row r="173">
      <c r="A173" s="48" t="str">
        <f>IFERROR(__xludf.DUMMYFUNCTION("""COMPUTED_VALUE"""),"")</f>
        <v/>
      </c>
      <c r="B173" s="48"/>
      <c r="C173" s="49"/>
      <c r="D173" s="46"/>
      <c r="E173" s="46"/>
      <c r="F173" s="46"/>
      <c r="G173" s="46"/>
      <c r="H173" s="46"/>
      <c r="I173" s="50"/>
      <c r="J173" s="50"/>
      <c r="K173" s="51" t="str">
        <f>IFERROR(__xludf.DUMMYFUNCTION("""COMPUTED_VALUE"""),"")</f>
        <v/>
      </c>
      <c r="L173" s="46" t="str">
        <f>IFERROR(__xludf.DUMMYFUNCTION("""COMPUTED_VALUE"""),"")</f>
        <v/>
      </c>
      <c r="M173" s="46" t="str">
        <f>IFERROR(__xludf.DUMMYFUNCTION("""COMPUTED_VALUE"""),"")</f>
        <v/>
      </c>
      <c r="N173" s="46" t="str">
        <f>IFERROR(__xludf.DUMMYFUNCTION("""COMPUTED_VALUE"""),"")</f>
        <v/>
      </c>
      <c r="O173" s="48"/>
      <c r="P173" s="52" t="str">
        <f>IFERROR(__xludf.DUMMYFUNCTION("""COMPUTED_VALUE"""),"")</f>
        <v/>
      </c>
    </row>
    <row r="174">
      <c r="A174" s="48" t="str">
        <f>IFERROR(__xludf.DUMMYFUNCTION("""COMPUTED_VALUE"""),"")</f>
        <v/>
      </c>
      <c r="B174" s="48"/>
      <c r="C174" s="49"/>
      <c r="D174" s="46"/>
      <c r="E174" s="46"/>
      <c r="F174" s="46"/>
      <c r="G174" s="46"/>
      <c r="H174" s="46"/>
      <c r="I174" s="50"/>
      <c r="J174" s="50"/>
      <c r="K174" s="51" t="str">
        <f>IFERROR(__xludf.DUMMYFUNCTION("""COMPUTED_VALUE"""),"")</f>
        <v/>
      </c>
      <c r="L174" s="46" t="str">
        <f>IFERROR(__xludf.DUMMYFUNCTION("""COMPUTED_VALUE"""),"")</f>
        <v/>
      </c>
      <c r="M174" s="46" t="str">
        <f>IFERROR(__xludf.DUMMYFUNCTION("""COMPUTED_VALUE"""),"")</f>
        <v/>
      </c>
      <c r="N174" s="46" t="str">
        <f>IFERROR(__xludf.DUMMYFUNCTION("""COMPUTED_VALUE"""),"")</f>
        <v/>
      </c>
      <c r="O174" s="48"/>
      <c r="P174" s="52" t="str">
        <f>IFERROR(__xludf.DUMMYFUNCTION("""COMPUTED_VALUE"""),"")</f>
        <v/>
      </c>
    </row>
    <row r="175">
      <c r="A175" s="48" t="str">
        <f>IFERROR(__xludf.DUMMYFUNCTION("""COMPUTED_VALUE"""),"")</f>
        <v/>
      </c>
      <c r="B175" s="48"/>
      <c r="C175" s="49"/>
      <c r="D175" s="46"/>
      <c r="E175" s="46"/>
      <c r="F175" s="46"/>
      <c r="G175" s="46"/>
      <c r="H175" s="46"/>
      <c r="I175" s="50"/>
      <c r="J175" s="50"/>
      <c r="K175" s="51" t="str">
        <f>IFERROR(__xludf.DUMMYFUNCTION("""COMPUTED_VALUE"""),"")</f>
        <v/>
      </c>
      <c r="L175" s="46" t="str">
        <f>IFERROR(__xludf.DUMMYFUNCTION("""COMPUTED_VALUE"""),"")</f>
        <v/>
      </c>
      <c r="M175" s="46" t="str">
        <f>IFERROR(__xludf.DUMMYFUNCTION("""COMPUTED_VALUE"""),"")</f>
        <v/>
      </c>
      <c r="N175" s="46" t="str">
        <f>IFERROR(__xludf.DUMMYFUNCTION("""COMPUTED_VALUE"""),"")</f>
        <v/>
      </c>
      <c r="O175" s="48"/>
      <c r="P175" s="52" t="str">
        <f>IFERROR(__xludf.DUMMYFUNCTION("""COMPUTED_VALUE"""),"")</f>
        <v/>
      </c>
    </row>
    <row r="176">
      <c r="A176" s="48" t="str">
        <f>IFERROR(__xludf.DUMMYFUNCTION("""COMPUTED_VALUE"""),"")</f>
        <v/>
      </c>
      <c r="B176" s="48"/>
      <c r="C176" s="49"/>
      <c r="D176" s="46"/>
      <c r="E176" s="46"/>
      <c r="F176" s="46"/>
      <c r="G176" s="46"/>
      <c r="H176" s="46"/>
      <c r="I176" s="50"/>
      <c r="J176" s="50"/>
      <c r="K176" s="51" t="str">
        <f>IFERROR(__xludf.DUMMYFUNCTION("""COMPUTED_VALUE"""),"")</f>
        <v/>
      </c>
      <c r="L176" s="46" t="str">
        <f>IFERROR(__xludf.DUMMYFUNCTION("""COMPUTED_VALUE"""),"")</f>
        <v/>
      </c>
      <c r="M176" s="46" t="str">
        <f>IFERROR(__xludf.DUMMYFUNCTION("""COMPUTED_VALUE"""),"")</f>
        <v/>
      </c>
      <c r="N176" s="46" t="str">
        <f>IFERROR(__xludf.DUMMYFUNCTION("""COMPUTED_VALUE"""),"")</f>
        <v/>
      </c>
      <c r="O176" s="48"/>
      <c r="P176" s="52" t="str">
        <f>IFERROR(__xludf.DUMMYFUNCTION("""COMPUTED_VALUE"""),"")</f>
        <v/>
      </c>
    </row>
    <row r="177">
      <c r="A177" s="48" t="str">
        <f>IFERROR(__xludf.DUMMYFUNCTION("""COMPUTED_VALUE"""),"")</f>
        <v/>
      </c>
      <c r="B177" s="48"/>
      <c r="C177" s="49"/>
      <c r="D177" s="46"/>
      <c r="E177" s="46"/>
      <c r="F177" s="46"/>
      <c r="G177" s="46"/>
      <c r="H177" s="46"/>
      <c r="I177" s="50"/>
      <c r="J177" s="50"/>
      <c r="K177" s="51" t="str">
        <f>IFERROR(__xludf.DUMMYFUNCTION("""COMPUTED_VALUE"""),"")</f>
        <v/>
      </c>
      <c r="L177" s="46" t="str">
        <f>IFERROR(__xludf.DUMMYFUNCTION("""COMPUTED_VALUE"""),"")</f>
        <v/>
      </c>
      <c r="M177" s="46" t="str">
        <f>IFERROR(__xludf.DUMMYFUNCTION("""COMPUTED_VALUE"""),"")</f>
        <v/>
      </c>
      <c r="N177" s="46" t="str">
        <f>IFERROR(__xludf.DUMMYFUNCTION("""COMPUTED_VALUE"""),"")</f>
        <v/>
      </c>
      <c r="O177" s="48"/>
      <c r="P177" s="52" t="str">
        <f>IFERROR(__xludf.DUMMYFUNCTION("""COMPUTED_VALUE"""),"")</f>
        <v/>
      </c>
    </row>
    <row r="178">
      <c r="A178" s="48" t="str">
        <f>IFERROR(__xludf.DUMMYFUNCTION("""COMPUTED_VALUE"""),"")</f>
        <v/>
      </c>
      <c r="B178" s="48"/>
      <c r="C178" s="49"/>
      <c r="D178" s="46"/>
      <c r="E178" s="46"/>
      <c r="F178" s="46"/>
      <c r="G178" s="46"/>
      <c r="H178" s="46"/>
      <c r="I178" s="50"/>
      <c r="J178" s="50"/>
      <c r="K178" s="51" t="str">
        <f>IFERROR(__xludf.DUMMYFUNCTION("""COMPUTED_VALUE"""),"")</f>
        <v/>
      </c>
      <c r="L178" s="46" t="str">
        <f>IFERROR(__xludf.DUMMYFUNCTION("""COMPUTED_VALUE"""),"")</f>
        <v/>
      </c>
      <c r="M178" s="46" t="str">
        <f>IFERROR(__xludf.DUMMYFUNCTION("""COMPUTED_VALUE"""),"")</f>
        <v/>
      </c>
      <c r="N178" s="46" t="str">
        <f>IFERROR(__xludf.DUMMYFUNCTION("""COMPUTED_VALUE"""),"")</f>
        <v/>
      </c>
      <c r="O178" s="48"/>
      <c r="P178" s="52" t="str">
        <f>IFERROR(__xludf.DUMMYFUNCTION("""COMPUTED_VALUE"""),"")</f>
        <v/>
      </c>
    </row>
    <row r="179">
      <c r="A179" s="48" t="str">
        <f>IFERROR(__xludf.DUMMYFUNCTION("""COMPUTED_VALUE"""),"")</f>
        <v/>
      </c>
      <c r="B179" s="48"/>
      <c r="C179" s="49"/>
      <c r="D179" s="46"/>
      <c r="E179" s="46"/>
      <c r="F179" s="46"/>
      <c r="G179" s="46"/>
      <c r="H179" s="46"/>
      <c r="I179" s="50"/>
      <c r="J179" s="50"/>
      <c r="K179" s="51" t="str">
        <f>IFERROR(__xludf.DUMMYFUNCTION("""COMPUTED_VALUE"""),"")</f>
        <v/>
      </c>
      <c r="L179" s="46" t="str">
        <f>IFERROR(__xludf.DUMMYFUNCTION("""COMPUTED_VALUE"""),"")</f>
        <v/>
      </c>
      <c r="M179" s="46" t="str">
        <f>IFERROR(__xludf.DUMMYFUNCTION("""COMPUTED_VALUE"""),"")</f>
        <v/>
      </c>
      <c r="N179" s="46" t="str">
        <f>IFERROR(__xludf.DUMMYFUNCTION("""COMPUTED_VALUE"""),"")</f>
        <v/>
      </c>
      <c r="O179" s="48"/>
      <c r="P179" s="52" t="str">
        <f>IFERROR(__xludf.DUMMYFUNCTION("""COMPUTED_VALUE"""),"")</f>
        <v/>
      </c>
    </row>
    <row r="180">
      <c r="A180" s="48" t="str">
        <f>IFERROR(__xludf.DUMMYFUNCTION("""COMPUTED_VALUE"""),"")</f>
        <v/>
      </c>
      <c r="B180" s="48"/>
      <c r="C180" s="49"/>
      <c r="D180" s="46"/>
      <c r="E180" s="46"/>
      <c r="F180" s="46"/>
      <c r="G180" s="46"/>
      <c r="H180" s="46"/>
      <c r="I180" s="50"/>
      <c r="J180" s="50"/>
      <c r="K180" s="51" t="str">
        <f>IFERROR(__xludf.DUMMYFUNCTION("""COMPUTED_VALUE"""),"")</f>
        <v/>
      </c>
      <c r="L180" s="46" t="str">
        <f>IFERROR(__xludf.DUMMYFUNCTION("""COMPUTED_VALUE"""),"")</f>
        <v/>
      </c>
      <c r="M180" s="46" t="str">
        <f>IFERROR(__xludf.DUMMYFUNCTION("""COMPUTED_VALUE"""),"")</f>
        <v/>
      </c>
      <c r="N180" s="46" t="str">
        <f>IFERROR(__xludf.DUMMYFUNCTION("""COMPUTED_VALUE"""),"")</f>
        <v/>
      </c>
      <c r="O180" s="48"/>
      <c r="P180" s="52" t="str">
        <f>IFERROR(__xludf.DUMMYFUNCTION("""COMPUTED_VALUE"""),"")</f>
        <v/>
      </c>
    </row>
    <row r="181">
      <c r="A181" s="48" t="str">
        <f>IFERROR(__xludf.DUMMYFUNCTION("""COMPUTED_VALUE"""),"")</f>
        <v/>
      </c>
      <c r="B181" s="48"/>
      <c r="C181" s="49"/>
      <c r="D181" s="46"/>
      <c r="E181" s="46"/>
      <c r="F181" s="46"/>
      <c r="G181" s="46"/>
      <c r="H181" s="46"/>
      <c r="I181" s="50"/>
      <c r="J181" s="50"/>
      <c r="K181" s="51" t="str">
        <f>IFERROR(__xludf.DUMMYFUNCTION("""COMPUTED_VALUE"""),"")</f>
        <v/>
      </c>
      <c r="L181" s="46" t="str">
        <f>IFERROR(__xludf.DUMMYFUNCTION("""COMPUTED_VALUE"""),"")</f>
        <v/>
      </c>
      <c r="M181" s="46" t="str">
        <f>IFERROR(__xludf.DUMMYFUNCTION("""COMPUTED_VALUE"""),"")</f>
        <v/>
      </c>
      <c r="N181" s="46" t="str">
        <f>IFERROR(__xludf.DUMMYFUNCTION("""COMPUTED_VALUE"""),"")</f>
        <v/>
      </c>
      <c r="O181" s="48"/>
      <c r="P181" s="52" t="str">
        <f>IFERROR(__xludf.DUMMYFUNCTION("""COMPUTED_VALUE"""),"")</f>
        <v/>
      </c>
    </row>
    <row r="182">
      <c r="A182" s="48" t="str">
        <f>IFERROR(__xludf.DUMMYFUNCTION("""COMPUTED_VALUE"""),"")</f>
        <v/>
      </c>
      <c r="B182" s="48"/>
      <c r="C182" s="49"/>
      <c r="D182" s="46"/>
      <c r="E182" s="46"/>
      <c r="F182" s="46"/>
      <c r="G182" s="46"/>
      <c r="H182" s="46"/>
      <c r="I182" s="50"/>
      <c r="J182" s="50"/>
      <c r="K182" s="51" t="str">
        <f>IFERROR(__xludf.DUMMYFUNCTION("""COMPUTED_VALUE"""),"")</f>
        <v/>
      </c>
      <c r="L182" s="46" t="str">
        <f>IFERROR(__xludf.DUMMYFUNCTION("""COMPUTED_VALUE"""),"")</f>
        <v/>
      </c>
      <c r="M182" s="46" t="str">
        <f>IFERROR(__xludf.DUMMYFUNCTION("""COMPUTED_VALUE"""),"")</f>
        <v/>
      </c>
      <c r="N182" s="46" t="str">
        <f>IFERROR(__xludf.DUMMYFUNCTION("""COMPUTED_VALUE"""),"")</f>
        <v/>
      </c>
      <c r="O182" s="48"/>
      <c r="P182" s="52" t="str">
        <f>IFERROR(__xludf.DUMMYFUNCTION("""COMPUTED_VALUE"""),"")</f>
        <v/>
      </c>
    </row>
    <row r="183">
      <c r="A183" s="48" t="str">
        <f>IFERROR(__xludf.DUMMYFUNCTION("""COMPUTED_VALUE"""),"")</f>
        <v/>
      </c>
      <c r="B183" s="48"/>
      <c r="C183" s="49"/>
      <c r="D183" s="46"/>
      <c r="E183" s="46"/>
      <c r="F183" s="46"/>
      <c r="G183" s="46"/>
      <c r="H183" s="46"/>
      <c r="I183" s="50"/>
      <c r="J183" s="50"/>
      <c r="K183" s="51" t="str">
        <f>IFERROR(__xludf.DUMMYFUNCTION("""COMPUTED_VALUE"""),"")</f>
        <v/>
      </c>
      <c r="L183" s="46" t="str">
        <f>IFERROR(__xludf.DUMMYFUNCTION("""COMPUTED_VALUE"""),"")</f>
        <v/>
      </c>
      <c r="M183" s="46" t="str">
        <f>IFERROR(__xludf.DUMMYFUNCTION("""COMPUTED_VALUE"""),"")</f>
        <v/>
      </c>
      <c r="N183" s="46" t="str">
        <f>IFERROR(__xludf.DUMMYFUNCTION("""COMPUTED_VALUE"""),"")</f>
        <v/>
      </c>
      <c r="O183" s="48"/>
      <c r="P183" s="52" t="str">
        <f>IFERROR(__xludf.DUMMYFUNCTION("""COMPUTED_VALUE"""),"")</f>
        <v/>
      </c>
    </row>
    <row r="184">
      <c r="A184" s="48" t="str">
        <f>IFERROR(__xludf.DUMMYFUNCTION("""COMPUTED_VALUE"""),"")</f>
        <v/>
      </c>
      <c r="B184" s="48"/>
      <c r="C184" s="49"/>
      <c r="D184" s="46"/>
      <c r="E184" s="46"/>
      <c r="F184" s="46"/>
      <c r="G184" s="46"/>
      <c r="H184" s="46"/>
      <c r="I184" s="50"/>
      <c r="J184" s="50"/>
      <c r="K184" s="51" t="str">
        <f>IFERROR(__xludf.DUMMYFUNCTION("""COMPUTED_VALUE"""),"")</f>
        <v/>
      </c>
      <c r="L184" s="46" t="str">
        <f>IFERROR(__xludf.DUMMYFUNCTION("""COMPUTED_VALUE"""),"")</f>
        <v/>
      </c>
      <c r="M184" s="46" t="str">
        <f>IFERROR(__xludf.DUMMYFUNCTION("""COMPUTED_VALUE"""),"")</f>
        <v/>
      </c>
      <c r="N184" s="46" t="str">
        <f>IFERROR(__xludf.DUMMYFUNCTION("""COMPUTED_VALUE"""),"")</f>
        <v/>
      </c>
      <c r="O184" s="48"/>
      <c r="P184" s="52" t="str">
        <f>IFERROR(__xludf.DUMMYFUNCTION("""COMPUTED_VALUE"""),"")</f>
        <v/>
      </c>
    </row>
    <row r="185">
      <c r="A185" s="48" t="str">
        <f>IFERROR(__xludf.DUMMYFUNCTION("""COMPUTED_VALUE"""),"")</f>
        <v/>
      </c>
      <c r="B185" s="48"/>
      <c r="C185" s="49"/>
      <c r="D185" s="46"/>
      <c r="E185" s="46"/>
      <c r="F185" s="46"/>
      <c r="G185" s="46"/>
      <c r="H185" s="46"/>
      <c r="I185" s="50"/>
      <c r="J185" s="50"/>
      <c r="K185" s="51" t="str">
        <f>IFERROR(__xludf.DUMMYFUNCTION("""COMPUTED_VALUE"""),"")</f>
        <v/>
      </c>
      <c r="L185" s="46" t="str">
        <f>IFERROR(__xludf.DUMMYFUNCTION("""COMPUTED_VALUE"""),"")</f>
        <v/>
      </c>
      <c r="M185" s="46" t="str">
        <f>IFERROR(__xludf.DUMMYFUNCTION("""COMPUTED_VALUE"""),"")</f>
        <v/>
      </c>
      <c r="N185" s="46" t="str">
        <f>IFERROR(__xludf.DUMMYFUNCTION("""COMPUTED_VALUE"""),"")</f>
        <v/>
      </c>
      <c r="O185" s="48"/>
      <c r="P185" s="52" t="str">
        <f>IFERROR(__xludf.DUMMYFUNCTION("""COMPUTED_VALUE"""),"")</f>
        <v/>
      </c>
    </row>
    <row r="186">
      <c r="A186" s="48" t="str">
        <f>IFERROR(__xludf.DUMMYFUNCTION("""COMPUTED_VALUE"""),"")</f>
        <v/>
      </c>
      <c r="B186" s="48"/>
      <c r="C186" s="49"/>
      <c r="D186" s="46"/>
      <c r="E186" s="46"/>
      <c r="F186" s="46"/>
      <c r="G186" s="46"/>
      <c r="H186" s="46"/>
      <c r="I186" s="50"/>
      <c r="J186" s="50"/>
      <c r="K186" s="51" t="str">
        <f>IFERROR(__xludf.DUMMYFUNCTION("""COMPUTED_VALUE"""),"")</f>
        <v/>
      </c>
      <c r="L186" s="46" t="str">
        <f>IFERROR(__xludf.DUMMYFUNCTION("""COMPUTED_VALUE"""),"")</f>
        <v/>
      </c>
      <c r="M186" s="46" t="str">
        <f>IFERROR(__xludf.DUMMYFUNCTION("""COMPUTED_VALUE"""),"")</f>
        <v/>
      </c>
      <c r="N186" s="46" t="str">
        <f>IFERROR(__xludf.DUMMYFUNCTION("""COMPUTED_VALUE"""),"")</f>
        <v/>
      </c>
      <c r="O186" s="48"/>
      <c r="P186" s="52" t="str">
        <f>IFERROR(__xludf.DUMMYFUNCTION("""COMPUTED_VALUE"""),"")</f>
        <v/>
      </c>
    </row>
    <row r="187">
      <c r="A187" s="48" t="str">
        <f>IFERROR(__xludf.DUMMYFUNCTION("""COMPUTED_VALUE"""),"")</f>
        <v/>
      </c>
      <c r="B187" s="48"/>
      <c r="C187" s="49"/>
      <c r="D187" s="46"/>
      <c r="E187" s="46"/>
      <c r="F187" s="46"/>
      <c r="G187" s="46"/>
      <c r="H187" s="46"/>
      <c r="I187" s="50"/>
      <c r="J187" s="50"/>
      <c r="K187" s="51" t="str">
        <f>IFERROR(__xludf.DUMMYFUNCTION("""COMPUTED_VALUE"""),"")</f>
        <v/>
      </c>
      <c r="L187" s="46" t="str">
        <f>IFERROR(__xludf.DUMMYFUNCTION("""COMPUTED_VALUE"""),"")</f>
        <v/>
      </c>
      <c r="M187" s="46" t="str">
        <f>IFERROR(__xludf.DUMMYFUNCTION("""COMPUTED_VALUE"""),"")</f>
        <v/>
      </c>
      <c r="N187" s="46" t="str">
        <f>IFERROR(__xludf.DUMMYFUNCTION("""COMPUTED_VALUE"""),"")</f>
        <v/>
      </c>
      <c r="O187" s="48"/>
      <c r="P187" s="52" t="str">
        <f>IFERROR(__xludf.DUMMYFUNCTION("""COMPUTED_VALUE"""),"")</f>
        <v/>
      </c>
    </row>
    <row r="188">
      <c r="A188" s="48" t="str">
        <f>IFERROR(__xludf.DUMMYFUNCTION("""COMPUTED_VALUE"""),"")</f>
        <v/>
      </c>
      <c r="B188" s="48"/>
      <c r="C188" s="49"/>
      <c r="D188" s="46"/>
      <c r="E188" s="46"/>
      <c r="F188" s="46"/>
      <c r="G188" s="46"/>
      <c r="H188" s="46"/>
      <c r="I188" s="50"/>
      <c r="J188" s="50"/>
      <c r="K188" s="51" t="str">
        <f>IFERROR(__xludf.DUMMYFUNCTION("""COMPUTED_VALUE"""),"")</f>
        <v/>
      </c>
      <c r="L188" s="46" t="str">
        <f>IFERROR(__xludf.DUMMYFUNCTION("""COMPUTED_VALUE"""),"")</f>
        <v/>
      </c>
      <c r="M188" s="46" t="str">
        <f>IFERROR(__xludf.DUMMYFUNCTION("""COMPUTED_VALUE"""),"")</f>
        <v/>
      </c>
      <c r="N188" s="46" t="str">
        <f>IFERROR(__xludf.DUMMYFUNCTION("""COMPUTED_VALUE"""),"")</f>
        <v/>
      </c>
      <c r="O188" s="48"/>
      <c r="P188" s="52" t="str">
        <f>IFERROR(__xludf.DUMMYFUNCTION("""COMPUTED_VALUE"""),"")</f>
        <v/>
      </c>
    </row>
    <row r="189">
      <c r="A189" s="48" t="str">
        <f>IFERROR(__xludf.DUMMYFUNCTION("""COMPUTED_VALUE"""),"")</f>
        <v/>
      </c>
      <c r="B189" s="48"/>
      <c r="C189" s="49"/>
      <c r="D189" s="46"/>
      <c r="E189" s="46"/>
      <c r="F189" s="46"/>
      <c r="G189" s="46"/>
      <c r="H189" s="46"/>
      <c r="I189" s="50"/>
      <c r="J189" s="50"/>
      <c r="K189" s="51" t="str">
        <f>IFERROR(__xludf.DUMMYFUNCTION("""COMPUTED_VALUE"""),"")</f>
        <v/>
      </c>
      <c r="L189" s="46" t="str">
        <f>IFERROR(__xludf.DUMMYFUNCTION("""COMPUTED_VALUE"""),"")</f>
        <v/>
      </c>
      <c r="M189" s="46" t="str">
        <f>IFERROR(__xludf.DUMMYFUNCTION("""COMPUTED_VALUE"""),"")</f>
        <v/>
      </c>
      <c r="N189" s="46" t="str">
        <f>IFERROR(__xludf.DUMMYFUNCTION("""COMPUTED_VALUE"""),"")</f>
        <v/>
      </c>
      <c r="O189" s="48"/>
      <c r="P189" s="52" t="str">
        <f>IFERROR(__xludf.DUMMYFUNCTION("""COMPUTED_VALUE"""),"")</f>
        <v/>
      </c>
    </row>
    <row r="190">
      <c r="A190" s="48" t="str">
        <f>IFERROR(__xludf.DUMMYFUNCTION("""COMPUTED_VALUE"""),"")</f>
        <v/>
      </c>
      <c r="B190" s="48"/>
      <c r="C190" s="49"/>
      <c r="D190" s="46"/>
      <c r="E190" s="46"/>
      <c r="F190" s="46"/>
      <c r="G190" s="46"/>
      <c r="H190" s="46"/>
      <c r="I190" s="50"/>
      <c r="J190" s="50"/>
      <c r="K190" s="51" t="str">
        <f>IFERROR(__xludf.DUMMYFUNCTION("""COMPUTED_VALUE"""),"")</f>
        <v/>
      </c>
      <c r="L190" s="46" t="str">
        <f>IFERROR(__xludf.DUMMYFUNCTION("""COMPUTED_VALUE"""),"")</f>
        <v/>
      </c>
      <c r="M190" s="46" t="str">
        <f>IFERROR(__xludf.DUMMYFUNCTION("""COMPUTED_VALUE"""),"")</f>
        <v/>
      </c>
      <c r="N190" s="46" t="str">
        <f>IFERROR(__xludf.DUMMYFUNCTION("""COMPUTED_VALUE"""),"")</f>
        <v/>
      </c>
      <c r="O190" s="48"/>
      <c r="P190" s="52" t="str">
        <f>IFERROR(__xludf.DUMMYFUNCTION("""COMPUTED_VALUE"""),"")</f>
        <v/>
      </c>
    </row>
    <row r="191">
      <c r="A191" s="48" t="str">
        <f>IFERROR(__xludf.DUMMYFUNCTION("""COMPUTED_VALUE"""),"")</f>
        <v/>
      </c>
      <c r="B191" s="48"/>
      <c r="C191" s="49"/>
      <c r="D191" s="46"/>
      <c r="E191" s="46"/>
      <c r="F191" s="46"/>
      <c r="G191" s="46"/>
      <c r="H191" s="46"/>
      <c r="I191" s="50"/>
      <c r="J191" s="50"/>
      <c r="K191" s="51" t="str">
        <f>IFERROR(__xludf.DUMMYFUNCTION("""COMPUTED_VALUE"""),"")</f>
        <v/>
      </c>
      <c r="L191" s="46" t="str">
        <f>IFERROR(__xludf.DUMMYFUNCTION("""COMPUTED_VALUE"""),"")</f>
        <v/>
      </c>
      <c r="M191" s="46" t="str">
        <f>IFERROR(__xludf.DUMMYFUNCTION("""COMPUTED_VALUE"""),"")</f>
        <v/>
      </c>
      <c r="N191" s="46" t="str">
        <f>IFERROR(__xludf.DUMMYFUNCTION("""COMPUTED_VALUE"""),"")</f>
        <v/>
      </c>
      <c r="O191" s="48"/>
      <c r="P191" s="52" t="str">
        <f>IFERROR(__xludf.DUMMYFUNCTION("""COMPUTED_VALUE"""),"")</f>
        <v/>
      </c>
    </row>
    <row r="192">
      <c r="A192" s="48" t="str">
        <f>IFERROR(__xludf.DUMMYFUNCTION("""COMPUTED_VALUE"""),"")</f>
        <v/>
      </c>
      <c r="B192" s="48"/>
      <c r="C192" s="49"/>
      <c r="D192" s="46"/>
      <c r="E192" s="46"/>
      <c r="F192" s="46"/>
      <c r="G192" s="46"/>
      <c r="H192" s="46"/>
      <c r="I192" s="50"/>
      <c r="J192" s="50"/>
      <c r="K192" s="51" t="str">
        <f>IFERROR(__xludf.DUMMYFUNCTION("""COMPUTED_VALUE"""),"")</f>
        <v/>
      </c>
      <c r="L192" s="46" t="str">
        <f>IFERROR(__xludf.DUMMYFUNCTION("""COMPUTED_VALUE"""),"")</f>
        <v/>
      </c>
      <c r="M192" s="46" t="str">
        <f>IFERROR(__xludf.DUMMYFUNCTION("""COMPUTED_VALUE"""),"")</f>
        <v/>
      </c>
      <c r="N192" s="46" t="str">
        <f>IFERROR(__xludf.DUMMYFUNCTION("""COMPUTED_VALUE"""),"")</f>
        <v/>
      </c>
      <c r="O192" s="48"/>
      <c r="P192" s="52" t="str">
        <f>IFERROR(__xludf.DUMMYFUNCTION("""COMPUTED_VALUE"""),"")</f>
        <v/>
      </c>
    </row>
    <row r="193">
      <c r="A193" s="48" t="str">
        <f>IFERROR(__xludf.DUMMYFUNCTION("""COMPUTED_VALUE"""),"")</f>
        <v/>
      </c>
      <c r="B193" s="48"/>
      <c r="C193" s="49"/>
      <c r="D193" s="46"/>
      <c r="E193" s="46"/>
      <c r="F193" s="46"/>
      <c r="G193" s="46"/>
      <c r="H193" s="46"/>
      <c r="I193" s="50"/>
      <c r="J193" s="50"/>
      <c r="K193" s="51" t="str">
        <f>IFERROR(__xludf.DUMMYFUNCTION("""COMPUTED_VALUE"""),"")</f>
        <v/>
      </c>
      <c r="L193" s="46" t="str">
        <f>IFERROR(__xludf.DUMMYFUNCTION("""COMPUTED_VALUE"""),"")</f>
        <v/>
      </c>
      <c r="M193" s="46" t="str">
        <f>IFERROR(__xludf.DUMMYFUNCTION("""COMPUTED_VALUE"""),"")</f>
        <v/>
      </c>
      <c r="N193" s="46" t="str">
        <f>IFERROR(__xludf.DUMMYFUNCTION("""COMPUTED_VALUE"""),"")</f>
        <v/>
      </c>
      <c r="O193" s="48"/>
      <c r="P193" s="52" t="str">
        <f>IFERROR(__xludf.DUMMYFUNCTION("""COMPUTED_VALUE"""),"")</f>
        <v/>
      </c>
    </row>
    <row r="194">
      <c r="A194" s="48" t="str">
        <f>IFERROR(__xludf.DUMMYFUNCTION("""COMPUTED_VALUE"""),"")</f>
        <v/>
      </c>
      <c r="B194" s="48"/>
      <c r="C194" s="49"/>
      <c r="D194" s="46"/>
      <c r="E194" s="46"/>
      <c r="F194" s="46"/>
      <c r="G194" s="46"/>
      <c r="H194" s="46"/>
      <c r="I194" s="50"/>
      <c r="J194" s="50"/>
      <c r="K194" s="51" t="str">
        <f>IFERROR(__xludf.DUMMYFUNCTION("""COMPUTED_VALUE"""),"")</f>
        <v/>
      </c>
      <c r="L194" s="46" t="str">
        <f>IFERROR(__xludf.DUMMYFUNCTION("""COMPUTED_VALUE"""),"")</f>
        <v/>
      </c>
      <c r="M194" s="46" t="str">
        <f>IFERROR(__xludf.DUMMYFUNCTION("""COMPUTED_VALUE"""),"")</f>
        <v/>
      </c>
      <c r="N194" s="46" t="str">
        <f>IFERROR(__xludf.DUMMYFUNCTION("""COMPUTED_VALUE"""),"")</f>
        <v/>
      </c>
      <c r="O194" s="48"/>
      <c r="P194" s="52" t="str">
        <f>IFERROR(__xludf.DUMMYFUNCTION("""COMPUTED_VALUE"""),"")</f>
        <v/>
      </c>
    </row>
    <row r="195">
      <c r="A195" s="48" t="str">
        <f>IFERROR(__xludf.DUMMYFUNCTION("""COMPUTED_VALUE"""),"")</f>
        <v/>
      </c>
      <c r="B195" s="48"/>
      <c r="C195" s="49"/>
      <c r="D195" s="46"/>
      <c r="E195" s="46"/>
      <c r="F195" s="46"/>
      <c r="G195" s="46"/>
      <c r="H195" s="46"/>
      <c r="I195" s="50"/>
      <c r="J195" s="50"/>
      <c r="K195" s="51" t="str">
        <f>IFERROR(__xludf.DUMMYFUNCTION("""COMPUTED_VALUE"""),"")</f>
        <v/>
      </c>
      <c r="L195" s="46" t="str">
        <f>IFERROR(__xludf.DUMMYFUNCTION("""COMPUTED_VALUE"""),"")</f>
        <v/>
      </c>
      <c r="M195" s="46" t="str">
        <f>IFERROR(__xludf.DUMMYFUNCTION("""COMPUTED_VALUE"""),"")</f>
        <v/>
      </c>
      <c r="N195" s="46" t="str">
        <f>IFERROR(__xludf.DUMMYFUNCTION("""COMPUTED_VALUE"""),"")</f>
        <v/>
      </c>
      <c r="O195" s="48"/>
      <c r="P195" s="52" t="str">
        <f>IFERROR(__xludf.DUMMYFUNCTION("""COMPUTED_VALUE"""),"")</f>
        <v/>
      </c>
    </row>
    <row r="196">
      <c r="A196" s="48" t="str">
        <f>IFERROR(__xludf.DUMMYFUNCTION("""COMPUTED_VALUE"""),"")</f>
        <v/>
      </c>
      <c r="B196" s="48"/>
      <c r="C196" s="49"/>
      <c r="D196" s="46"/>
      <c r="E196" s="46"/>
      <c r="F196" s="46"/>
      <c r="G196" s="46"/>
      <c r="H196" s="46"/>
      <c r="I196" s="50"/>
      <c r="J196" s="50"/>
      <c r="K196" s="51" t="str">
        <f>IFERROR(__xludf.DUMMYFUNCTION("""COMPUTED_VALUE"""),"")</f>
        <v/>
      </c>
      <c r="L196" s="46" t="str">
        <f>IFERROR(__xludf.DUMMYFUNCTION("""COMPUTED_VALUE"""),"")</f>
        <v/>
      </c>
      <c r="M196" s="46" t="str">
        <f>IFERROR(__xludf.DUMMYFUNCTION("""COMPUTED_VALUE"""),"")</f>
        <v/>
      </c>
      <c r="N196" s="46" t="str">
        <f>IFERROR(__xludf.DUMMYFUNCTION("""COMPUTED_VALUE"""),"")</f>
        <v/>
      </c>
      <c r="O196" s="48"/>
      <c r="P196" s="52" t="str">
        <f>IFERROR(__xludf.DUMMYFUNCTION("""COMPUTED_VALUE"""),"")</f>
        <v/>
      </c>
    </row>
    <row r="197">
      <c r="A197" s="48" t="str">
        <f>IFERROR(__xludf.DUMMYFUNCTION("""COMPUTED_VALUE"""),"")</f>
        <v/>
      </c>
      <c r="B197" s="48"/>
      <c r="C197" s="49"/>
      <c r="D197" s="46"/>
      <c r="E197" s="46"/>
      <c r="F197" s="46"/>
      <c r="G197" s="46"/>
      <c r="H197" s="46"/>
      <c r="I197" s="50"/>
      <c r="J197" s="50"/>
      <c r="K197" s="51" t="str">
        <f>IFERROR(__xludf.DUMMYFUNCTION("""COMPUTED_VALUE"""),"")</f>
        <v/>
      </c>
      <c r="L197" s="46" t="str">
        <f>IFERROR(__xludf.DUMMYFUNCTION("""COMPUTED_VALUE"""),"")</f>
        <v/>
      </c>
      <c r="M197" s="46" t="str">
        <f>IFERROR(__xludf.DUMMYFUNCTION("""COMPUTED_VALUE"""),"")</f>
        <v/>
      </c>
      <c r="N197" s="46" t="str">
        <f>IFERROR(__xludf.DUMMYFUNCTION("""COMPUTED_VALUE"""),"")</f>
        <v/>
      </c>
      <c r="O197" s="48"/>
      <c r="P197" s="52" t="str">
        <f>IFERROR(__xludf.DUMMYFUNCTION("""COMPUTED_VALUE"""),"")</f>
        <v/>
      </c>
    </row>
    <row r="198">
      <c r="A198" s="48" t="str">
        <f>IFERROR(__xludf.DUMMYFUNCTION("""COMPUTED_VALUE"""),"")</f>
        <v/>
      </c>
      <c r="B198" s="48"/>
      <c r="C198" s="49"/>
      <c r="D198" s="46"/>
      <c r="E198" s="46"/>
      <c r="F198" s="46"/>
      <c r="G198" s="46"/>
      <c r="H198" s="46"/>
      <c r="I198" s="50"/>
      <c r="J198" s="50"/>
      <c r="K198" s="51" t="str">
        <f>IFERROR(__xludf.DUMMYFUNCTION("""COMPUTED_VALUE"""),"")</f>
        <v/>
      </c>
      <c r="L198" s="46" t="str">
        <f>IFERROR(__xludf.DUMMYFUNCTION("""COMPUTED_VALUE"""),"")</f>
        <v/>
      </c>
      <c r="M198" s="46" t="str">
        <f>IFERROR(__xludf.DUMMYFUNCTION("""COMPUTED_VALUE"""),"")</f>
        <v/>
      </c>
      <c r="N198" s="46" t="str">
        <f>IFERROR(__xludf.DUMMYFUNCTION("""COMPUTED_VALUE"""),"")</f>
        <v/>
      </c>
      <c r="O198" s="48"/>
      <c r="P198" s="52" t="str">
        <f>IFERROR(__xludf.DUMMYFUNCTION("""COMPUTED_VALUE"""),"")</f>
        <v/>
      </c>
    </row>
    <row r="199">
      <c r="A199" s="48" t="str">
        <f>IFERROR(__xludf.DUMMYFUNCTION("""COMPUTED_VALUE"""),"")</f>
        <v/>
      </c>
      <c r="B199" s="48"/>
      <c r="C199" s="49"/>
      <c r="D199" s="46"/>
      <c r="E199" s="46"/>
      <c r="F199" s="46"/>
      <c r="G199" s="46"/>
      <c r="H199" s="46"/>
      <c r="I199" s="50"/>
      <c r="J199" s="50"/>
      <c r="K199" s="51" t="str">
        <f>IFERROR(__xludf.DUMMYFUNCTION("""COMPUTED_VALUE"""),"")</f>
        <v/>
      </c>
      <c r="L199" s="46" t="str">
        <f>IFERROR(__xludf.DUMMYFUNCTION("""COMPUTED_VALUE"""),"")</f>
        <v/>
      </c>
      <c r="M199" s="46" t="str">
        <f>IFERROR(__xludf.DUMMYFUNCTION("""COMPUTED_VALUE"""),"")</f>
        <v/>
      </c>
      <c r="N199" s="46" t="str">
        <f>IFERROR(__xludf.DUMMYFUNCTION("""COMPUTED_VALUE"""),"")</f>
        <v/>
      </c>
      <c r="O199" s="48"/>
      <c r="P199" s="52" t="str">
        <f>IFERROR(__xludf.DUMMYFUNCTION("""COMPUTED_VALUE"""),"")</f>
        <v/>
      </c>
    </row>
    <row r="200">
      <c r="A200" s="48" t="str">
        <f>IFERROR(__xludf.DUMMYFUNCTION("""COMPUTED_VALUE"""),"")</f>
        <v/>
      </c>
      <c r="B200" s="48"/>
      <c r="C200" s="49"/>
      <c r="D200" s="46"/>
      <c r="E200" s="46"/>
      <c r="F200" s="46"/>
      <c r="G200" s="46"/>
      <c r="H200" s="46"/>
      <c r="I200" s="50"/>
      <c r="J200" s="50"/>
      <c r="K200" s="51" t="str">
        <f>IFERROR(__xludf.DUMMYFUNCTION("""COMPUTED_VALUE"""),"")</f>
        <v/>
      </c>
      <c r="L200" s="46" t="str">
        <f>IFERROR(__xludf.DUMMYFUNCTION("""COMPUTED_VALUE"""),"")</f>
        <v/>
      </c>
      <c r="M200" s="46" t="str">
        <f>IFERROR(__xludf.DUMMYFUNCTION("""COMPUTED_VALUE"""),"")</f>
        <v/>
      </c>
      <c r="N200" s="46" t="str">
        <f>IFERROR(__xludf.DUMMYFUNCTION("""COMPUTED_VALUE"""),"")</f>
        <v/>
      </c>
      <c r="O200" s="48"/>
      <c r="P200" s="52" t="str">
        <f>IFERROR(__xludf.DUMMYFUNCTION("""COMPUTED_VALUE"""),"")</f>
        <v/>
      </c>
    </row>
    <row r="201">
      <c r="A201" s="48" t="str">
        <f>IFERROR(__xludf.DUMMYFUNCTION("""COMPUTED_VALUE"""),"")</f>
        <v/>
      </c>
      <c r="B201" s="48"/>
      <c r="C201" s="49"/>
      <c r="D201" s="46"/>
      <c r="E201" s="46"/>
      <c r="F201" s="46"/>
      <c r="G201" s="46"/>
      <c r="H201" s="46"/>
      <c r="I201" s="50"/>
      <c r="J201" s="50"/>
      <c r="K201" s="51" t="str">
        <f>IFERROR(__xludf.DUMMYFUNCTION("""COMPUTED_VALUE"""),"")</f>
        <v/>
      </c>
      <c r="L201" s="46" t="str">
        <f>IFERROR(__xludf.DUMMYFUNCTION("""COMPUTED_VALUE"""),"")</f>
        <v/>
      </c>
      <c r="M201" s="46" t="str">
        <f>IFERROR(__xludf.DUMMYFUNCTION("""COMPUTED_VALUE"""),"")</f>
        <v/>
      </c>
      <c r="N201" s="46" t="str">
        <f>IFERROR(__xludf.DUMMYFUNCTION("""COMPUTED_VALUE"""),"")</f>
        <v/>
      </c>
      <c r="O201" s="48"/>
      <c r="P201" s="52" t="str">
        <f>IFERROR(__xludf.DUMMYFUNCTION("""COMPUTED_VALUE"""),"")</f>
        <v/>
      </c>
    </row>
    <row r="202">
      <c r="A202" s="48" t="str">
        <f>IFERROR(__xludf.DUMMYFUNCTION("""COMPUTED_VALUE"""),"")</f>
        <v/>
      </c>
      <c r="B202" s="48"/>
      <c r="C202" s="49"/>
      <c r="D202" s="46"/>
      <c r="E202" s="46"/>
      <c r="F202" s="46"/>
      <c r="G202" s="46"/>
      <c r="H202" s="46"/>
      <c r="I202" s="50"/>
      <c r="J202" s="50"/>
      <c r="K202" s="51" t="str">
        <f>IFERROR(__xludf.DUMMYFUNCTION("""COMPUTED_VALUE"""),"")</f>
        <v/>
      </c>
      <c r="L202" s="46" t="str">
        <f>IFERROR(__xludf.DUMMYFUNCTION("""COMPUTED_VALUE"""),"")</f>
        <v/>
      </c>
      <c r="M202" s="46" t="str">
        <f>IFERROR(__xludf.DUMMYFUNCTION("""COMPUTED_VALUE"""),"")</f>
        <v/>
      </c>
      <c r="N202" s="46" t="str">
        <f>IFERROR(__xludf.DUMMYFUNCTION("""COMPUTED_VALUE"""),"")</f>
        <v/>
      </c>
      <c r="O202" s="48"/>
      <c r="P202" s="52" t="str">
        <f>IFERROR(__xludf.DUMMYFUNCTION("""COMPUTED_VALUE"""),"")</f>
        <v/>
      </c>
    </row>
    <row r="203">
      <c r="A203" s="48" t="str">
        <f>IFERROR(__xludf.DUMMYFUNCTION("""COMPUTED_VALUE"""),"")</f>
        <v/>
      </c>
      <c r="B203" s="48"/>
      <c r="C203" s="49"/>
      <c r="D203" s="46"/>
      <c r="E203" s="46"/>
      <c r="F203" s="46"/>
      <c r="G203" s="46"/>
      <c r="H203" s="46"/>
      <c r="I203" s="50"/>
      <c r="J203" s="50"/>
      <c r="K203" s="51" t="str">
        <f>IFERROR(__xludf.DUMMYFUNCTION("""COMPUTED_VALUE"""),"")</f>
        <v/>
      </c>
      <c r="L203" s="46" t="str">
        <f>IFERROR(__xludf.DUMMYFUNCTION("""COMPUTED_VALUE"""),"")</f>
        <v/>
      </c>
      <c r="M203" s="46" t="str">
        <f>IFERROR(__xludf.DUMMYFUNCTION("""COMPUTED_VALUE"""),"")</f>
        <v/>
      </c>
      <c r="N203" s="46" t="str">
        <f>IFERROR(__xludf.DUMMYFUNCTION("""COMPUTED_VALUE"""),"")</f>
        <v/>
      </c>
      <c r="O203" s="48"/>
      <c r="P203" s="52" t="str">
        <f>IFERROR(__xludf.DUMMYFUNCTION("""COMPUTED_VALUE"""),"")</f>
        <v/>
      </c>
    </row>
    <row r="204">
      <c r="A204" s="48" t="str">
        <f>IFERROR(__xludf.DUMMYFUNCTION("""COMPUTED_VALUE"""),"")</f>
        <v/>
      </c>
      <c r="B204" s="48"/>
      <c r="C204" s="49"/>
      <c r="D204" s="46"/>
      <c r="E204" s="46"/>
      <c r="F204" s="46"/>
      <c r="G204" s="46"/>
      <c r="H204" s="46"/>
      <c r="I204" s="50"/>
      <c r="J204" s="50"/>
      <c r="K204" s="51" t="str">
        <f>IFERROR(__xludf.DUMMYFUNCTION("""COMPUTED_VALUE"""),"")</f>
        <v/>
      </c>
      <c r="L204" s="46" t="str">
        <f>IFERROR(__xludf.DUMMYFUNCTION("""COMPUTED_VALUE"""),"")</f>
        <v/>
      </c>
      <c r="M204" s="46" t="str">
        <f>IFERROR(__xludf.DUMMYFUNCTION("""COMPUTED_VALUE"""),"")</f>
        <v/>
      </c>
      <c r="N204" s="46" t="str">
        <f>IFERROR(__xludf.DUMMYFUNCTION("""COMPUTED_VALUE"""),"")</f>
        <v/>
      </c>
      <c r="O204" s="48"/>
      <c r="P204" s="52" t="str">
        <f>IFERROR(__xludf.DUMMYFUNCTION("""COMPUTED_VALUE"""),"")</f>
        <v/>
      </c>
    </row>
    <row r="205">
      <c r="A205" s="48" t="str">
        <f>IFERROR(__xludf.DUMMYFUNCTION("""COMPUTED_VALUE"""),"")</f>
        <v/>
      </c>
      <c r="B205" s="48"/>
      <c r="C205" s="49"/>
      <c r="D205" s="46"/>
      <c r="E205" s="46"/>
      <c r="F205" s="46"/>
      <c r="G205" s="46"/>
      <c r="H205" s="46"/>
      <c r="I205" s="50"/>
      <c r="J205" s="50"/>
      <c r="K205" s="51" t="str">
        <f>IFERROR(__xludf.DUMMYFUNCTION("""COMPUTED_VALUE"""),"")</f>
        <v/>
      </c>
      <c r="L205" s="46" t="str">
        <f>IFERROR(__xludf.DUMMYFUNCTION("""COMPUTED_VALUE"""),"")</f>
        <v/>
      </c>
      <c r="M205" s="46" t="str">
        <f>IFERROR(__xludf.DUMMYFUNCTION("""COMPUTED_VALUE"""),"")</f>
        <v/>
      </c>
      <c r="N205" s="46" t="str">
        <f>IFERROR(__xludf.DUMMYFUNCTION("""COMPUTED_VALUE"""),"")</f>
        <v/>
      </c>
      <c r="O205" s="48"/>
      <c r="P205" s="52" t="str">
        <f>IFERROR(__xludf.DUMMYFUNCTION("""COMPUTED_VALUE"""),"")</f>
        <v/>
      </c>
    </row>
    <row r="206">
      <c r="A206" s="48" t="str">
        <f>IFERROR(__xludf.DUMMYFUNCTION("""COMPUTED_VALUE"""),"")</f>
        <v/>
      </c>
      <c r="B206" s="48"/>
      <c r="C206" s="49"/>
      <c r="D206" s="46"/>
      <c r="E206" s="46"/>
      <c r="F206" s="46"/>
      <c r="G206" s="46"/>
      <c r="H206" s="46"/>
      <c r="I206" s="50"/>
      <c r="J206" s="50"/>
      <c r="K206" s="51" t="str">
        <f>IFERROR(__xludf.DUMMYFUNCTION("""COMPUTED_VALUE"""),"")</f>
        <v/>
      </c>
      <c r="L206" s="46" t="str">
        <f>IFERROR(__xludf.DUMMYFUNCTION("""COMPUTED_VALUE"""),"")</f>
        <v/>
      </c>
      <c r="M206" s="46" t="str">
        <f>IFERROR(__xludf.DUMMYFUNCTION("""COMPUTED_VALUE"""),"")</f>
        <v/>
      </c>
      <c r="N206" s="46" t="str">
        <f>IFERROR(__xludf.DUMMYFUNCTION("""COMPUTED_VALUE"""),"")</f>
        <v/>
      </c>
      <c r="O206" s="48"/>
      <c r="P206" s="52" t="str">
        <f>IFERROR(__xludf.DUMMYFUNCTION("""COMPUTED_VALUE"""),"")</f>
        <v/>
      </c>
    </row>
    <row r="207">
      <c r="A207" s="48" t="str">
        <f>IFERROR(__xludf.DUMMYFUNCTION("""COMPUTED_VALUE"""),"")</f>
        <v/>
      </c>
      <c r="B207" s="48"/>
      <c r="C207" s="49"/>
      <c r="D207" s="46"/>
      <c r="E207" s="46"/>
      <c r="F207" s="46"/>
      <c r="G207" s="46"/>
      <c r="H207" s="46"/>
      <c r="I207" s="50"/>
      <c r="J207" s="50"/>
      <c r="K207" s="51" t="str">
        <f>IFERROR(__xludf.DUMMYFUNCTION("""COMPUTED_VALUE"""),"")</f>
        <v/>
      </c>
      <c r="L207" s="46" t="str">
        <f>IFERROR(__xludf.DUMMYFUNCTION("""COMPUTED_VALUE"""),"")</f>
        <v/>
      </c>
      <c r="M207" s="46" t="str">
        <f>IFERROR(__xludf.DUMMYFUNCTION("""COMPUTED_VALUE"""),"")</f>
        <v/>
      </c>
      <c r="N207" s="46" t="str">
        <f>IFERROR(__xludf.DUMMYFUNCTION("""COMPUTED_VALUE"""),"")</f>
        <v/>
      </c>
      <c r="O207" s="48"/>
      <c r="P207" s="52" t="str">
        <f>IFERROR(__xludf.DUMMYFUNCTION("""COMPUTED_VALUE"""),"")</f>
        <v/>
      </c>
    </row>
    <row r="208">
      <c r="A208" s="48" t="str">
        <f>IFERROR(__xludf.DUMMYFUNCTION("""COMPUTED_VALUE"""),"")</f>
        <v/>
      </c>
      <c r="B208" s="48"/>
      <c r="C208" s="49"/>
      <c r="D208" s="46"/>
      <c r="E208" s="46"/>
      <c r="F208" s="46"/>
      <c r="G208" s="46"/>
      <c r="H208" s="46"/>
      <c r="I208" s="50"/>
      <c r="J208" s="50"/>
      <c r="K208" s="51" t="str">
        <f>IFERROR(__xludf.DUMMYFUNCTION("""COMPUTED_VALUE"""),"")</f>
        <v/>
      </c>
      <c r="L208" s="46" t="str">
        <f>IFERROR(__xludf.DUMMYFUNCTION("""COMPUTED_VALUE"""),"")</f>
        <v/>
      </c>
      <c r="M208" s="46" t="str">
        <f>IFERROR(__xludf.DUMMYFUNCTION("""COMPUTED_VALUE"""),"")</f>
        <v/>
      </c>
      <c r="N208" s="46" t="str">
        <f>IFERROR(__xludf.DUMMYFUNCTION("""COMPUTED_VALUE"""),"")</f>
        <v/>
      </c>
      <c r="O208" s="48"/>
      <c r="P208" s="52" t="str">
        <f>IFERROR(__xludf.DUMMYFUNCTION("""COMPUTED_VALUE"""),"")</f>
        <v/>
      </c>
    </row>
    <row r="209">
      <c r="A209" s="48" t="str">
        <f>IFERROR(__xludf.DUMMYFUNCTION("""COMPUTED_VALUE"""),"")</f>
        <v/>
      </c>
      <c r="B209" s="48"/>
      <c r="C209" s="49"/>
      <c r="D209" s="46"/>
      <c r="E209" s="46"/>
      <c r="F209" s="46"/>
      <c r="G209" s="46"/>
      <c r="H209" s="46"/>
      <c r="I209" s="50"/>
      <c r="J209" s="50"/>
      <c r="K209" s="51" t="str">
        <f>IFERROR(__xludf.DUMMYFUNCTION("""COMPUTED_VALUE"""),"")</f>
        <v/>
      </c>
      <c r="L209" s="46" t="str">
        <f>IFERROR(__xludf.DUMMYFUNCTION("""COMPUTED_VALUE"""),"")</f>
        <v/>
      </c>
      <c r="M209" s="46" t="str">
        <f>IFERROR(__xludf.DUMMYFUNCTION("""COMPUTED_VALUE"""),"")</f>
        <v/>
      </c>
      <c r="N209" s="46" t="str">
        <f>IFERROR(__xludf.DUMMYFUNCTION("""COMPUTED_VALUE"""),"")</f>
        <v/>
      </c>
      <c r="O209" s="48"/>
      <c r="P209" s="52" t="str">
        <f>IFERROR(__xludf.DUMMYFUNCTION("""COMPUTED_VALUE"""),"")</f>
        <v/>
      </c>
    </row>
    <row r="210">
      <c r="A210" s="48" t="str">
        <f>IFERROR(__xludf.DUMMYFUNCTION("""COMPUTED_VALUE"""),"")</f>
        <v/>
      </c>
      <c r="B210" s="48"/>
      <c r="C210" s="49"/>
      <c r="D210" s="46"/>
      <c r="E210" s="46"/>
      <c r="F210" s="46"/>
      <c r="G210" s="46"/>
      <c r="H210" s="46"/>
      <c r="I210" s="50"/>
      <c r="J210" s="50"/>
      <c r="K210" s="51" t="str">
        <f>IFERROR(__xludf.DUMMYFUNCTION("""COMPUTED_VALUE"""),"")</f>
        <v/>
      </c>
      <c r="L210" s="46" t="str">
        <f>IFERROR(__xludf.DUMMYFUNCTION("""COMPUTED_VALUE"""),"")</f>
        <v/>
      </c>
      <c r="M210" s="46" t="str">
        <f>IFERROR(__xludf.DUMMYFUNCTION("""COMPUTED_VALUE"""),"")</f>
        <v/>
      </c>
      <c r="N210" s="46" t="str">
        <f>IFERROR(__xludf.DUMMYFUNCTION("""COMPUTED_VALUE"""),"")</f>
        <v/>
      </c>
      <c r="O210" s="48"/>
      <c r="P210" s="52" t="str">
        <f>IFERROR(__xludf.DUMMYFUNCTION("""COMPUTED_VALUE"""),"")</f>
        <v/>
      </c>
    </row>
    <row r="211">
      <c r="A211" s="48" t="str">
        <f>IFERROR(__xludf.DUMMYFUNCTION("""COMPUTED_VALUE"""),"")</f>
        <v/>
      </c>
      <c r="B211" s="48"/>
      <c r="C211" s="49"/>
      <c r="D211" s="46"/>
      <c r="E211" s="46"/>
      <c r="F211" s="46"/>
      <c r="G211" s="46"/>
      <c r="H211" s="46"/>
      <c r="I211" s="50"/>
      <c r="J211" s="50"/>
      <c r="K211" s="51" t="str">
        <f>IFERROR(__xludf.DUMMYFUNCTION("""COMPUTED_VALUE"""),"")</f>
        <v/>
      </c>
      <c r="L211" s="46" t="str">
        <f>IFERROR(__xludf.DUMMYFUNCTION("""COMPUTED_VALUE"""),"")</f>
        <v/>
      </c>
      <c r="M211" s="46" t="str">
        <f>IFERROR(__xludf.DUMMYFUNCTION("""COMPUTED_VALUE"""),"")</f>
        <v/>
      </c>
      <c r="N211" s="46" t="str">
        <f>IFERROR(__xludf.DUMMYFUNCTION("""COMPUTED_VALUE"""),"")</f>
        <v/>
      </c>
      <c r="O211" s="48"/>
      <c r="P211" s="52" t="str">
        <f>IFERROR(__xludf.DUMMYFUNCTION("""COMPUTED_VALUE"""),"")</f>
        <v/>
      </c>
    </row>
    <row r="212">
      <c r="A212" s="48" t="str">
        <f>IFERROR(__xludf.DUMMYFUNCTION("""COMPUTED_VALUE"""),"")</f>
        <v/>
      </c>
      <c r="B212" s="48"/>
      <c r="C212" s="49"/>
      <c r="D212" s="46"/>
      <c r="E212" s="46"/>
      <c r="F212" s="46"/>
      <c r="G212" s="46"/>
      <c r="H212" s="46"/>
      <c r="I212" s="50"/>
      <c r="J212" s="50"/>
      <c r="K212" s="51" t="str">
        <f>IFERROR(__xludf.DUMMYFUNCTION("""COMPUTED_VALUE"""),"")</f>
        <v/>
      </c>
      <c r="L212" s="46" t="str">
        <f>IFERROR(__xludf.DUMMYFUNCTION("""COMPUTED_VALUE"""),"")</f>
        <v/>
      </c>
      <c r="M212" s="46" t="str">
        <f>IFERROR(__xludf.DUMMYFUNCTION("""COMPUTED_VALUE"""),"")</f>
        <v/>
      </c>
      <c r="N212" s="46" t="str">
        <f>IFERROR(__xludf.DUMMYFUNCTION("""COMPUTED_VALUE"""),"")</f>
        <v/>
      </c>
      <c r="O212" s="48"/>
      <c r="P212" s="52" t="str">
        <f>IFERROR(__xludf.DUMMYFUNCTION("""COMPUTED_VALUE"""),"")</f>
        <v/>
      </c>
    </row>
    <row r="213">
      <c r="A213" s="48" t="str">
        <f>IFERROR(__xludf.DUMMYFUNCTION("""COMPUTED_VALUE"""),"")</f>
        <v/>
      </c>
      <c r="B213" s="48"/>
      <c r="C213" s="49"/>
      <c r="D213" s="46"/>
      <c r="E213" s="46"/>
      <c r="F213" s="46"/>
      <c r="G213" s="46"/>
      <c r="H213" s="46"/>
      <c r="I213" s="50"/>
      <c r="J213" s="50"/>
      <c r="K213" s="51" t="str">
        <f>IFERROR(__xludf.DUMMYFUNCTION("""COMPUTED_VALUE"""),"")</f>
        <v/>
      </c>
      <c r="L213" s="46" t="str">
        <f>IFERROR(__xludf.DUMMYFUNCTION("""COMPUTED_VALUE"""),"")</f>
        <v/>
      </c>
      <c r="M213" s="46" t="str">
        <f>IFERROR(__xludf.DUMMYFUNCTION("""COMPUTED_VALUE"""),"")</f>
        <v/>
      </c>
      <c r="N213" s="46" t="str">
        <f>IFERROR(__xludf.DUMMYFUNCTION("""COMPUTED_VALUE"""),"")</f>
        <v/>
      </c>
      <c r="O213" s="48"/>
      <c r="P213" s="52" t="str">
        <f>IFERROR(__xludf.DUMMYFUNCTION("""COMPUTED_VALUE"""),"")</f>
        <v/>
      </c>
    </row>
    <row r="214">
      <c r="A214" s="48" t="str">
        <f>IFERROR(__xludf.DUMMYFUNCTION("""COMPUTED_VALUE"""),"")</f>
        <v/>
      </c>
      <c r="B214" s="48"/>
      <c r="C214" s="49"/>
      <c r="D214" s="46"/>
      <c r="E214" s="46"/>
      <c r="F214" s="46"/>
      <c r="G214" s="46"/>
      <c r="H214" s="46"/>
      <c r="I214" s="50"/>
      <c r="J214" s="50"/>
      <c r="K214" s="51" t="str">
        <f>IFERROR(__xludf.DUMMYFUNCTION("""COMPUTED_VALUE"""),"")</f>
        <v/>
      </c>
      <c r="L214" s="46" t="str">
        <f>IFERROR(__xludf.DUMMYFUNCTION("""COMPUTED_VALUE"""),"")</f>
        <v/>
      </c>
      <c r="M214" s="46" t="str">
        <f>IFERROR(__xludf.DUMMYFUNCTION("""COMPUTED_VALUE"""),"")</f>
        <v/>
      </c>
      <c r="N214" s="46" t="str">
        <f>IFERROR(__xludf.DUMMYFUNCTION("""COMPUTED_VALUE"""),"")</f>
        <v/>
      </c>
      <c r="O214" s="48"/>
      <c r="P214" s="52" t="str">
        <f>IFERROR(__xludf.DUMMYFUNCTION("""COMPUTED_VALUE"""),"")</f>
        <v/>
      </c>
    </row>
    <row r="215">
      <c r="A215" s="48" t="str">
        <f>IFERROR(__xludf.DUMMYFUNCTION("""COMPUTED_VALUE"""),"")</f>
        <v/>
      </c>
      <c r="B215" s="48"/>
      <c r="C215" s="49"/>
      <c r="D215" s="46"/>
      <c r="E215" s="46"/>
      <c r="F215" s="46"/>
      <c r="G215" s="46"/>
      <c r="H215" s="46"/>
      <c r="I215" s="50"/>
      <c r="J215" s="50"/>
      <c r="K215" s="51" t="str">
        <f>IFERROR(__xludf.DUMMYFUNCTION("""COMPUTED_VALUE"""),"")</f>
        <v/>
      </c>
      <c r="L215" s="46" t="str">
        <f>IFERROR(__xludf.DUMMYFUNCTION("""COMPUTED_VALUE"""),"")</f>
        <v/>
      </c>
      <c r="M215" s="46" t="str">
        <f>IFERROR(__xludf.DUMMYFUNCTION("""COMPUTED_VALUE"""),"")</f>
        <v/>
      </c>
      <c r="N215" s="46" t="str">
        <f>IFERROR(__xludf.DUMMYFUNCTION("""COMPUTED_VALUE"""),"")</f>
        <v/>
      </c>
      <c r="O215" s="48"/>
      <c r="P215" s="52" t="str">
        <f>IFERROR(__xludf.DUMMYFUNCTION("""COMPUTED_VALUE"""),"")</f>
        <v/>
      </c>
    </row>
    <row r="216">
      <c r="A216" s="48" t="str">
        <f>IFERROR(__xludf.DUMMYFUNCTION("""COMPUTED_VALUE"""),"")</f>
        <v/>
      </c>
      <c r="B216" s="48"/>
      <c r="C216" s="49"/>
      <c r="D216" s="46"/>
      <c r="E216" s="46"/>
      <c r="F216" s="46"/>
      <c r="G216" s="46"/>
      <c r="H216" s="46"/>
      <c r="I216" s="50"/>
      <c r="J216" s="50"/>
      <c r="K216" s="51" t="str">
        <f>IFERROR(__xludf.DUMMYFUNCTION("""COMPUTED_VALUE"""),"")</f>
        <v/>
      </c>
      <c r="L216" s="46" t="str">
        <f>IFERROR(__xludf.DUMMYFUNCTION("""COMPUTED_VALUE"""),"")</f>
        <v/>
      </c>
      <c r="M216" s="46" t="str">
        <f>IFERROR(__xludf.DUMMYFUNCTION("""COMPUTED_VALUE"""),"")</f>
        <v/>
      </c>
      <c r="N216" s="46" t="str">
        <f>IFERROR(__xludf.DUMMYFUNCTION("""COMPUTED_VALUE"""),"")</f>
        <v/>
      </c>
      <c r="O216" s="48"/>
      <c r="P216" s="52" t="str">
        <f>IFERROR(__xludf.DUMMYFUNCTION("""COMPUTED_VALUE"""),"")</f>
        <v/>
      </c>
    </row>
    <row r="217">
      <c r="A217" s="48" t="str">
        <f>IFERROR(__xludf.DUMMYFUNCTION("""COMPUTED_VALUE"""),"")</f>
        <v/>
      </c>
      <c r="B217" s="48"/>
      <c r="C217" s="49"/>
      <c r="D217" s="46"/>
      <c r="E217" s="46"/>
      <c r="F217" s="46"/>
      <c r="G217" s="46"/>
      <c r="H217" s="46"/>
      <c r="I217" s="50"/>
      <c r="J217" s="50"/>
      <c r="K217" s="51" t="str">
        <f>IFERROR(__xludf.DUMMYFUNCTION("""COMPUTED_VALUE"""),"")</f>
        <v/>
      </c>
      <c r="L217" s="46" t="str">
        <f>IFERROR(__xludf.DUMMYFUNCTION("""COMPUTED_VALUE"""),"")</f>
        <v/>
      </c>
      <c r="M217" s="46" t="str">
        <f>IFERROR(__xludf.DUMMYFUNCTION("""COMPUTED_VALUE"""),"")</f>
        <v/>
      </c>
      <c r="N217" s="46" t="str">
        <f>IFERROR(__xludf.DUMMYFUNCTION("""COMPUTED_VALUE"""),"")</f>
        <v/>
      </c>
      <c r="O217" s="48"/>
      <c r="P217" s="52" t="str">
        <f>IFERROR(__xludf.DUMMYFUNCTION("""COMPUTED_VALUE"""),"")</f>
        <v/>
      </c>
    </row>
    <row r="218">
      <c r="A218" s="48" t="str">
        <f>IFERROR(__xludf.DUMMYFUNCTION("""COMPUTED_VALUE"""),"")</f>
        <v/>
      </c>
      <c r="B218" s="48"/>
      <c r="C218" s="49"/>
      <c r="D218" s="46"/>
      <c r="E218" s="46"/>
      <c r="F218" s="46"/>
      <c r="G218" s="46"/>
      <c r="H218" s="46"/>
      <c r="I218" s="50"/>
      <c r="J218" s="50"/>
      <c r="K218" s="51" t="str">
        <f>IFERROR(__xludf.DUMMYFUNCTION("""COMPUTED_VALUE"""),"")</f>
        <v/>
      </c>
      <c r="L218" s="46" t="str">
        <f>IFERROR(__xludf.DUMMYFUNCTION("""COMPUTED_VALUE"""),"")</f>
        <v/>
      </c>
      <c r="M218" s="46" t="str">
        <f>IFERROR(__xludf.DUMMYFUNCTION("""COMPUTED_VALUE"""),"")</f>
        <v/>
      </c>
      <c r="N218" s="46" t="str">
        <f>IFERROR(__xludf.DUMMYFUNCTION("""COMPUTED_VALUE"""),"")</f>
        <v/>
      </c>
      <c r="O218" s="48"/>
      <c r="P218" s="52" t="str">
        <f>IFERROR(__xludf.DUMMYFUNCTION("""COMPUTED_VALUE"""),"")</f>
        <v/>
      </c>
    </row>
    <row r="219">
      <c r="A219" s="48" t="str">
        <f>IFERROR(__xludf.DUMMYFUNCTION("""COMPUTED_VALUE"""),"")</f>
        <v/>
      </c>
      <c r="B219" s="48"/>
      <c r="C219" s="49"/>
      <c r="D219" s="46"/>
      <c r="E219" s="46"/>
      <c r="F219" s="46"/>
      <c r="G219" s="46"/>
      <c r="H219" s="46"/>
      <c r="I219" s="50"/>
      <c r="J219" s="50"/>
      <c r="K219" s="51" t="str">
        <f>IFERROR(__xludf.DUMMYFUNCTION("""COMPUTED_VALUE"""),"")</f>
        <v/>
      </c>
      <c r="L219" s="46" t="str">
        <f>IFERROR(__xludf.DUMMYFUNCTION("""COMPUTED_VALUE"""),"")</f>
        <v/>
      </c>
      <c r="M219" s="46" t="str">
        <f>IFERROR(__xludf.DUMMYFUNCTION("""COMPUTED_VALUE"""),"")</f>
        <v/>
      </c>
      <c r="N219" s="46" t="str">
        <f>IFERROR(__xludf.DUMMYFUNCTION("""COMPUTED_VALUE"""),"")</f>
        <v/>
      </c>
      <c r="O219" s="48"/>
      <c r="P219" s="52" t="str">
        <f>IFERROR(__xludf.DUMMYFUNCTION("""COMPUTED_VALUE"""),"")</f>
        <v/>
      </c>
    </row>
    <row r="220">
      <c r="A220" s="48" t="str">
        <f>IFERROR(__xludf.DUMMYFUNCTION("""COMPUTED_VALUE"""),"")</f>
        <v/>
      </c>
      <c r="B220" s="48"/>
      <c r="C220" s="49"/>
      <c r="D220" s="46"/>
      <c r="E220" s="46"/>
      <c r="F220" s="46"/>
      <c r="G220" s="46"/>
      <c r="H220" s="46"/>
      <c r="I220" s="50"/>
      <c r="J220" s="50"/>
      <c r="K220" s="51" t="str">
        <f>IFERROR(__xludf.DUMMYFUNCTION("""COMPUTED_VALUE"""),"")</f>
        <v/>
      </c>
      <c r="L220" s="46" t="str">
        <f>IFERROR(__xludf.DUMMYFUNCTION("""COMPUTED_VALUE"""),"")</f>
        <v/>
      </c>
      <c r="M220" s="46" t="str">
        <f>IFERROR(__xludf.DUMMYFUNCTION("""COMPUTED_VALUE"""),"")</f>
        <v/>
      </c>
      <c r="N220" s="46" t="str">
        <f>IFERROR(__xludf.DUMMYFUNCTION("""COMPUTED_VALUE"""),"")</f>
        <v/>
      </c>
      <c r="O220" s="48"/>
      <c r="P220" s="52" t="str">
        <f>IFERROR(__xludf.DUMMYFUNCTION("""COMPUTED_VALUE"""),"")</f>
        <v/>
      </c>
    </row>
    <row r="221">
      <c r="A221" s="48" t="str">
        <f>IFERROR(__xludf.DUMMYFUNCTION("""COMPUTED_VALUE"""),"")</f>
        <v/>
      </c>
      <c r="B221" s="48"/>
      <c r="C221" s="49"/>
      <c r="D221" s="46"/>
      <c r="E221" s="46"/>
      <c r="F221" s="46"/>
      <c r="G221" s="46"/>
      <c r="H221" s="46"/>
      <c r="I221" s="50"/>
      <c r="J221" s="50"/>
      <c r="K221" s="51" t="str">
        <f>IFERROR(__xludf.DUMMYFUNCTION("""COMPUTED_VALUE"""),"")</f>
        <v/>
      </c>
      <c r="L221" s="46" t="str">
        <f>IFERROR(__xludf.DUMMYFUNCTION("""COMPUTED_VALUE"""),"")</f>
        <v/>
      </c>
      <c r="M221" s="46" t="str">
        <f>IFERROR(__xludf.DUMMYFUNCTION("""COMPUTED_VALUE"""),"")</f>
        <v/>
      </c>
      <c r="N221" s="46" t="str">
        <f>IFERROR(__xludf.DUMMYFUNCTION("""COMPUTED_VALUE"""),"")</f>
        <v/>
      </c>
      <c r="O221" s="48"/>
      <c r="P221" s="52" t="str">
        <f>IFERROR(__xludf.DUMMYFUNCTION("""COMPUTED_VALUE"""),"")</f>
        <v/>
      </c>
    </row>
    <row r="222">
      <c r="A222" s="48" t="str">
        <f>IFERROR(__xludf.DUMMYFUNCTION("""COMPUTED_VALUE"""),"")</f>
        <v/>
      </c>
      <c r="B222" s="48"/>
      <c r="C222" s="49"/>
      <c r="D222" s="46"/>
      <c r="E222" s="46"/>
      <c r="F222" s="46"/>
      <c r="G222" s="46"/>
      <c r="H222" s="46"/>
      <c r="I222" s="50"/>
      <c r="J222" s="50"/>
      <c r="K222" s="51" t="str">
        <f>IFERROR(__xludf.DUMMYFUNCTION("""COMPUTED_VALUE"""),"")</f>
        <v/>
      </c>
      <c r="L222" s="46" t="str">
        <f>IFERROR(__xludf.DUMMYFUNCTION("""COMPUTED_VALUE"""),"")</f>
        <v/>
      </c>
      <c r="M222" s="46" t="str">
        <f>IFERROR(__xludf.DUMMYFUNCTION("""COMPUTED_VALUE"""),"")</f>
        <v/>
      </c>
      <c r="N222" s="46" t="str">
        <f>IFERROR(__xludf.DUMMYFUNCTION("""COMPUTED_VALUE"""),"")</f>
        <v/>
      </c>
      <c r="O222" s="48"/>
      <c r="P222" s="52" t="str">
        <f>IFERROR(__xludf.DUMMYFUNCTION("""COMPUTED_VALUE"""),"")</f>
        <v/>
      </c>
    </row>
    <row r="223">
      <c r="A223" s="48" t="str">
        <f>IFERROR(__xludf.DUMMYFUNCTION("""COMPUTED_VALUE"""),"")</f>
        <v/>
      </c>
      <c r="B223" s="48"/>
      <c r="C223" s="49"/>
      <c r="D223" s="46"/>
      <c r="E223" s="46"/>
      <c r="F223" s="46"/>
      <c r="G223" s="46"/>
      <c r="H223" s="46"/>
      <c r="I223" s="50"/>
      <c r="J223" s="50"/>
      <c r="K223" s="51" t="str">
        <f>IFERROR(__xludf.DUMMYFUNCTION("""COMPUTED_VALUE"""),"")</f>
        <v/>
      </c>
      <c r="L223" s="46" t="str">
        <f>IFERROR(__xludf.DUMMYFUNCTION("""COMPUTED_VALUE"""),"")</f>
        <v/>
      </c>
      <c r="M223" s="46" t="str">
        <f>IFERROR(__xludf.DUMMYFUNCTION("""COMPUTED_VALUE"""),"")</f>
        <v/>
      </c>
      <c r="N223" s="46" t="str">
        <f>IFERROR(__xludf.DUMMYFUNCTION("""COMPUTED_VALUE"""),"")</f>
        <v/>
      </c>
      <c r="O223" s="48"/>
      <c r="P223" s="52" t="str">
        <f>IFERROR(__xludf.DUMMYFUNCTION("""COMPUTED_VALUE"""),"")</f>
        <v/>
      </c>
    </row>
    <row r="224">
      <c r="A224" s="48" t="str">
        <f>IFERROR(__xludf.DUMMYFUNCTION("""COMPUTED_VALUE"""),"")</f>
        <v/>
      </c>
      <c r="B224" s="48"/>
      <c r="C224" s="49"/>
      <c r="D224" s="46"/>
      <c r="E224" s="46"/>
      <c r="F224" s="46"/>
      <c r="G224" s="46"/>
      <c r="H224" s="46"/>
      <c r="I224" s="50"/>
      <c r="J224" s="50"/>
      <c r="K224" s="51" t="str">
        <f>IFERROR(__xludf.DUMMYFUNCTION("""COMPUTED_VALUE"""),"")</f>
        <v/>
      </c>
      <c r="L224" s="46" t="str">
        <f>IFERROR(__xludf.DUMMYFUNCTION("""COMPUTED_VALUE"""),"")</f>
        <v/>
      </c>
      <c r="M224" s="46" t="str">
        <f>IFERROR(__xludf.DUMMYFUNCTION("""COMPUTED_VALUE"""),"")</f>
        <v/>
      </c>
      <c r="N224" s="46" t="str">
        <f>IFERROR(__xludf.DUMMYFUNCTION("""COMPUTED_VALUE"""),"")</f>
        <v/>
      </c>
      <c r="O224" s="48"/>
      <c r="P224" s="52" t="str">
        <f>IFERROR(__xludf.DUMMYFUNCTION("""COMPUTED_VALUE"""),"")</f>
        <v/>
      </c>
    </row>
    <row r="225">
      <c r="A225" s="48" t="str">
        <f>IFERROR(__xludf.DUMMYFUNCTION("""COMPUTED_VALUE"""),"")</f>
        <v/>
      </c>
      <c r="B225" s="48"/>
      <c r="C225" s="49"/>
      <c r="D225" s="46"/>
      <c r="E225" s="46"/>
      <c r="F225" s="46"/>
      <c r="G225" s="46"/>
      <c r="H225" s="46"/>
      <c r="I225" s="50"/>
      <c r="J225" s="50"/>
      <c r="K225" s="51" t="str">
        <f>IFERROR(__xludf.DUMMYFUNCTION("""COMPUTED_VALUE"""),"")</f>
        <v/>
      </c>
      <c r="L225" s="46" t="str">
        <f>IFERROR(__xludf.DUMMYFUNCTION("""COMPUTED_VALUE"""),"")</f>
        <v/>
      </c>
      <c r="M225" s="46" t="str">
        <f>IFERROR(__xludf.DUMMYFUNCTION("""COMPUTED_VALUE"""),"")</f>
        <v/>
      </c>
      <c r="N225" s="46" t="str">
        <f>IFERROR(__xludf.DUMMYFUNCTION("""COMPUTED_VALUE"""),"")</f>
        <v/>
      </c>
      <c r="O225" s="48"/>
      <c r="P225" s="52" t="str">
        <f>IFERROR(__xludf.DUMMYFUNCTION("""COMPUTED_VALUE"""),"")</f>
        <v/>
      </c>
    </row>
    <row r="226">
      <c r="A226" s="48" t="str">
        <f>IFERROR(__xludf.DUMMYFUNCTION("""COMPUTED_VALUE"""),"")</f>
        <v/>
      </c>
      <c r="B226" s="48"/>
      <c r="C226" s="49"/>
      <c r="D226" s="46"/>
      <c r="E226" s="46"/>
      <c r="F226" s="46"/>
      <c r="G226" s="46"/>
      <c r="H226" s="46"/>
      <c r="I226" s="50"/>
      <c r="J226" s="50"/>
      <c r="K226" s="51" t="str">
        <f>IFERROR(__xludf.DUMMYFUNCTION("""COMPUTED_VALUE"""),"")</f>
        <v/>
      </c>
      <c r="L226" s="46" t="str">
        <f>IFERROR(__xludf.DUMMYFUNCTION("""COMPUTED_VALUE"""),"")</f>
        <v/>
      </c>
      <c r="M226" s="46" t="str">
        <f>IFERROR(__xludf.DUMMYFUNCTION("""COMPUTED_VALUE"""),"")</f>
        <v/>
      </c>
      <c r="N226" s="46" t="str">
        <f>IFERROR(__xludf.DUMMYFUNCTION("""COMPUTED_VALUE"""),"")</f>
        <v/>
      </c>
      <c r="O226" s="48"/>
      <c r="P226" s="52" t="str">
        <f>IFERROR(__xludf.DUMMYFUNCTION("""COMPUTED_VALUE"""),"")</f>
        <v/>
      </c>
    </row>
    <row r="227">
      <c r="A227" s="48" t="str">
        <f>IFERROR(__xludf.DUMMYFUNCTION("""COMPUTED_VALUE"""),"")</f>
        <v/>
      </c>
      <c r="B227" s="48"/>
      <c r="C227" s="49"/>
      <c r="D227" s="46"/>
      <c r="E227" s="46"/>
      <c r="F227" s="46"/>
      <c r="G227" s="46"/>
      <c r="H227" s="46"/>
      <c r="I227" s="50"/>
      <c r="J227" s="50"/>
      <c r="K227" s="51" t="str">
        <f>IFERROR(__xludf.DUMMYFUNCTION("""COMPUTED_VALUE"""),"")</f>
        <v/>
      </c>
      <c r="L227" s="46" t="str">
        <f>IFERROR(__xludf.DUMMYFUNCTION("""COMPUTED_VALUE"""),"")</f>
        <v/>
      </c>
      <c r="M227" s="46" t="str">
        <f>IFERROR(__xludf.DUMMYFUNCTION("""COMPUTED_VALUE"""),"")</f>
        <v/>
      </c>
      <c r="N227" s="46" t="str">
        <f>IFERROR(__xludf.DUMMYFUNCTION("""COMPUTED_VALUE"""),"")</f>
        <v/>
      </c>
      <c r="O227" s="48"/>
      <c r="P227" s="52" t="str">
        <f>IFERROR(__xludf.DUMMYFUNCTION("""COMPUTED_VALUE"""),"")</f>
        <v/>
      </c>
    </row>
    <row r="228">
      <c r="A228" s="48" t="str">
        <f>IFERROR(__xludf.DUMMYFUNCTION("""COMPUTED_VALUE"""),"")</f>
        <v/>
      </c>
      <c r="B228" s="48"/>
      <c r="C228" s="49"/>
      <c r="D228" s="46"/>
      <c r="E228" s="46"/>
      <c r="F228" s="46"/>
      <c r="G228" s="46"/>
      <c r="H228" s="46"/>
      <c r="I228" s="50"/>
      <c r="J228" s="50"/>
      <c r="K228" s="51" t="str">
        <f>IFERROR(__xludf.DUMMYFUNCTION("""COMPUTED_VALUE"""),"")</f>
        <v/>
      </c>
      <c r="L228" s="46" t="str">
        <f>IFERROR(__xludf.DUMMYFUNCTION("""COMPUTED_VALUE"""),"")</f>
        <v/>
      </c>
      <c r="M228" s="46" t="str">
        <f>IFERROR(__xludf.DUMMYFUNCTION("""COMPUTED_VALUE"""),"")</f>
        <v/>
      </c>
      <c r="N228" s="46" t="str">
        <f>IFERROR(__xludf.DUMMYFUNCTION("""COMPUTED_VALUE"""),"")</f>
        <v/>
      </c>
      <c r="O228" s="48"/>
      <c r="P228" s="52" t="str">
        <f>IFERROR(__xludf.DUMMYFUNCTION("""COMPUTED_VALUE"""),"")</f>
        <v/>
      </c>
    </row>
    <row r="229">
      <c r="A229" s="48" t="str">
        <f>IFERROR(__xludf.DUMMYFUNCTION("""COMPUTED_VALUE"""),"")</f>
        <v/>
      </c>
      <c r="B229" s="48"/>
      <c r="C229" s="49"/>
      <c r="D229" s="46"/>
      <c r="E229" s="46"/>
      <c r="F229" s="46"/>
      <c r="G229" s="46"/>
      <c r="H229" s="46"/>
      <c r="I229" s="50"/>
      <c r="J229" s="50"/>
      <c r="K229" s="51" t="str">
        <f>IFERROR(__xludf.DUMMYFUNCTION("""COMPUTED_VALUE"""),"")</f>
        <v/>
      </c>
      <c r="L229" s="46" t="str">
        <f>IFERROR(__xludf.DUMMYFUNCTION("""COMPUTED_VALUE"""),"")</f>
        <v/>
      </c>
      <c r="M229" s="46" t="str">
        <f>IFERROR(__xludf.DUMMYFUNCTION("""COMPUTED_VALUE"""),"")</f>
        <v/>
      </c>
      <c r="N229" s="46" t="str">
        <f>IFERROR(__xludf.DUMMYFUNCTION("""COMPUTED_VALUE"""),"")</f>
        <v/>
      </c>
      <c r="O229" s="48"/>
      <c r="P229" s="52" t="str">
        <f>IFERROR(__xludf.DUMMYFUNCTION("""COMPUTED_VALUE"""),"")</f>
        <v/>
      </c>
    </row>
    <row r="230">
      <c r="A230" s="48" t="str">
        <f>IFERROR(__xludf.DUMMYFUNCTION("""COMPUTED_VALUE"""),"")</f>
        <v/>
      </c>
      <c r="B230" s="48"/>
      <c r="C230" s="49"/>
      <c r="D230" s="46"/>
      <c r="E230" s="46"/>
      <c r="F230" s="46"/>
      <c r="G230" s="46"/>
      <c r="H230" s="46"/>
      <c r="I230" s="50"/>
      <c r="J230" s="50"/>
      <c r="K230" s="51" t="str">
        <f>IFERROR(__xludf.DUMMYFUNCTION("""COMPUTED_VALUE"""),"")</f>
        <v/>
      </c>
      <c r="L230" s="46" t="str">
        <f>IFERROR(__xludf.DUMMYFUNCTION("""COMPUTED_VALUE"""),"")</f>
        <v/>
      </c>
      <c r="M230" s="46" t="str">
        <f>IFERROR(__xludf.DUMMYFUNCTION("""COMPUTED_VALUE"""),"")</f>
        <v/>
      </c>
      <c r="N230" s="46" t="str">
        <f>IFERROR(__xludf.DUMMYFUNCTION("""COMPUTED_VALUE"""),"")</f>
        <v/>
      </c>
      <c r="O230" s="48"/>
      <c r="P230" s="52" t="str">
        <f>IFERROR(__xludf.DUMMYFUNCTION("""COMPUTED_VALUE"""),"")</f>
        <v/>
      </c>
    </row>
    <row r="231">
      <c r="A231" s="48" t="str">
        <f>IFERROR(__xludf.DUMMYFUNCTION("""COMPUTED_VALUE"""),"")</f>
        <v/>
      </c>
      <c r="B231" s="48"/>
      <c r="C231" s="49"/>
      <c r="D231" s="46"/>
      <c r="E231" s="46"/>
      <c r="F231" s="46"/>
      <c r="G231" s="46"/>
      <c r="H231" s="46"/>
      <c r="I231" s="50"/>
      <c r="J231" s="50"/>
      <c r="K231" s="51" t="str">
        <f>IFERROR(__xludf.DUMMYFUNCTION("""COMPUTED_VALUE"""),"")</f>
        <v/>
      </c>
      <c r="L231" s="46" t="str">
        <f>IFERROR(__xludf.DUMMYFUNCTION("""COMPUTED_VALUE"""),"")</f>
        <v/>
      </c>
      <c r="M231" s="46" t="str">
        <f>IFERROR(__xludf.DUMMYFUNCTION("""COMPUTED_VALUE"""),"")</f>
        <v/>
      </c>
      <c r="N231" s="46" t="str">
        <f>IFERROR(__xludf.DUMMYFUNCTION("""COMPUTED_VALUE"""),"")</f>
        <v/>
      </c>
      <c r="O231" s="48"/>
      <c r="P231" s="52" t="str">
        <f>IFERROR(__xludf.DUMMYFUNCTION("""COMPUTED_VALUE"""),"")</f>
        <v/>
      </c>
    </row>
    <row r="232">
      <c r="A232" s="48" t="str">
        <f>IFERROR(__xludf.DUMMYFUNCTION("""COMPUTED_VALUE"""),"")</f>
        <v/>
      </c>
      <c r="B232" s="48"/>
      <c r="C232" s="49"/>
      <c r="D232" s="46"/>
      <c r="E232" s="46"/>
      <c r="F232" s="46"/>
      <c r="G232" s="46"/>
      <c r="H232" s="46"/>
      <c r="I232" s="50"/>
      <c r="J232" s="50"/>
      <c r="K232" s="51" t="str">
        <f>IFERROR(__xludf.DUMMYFUNCTION("""COMPUTED_VALUE"""),"")</f>
        <v/>
      </c>
      <c r="L232" s="46" t="str">
        <f>IFERROR(__xludf.DUMMYFUNCTION("""COMPUTED_VALUE"""),"")</f>
        <v/>
      </c>
      <c r="M232" s="46" t="str">
        <f>IFERROR(__xludf.DUMMYFUNCTION("""COMPUTED_VALUE"""),"")</f>
        <v/>
      </c>
      <c r="N232" s="46" t="str">
        <f>IFERROR(__xludf.DUMMYFUNCTION("""COMPUTED_VALUE"""),"")</f>
        <v/>
      </c>
      <c r="O232" s="48"/>
      <c r="P232" s="52" t="str">
        <f>IFERROR(__xludf.DUMMYFUNCTION("""COMPUTED_VALUE"""),"")</f>
        <v/>
      </c>
    </row>
    <row r="233">
      <c r="A233" s="48" t="str">
        <f>IFERROR(__xludf.DUMMYFUNCTION("""COMPUTED_VALUE"""),"")</f>
        <v/>
      </c>
      <c r="B233" s="48"/>
      <c r="C233" s="49"/>
      <c r="D233" s="46"/>
      <c r="E233" s="46"/>
      <c r="F233" s="46"/>
      <c r="G233" s="46"/>
      <c r="H233" s="46"/>
      <c r="I233" s="50"/>
      <c r="J233" s="50"/>
      <c r="K233" s="51" t="str">
        <f>IFERROR(__xludf.DUMMYFUNCTION("""COMPUTED_VALUE"""),"")</f>
        <v/>
      </c>
      <c r="L233" s="46" t="str">
        <f>IFERROR(__xludf.DUMMYFUNCTION("""COMPUTED_VALUE"""),"")</f>
        <v/>
      </c>
      <c r="M233" s="46" t="str">
        <f>IFERROR(__xludf.DUMMYFUNCTION("""COMPUTED_VALUE"""),"")</f>
        <v/>
      </c>
      <c r="N233" s="46" t="str">
        <f>IFERROR(__xludf.DUMMYFUNCTION("""COMPUTED_VALUE"""),"")</f>
        <v/>
      </c>
      <c r="O233" s="48"/>
      <c r="P233" s="52" t="str">
        <f>IFERROR(__xludf.DUMMYFUNCTION("""COMPUTED_VALUE"""),"")</f>
        <v/>
      </c>
    </row>
    <row r="234">
      <c r="A234" s="48" t="str">
        <f>IFERROR(__xludf.DUMMYFUNCTION("""COMPUTED_VALUE"""),"")</f>
        <v/>
      </c>
      <c r="B234" s="48"/>
      <c r="C234" s="49"/>
      <c r="D234" s="46"/>
      <c r="E234" s="46"/>
      <c r="F234" s="46"/>
      <c r="G234" s="46"/>
      <c r="H234" s="46"/>
      <c r="I234" s="50"/>
      <c r="J234" s="50"/>
      <c r="K234" s="51" t="str">
        <f>IFERROR(__xludf.DUMMYFUNCTION("""COMPUTED_VALUE"""),"")</f>
        <v/>
      </c>
      <c r="L234" s="46" t="str">
        <f>IFERROR(__xludf.DUMMYFUNCTION("""COMPUTED_VALUE"""),"")</f>
        <v/>
      </c>
      <c r="M234" s="46" t="str">
        <f>IFERROR(__xludf.DUMMYFUNCTION("""COMPUTED_VALUE"""),"")</f>
        <v/>
      </c>
      <c r="N234" s="46" t="str">
        <f>IFERROR(__xludf.DUMMYFUNCTION("""COMPUTED_VALUE"""),"")</f>
        <v/>
      </c>
      <c r="O234" s="48"/>
      <c r="P234" s="52" t="str">
        <f>IFERROR(__xludf.DUMMYFUNCTION("""COMPUTED_VALUE"""),"")</f>
        <v/>
      </c>
    </row>
    <row r="235">
      <c r="A235" s="48" t="str">
        <f>IFERROR(__xludf.DUMMYFUNCTION("""COMPUTED_VALUE"""),"")</f>
        <v/>
      </c>
      <c r="B235" s="48"/>
      <c r="C235" s="49"/>
      <c r="D235" s="46"/>
      <c r="E235" s="46"/>
      <c r="F235" s="46"/>
      <c r="G235" s="46"/>
      <c r="H235" s="46"/>
      <c r="I235" s="50"/>
      <c r="J235" s="50"/>
      <c r="K235" s="51" t="str">
        <f>IFERROR(__xludf.DUMMYFUNCTION("""COMPUTED_VALUE"""),"")</f>
        <v/>
      </c>
      <c r="L235" s="46" t="str">
        <f>IFERROR(__xludf.DUMMYFUNCTION("""COMPUTED_VALUE"""),"")</f>
        <v/>
      </c>
      <c r="M235" s="46" t="str">
        <f>IFERROR(__xludf.DUMMYFUNCTION("""COMPUTED_VALUE"""),"")</f>
        <v/>
      </c>
      <c r="N235" s="46" t="str">
        <f>IFERROR(__xludf.DUMMYFUNCTION("""COMPUTED_VALUE"""),"")</f>
        <v/>
      </c>
      <c r="O235" s="48"/>
      <c r="P235" s="52" t="str">
        <f>IFERROR(__xludf.DUMMYFUNCTION("""COMPUTED_VALUE"""),"")</f>
        <v/>
      </c>
    </row>
    <row r="236">
      <c r="A236" s="48" t="str">
        <f>IFERROR(__xludf.DUMMYFUNCTION("""COMPUTED_VALUE"""),"")</f>
        <v/>
      </c>
      <c r="B236" s="48"/>
      <c r="C236" s="49"/>
      <c r="D236" s="46"/>
      <c r="E236" s="46"/>
      <c r="F236" s="46"/>
      <c r="G236" s="46"/>
      <c r="H236" s="46"/>
      <c r="I236" s="50"/>
      <c r="J236" s="50"/>
      <c r="K236" s="51" t="str">
        <f>IFERROR(__xludf.DUMMYFUNCTION("""COMPUTED_VALUE"""),"")</f>
        <v/>
      </c>
      <c r="L236" s="46" t="str">
        <f>IFERROR(__xludf.DUMMYFUNCTION("""COMPUTED_VALUE"""),"")</f>
        <v/>
      </c>
      <c r="M236" s="46" t="str">
        <f>IFERROR(__xludf.DUMMYFUNCTION("""COMPUTED_VALUE"""),"")</f>
        <v/>
      </c>
      <c r="N236" s="46" t="str">
        <f>IFERROR(__xludf.DUMMYFUNCTION("""COMPUTED_VALUE"""),"")</f>
        <v/>
      </c>
      <c r="O236" s="48"/>
      <c r="P236" s="52" t="str">
        <f>IFERROR(__xludf.DUMMYFUNCTION("""COMPUTED_VALUE"""),"")</f>
        <v/>
      </c>
    </row>
    <row r="237">
      <c r="A237" s="48" t="str">
        <f>IFERROR(__xludf.DUMMYFUNCTION("""COMPUTED_VALUE"""),"")</f>
        <v/>
      </c>
      <c r="B237" s="48"/>
      <c r="C237" s="49"/>
      <c r="D237" s="46"/>
      <c r="E237" s="46"/>
      <c r="F237" s="46"/>
      <c r="G237" s="46"/>
      <c r="H237" s="46"/>
      <c r="I237" s="50"/>
      <c r="J237" s="50"/>
      <c r="K237" s="51" t="str">
        <f>IFERROR(__xludf.DUMMYFUNCTION("""COMPUTED_VALUE"""),"")</f>
        <v/>
      </c>
      <c r="L237" s="46" t="str">
        <f>IFERROR(__xludf.DUMMYFUNCTION("""COMPUTED_VALUE"""),"")</f>
        <v/>
      </c>
      <c r="M237" s="46" t="str">
        <f>IFERROR(__xludf.DUMMYFUNCTION("""COMPUTED_VALUE"""),"")</f>
        <v/>
      </c>
      <c r="N237" s="46" t="str">
        <f>IFERROR(__xludf.DUMMYFUNCTION("""COMPUTED_VALUE"""),"")</f>
        <v/>
      </c>
      <c r="O237" s="48"/>
      <c r="P237" s="52" t="str">
        <f>IFERROR(__xludf.DUMMYFUNCTION("""COMPUTED_VALUE"""),"")</f>
        <v/>
      </c>
    </row>
    <row r="238">
      <c r="A238" s="48" t="str">
        <f>IFERROR(__xludf.DUMMYFUNCTION("""COMPUTED_VALUE"""),"")</f>
        <v/>
      </c>
      <c r="B238" s="48"/>
      <c r="C238" s="49"/>
      <c r="D238" s="46"/>
      <c r="E238" s="46"/>
      <c r="F238" s="46"/>
      <c r="G238" s="46"/>
      <c r="H238" s="46"/>
      <c r="I238" s="50"/>
      <c r="J238" s="50"/>
      <c r="K238" s="51" t="str">
        <f>IFERROR(__xludf.DUMMYFUNCTION("""COMPUTED_VALUE"""),"")</f>
        <v/>
      </c>
      <c r="L238" s="46" t="str">
        <f>IFERROR(__xludf.DUMMYFUNCTION("""COMPUTED_VALUE"""),"")</f>
        <v/>
      </c>
      <c r="M238" s="46" t="str">
        <f>IFERROR(__xludf.DUMMYFUNCTION("""COMPUTED_VALUE"""),"")</f>
        <v/>
      </c>
      <c r="N238" s="46" t="str">
        <f>IFERROR(__xludf.DUMMYFUNCTION("""COMPUTED_VALUE"""),"")</f>
        <v/>
      </c>
      <c r="O238" s="48"/>
      <c r="P238" s="52" t="str">
        <f>IFERROR(__xludf.DUMMYFUNCTION("""COMPUTED_VALUE"""),"")</f>
        <v/>
      </c>
    </row>
    <row r="239">
      <c r="A239" s="48" t="str">
        <f>IFERROR(__xludf.DUMMYFUNCTION("""COMPUTED_VALUE"""),"")</f>
        <v/>
      </c>
      <c r="B239" s="48"/>
      <c r="C239" s="49"/>
      <c r="D239" s="46"/>
      <c r="E239" s="46"/>
      <c r="F239" s="46"/>
      <c r="G239" s="46"/>
      <c r="H239" s="46"/>
      <c r="I239" s="50"/>
      <c r="J239" s="50"/>
      <c r="K239" s="51" t="str">
        <f>IFERROR(__xludf.DUMMYFUNCTION("""COMPUTED_VALUE"""),"")</f>
        <v/>
      </c>
      <c r="L239" s="46" t="str">
        <f>IFERROR(__xludf.DUMMYFUNCTION("""COMPUTED_VALUE"""),"")</f>
        <v/>
      </c>
      <c r="M239" s="46" t="str">
        <f>IFERROR(__xludf.DUMMYFUNCTION("""COMPUTED_VALUE"""),"")</f>
        <v/>
      </c>
      <c r="N239" s="46" t="str">
        <f>IFERROR(__xludf.DUMMYFUNCTION("""COMPUTED_VALUE"""),"")</f>
        <v/>
      </c>
      <c r="O239" s="48"/>
      <c r="P239" s="52" t="str">
        <f>IFERROR(__xludf.DUMMYFUNCTION("""COMPUTED_VALUE"""),"")</f>
        <v/>
      </c>
    </row>
    <row r="240">
      <c r="A240" s="48" t="str">
        <f>IFERROR(__xludf.DUMMYFUNCTION("""COMPUTED_VALUE"""),"")</f>
        <v/>
      </c>
      <c r="B240" s="48"/>
      <c r="C240" s="49"/>
      <c r="D240" s="46"/>
      <c r="E240" s="46"/>
      <c r="F240" s="46"/>
      <c r="G240" s="46"/>
      <c r="H240" s="46"/>
      <c r="I240" s="50"/>
      <c r="J240" s="50"/>
      <c r="K240" s="51" t="str">
        <f>IFERROR(__xludf.DUMMYFUNCTION("""COMPUTED_VALUE"""),"")</f>
        <v/>
      </c>
      <c r="L240" s="46" t="str">
        <f>IFERROR(__xludf.DUMMYFUNCTION("""COMPUTED_VALUE"""),"")</f>
        <v/>
      </c>
      <c r="M240" s="46" t="str">
        <f>IFERROR(__xludf.DUMMYFUNCTION("""COMPUTED_VALUE"""),"")</f>
        <v/>
      </c>
      <c r="N240" s="46" t="str">
        <f>IFERROR(__xludf.DUMMYFUNCTION("""COMPUTED_VALUE"""),"")</f>
        <v/>
      </c>
      <c r="O240" s="48"/>
      <c r="P240" s="52" t="str">
        <f>IFERROR(__xludf.DUMMYFUNCTION("""COMPUTED_VALUE"""),"")</f>
        <v/>
      </c>
    </row>
    <row r="241">
      <c r="A241" s="48" t="str">
        <f>IFERROR(__xludf.DUMMYFUNCTION("""COMPUTED_VALUE"""),"")</f>
        <v/>
      </c>
      <c r="B241" s="48"/>
      <c r="C241" s="49"/>
      <c r="D241" s="46"/>
      <c r="E241" s="46"/>
      <c r="F241" s="46"/>
      <c r="G241" s="46"/>
      <c r="H241" s="46"/>
      <c r="I241" s="50"/>
      <c r="J241" s="50"/>
      <c r="K241" s="51" t="str">
        <f>IFERROR(__xludf.DUMMYFUNCTION("""COMPUTED_VALUE"""),"")</f>
        <v/>
      </c>
      <c r="L241" s="46" t="str">
        <f>IFERROR(__xludf.DUMMYFUNCTION("""COMPUTED_VALUE"""),"")</f>
        <v/>
      </c>
      <c r="M241" s="46" t="str">
        <f>IFERROR(__xludf.DUMMYFUNCTION("""COMPUTED_VALUE"""),"")</f>
        <v/>
      </c>
      <c r="N241" s="46" t="str">
        <f>IFERROR(__xludf.DUMMYFUNCTION("""COMPUTED_VALUE"""),"")</f>
        <v/>
      </c>
      <c r="O241" s="48"/>
      <c r="P241" s="52" t="str">
        <f>IFERROR(__xludf.DUMMYFUNCTION("""COMPUTED_VALUE"""),"")</f>
        <v/>
      </c>
    </row>
    <row r="242">
      <c r="A242" s="48" t="str">
        <f>IFERROR(__xludf.DUMMYFUNCTION("""COMPUTED_VALUE"""),"")</f>
        <v/>
      </c>
      <c r="B242" s="48"/>
      <c r="C242" s="49"/>
      <c r="D242" s="46"/>
      <c r="E242" s="46"/>
      <c r="F242" s="46"/>
      <c r="G242" s="46"/>
      <c r="H242" s="46"/>
      <c r="I242" s="50"/>
      <c r="J242" s="50"/>
      <c r="K242" s="51" t="str">
        <f>IFERROR(__xludf.DUMMYFUNCTION("""COMPUTED_VALUE"""),"")</f>
        <v/>
      </c>
      <c r="L242" s="46" t="str">
        <f>IFERROR(__xludf.DUMMYFUNCTION("""COMPUTED_VALUE"""),"")</f>
        <v/>
      </c>
      <c r="M242" s="46" t="str">
        <f>IFERROR(__xludf.DUMMYFUNCTION("""COMPUTED_VALUE"""),"")</f>
        <v/>
      </c>
      <c r="N242" s="46" t="str">
        <f>IFERROR(__xludf.DUMMYFUNCTION("""COMPUTED_VALUE"""),"")</f>
        <v/>
      </c>
      <c r="O242" s="48"/>
      <c r="P242" s="52" t="str">
        <f>IFERROR(__xludf.DUMMYFUNCTION("""COMPUTED_VALUE"""),"")</f>
        <v/>
      </c>
    </row>
    <row r="243">
      <c r="A243" s="48" t="str">
        <f>IFERROR(__xludf.DUMMYFUNCTION("""COMPUTED_VALUE"""),"")</f>
        <v/>
      </c>
      <c r="B243" s="48"/>
      <c r="C243" s="49"/>
      <c r="D243" s="46"/>
      <c r="E243" s="46"/>
      <c r="F243" s="46"/>
      <c r="G243" s="46"/>
      <c r="H243" s="46"/>
      <c r="I243" s="50"/>
      <c r="J243" s="50"/>
      <c r="K243" s="51" t="str">
        <f>IFERROR(__xludf.DUMMYFUNCTION("""COMPUTED_VALUE"""),"")</f>
        <v/>
      </c>
      <c r="L243" s="46" t="str">
        <f>IFERROR(__xludf.DUMMYFUNCTION("""COMPUTED_VALUE"""),"")</f>
        <v/>
      </c>
      <c r="M243" s="46" t="str">
        <f>IFERROR(__xludf.DUMMYFUNCTION("""COMPUTED_VALUE"""),"")</f>
        <v/>
      </c>
      <c r="N243" s="46" t="str">
        <f>IFERROR(__xludf.DUMMYFUNCTION("""COMPUTED_VALUE"""),"")</f>
        <v/>
      </c>
      <c r="O243" s="48"/>
      <c r="P243" s="52" t="str">
        <f>IFERROR(__xludf.DUMMYFUNCTION("""COMPUTED_VALUE"""),"")</f>
        <v/>
      </c>
    </row>
    <row r="244">
      <c r="A244" s="48" t="str">
        <f>IFERROR(__xludf.DUMMYFUNCTION("""COMPUTED_VALUE"""),"")</f>
        <v/>
      </c>
      <c r="B244" s="48"/>
      <c r="C244" s="49"/>
      <c r="D244" s="46"/>
      <c r="E244" s="46"/>
      <c r="F244" s="46"/>
      <c r="G244" s="46"/>
      <c r="H244" s="46"/>
      <c r="I244" s="50"/>
      <c r="J244" s="50"/>
      <c r="K244" s="51" t="str">
        <f>IFERROR(__xludf.DUMMYFUNCTION("""COMPUTED_VALUE"""),"")</f>
        <v/>
      </c>
      <c r="L244" s="46" t="str">
        <f>IFERROR(__xludf.DUMMYFUNCTION("""COMPUTED_VALUE"""),"")</f>
        <v/>
      </c>
      <c r="M244" s="46" t="str">
        <f>IFERROR(__xludf.DUMMYFUNCTION("""COMPUTED_VALUE"""),"")</f>
        <v/>
      </c>
      <c r="N244" s="46" t="str">
        <f>IFERROR(__xludf.DUMMYFUNCTION("""COMPUTED_VALUE"""),"")</f>
        <v/>
      </c>
      <c r="O244" s="48"/>
      <c r="P244" s="52" t="str">
        <f>IFERROR(__xludf.DUMMYFUNCTION("""COMPUTED_VALUE"""),"")</f>
        <v/>
      </c>
    </row>
    <row r="245">
      <c r="A245" s="48" t="str">
        <f>IFERROR(__xludf.DUMMYFUNCTION("""COMPUTED_VALUE"""),"")</f>
        <v/>
      </c>
      <c r="B245" s="48"/>
      <c r="C245" s="49"/>
      <c r="D245" s="46"/>
      <c r="E245" s="46"/>
      <c r="F245" s="46"/>
      <c r="G245" s="46"/>
      <c r="H245" s="46"/>
      <c r="I245" s="50"/>
      <c r="J245" s="50"/>
      <c r="K245" s="51" t="str">
        <f>IFERROR(__xludf.DUMMYFUNCTION("""COMPUTED_VALUE"""),"")</f>
        <v/>
      </c>
      <c r="L245" s="46" t="str">
        <f>IFERROR(__xludf.DUMMYFUNCTION("""COMPUTED_VALUE"""),"")</f>
        <v/>
      </c>
      <c r="M245" s="46" t="str">
        <f>IFERROR(__xludf.DUMMYFUNCTION("""COMPUTED_VALUE"""),"")</f>
        <v/>
      </c>
      <c r="N245" s="46" t="str">
        <f>IFERROR(__xludf.DUMMYFUNCTION("""COMPUTED_VALUE"""),"")</f>
        <v/>
      </c>
      <c r="O245" s="48"/>
      <c r="P245" s="52" t="str">
        <f>IFERROR(__xludf.DUMMYFUNCTION("""COMPUTED_VALUE"""),"")</f>
        <v/>
      </c>
    </row>
    <row r="246">
      <c r="A246" s="48" t="str">
        <f>IFERROR(__xludf.DUMMYFUNCTION("""COMPUTED_VALUE"""),"")</f>
        <v/>
      </c>
      <c r="B246" s="48"/>
      <c r="C246" s="49"/>
      <c r="D246" s="46"/>
      <c r="E246" s="46"/>
      <c r="F246" s="46"/>
      <c r="G246" s="46"/>
      <c r="H246" s="46"/>
      <c r="I246" s="50"/>
      <c r="J246" s="50"/>
      <c r="K246" s="51" t="str">
        <f>IFERROR(__xludf.DUMMYFUNCTION("""COMPUTED_VALUE"""),"")</f>
        <v/>
      </c>
      <c r="L246" s="46" t="str">
        <f>IFERROR(__xludf.DUMMYFUNCTION("""COMPUTED_VALUE"""),"")</f>
        <v/>
      </c>
      <c r="M246" s="46" t="str">
        <f>IFERROR(__xludf.DUMMYFUNCTION("""COMPUTED_VALUE"""),"")</f>
        <v/>
      </c>
      <c r="N246" s="46" t="str">
        <f>IFERROR(__xludf.DUMMYFUNCTION("""COMPUTED_VALUE"""),"")</f>
        <v/>
      </c>
      <c r="O246" s="48"/>
      <c r="P246" s="52" t="str">
        <f>IFERROR(__xludf.DUMMYFUNCTION("""COMPUTED_VALUE"""),"")</f>
        <v/>
      </c>
    </row>
    <row r="247">
      <c r="A247" s="48" t="str">
        <f>IFERROR(__xludf.DUMMYFUNCTION("""COMPUTED_VALUE"""),"")</f>
        <v/>
      </c>
      <c r="B247" s="48"/>
      <c r="C247" s="49"/>
      <c r="D247" s="46"/>
      <c r="E247" s="46"/>
      <c r="F247" s="46"/>
      <c r="G247" s="46"/>
      <c r="H247" s="46"/>
      <c r="I247" s="50"/>
      <c r="J247" s="50"/>
      <c r="K247" s="51" t="str">
        <f>IFERROR(__xludf.DUMMYFUNCTION("""COMPUTED_VALUE"""),"")</f>
        <v/>
      </c>
      <c r="L247" s="46" t="str">
        <f>IFERROR(__xludf.DUMMYFUNCTION("""COMPUTED_VALUE"""),"")</f>
        <v/>
      </c>
      <c r="M247" s="46" t="str">
        <f>IFERROR(__xludf.DUMMYFUNCTION("""COMPUTED_VALUE"""),"")</f>
        <v/>
      </c>
      <c r="N247" s="46" t="str">
        <f>IFERROR(__xludf.DUMMYFUNCTION("""COMPUTED_VALUE"""),"")</f>
        <v/>
      </c>
      <c r="O247" s="48"/>
      <c r="P247" s="52" t="str">
        <f>IFERROR(__xludf.DUMMYFUNCTION("""COMPUTED_VALUE"""),"")</f>
        <v/>
      </c>
    </row>
    <row r="248">
      <c r="A248" s="48" t="str">
        <f>IFERROR(__xludf.DUMMYFUNCTION("""COMPUTED_VALUE"""),"")</f>
        <v/>
      </c>
      <c r="B248" s="48"/>
      <c r="C248" s="49"/>
      <c r="D248" s="46"/>
      <c r="E248" s="46"/>
      <c r="F248" s="46"/>
      <c r="G248" s="46"/>
      <c r="H248" s="46"/>
      <c r="I248" s="50"/>
      <c r="J248" s="50"/>
      <c r="K248" s="51" t="str">
        <f>IFERROR(__xludf.DUMMYFUNCTION("""COMPUTED_VALUE"""),"")</f>
        <v/>
      </c>
      <c r="L248" s="46" t="str">
        <f>IFERROR(__xludf.DUMMYFUNCTION("""COMPUTED_VALUE"""),"")</f>
        <v/>
      </c>
      <c r="M248" s="46" t="str">
        <f>IFERROR(__xludf.DUMMYFUNCTION("""COMPUTED_VALUE"""),"")</f>
        <v/>
      </c>
      <c r="N248" s="46" t="str">
        <f>IFERROR(__xludf.DUMMYFUNCTION("""COMPUTED_VALUE"""),"")</f>
        <v/>
      </c>
      <c r="O248" s="48"/>
      <c r="P248" s="52" t="str">
        <f>IFERROR(__xludf.DUMMYFUNCTION("""COMPUTED_VALUE"""),"")</f>
        <v/>
      </c>
    </row>
    <row r="249">
      <c r="A249" s="48" t="str">
        <f>IFERROR(__xludf.DUMMYFUNCTION("""COMPUTED_VALUE"""),"")</f>
        <v/>
      </c>
      <c r="B249" s="48"/>
      <c r="C249" s="49"/>
      <c r="D249" s="46"/>
      <c r="E249" s="46"/>
      <c r="F249" s="46"/>
      <c r="G249" s="46"/>
      <c r="H249" s="46"/>
      <c r="I249" s="50"/>
      <c r="J249" s="50"/>
      <c r="K249" s="51" t="str">
        <f>IFERROR(__xludf.DUMMYFUNCTION("""COMPUTED_VALUE"""),"")</f>
        <v/>
      </c>
      <c r="L249" s="46" t="str">
        <f>IFERROR(__xludf.DUMMYFUNCTION("""COMPUTED_VALUE"""),"")</f>
        <v/>
      </c>
      <c r="M249" s="46" t="str">
        <f>IFERROR(__xludf.DUMMYFUNCTION("""COMPUTED_VALUE"""),"")</f>
        <v/>
      </c>
      <c r="N249" s="46" t="str">
        <f>IFERROR(__xludf.DUMMYFUNCTION("""COMPUTED_VALUE"""),"")</f>
        <v/>
      </c>
      <c r="O249" s="48"/>
      <c r="P249" s="52" t="str">
        <f>IFERROR(__xludf.DUMMYFUNCTION("""COMPUTED_VALUE"""),"")</f>
        <v/>
      </c>
    </row>
    <row r="250">
      <c r="A250" s="48" t="str">
        <f>IFERROR(__xludf.DUMMYFUNCTION("""COMPUTED_VALUE"""),"")</f>
        <v/>
      </c>
      <c r="B250" s="48"/>
      <c r="C250" s="49"/>
      <c r="D250" s="46"/>
      <c r="E250" s="46"/>
      <c r="F250" s="46"/>
      <c r="G250" s="46"/>
      <c r="H250" s="46"/>
      <c r="I250" s="50"/>
      <c r="J250" s="50"/>
      <c r="K250" s="51" t="str">
        <f>IFERROR(__xludf.DUMMYFUNCTION("""COMPUTED_VALUE"""),"")</f>
        <v/>
      </c>
      <c r="L250" s="46" t="str">
        <f>IFERROR(__xludf.DUMMYFUNCTION("""COMPUTED_VALUE"""),"")</f>
        <v/>
      </c>
      <c r="M250" s="46" t="str">
        <f>IFERROR(__xludf.DUMMYFUNCTION("""COMPUTED_VALUE"""),"")</f>
        <v/>
      </c>
      <c r="N250" s="46" t="str">
        <f>IFERROR(__xludf.DUMMYFUNCTION("""COMPUTED_VALUE"""),"")</f>
        <v/>
      </c>
      <c r="O250" s="48"/>
      <c r="P250" s="52" t="str">
        <f>IFERROR(__xludf.DUMMYFUNCTION("""COMPUTED_VALUE"""),"")</f>
        <v/>
      </c>
    </row>
    <row r="251">
      <c r="A251" s="48" t="str">
        <f>IFERROR(__xludf.DUMMYFUNCTION("""COMPUTED_VALUE"""),"")</f>
        <v/>
      </c>
      <c r="B251" s="48"/>
      <c r="C251" s="49"/>
      <c r="D251" s="46"/>
      <c r="E251" s="46"/>
      <c r="F251" s="46"/>
      <c r="G251" s="46"/>
      <c r="H251" s="46"/>
      <c r="I251" s="50"/>
      <c r="J251" s="50"/>
      <c r="K251" s="51" t="str">
        <f>IFERROR(__xludf.DUMMYFUNCTION("""COMPUTED_VALUE"""),"")</f>
        <v/>
      </c>
      <c r="L251" s="46" t="str">
        <f>IFERROR(__xludf.DUMMYFUNCTION("""COMPUTED_VALUE"""),"")</f>
        <v/>
      </c>
      <c r="M251" s="46" t="str">
        <f>IFERROR(__xludf.DUMMYFUNCTION("""COMPUTED_VALUE"""),"")</f>
        <v/>
      </c>
      <c r="N251" s="46" t="str">
        <f>IFERROR(__xludf.DUMMYFUNCTION("""COMPUTED_VALUE"""),"")</f>
        <v/>
      </c>
      <c r="O251" s="48"/>
      <c r="P251" s="52" t="str">
        <f>IFERROR(__xludf.DUMMYFUNCTION("""COMPUTED_VALUE"""),"")</f>
        <v/>
      </c>
    </row>
    <row r="252">
      <c r="A252" s="48" t="str">
        <f>IFERROR(__xludf.DUMMYFUNCTION("""COMPUTED_VALUE"""),"")</f>
        <v/>
      </c>
      <c r="B252" s="48"/>
      <c r="C252" s="49"/>
      <c r="D252" s="46"/>
      <c r="E252" s="46"/>
      <c r="F252" s="46"/>
      <c r="G252" s="46"/>
      <c r="H252" s="46"/>
      <c r="I252" s="50"/>
      <c r="J252" s="50"/>
      <c r="K252" s="51" t="str">
        <f>IFERROR(__xludf.DUMMYFUNCTION("""COMPUTED_VALUE"""),"")</f>
        <v/>
      </c>
      <c r="L252" s="46" t="str">
        <f>IFERROR(__xludf.DUMMYFUNCTION("""COMPUTED_VALUE"""),"")</f>
        <v/>
      </c>
      <c r="M252" s="46" t="str">
        <f>IFERROR(__xludf.DUMMYFUNCTION("""COMPUTED_VALUE"""),"")</f>
        <v/>
      </c>
      <c r="N252" s="46" t="str">
        <f>IFERROR(__xludf.DUMMYFUNCTION("""COMPUTED_VALUE"""),"")</f>
        <v/>
      </c>
      <c r="O252" s="48"/>
      <c r="P252" s="52" t="str">
        <f>IFERROR(__xludf.DUMMYFUNCTION("""COMPUTED_VALUE"""),"")</f>
        <v/>
      </c>
    </row>
    <row r="253">
      <c r="A253" s="48" t="str">
        <f>IFERROR(__xludf.DUMMYFUNCTION("""COMPUTED_VALUE"""),"")</f>
        <v/>
      </c>
      <c r="B253" s="48"/>
      <c r="C253" s="49"/>
      <c r="D253" s="46"/>
      <c r="E253" s="46"/>
      <c r="F253" s="46"/>
      <c r="G253" s="46"/>
      <c r="H253" s="46"/>
      <c r="I253" s="50"/>
      <c r="J253" s="50"/>
      <c r="K253" s="51" t="str">
        <f>IFERROR(__xludf.DUMMYFUNCTION("""COMPUTED_VALUE"""),"")</f>
        <v/>
      </c>
      <c r="L253" s="46" t="str">
        <f>IFERROR(__xludf.DUMMYFUNCTION("""COMPUTED_VALUE"""),"")</f>
        <v/>
      </c>
      <c r="M253" s="46" t="str">
        <f>IFERROR(__xludf.DUMMYFUNCTION("""COMPUTED_VALUE"""),"")</f>
        <v/>
      </c>
      <c r="N253" s="46" t="str">
        <f>IFERROR(__xludf.DUMMYFUNCTION("""COMPUTED_VALUE"""),"")</f>
        <v/>
      </c>
      <c r="O253" s="48"/>
      <c r="P253" s="52" t="str">
        <f>IFERROR(__xludf.DUMMYFUNCTION("""COMPUTED_VALUE"""),"")</f>
        <v/>
      </c>
    </row>
    <row r="254">
      <c r="A254" s="48" t="str">
        <f>IFERROR(__xludf.DUMMYFUNCTION("""COMPUTED_VALUE"""),"")</f>
        <v/>
      </c>
      <c r="B254" s="48"/>
      <c r="C254" s="49"/>
      <c r="D254" s="46"/>
      <c r="E254" s="46"/>
      <c r="F254" s="46"/>
      <c r="G254" s="46"/>
      <c r="H254" s="46"/>
      <c r="I254" s="50"/>
      <c r="J254" s="50"/>
      <c r="K254" s="51" t="str">
        <f>IFERROR(__xludf.DUMMYFUNCTION("""COMPUTED_VALUE"""),"")</f>
        <v/>
      </c>
      <c r="L254" s="46" t="str">
        <f>IFERROR(__xludf.DUMMYFUNCTION("""COMPUTED_VALUE"""),"")</f>
        <v/>
      </c>
      <c r="M254" s="46" t="str">
        <f>IFERROR(__xludf.DUMMYFUNCTION("""COMPUTED_VALUE"""),"")</f>
        <v/>
      </c>
      <c r="N254" s="46" t="str">
        <f>IFERROR(__xludf.DUMMYFUNCTION("""COMPUTED_VALUE"""),"")</f>
        <v/>
      </c>
      <c r="O254" s="48"/>
      <c r="P254" s="52" t="str">
        <f>IFERROR(__xludf.DUMMYFUNCTION("""COMPUTED_VALUE"""),"")</f>
        <v/>
      </c>
    </row>
    <row r="255">
      <c r="A255" s="48" t="str">
        <f>IFERROR(__xludf.DUMMYFUNCTION("""COMPUTED_VALUE"""),"")</f>
        <v/>
      </c>
      <c r="B255" s="48"/>
      <c r="C255" s="49"/>
      <c r="D255" s="46"/>
      <c r="E255" s="46"/>
      <c r="F255" s="46"/>
      <c r="G255" s="46"/>
      <c r="H255" s="46"/>
      <c r="I255" s="50"/>
      <c r="J255" s="50"/>
      <c r="K255" s="51" t="str">
        <f>IFERROR(__xludf.DUMMYFUNCTION("""COMPUTED_VALUE"""),"")</f>
        <v/>
      </c>
      <c r="L255" s="46" t="str">
        <f>IFERROR(__xludf.DUMMYFUNCTION("""COMPUTED_VALUE"""),"")</f>
        <v/>
      </c>
      <c r="M255" s="46" t="str">
        <f>IFERROR(__xludf.DUMMYFUNCTION("""COMPUTED_VALUE"""),"")</f>
        <v/>
      </c>
      <c r="N255" s="46" t="str">
        <f>IFERROR(__xludf.DUMMYFUNCTION("""COMPUTED_VALUE"""),"")</f>
        <v/>
      </c>
      <c r="O255" s="48"/>
      <c r="P255" s="52" t="str">
        <f>IFERROR(__xludf.DUMMYFUNCTION("""COMPUTED_VALUE"""),"")</f>
        <v/>
      </c>
    </row>
    <row r="256">
      <c r="A256" s="48" t="str">
        <f>IFERROR(__xludf.DUMMYFUNCTION("""COMPUTED_VALUE"""),"")</f>
        <v/>
      </c>
      <c r="B256" s="48"/>
      <c r="C256" s="49"/>
      <c r="D256" s="46"/>
      <c r="E256" s="46"/>
      <c r="F256" s="46"/>
      <c r="G256" s="46"/>
      <c r="H256" s="46"/>
      <c r="I256" s="50"/>
      <c r="J256" s="50"/>
      <c r="K256" s="51" t="str">
        <f>IFERROR(__xludf.DUMMYFUNCTION("""COMPUTED_VALUE"""),"")</f>
        <v/>
      </c>
      <c r="L256" s="46" t="str">
        <f>IFERROR(__xludf.DUMMYFUNCTION("""COMPUTED_VALUE"""),"")</f>
        <v/>
      </c>
      <c r="M256" s="46" t="str">
        <f>IFERROR(__xludf.DUMMYFUNCTION("""COMPUTED_VALUE"""),"")</f>
        <v/>
      </c>
      <c r="N256" s="46" t="str">
        <f>IFERROR(__xludf.DUMMYFUNCTION("""COMPUTED_VALUE"""),"")</f>
        <v/>
      </c>
      <c r="O256" s="48"/>
      <c r="P256" s="52" t="str">
        <f>IFERROR(__xludf.DUMMYFUNCTION("""COMPUTED_VALUE"""),"")</f>
        <v/>
      </c>
    </row>
    <row r="257">
      <c r="A257" s="48" t="str">
        <f>IFERROR(__xludf.DUMMYFUNCTION("""COMPUTED_VALUE"""),"")</f>
        <v/>
      </c>
      <c r="B257" s="48"/>
      <c r="C257" s="49"/>
      <c r="D257" s="46"/>
      <c r="E257" s="46"/>
      <c r="F257" s="46"/>
      <c r="G257" s="46"/>
      <c r="H257" s="46"/>
      <c r="I257" s="50"/>
      <c r="J257" s="50"/>
      <c r="K257" s="51" t="str">
        <f>IFERROR(__xludf.DUMMYFUNCTION("""COMPUTED_VALUE"""),"")</f>
        <v/>
      </c>
      <c r="L257" s="46" t="str">
        <f>IFERROR(__xludf.DUMMYFUNCTION("""COMPUTED_VALUE"""),"")</f>
        <v/>
      </c>
      <c r="M257" s="46" t="str">
        <f>IFERROR(__xludf.DUMMYFUNCTION("""COMPUTED_VALUE"""),"")</f>
        <v/>
      </c>
      <c r="N257" s="46" t="str">
        <f>IFERROR(__xludf.DUMMYFUNCTION("""COMPUTED_VALUE"""),"")</f>
        <v/>
      </c>
      <c r="O257" s="48"/>
      <c r="P257" s="52" t="str">
        <f>IFERROR(__xludf.DUMMYFUNCTION("""COMPUTED_VALUE"""),"")</f>
        <v/>
      </c>
    </row>
    <row r="258">
      <c r="A258" s="48" t="str">
        <f>IFERROR(__xludf.DUMMYFUNCTION("""COMPUTED_VALUE"""),"")</f>
        <v/>
      </c>
      <c r="B258" s="48"/>
      <c r="C258" s="49"/>
      <c r="D258" s="46"/>
      <c r="E258" s="46"/>
      <c r="F258" s="46"/>
      <c r="G258" s="46"/>
      <c r="H258" s="46"/>
      <c r="I258" s="50"/>
      <c r="J258" s="50"/>
      <c r="K258" s="51" t="str">
        <f>IFERROR(__xludf.DUMMYFUNCTION("""COMPUTED_VALUE"""),"")</f>
        <v/>
      </c>
      <c r="L258" s="46" t="str">
        <f>IFERROR(__xludf.DUMMYFUNCTION("""COMPUTED_VALUE"""),"")</f>
        <v/>
      </c>
      <c r="M258" s="46" t="str">
        <f>IFERROR(__xludf.DUMMYFUNCTION("""COMPUTED_VALUE"""),"")</f>
        <v/>
      </c>
      <c r="N258" s="46" t="str">
        <f>IFERROR(__xludf.DUMMYFUNCTION("""COMPUTED_VALUE"""),"")</f>
        <v/>
      </c>
      <c r="O258" s="48"/>
      <c r="P258" s="52" t="str">
        <f>IFERROR(__xludf.DUMMYFUNCTION("""COMPUTED_VALUE"""),"")</f>
        <v/>
      </c>
    </row>
    <row r="259">
      <c r="A259" s="48" t="str">
        <f>IFERROR(__xludf.DUMMYFUNCTION("""COMPUTED_VALUE"""),"")</f>
        <v/>
      </c>
      <c r="B259" s="48"/>
      <c r="C259" s="49"/>
      <c r="D259" s="46"/>
      <c r="E259" s="46"/>
      <c r="F259" s="46"/>
      <c r="G259" s="46"/>
      <c r="H259" s="46"/>
      <c r="I259" s="50"/>
      <c r="J259" s="50"/>
      <c r="K259" s="51" t="str">
        <f>IFERROR(__xludf.DUMMYFUNCTION("""COMPUTED_VALUE"""),"")</f>
        <v/>
      </c>
      <c r="L259" s="46" t="str">
        <f>IFERROR(__xludf.DUMMYFUNCTION("""COMPUTED_VALUE"""),"")</f>
        <v/>
      </c>
      <c r="M259" s="46" t="str">
        <f>IFERROR(__xludf.DUMMYFUNCTION("""COMPUTED_VALUE"""),"")</f>
        <v/>
      </c>
      <c r="N259" s="46" t="str">
        <f>IFERROR(__xludf.DUMMYFUNCTION("""COMPUTED_VALUE"""),"")</f>
        <v/>
      </c>
      <c r="O259" s="48"/>
      <c r="P259" s="52" t="str">
        <f>IFERROR(__xludf.DUMMYFUNCTION("""COMPUTED_VALUE"""),"")</f>
        <v/>
      </c>
    </row>
    <row r="260">
      <c r="A260" s="48" t="str">
        <f>IFERROR(__xludf.DUMMYFUNCTION("""COMPUTED_VALUE"""),"")</f>
        <v/>
      </c>
      <c r="B260" s="48"/>
      <c r="C260" s="49"/>
      <c r="D260" s="46"/>
      <c r="E260" s="46"/>
      <c r="F260" s="46"/>
      <c r="G260" s="46"/>
      <c r="H260" s="46"/>
      <c r="I260" s="50"/>
      <c r="J260" s="50"/>
      <c r="K260" s="51" t="str">
        <f>IFERROR(__xludf.DUMMYFUNCTION("""COMPUTED_VALUE"""),"")</f>
        <v/>
      </c>
      <c r="L260" s="46" t="str">
        <f>IFERROR(__xludf.DUMMYFUNCTION("""COMPUTED_VALUE"""),"")</f>
        <v/>
      </c>
      <c r="M260" s="46" t="str">
        <f>IFERROR(__xludf.DUMMYFUNCTION("""COMPUTED_VALUE"""),"")</f>
        <v/>
      </c>
      <c r="N260" s="46" t="str">
        <f>IFERROR(__xludf.DUMMYFUNCTION("""COMPUTED_VALUE"""),"")</f>
        <v/>
      </c>
      <c r="O260" s="48"/>
      <c r="P260" s="52" t="str">
        <f>IFERROR(__xludf.DUMMYFUNCTION("""COMPUTED_VALUE"""),"")</f>
        <v/>
      </c>
    </row>
    <row r="261">
      <c r="A261" s="48" t="str">
        <f>IFERROR(__xludf.DUMMYFUNCTION("""COMPUTED_VALUE"""),"")</f>
        <v/>
      </c>
      <c r="B261" s="48"/>
      <c r="C261" s="49"/>
      <c r="D261" s="46"/>
      <c r="E261" s="46"/>
      <c r="F261" s="46"/>
      <c r="G261" s="46"/>
      <c r="H261" s="46"/>
      <c r="I261" s="50"/>
      <c r="J261" s="50"/>
      <c r="K261" s="51" t="str">
        <f>IFERROR(__xludf.DUMMYFUNCTION("""COMPUTED_VALUE"""),"")</f>
        <v/>
      </c>
      <c r="L261" s="46" t="str">
        <f>IFERROR(__xludf.DUMMYFUNCTION("""COMPUTED_VALUE"""),"")</f>
        <v/>
      </c>
      <c r="M261" s="46" t="str">
        <f>IFERROR(__xludf.DUMMYFUNCTION("""COMPUTED_VALUE"""),"")</f>
        <v/>
      </c>
      <c r="N261" s="46" t="str">
        <f>IFERROR(__xludf.DUMMYFUNCTION("""COMPUTED_VALUE"""),"")</f>
        <v/>
      </c>
      <c r="O261" s="48"/>
      <c r="P261" s="52" t="str">
        <f>IFERROR(__xludf.DUMMYFUNCTION("""COMPUTED_VALUE"""),"")</f>
        <v/>
      </c>
    </row>
    <row r="262">
      <c r="A262" s="48" t="str">
        <f>IFERROR(__xludf.DUMMYFUNCTION("""COMPUTED_VALUE"""),"")</f>
        <v/>
      </c>
      <c r="B262" s="48"/>
      <c r="C262" s="49"/>
      <c r="D262" s="46"/>
      <c r="E262" s="46"/>
      <c r="F262" s="46"/>
      <c r="G262" s="46"/>
      <c r="H262" s="46"/>
      <c r="I262" s="50"/>
      <c r="J262" s="50"/>
      <c r="K262" s="51" t="str">
        <f>IFERROR(__xludf.DUMMYFUNCTION("""COMPUTED_VALUE"""),"")</f>
        <v/>
      </c>
      <c r="L262" s="46" t="str">
        <f>IFERROR(__xludf.DUMMYFUNCTION("""COMPUTED_VALUE"""),"")</f>
        <v/>
      </c>
      <c r="M262" s="46" t="str">
        <f>IFERROR(__xludf.DUMMYFUNCTION("""COMPUTED_VALUE"""),"")</f>
        <v/>
      </c>
      <c r="N262" s="46" t="str">
        <f>IFERROR(__xludf.DUMMYFUNCTION("""COMPUTED_VALUE"""),"")</f>
        <v/>
      </c>
      <c r="O262" s="48"/>
      <c r="P262" s="52" t="str">
        <f>IFERROR(__xludf.DUMMYFUNCTION("""COMPUTED_VALUE"""),"")</f>
        <v/>
      </c>
    </row>
    <row r="263">
      <c r="A263" s="48" t="str">
        <f>IFERROR(__xludf.DUMMYFUNCTION("""COMPUTED_VALUE"""),"")</f>
        <v/>
      </c>
      <c r="B263" s="48"/>
      <c r="C263" s="49"/>
      <c r="D263" s="46"/>
      <c r="E263" s="46"/>
      <c r="F263" s="46"/>
      <c r="G263" s="46"/>
      <c r="H263" s="46"/>
      <c r="I263" s="50"/>
      <c r="J263" s="50"/>
      <c r="K263" s="51" t="str">
        <f>IFERROR(__xludf.DUMMYFUNCTION("""COMPUTED_VALUE"""),"")</f>
        <v/>
      </c>
      <c r="L263" s="46" t="str">
        <f>IFERROR(__xludf.DUMMYFUNCTION("""COMPUTED_VALUE"""),"")</f>
        <v/>
      </c>
      <c r="M263" s="46" t="str">
        <f>IFERROR(__xludf.DUMMYFUNCTION("""COMPUTED_VALUE"""),"")</f>
        <v/>
      </c>
      <c r="N263" s="46" t="str">
        <f>IFERROR(__xludf.DUMMYFUNCTION("""COMPUTED_VALUE"""),"")</f>
        <v/>
      </c>
      <c r="O263" s="48"/>
      <c r="P263" s="52" t="str">
        <f>IFERROR(__xludf.DUMMYFUNCTION("""COMPUTED_VALUE"""),"")</f>
        <v/>
      </c>
    </row>
    <row r="264">
      <c r="A264" s="48" t="str">
        <f>IFERROR(__xludf.DUMMYFUNCTION("""COMPUTED_VALUE"""),"")</f>
        <v/>
      </c>
      <c r="B264" s="48"/>
      <c r="C264" s="49"/>
      <c r="D264" s="46"/>
      <c r="E264" s="46"/>
      <c r="F264" s="46"/>
      <c r="G264" s="46"/>
      <c r="H264" s="46"/>
      <c r="I264" s="50"/>
      <c r="J264" s="50"/>
      <c r="K264" s="51" t="str">
        <f>IFERROR(__xludf.DUMMYFUNCTION("""COMPUTED_VALUE"""),"")</f>
        <v/>
      </c>
      <c r="L264" s="46" t="str">
        <f>IFERROR(__xludf.DUMMYFUNCTION("""COMPUTED_VALUE"""),"")</f>
        <v/>
      </c>
      <c r="M264" s="46" t="str">
        <f>IFERROR(__xludf.DUMMYFUNCTION("""COMPUTED_VALUE"""),"")</f>
        <v/>
      </c>
      <c r="N264" s="46" t="str">
        <f>IFERROR(__xludf.DUMMYFUNCTION("""COMPUTED_VALUE"""),"")</f>
        <v/>
      </c>
      <c r="O264" s="48"/>
      <c r="P264" s="52" t="str">
        <f>IFERROR(__xludf.DUMMYFUNCTION("""COMPUTED_VALUE"""),"")</f>
        <v/>
      </c>
    </row>
    <row r="265">
      <c r="A265" s="48" t="str">
        <f>IFERROR(__xludf.DUMMYFUNCTION("""COMPUTED_VALUE"""),"")</f>
        <v/>
      </c>
      <c r="B265" s="48"/>
      <c r="C265" s="49"/>
      <c r="D265" s="46"/>
      <c r="E265" s="46"/>
      <c r="F265" s="46"/>
      <c r="G265" s="46"/>
      <c r="H265" s="46"/>
      <c r="I265" s="50"/>
      <c r="J265" s="50"/>
      <c r="K265" s="51" t="str">
        <f>IFERROR(__xludf.DUMMYFUNCTION("""COMPUTED_VALUE"""),"")</f>
        <v/>
      </c>
      <c r="L265" s="46" t="str">
        <f>IFERROR(__xludf.DUMMYFUNCTION("""COMPUTED_VALUE"""),"")</f>
        <v/>
      </c>
      <c r="M265" s="46" t="str">
        <f>IFERROR(__xludf.DUMMYFUNCTION("""COMPUTED_VALUE"""),"")</f>
        <v/>
      </c>
      <c r="N265" s="46" t="str">
        <f>IFERROR(__xludf.DUMMYFUNCTION("""COMPUTED_VALUE"""),"")</f>
        <v/>
      </c>
      <c r="O265" s="48"/>
      <c r="P265" s="52" t="str">
        <f>IFERROR(__xludf.DUMMYFUNCTION("""COMPUTED_VALUE"""),"")</f>
        <v/>
      </c>
    </row>
    <row r="266">
      <c r="A266" s="48" t="str">
        <f>IFERROR(__xludf.DUMMYFUNCTION("""COMPUTED_VALUE"""),"")</f>
        <v/>
      </c>
      <c r="B266" s="48"/>
      <c r="C266" s="49"/>
      <c r="D266" s="46"/>
      <c r="E266" s="46"/>
      <c r="F266" s="46"/>
      <c r="G266" s="46"/>
      <c r="H266" s="46"/>
      <c r="I266" s="50"/>
      <c r="J266" s="50"/>
      <c r="K266" s="51" t="str">
        <f>IFERROR(__xludf.DUMMYFUNCTION("""COMPUTED_VALUE"""),"")</f>
        <v/>
      </c>
      <c r="L266" s="46" t="str">
        <f>IFERROR(__xludf.DUMMYFUNCTION("""COMPUTED_VALUE"""),"")</f>
        <v/>
      </c>
      <c r="M266" s="46" t="str">
        <f>IFERROR(__xludf.DUMMYFUNCTION("""COMPUTED_VALUE"""),"")</f>
        <v/>
      </c>
      <c r="N266" s="46" t="str">
        <f>IFERROR(__xludf.DUMMYFUNCTION("""COMPUTED_VALUE"""),"")</f>
        <v/>
      </c>
      <c r="O266" s="48"/>
      <c r="P266" s="52" t="str">
        <f>IFERROR(__xludf.DUMMYFUNCTION("""COMPUTED_VALUE"""),"")</f>
        <v/>
      </c>
    </row>
    <row r="267">
      <c r="A267" s="48" t="str">
        <f>IFERROR(__xludf.DUMMYFUNCTION("""COMPUTED_VALUE"""),"")</f>
        <v/>
      </c>
      <c r="B267" s="48"/>
      <c r="C267" s="49"/>
      <c r="D267" s="46"/>
      <c r="E267" s="46"/>
      <c r="F267" s="46"/>
      <c r="G267" s="46"/>
      <c r="H267" s="46"/>
      <c r="I267" s="50"/>
      <c r="J267" s="50"/>
      <c r="K267" s="51" t="str">
        <f>IFERROR(__xludf.DUMMYFUNCTION("""COMPUTED_VALUE"""),"")</f>
        <v/>
      </c>
      <c r="L267" s="46" t="str">
        <f>IFERROR(__xludf.DUMMYFUNCTION("""COMPUTED_VALUE"""),"")</f>
        <v/>
      </c>
      <c r="M267" s="46" t="str">
        <f>IFERROR(__xludf.DUMMYFUNCTION("""COMPUTED_VALUE"""),"")</f>
        <v/>
      </c>
      <c r="N267" s="46" t="str">
        <f>IFERROR(__xludf.DUMMYFUNCTION("""COMPUTED_VALUE"""),"")</f>
        <v/>
      </c>
      <c r="O267" s="48"/>
      <c r="P267" s="52" t="str">
        <f>IFERROR(__xludf.DUMMYFUNCTION("""COMPUTED_VALUE"""),"")</f>
        <v/>
      </c>
    </row>
    <row r="268">
      <c r="A268" s="48" t="str">
        <f>IFERROR(__xludf.DUMMYFUNCTION("""COMPUTED_VALUE"""),"")</f>
        <v/>
      </c>
      <c r="B268" s="48"/>
      <c r="C268" s="49"/>
      <c r="D268" s="46"/>
      <c r="E268" s="46"/>
      <c r="F268" s="46"/>
      <c r="G268" s="46"/>
      <c r="H268" s="46"/>
      <c r="I268" s="50"/>
      <c r="J268" s="50"/>
      <c r="K268" s="51" t="str">
        <f>IFERROR(__xludf.DUMMYFUNCTION("""COMPUTED_VALUE"""),"")</f>
        <v/>
      </c>
      <c r="L268" s="46" t="str">
        <f>IFERROR(__xludf.DUMMYFUNCTION("""COMPUTED_VALUE"""),"")</f>
        <v/>
      </c>
      <c r="M268" s="46" t="str">
        <f>IFERROR(__xludf.DUMMYFUNCTION("""COMPUTED_VALUE"""),"")</f>
        <v/>
      </c>
      <c r="N268" s="46" t="str">
        <f>IFERROR(__xludf.DUMMYFUNCTION("""COMPUTED_VALUE"""),"")</f>
        <v/>
      </c>
      <c r="O268" s="48"/>
      <c r="P268" s="52" t="str">
        <f>IFERROR(__xludf.DUMMYFUNCTION("""COMPUTED_VALUE"""),"")</f>
        <v/>
      </c>
    </row>
    <row r="269">
      <c r="A269" s="48" t="str">
        <f>IFERROR(__xludf.DUMMYFUNCTION("""COMPUTED_VALUE"""),"")</f>
        <v/>
      </c>
      <c r="B269" s="48"/>
      <c r="C269" s="49"/>
      <c r="D269" s="46"/>
      <c r="E269" s="46"/>
      <c r="F269" s="46"/>
      <c r="G269" s="46"/>
      <c r="H269" s="46"/>
      <c r="I269" s="50"/>
      <c r="J269" s="50"/>
      <c r="K269" s="51" t="str">
        <f>IFERROR(__xludf.DUMMYFUNCTION("""COMPUTED_VALUE"""),"")</f>
        <v/>
      </c>
      <c r="L269" s="46" t="str">
        <f>IFERROR(__xludf.DUMMYFUNCTION("""COMPUTED_VALUE"""),"")</f>
        <v/>
      </c>
      <c r="M269" s="46" t="str">
        <f>IFERROR(__xludf.DUMMYFUNCTION("""COMPUTED_VALUE"""),"")</f>
        <v/>
      </c>
      <c r="N269" s="46" t="str">
        <f>IFERROR(__xludf.DUMMYFUNCTION("""COMPUTED_VALUE"""),"")</f>
        <v/>
      </c>
      <c r="O269" s="48"/>
      <c r="P269" s="52" t="str">
        <f>IFERROR(__xludf.DUMMYFUNCTION("""COMPUTED_VALUE"""),"")</f>
        <v/>
      </c>
    </row>
    <row r="270">
      <c r="A270" s="48" t="str">
        <f>IFERROR(__xludf.DUMMYFUNCTION("""COMPUTED_VALUE"""),"")</f>
        <v/>
      </c>
      <c r="B270" s="48"/>
      <c r="C270" s="49"/>
      <c r="D270" s="46"/>
      <c r="E270" s="46"/>
      <c r="F270" s="46"/>
      <c r="G270" s="46"/>
      <c r="H270" s="46"/>
      <c r="I270" s="50"/>
      <c r="J270" s="50"/>
      <c r="K270" s="51" t="str">
        <f>IFERROR(__xludf.DUMMYFUNCTION("""COMPUTED_VALUE"""),"")</f>
        <v/>
      </c>
      <c r="L270" s="46" t="str">
        <f>IFERROR(__xludf.DUMMYFUNCTION("""COMPUTED_VALUE"""),"")</f>
        <v/>
      </c>
      <c r="M270" s="46" t="str">
        <f>IFERROR(__xludf.DUMMYFUNCTION("""COMPUTED_VALUE"""),"")</f>
        <v/>
      </c>
      <c r="N270" s="46" t="str">
        <f>IFERROR(__xludf.DUMMYFUNCTION("""COMPUTED_VALUE"""),"")</f>
        <v/>
      </c>
      <c r="O270" s="48"/>
      <c r="P270" s="52" t="str">
        <f>IFERROR(__xludf.DUMMYFUNCTION("""COMPUTED_VALUE"""),"")</f>
        <v/>
      </c>
    </row>
    <row r="271">
      <c r="A271" s="48" t="str">
        <f>IFERROR(__xludf.DUMMYFUNCTION("""COMPUTED_VALUE"""),"")</f>
        <v/>
      </c>
      <c r="B271" s="48"/>
      <c r="C271" s="49"/>
      <c r="D271" s="46"/>
      <c r="E271" s="46"/>
      <c r="F271" s="46"/>
      <c r="G271" s="46"/>
      <c r="H271" s="46"/>
      <c r="I271" s="50"/>
      <c r="J271" s="50"/>
      <c r="K271" s="51" t="str">
        <f>IFERROR(__xludf.DUMMYFUNCTION("""COMPUTED_VALUE"""),"")</f>
        <v/>
      </c>
      <c r="L271" s="46" t="str">
        <f>IFERROR(__xludf.DUMMYFUNCTION("""COMPUTED_VALUE"""),"")</f>
        <v/>
      </c>
      <c r="M271" s="46" t="str">
        <f>IFERROR(__xludf.DUMMYFUNCTION("""COMPUTED_VALUE"""),"")</f>
        <v/>
      </c>
      <c r="N271" s="46" t="str">
        <f>IFERROR(__xludf.DUMMYFUNCTION("""COMPUTED_VALUE"""),"")</f>
        <v/>
      </c>
      <c r="O271" s="48"/>
      <c r="P271" s="52" t="str">
        <f>IFERROR(__xludf.DUMMYFUNCTION("""COMPUTED_VALUE"""),"")</f>
        <v/>
      </c>
    </row>
    <row r="272">
      <c r="A272" s="48" t="str">
        <f>IFERROR(__xludf.DUMMYFUNCTION("""COMPUTED_VALUE"""),"")</f>
        <v/>
      </c>
      <c r="B272" s="48"/>
      <c r="C272" s="49"/>
      <c r="D272" s="46"/>
      <c r="E272" s="46"/>
      <c r="F272" s="46"/>
      <c r="G272" s="46"/>
      <c r="H272" s="46"/>
      <c r="I272" s="50"/>
      <c r="J272" s="50"/>
      <c r="K272" s="51" t="str">
        <f>IFERROR(__xludf.DUMMYFUNCTION("""COMPUTED_VALUE"""),"")</f>
        <v/>
      </c>
      <c r="L272" s="46" t="str">
        <f>IFERROR(__xludf.DUMMYFUNCTION("""COMPUTED_VALUE"""),"")</f>
        <v/>
      </c>
      <c r="M272" s="46" t="str">
        <f>IFERROR(__xludf.DUMMYFUNCTION("""COMPUTED_VALUE"""),"")</f>
        <v/>
      </c>
      <c r="N272" s="46" t="str">
        <f>IFERROR(__xludf.DUMMYFUNCTION("""COMPUTED_VALUE"""),"")</f>
        <v/>
      </c>
      <c r="O272" s="48"/>
      <c r="P272" s="52" t="str">
        <f>IFERROR(__xludf.DUMMYFUNCTION("""COMPUTED_VALUE"""),"")</f>
        <v/>
      </c>
    </row>
    <row r="273">
      <c r="A273" s="48" t="str">
        <f>IFERROR(__xludf.DUMMYFUNCTION("""COMPUTED_VALUE"""),"")</f>
        <v/>
      </c>
      <c r="B273" s="48"/>
      <c r="C273" s="49"/>
      <c r="D273" s="46"/>
      <c r="E273" s="46"/>
      <c r="F273" s="46"/>
      <c r="G273" s="46"/>
      <c r="H273" s="46"/>
      <c r="I273" s="50"/>
      <c r="J273" s="50"/>
      <c r="K273" s="51" t="str">
        <f>IFERROR(__xludf.DUMMYFUNCTION("""COMPUTED_VALUE"""),"")</f>
        <v/>
      </c>
      <c r="L273" s="46" t="str">
        <f>IFERROR(__xludf.DUMMYFUNCTION("""COMPUTED_VALUE"""),"")</f>
        <v/>
      </c>
      <c r="M273" s="46" t="str">
        <f>IFERROR(__xludf.DUMMYFUNCTION("""COMPUTED_VALUE"""),"")</f>
        <v/>
      </c>
      <c r="N273" s="46" t="str">
        <f>IFERROR(__xludf.DUMMYFUNCTION("""COMPUTED_VALUE"""),"")</f>
        <v/>
      </c>
      <c r="O273" s="48"/>
      <c r="P273" s="52" t="str">
        <f>IFERROR(__xludf.DUMMYFUNCTION("""COMPUTED_VALUE"""),"")</f>
        <v/>
      </c>
    </row>
    <row r="274">
      <c r="A274" s="48" t="str">
        <f>IFERROR(__xludf.DUMMYFUNCTION("""COMPUTED_VALUE"""),"")</f>
        <v/>
      </c>
      <c r="B274" s="48"/>
      <c r="C274" s="49"/>
      <c r="D274" s="46"/>
      <c r="E274" s="46"/>
      <c r="F274" s="46"/>
      <c r="G274" s="46"/>
      <c r="H274" s="46"/>
      <c r="I274" s="50"/>
      <c r="J274" s="50"/>
      <c r="K274" s="51" t="str">
        <f>IFERROR(__xludf.DUMMYFUNCTION("""COMPUTED_VALUE"""),"")</f>
        <v/>
      </c>
      <c r="L274" s="46" t="str">
        <f>IFERROR(__xludf.DUMMYFUNCTION("""COMPUTED_VALUE"""),"")</f>
        <v/>
      </c>
      <c r="M274" s="46" t="str">
        <f>IFERROR(__xludf.DUMMYFUNCTION("""COMPUTED_VALUE"""),"")</f>
        <v/>
      </c>
      <c r="N274" s="46" t="str">
        <f>IFERROR(__xludf.DUMMYFUNCTION("""COMPUTED_VALUE"""),"")</f>
        <v/>
      </c>
      <c r="O274" s="48"/>
      <c r="P274" s="52" t="str">
        <f>IFERROR(__xludf.DUMMYFUNCTION("""COMPUTED_VALUE"""),"")</f>
        <v/>
      </c>
    </row>
    <row r="275">
      <c r="A275" s="48" t="str">
        <f>IFERROR(__xludf.DUMMYFUNCTION("""COMPUTED_VALUE"""),"")</f>
        <v/>
      </c>
      <c r="B275" s="48"/>
      <c r="C275" s="49"/>
      <c r="D275" s="46"/>
      <c r="E275" s="46"/>
      <c r="F275" s="46"/>
      <c r="G275" s="46"/>
      <c r="H275" s="46"/>
      <c r="I275" s="50"/>
      <c r="J275" s="50"/>
      <c r="K275" s="51" t="str">
        <f>IFERROR(__xludf.DUMMYFUNCTION("""COMPUTED_VALUE"""),"")</f>
        <v/>
      </c>
      <c r="L275" s="46" t="str">
        <f>IFERROR(__xludf.DUMMYFUNCTION("""COMPUTED_VALUE"""),"")</f>
        <v/>
      </c>
      <c r="M275" s="46" t="str">
        <f>IFERROR(__xludf.DUMMYFUNCTION("""COMPUTED_VALUE"""),"")</f>
        <v/>
      </c>
      <c r="N275" s="46" t="str">
        <f>IFERROR(__xludf.DUMMYFUNCTION("""COMPUTED_VALUE"""),"")</f>
        <v/>
      </c>
      <c r="O275" s="48"/>
      <c r="P275" s="52" t="str">
        <f>IFERROR(__xludf.DUMMYFUNCTION("""COMPUTED_VALUE"""),"")</f>
        <v/>
      </c>
    </row>
    <row r="276">
      <c r="A276" s="48" t="str">
        <f>IFERROR(__xludf.DUMMYFUNCTION("""COMPUTED_VALUE"""),"")</f>
        <v/>
      </c>
      <c r="B276" s="48"/>
      <c r="C276" s="49"/>
      <c r="D276" s="46"/>
      <c r="E276" s="46"/>
      <c r="F276" s="46"/>
      <c r="G276" s="46"/>
      <c r="H276" s="46"/>
      <c r="I276" s="50"/>
      <c r="J276" s="50"/>
      <c r="K276" s="51" t="str">
        <f>IFERROR(__xludf.DUMMYFUNCTION("""COMPUTED_VALUE"""),"")</f>
        <v/>
      </c>
      <c r="L276" s="46" t="str">
        <f>IFERROR(__xludf.DUMMYFUNCTION("""COMPUTED_VALUE"""),"")</f>
        <v/>
      </c>
      <c r="M276" s="46" t="str">
        <f>IFERROR(__xludf.DUMMYFUNCTION("""COMPUTED_VALUE"""),"")</f>
        <v/>
      </c>
      <c r="N276" s="46" t="str">
        <f>IFERROR(__xludf.DUMMYFUNCTION("""COMPUTED_VALUE"""),"")</f>
        <v/>
      </c>
      <c r="O276" s="48"/>
      <c r="P276" s="52" t="str">
        <f>IFERROR(__xludf.DUMMYFUNCTION("""COMPUTED_VALUE"""),"")</f>
        <v/>
      </c>
    </row>
    <row r="277">
      <c r="A277" s="48" t="str">
        <f>IFERROR(__xludf.DUMMYFUNCTION("""COMPUTED_VALUE"""),"")</f>
        <v/>
      </c>
      <c r="B277" s="48"/>
      <c r="C277" s="49"/>
      <c r="D277" s="46"/>
      <c r="E277" s="46"/>
      <c r="F277" s="46"/>
      <c r="G277" s="46"/>
      <c r="H277" s="46"/>
      <c r="I277" s="50"/>
      <c r="J277" s="50"/>
      <c r="K277" s="51" t="str">
        <f>IFERROR(__xludf.DUMMYFUNCTION("""COMPUTED_VALUE"""),"")</f>
        <v/>
      </c>
      <c r="L277" s="46" t="str">
        <f>IFERROR(__xludf.DUMMYFUNCTION("""COMPUTED_VALUE"""),"")</f>
        <v/>
      </c>
      <c r="M277" s="46" t="str">
        <f>IFERROR(__xludf.DUMMYFUNCTION("""COMPUTED_VALUE"""),"")</f>
        <v/>
      </c>
      <c r="N277" s="46" t="str">
        <f>IFERROR(__xludf.DUMMYFUNCTION("""COMPUTED_VALUE"""),"")</f>
        <v/>
      </c>
      <c r="O277" s="48"/>
      <c r="P277" s="52" t="str">
        <f>IFERROR(__xludf.DUMMYFUNCTION("""COMPUTED_VALUE"""),"")</f>
        <v/>
      </c>
    </row>
    <row r="278">
      <c r="A278" s="48" t="str">
        <f>IFERROR(__xludf.DUMMYFUNCTION("""COMPUTED_VALUE"""),"")</f>
        <v/>
      </c>
      <c r="B278" s="48"/>
      <c r="C278" s="49"/>
      <c r="D278" s="46"/>
      <c r="E278" s="46"/>
      <c r="F278" s="46"/>
      <c r="G278" s="46"/>
      <c r="H278" s="46"/>
      <c r="I278" s="50"/>
      <c r="J278" s="50"/>
      <c r="K278" s="51" t="str">
        <f>IFERROR(__xludf.DUMMYFUNCTION("""COMPUTED_VALUE"""),"")</f>
        <v/>
      </c>
      <c r="L278" s="46" t="str">
        <f>IFERROR(__xludf.DUMMYFUNCTION("""COMPUTED_VALUE"""),"")</f>
        <v/>
      </c>
      <c r="M278" s="46" t="str">
        <f>IFERROR(__xludf.DUMMYFUNCTION("""COMPUTED_VALUE"""),"")</f>
        <v/>
      </c>
      <c r="N278" s="46" t="str">
        <f>IFERROR(__xludf.DUMMYFUNCTION("""COMPUTED_VALUE"""),"")</f>
        <v/>
      </c>
      <c r="O278" s="48"/>
      <c r="P278" s="52" t="str">
        <f>IFERROR(__xludf.DUMMYFUNCTION("""COMPUTED_VALUE"""),"")</f>
        <v/>
      </c>
    </row>
    <row r="279">
      <c r="A279" s="48" t="str">
        <f>IFERROR(__xludf.DUMMYFUNCTION("""COMPUTED_VALUE"""),"")</f>
        <v/>
      </c>
      <c r="B279" s="48"/>
      <c r="C279" s="49"/>
      <c r="D279" s="46"/>
      <c r="E279" s="46"/>
      <c r="F279" s="46"/>
      <c r="G279" s="46"/>
      <c r="H279" s="46"/>
      <c r="I279" s="50"/>
      <c r="J279" s="50"/>
      <c r="K279" s="51" t="str">
        <f>IFERROR(__xludf.DUMMYFUNCTION("""COMPUTED_VALUE"""),"")</f>
        <v/>
      </c>
      <c r="L279" s="46" t="str">
        <f>IFERROR(__xludf.DUMMYFUNCTION("""COMPUTED_VALUE"""),"")</f>
        <v/>
      </c>
      <c r="M279" s="46" t="str">
        <f>IFERROR(__xludf.DUMMYFUNCTION("""COMPUTED_VALUE"""),"")</f>
        <v/>
      </c>
      <c r="N279" s="46" t="str">
        <f>IFERROR(__xludf.DUMMYFUNCTION("""COMPUTED_VALUE"""),"")</f>
        <v/>
      </c>
      <c r="O279" s="48"/>
      <c r="P279" s="52" t="str">
        <f>IFERROR(__xludf.DUMMYFUNCTION("""COMPUTED_VALUE"""),"")</f>
        <v/>
      </c>
    </row>
    <row r="280">
      <c r="A280" s="48" t="str">
        <f>IFERROR(__xludf.DUMMYFUNCTION("""COMPUTED_VALUE"""),"")</f>
        <v/>
      </c>
      <c r="B280" s="48"/>
      <c r="C280" s="49"/>
      <c r="D280" s="46"/>
      <c r="E280" s="46"/>
      <c r="F280" s="46"/>
      <c r="G280" s="46"/>
      <c r="H280" s="46"/>
      <c r="I280" s="50"/>
      <c r="J280" s="50"/>
      <c r="K280" s="51" t="str">
        <f>IFERROR(__xludf.DUMMYFUNCTION("""COMPUTED_VALUE"""),"")</f>
        <v/>
      </c>
      <c r="L280" s="46" t="str">
        <f>IFERROR(__xludf.DUMMYFUNCTION("""COMPUTED_VALUE"""),"")</f>
        <v/>
      </c>
      <c r="M280" s="46" t="str">
        <f>IFERROR(__xludf.DUMMYFUNCTION("""COMPUTED_VALUE"""),"")</f>
        <v/>
      </c>
      <c r="N280" s="46" t="str">
        <f>IFERROR(__xludf.DUMMYFUNCTION("""COMPUTED_VALUE"""),"")</f>
        <v/>
      </c>
      <c r="O280" s="48"/>
      <c r="P280" s="52" t="str">
        <f>IFERROR(__xludf.DUMMYFUNCTION("""COMPUTED_VALUE"""),"")</f>
        <v/>
      </c>
    </row>
    <row r="281">
      <c r="A281" s="48" t="str">
        <f>IFERROR(__xludf.DUMMYFUNCTION("""COMPUTED_VALUE"""),"")</f>
        <v/>
      </c>
      <c r="B281" s="48"/>
      <c r="C281" s="49"/>
      <c r="D281" s="46"/>
      <c r="E281" s="46"/>
      <c r="F281" s="46"/>
      <c r="G281" s="46"/>
      <c r="H281" s="46"/>
      <c r="I281" s="50"/>
      <c r="J281" s="50"/>
      <c r="K281" s="51" t="str">
        <f>IFERROR(__xludf.DUMMYFUNCTION("""COMPUTED_VALUE"""),"")</f>
        <v/>
      </c>
      <c r="L281" s="46" t="str">
        <f>IFERROR(__xludf.DUMMYFUNCTION("""COMPUTED_VALUE"""),"")</f>
        <v/>
      </c>
      <c r="M281" s="46" t="str">
        <f>IFERROR(__xludf.DUMMYFUNCTION("""COMPUTED_VALUE"""),"")</f>
        <v/>
      </c>
      <c r="N281" s="46" t="str">
        <f>IFERROR(__xludf.DUMMYFUNCTION("""COMPUTED_VALUE"""),"")</f>
        <v/>
      </c>
      <c r="O281" s="48"/>
      <c r="P281" s="52" t="str">
        <f>IFERROR(__xludf.DUMMYFUNCTION("""COMPUTED_VALUE"""),"")</f>
        <v/>
      </c>
    </row>
    <row r="282">
      <c r="A282" s="48" t="str">
        <f>IFERROR(__xludf.DUMMYFUNCTION("""COMPUTED_VALUE"""),"")</f>
        <v/>
      </c>
      <c r="B282" s="48"/>
      <c r="C282" s="49"/>
      <c r="D282" s="46"/>
      <c r="E282" s="46"/>
      <c r="F282" s="46"/>
      <c r="G282" s="46"/>
      <c r="H282" s="46"/>
      <c r="I282" s="50"/>
      <c r="J282" s="50"/>
      <c r="K282" s="51" t="str">
        <f>IFERROR(__xludf.DUMMYFUNCTION("""COMPUTED_VALUE"""),"")</f>
        <v/>
      </c>
      <c r="L282" s="46" t="str">
        <f>IFERROR(__xludf.DUMMYFUNCTION("""COMPUTED_VALUE"""),"")</f>
        <v/>
      </c>
      <c r="M282" s="46" t="str">
        <f>IFERROR(__xludf.DUMMYFUNCTION("""COMPUTED_VALUE"""),"")</f>
        <v/>
      </c>
      <c r="N282" s="46" t="str">
        <f>IFERROR(__xludf.DUMMYFUNCTION("""COMPUTED_VALUE"""),"")</f>
        <v/>
      </c>
      <c r="O282" s="48"/>
      <c r="P282" s="52" t="str">
        <f>IFERROR(__xludf.DUMMYFUNCTION("""COMPUTED_VALUE"""),"")</f>
        <v/>
      </c>
    </row>
    <row r="283">
      <c r="A283" s="48" t="str">
        <f>IFERROR(__xludf.DUMMYFUNCTION("""COMPUTED_VALUE"""),"")</f>
        <v/>
      </c>
      <c r="B283" s="48"/>
      <c r="C283" s="49"/>
      <c r="D283" s="46"/>
      <c r="E283" s="46"/>
      <c r="F283" s="46"/>
      <c r="G283" s="46"/>
      <c r="H283" s="46"/>
      <c r="I283" s="50"/>
      <c r="J283" s="50"/>
      <c r="K283" s="51" t="str">
        <f>IFERROR(__xludf.DUMMYFUNCTION("""COMPUTED_VALUE"""),"")</f>
        <v/>
      </c>
      <c r="L283" s="46" t="str">
        <f>IFERROR(__xludf.DUMMYFUNCTION("""COMPUTED_VALUE"""),"")</f>
        <v/>
      </c>
      <c r="M283" s="46" t="str">
        <f>IFERROR(__xludf.DUMMYFUNCTION("""COMPUTED_VALUE"""),"")</f>
        <v/>
      </c>
      <c r="N283" s="46" t="str">
        <f>IFERROR(__xludf.DUMMYFUNCTION("""COMPUTED_VALUE"""),"")</f>
        <v/>
      </c>
      <c r="O283" s="48"/>
      <c r="P283" s="52" t="str">
        <f>IFERROR(__xludf.DUMMYFUNCTION("""COMPUTED_VALUE"""),"")</f>
        <v/>
      </c>
    </row>
    <row r="284">
      <c r="A284" s="48" t="str">
        <f>IFERROR(__xludf.DUMMYFUNCTION("""COMPUTED_VALUE"""),"")</f>
        <v/>
      </c>
      <c r="B284" s="48"/>
      <c r="C284" s="49"/>
      <c r="D284" s="46"/>
      <c r="E284" s="46"/>
      <c r="F284" s="46"/>
      <c r="G284" s="46"/>
      <c r="H284" s="46"/>
      <c r="I284" s="50"/>
      <c r="J284" s="50"/>
      <c r="K284" s="51" t="str">
        <f>IFERROR(__xludf.DUMMYFUNCTION("""COMPUTED_VALUE"""),"")</f>
        <v/>
      </c>
      <c r="L284" s="46" t="str">
        <f>IFERROR(__xludf.DUMMYFUNCTION("""COMPUTED_VALUE"""),"")</f>
        <v/>
      </c>
      <c r="M284" s="46" t="str">
        <f>IFERROR(__xludf.DUMMYFUNCTION("""COMPUTED_VALUE"""),"")</f>
        <v/>
      </c>
      <c r="N284" s="46" t="str">
        <f>IFERROR(__xludf.DUMMYFUNCTION("""COMPUTED_VALUE"""),"")</f>
        <v/>
      </c>
      <c r="O284" s="48"/>
      <c r="P284" s="52" t="str">
        <f>IFERROR(__xludf.DUMMYFUNCTION("""COMPUTED_VALUE"""),"")</f>
        <v/>
      </c>
    </row>
    <row r="285">
      <c r="A285" s="48" t="str">
        <f>IFERROR(__xludf.DUMMYFUNCTION("""COMPUTED_VALUE"""),"")</f>
        <v/>
      </c>
      <c r="B285" s="48"/>
      <c r="C285" s="49"/>
      <c r="D285" s="46"/>
      <c r="E285" s="46"/>
      <c r="F285" s="46"/>
      <c r="G285" s="46"/>
      <c r="H285" s="46"/>
      <c r="I285" s="50"/>
      <c r="J285" s="50"/>
      <c r="K285" s="51" t="str">
        <f>IFERROR(__xludf.DUMMYFUNCTION("""COMPUTED_VALUE"""),"")</f>
        <v/>
      </c>
      <c r="L285" s="46" t="str">
        <f>IFERROR(__xludf.DUMMYFUNCTION("""COMPUTED_VALUE"""),"")</f>
        <v/>
      </c>
      <c r="M285" s="46" t="str">
        <f>IFERROR(__xludf.DUMMYFUNCTION("""COMPUTED_VALUE"""),"")</f>
        <v/>
      </c>
      <c r="N285" s="46" t="str">
        <f>IFERROR(__xludf.DUMMYFUNCTION("""COMPUTED_VALUE"""),"")</f>
        <v/>
      </c>
      <c r="O285" s="48"/>
      <c r="P285" s="52" t="str">
        <f>IFERROR(__xludf.DUMMYFUNCTION("""COMPUTED_VALUE"""),"")</f>
        <v/>
      </c>
    </row>
    <row r="286">
      <c r="A286" s="48" t="str">
        <f>IFERROR(__xludf.DUMMYFUNCTION("""COMPUTED_VALUE"""),"")</f>
        <v/>
      </c>
      <c r="B286" s="48"/>
      <c r="C286" s="49"/>
      <c r="D286" s="46"/>
      <c r="E286" s="46"/>
      <c r="F286" s="46"/>
      <c r="G286" s="46"/>
      <c r="H286" s="46"/>
      <c r="I286" s="50"/>
      <c r="J286" s="50"/>
      <c r="K286" s="51" t="str">
        <f>IFERROR(__xludf.DUMMYFUNCTION("""COMPUTED_VALUE"""),"")</f>
        <v/>
      </c>
      <c r="L286" s="46" t="str">
        <f>IFERROR(__xludf.DUMMYFUNCTION("""COMPUTED_VALUE"""),"")</f>
        <v/>
      </c>
      <c r="M286" s="46" t="str">
        <f>IFERROR(__xludf.DUMMYFUNCTION("""COMPUTED_VALUE"""),"")</f>
        <v/>
      </c>
      <c r="N286" s="46" t="str">
        <f>IFERROR(__xludf.DUMMYFUNCTION("""COMPUTED_VALUE"""),"")</f>
        <v/>
      </c>
      <c r="O286" s="48"/>
      <c r="P286" s="52" t="str">
        <f>IFERROR(__xludf.DUMMYFUNCTION("""COMPUTED_VALUE"""),"")</f>
        <v/>
      </c>
    </row>
    <row r="287">
      <c r="A287" s="48" t="str">
        <f>IFERROR(__xludf.DUMMYFUNCTION("""COMPUTED_VALUE"""),"")</f>
        <v/>
      </c>
      <c r="B287" s="48"/>
      <c r="C287" s="49"/>
      <c r="D287" s="46"/>
      <c r="E287" s="46"/>
      <c r="F287" s="46"/>
      <c r="G287" s="46"/>
      <c r="H287" s="46"/>
      <c r="I287" s="50"/>
      <c r="J287" s="50"/>
      <c r="K287" s="51" t="str">
        <f>IFERROR(__xludf.DUMMYFUNCTION("""COMPUTED_VALUE"""),"")</f>
        <v/>
      </c>
      <c r="L287" s="46" t="str">
        <f>IFERROR(__xludf.DUMMYFUNCTION("""COMPUTED_VALUE"""),"")</f>
        <v/>
      </c>
      <c r="M287" s="46" t="str">
        <f>IFERROR(__xludf.DUMMYFUNCTION("""COMPUTED_VALUE"""),"")</f>
        <v/>
      </c>
      <c r="N287" s="46" t="str">
        <f>IFERROR(__xludf.DUMMYFUNCTION("""COMPUTED_VALUE"""),"")</f>
        <v/>
      </c>
      <c r="O287" s="48"/>
      <c r="P287" s="52" t="str">
        <f>IFERROR(__xludf.DUMMYFUNCTION("""COMPUTED_VALUE"""),"")</f>
        <v/>
      </c>
    </row>
    <row r="288">
      <c r="A288" s="48" t="str">
        <f>IFERROR(__xludf.DUMMYFUNCTION("""COMPUTED_VALUE"""),"")</f>
        <v/>
      </c>
      <c r="B288" s="48"/>
      <c r="C288" s="49"/>
      <c r="D288" s="46"/>
      <c r="E288" s="46"/>
      <c r="F288" s="46"/>
      <c r="G288" s="46"/>
      <c r="H288" s="46"/>
      <c r="I288" s="50"/>
      <c r="J288" s="50"/>
      <c r="K288" s="51" t="str">
        <f>IFERROR(__xludf.DUMMYFUNCTION("""COMPUTED_VALUE"""),"")</f>
        <v/>
      </c>
      <c r="L288" s="46" t="str">
        <f>IFERROR(__xludf.DUMMYFUNCTION("""COMPUTED_VALUE"""),"")</f>
        <v/>
      </c>
      <c r="M288" s="46" t="str">
        <f>IFERROR(__xludf.DUMMYFUNCTION("""COMPUTED_VALUE"""),"")</f>
        <v/>
      </c>
      <c r="N288" s="46" t="str">
        <f>IFERROR(__xludf.DUMMYFUNCTION("""COMPUTED_VALUE"""),"")</f>
        <v/>
      </c>
      <c r="O288" s="48"/>
      <c r="P288" s="52" t="str">
        <f>IFERROR(__xludf.DUMMYFUNCTION("""COMPUTED_VALUE"""),"")</f>
        <v/>
      </c>
    </row>
    <row r="289">
      <c r="A289" s="48" t="str">
        <f>IFERROR(__xludf.DUMMYFUNCTION("""COMPUTED_VALUE"""),"")</f>
        <v/>
      </c>
      <c r="B289" s="48"/>
      <c r="C289" s="49"/>
      <c r="D289" s="46"/>
      <c r="E289" s="46"/>
      <c r="F289" s="46"/>
      <c r="G289" s="46"/>
      <c r="H289" s="46"/>
      <c r="I289" s="50"/>
      <c r="J289" s="50"/>
      <c r="K289" s="51" t="str">
        <f>IFERROR(__xludf.DUMMYFUNCTION("""COMPUTED_VALUE"""),"")</f>
        <v/>
      </c>
      <c r="L289" s="46" t="str">
        <f>IFERROR(__xludf.DUMMYFUNCTION("""COMPUTED_VALUE"""),"")</f>
        <v/>
      </c>
      <c r="M289" s="46" t="str">
        <f>IFERROR(__xludf.DUMMYFUNCTION("""COMPUTED_VALUE"""),"")</f>
        <v/>
      </c>
      <c r="N289" s="46" t="str">
        <f>IFERROR(__xludf.DUMMYFUNCTION("""COMPUTED_VALUE"""),"")</f>
        <v/>
      </c>
      <c r="O289" s="48"/>
      <c r="P289" s="52" t="str">
        <f>IFERROR(__xludf.DUMMYFUNCTION("""COMPUTED_VALUE"""),"")</f>
        <v/>
      </c>
    </row>
    <row r="290">
      <c r="A290" s="48" t="str">
        <f>IFERROR(__xludf.DUMMYFUNCTION("""COMPUTED_VALUE"""),"")</f>
        <v/>
      </c>
      <c r="B290" s="48"/>
      <c r="C290" s="49"/>
      <c r="D290" s="46"/>
      <c r="E290" s="46"/>
      <c r="F290" s="46"/>
      <c r="G290" s="46"/>
      <c r="H290" s="46"/>
      <c r="I290" s="50"/>
      <c r="J290" s="50"/>
      <c r="K290" s="51" t="str">
        <f>IFERROR(__xludf.DUMMYFUNCTION("""COMPUTED_VALUE"""),"")</f>
        <v/>
      </c>
      <c r="L290" s="46" t="str">
        <f>IFERROR(__xludf.DUMMYFUNCTION("""COMPUTED_VALUE"""),"")</f>
        <v/>
      </c>
      <c r="M290" s="46" t="str">
        <f>IFERROR(__xludf.DUMMYFUNCTION("""COMPUTED_VALUE"""),"")</f>
        <v/>
      </c>
      <c r="N290" s="46" t="str">
        <f>IFERROR(__xludf.DUMMYFUNCTION("""COMPUTED_VALUE"""),"")</f>
        <v/>
      </c>
      <c r="O290" s="48"/>
      <c r="P290" s="52" t="str">
        <f>IFERROR(__xludf.DUMMYFUNCTION("""COMPUTED_VALUE"""),"")</f>
        <v/>
      </c>
    </row>
    <row r="291">
      <c r="A291" s="48" t="str">
        <f>IFERROR(__xludf.DUMMYFUNCTION("""COMPUTED_VALUE"""),"")</f>
        <v/>
      </c>
      <c r="B291" s="48"/>
      <c r="C291" s="49"/>
      <c r="D291" s="46"/>
      <c r="E291" s="46"/>
      <c r="F291" s="46"/>
      <c r="G291" s="46"/>
      <c r="H291" s="46"/>
      <c r="I291" s="50"/>
      <c r="J291" s="50"/>
      <c r="K291" s="51" t="str">
        <f>IFERROR(__xludf.DUMMYFUNCTION("""COMPUTED_VALUE"""),"")</f>
        <v/>
      </c>
      <c r="L291" s="46" t="str">
        <f>IFERROR(__xludf.DUMMYFUNCTION("""COMPUTED_VALUE"""),"")</f>
        <v/>
      </c>
      <c r="M291" s="46" t="str">
        <f>IFERROR(__xludf.DUMMYFUNCTION("""COMPUTED_VALUE"""),"")</f>
        <v/>
      </c>
      <c r="N291" s="46" t="str">
        <f>IFERROR(__xludf.DUMMYFUNCTION("""COMPUTED_VALUE"""),"")</f>
        <v/>
      </c>
      <c r="O291" s="48"/>
      <c r="P291" s="52" t="str">
        <f>IFERROR(__xludf.DUMMYFUNCTION("""COMPUTED_VALUE"""),"")</f>
        <v/>
      </c>
    </row>
    <row r="292">
      <c r="A292" s="48" t="str">
        <f>IFERROR(__xludf.DUMMYFUNCTION("""COMPUTED_VALUE"""),"")</f>
        <v/>
      </c>
      <c r="B292" s="48"/>
      <c r="C292" s="49"/>
      <c r="D292" s="46"/>
      <c r="E292" s="46"/>
      <c r="F292" s="46"/>
      <c r="G292" s="46"/>
      <c r="H292" s="46"/>
      <c r="I292" s="50"/>
      <c r="J292" s="50"/>
      <c r="K292" s="51" t="str">
        <f>IFERROR(__xludf.DUMMYFUNCTION("""COMPUTED_VALUE"""),"")</f>
        <v/>
      </c>
      <c r="L292" s="46" t="str">
        <f>IFERROR(__xludf.DUMMYFUNCTION("""COMPUTED_VALUE"""),"")</f>
        <v/>
      </c>
      <c r="M292" s="46" t="str">
        <f>IFERROR(__xludf.DUMMYFUNCTION("""COMPUTED_VALUE"""),"")</f>
        <v/>
      </c>
      <c r="N292" s="46" t="str">
        <f>IFERROR(__xludf.DUMMYFUNCTION("""COMPUTED_VALUE"""),"")</f>
        <v/>
      </c>
      <c r="O292" s="48"/>
      <c r="P292" s="52" t="str">
        <f>IFERROR(__xludf.DUMMYFUNCTION("""COMPUTED_VALUE"""),"")</f>
        <v/>
      </c>
    </row>
    <row r="293">
      <c r="A293" s="48" t="str">
        <f>IFERROR(__xludf.DUMMYFUNCTION("""COMPUTED_VALUE"""),"")</f>
        <v/>
      </c>
      <c r="B293" s="48"/>
      <c r="C293" s="49"/>
      <c r="D293" s="46"/>
      <c r="E293" s="46"/>
      <c r="F293" s="46"/>
      <c r="G293" s="46"/>
      <c r="H293" s="46"/>
      <c r="I293" s="50"/>
      <c r="J293" s="50"/>
      <c r="K293" s="51" t="str">
        <f>IFERROR(__xludf.DUMMYFUNCTION("""COMPUTED_VALUE"""),"")</f>
        <v/>
      </c>
      <c r="L293" s="46" t="str">
        <f>IFERROR(__xludf.DUMMYFUNCTION("""COMPUTED_VALUE"""),"")</f>
        <v/>
      </c>
      <c r="M293" s="46" t="str">
        <f>IFERROR(__xludf.DUMMYFUNCTION("""COMPUTED_VALUE"""),"")</f>
        <v/>
      </c>
      <c r="N293" s="46" t="str">
        <f>IFERROR(__xludf.DUMMYFUNCTION("""COMPUTED_VALUE"""),"")</f>
        <v/>
      </c>
      <c r="O293" s="48"/>
      <c r="P293" s="52" t="str">
        <f>IFERROR(__xludf.DUMMYFUNCTION("""COMPUTED_VALUE"""),"")</f>
        <v/>
      </c>
    </row>
    <row r="294">
      <c r="A294" s="48" t="str">
        <f>IFERROR(__xludf.DUMMYFUNCTION("""COMPUTED_VALUE"""),"")</f>
        <v/>
      </c>
      <c r="B294" s="48"/>
      <c r="C294" s="49"/>
      <c r="D294" s="46"/>
      <c r="E294" s="46"/>
      <c r="F294" s="46"/>
      <c r="G294" s="46"/>
      <c r="H294" s="46"/>
      <c r="I294" s="50"/>
      <c r="J294" s="50"/>
      <c r="K294" s="51" t="str">
        <f>IFERROR(__xludf.DUMMYFUNCTION("""COMPUTED_VALUE"""),"")</f>
        <v/>
      </c>
      <c r="L294" s="46" t="str">
        <f>IFERROR(__xludf.DUMMYFUNCTION("""COMPUTED_VALUE"""),"")</f>
        <v/>
      </c>
      <c r="M294" s="46" t="str">
        <f>IFERROR(__xludf.DUMMYFUNCTION("""COMPUTED_VALUE"""),"")</f>
        <v/>
      </c>
      <c r="N294" s="46" t="str">
        <f>IFERROR(__xludf.DUMMYFUNCTION("""COMPUTED_VALUE"""),"")</f>
        <v/>
      </c>
      <c r="O294" s="48"/>
      <c r="P294" s="52" t="str">
        <f>IFERROR(__xludf.DUMMYFUNCTION("""COMPUTED_VALUE"""),"")</f>
        <v/>
      </c>
    </row>
    <row r="295">
      <c r="A295" s="48" t="str">
        <f>IFERROR(__xludf.DUMMYFUNCTION("""COMPUTED_VALUE"""),"")</f>
        <v/>
      </c>
      <c r="B295" s="48"/>
      <c r="C295" s="49"/>
      <c r="D295" s="46"/>
      <c r="E295" s="46"/>
      <c r="F295" s="46"/>
      <c r="G295" s="46"/>
      <c r="H295" s="46"/>
      <c r="I295" s="50"/>
      <c r="J295" s="50"/>
      <c r="K295" s="51" t="str">
        <f>IFERROR(__xludf.DUMMYFUNCTION("""COMPUTED_VALUE"""),"")</f>
        <v/>
      </c>
      <c r="L295" s="46" t="str">
        <f>IFERROR(__xludf.DUMMYFUNCTION("""COMPUTED_VALUE"""),"")</f>
        <v/>
      </c>
      <c r="M295" s="46" t="str">
        <f>IFERROR(__xludf.DUMMYFUNCTION("""COMPUTED_VALUE"""),"")</f>
        <v/>
      </c>
      <c r="N295" s="46" t="str">
        <f>IFERROR(__xludf.DUMMYFUNCTION("""COMPUTED_VALUE"""),"")</f>
        <v/>
      </c>
      <c r="O295" s="48"/>
      <c r="P295" s="52" t="str">
        <f>IFERROR(__xludf.DUMMYFUNCTION("""COMPUTED_VALUE"""),"")</f>
        <v/>
      </c>
    </row>
    <row r="296">
      <c r="A296" s="48" t="str">
        <f>IFERROR(__xludf.DUMMYFUNCTION("""COMPUTED_VALUE"""),"")</f>
        <v/>
      </c>
      <c r="B296" s="48"/>
      <c r="C296" s="49"/>
      <c r="D296" s="46"/>
      <c r="E296" s="46"/>
      <c r="F296" s="46"/>
      <c r="G296" s="46"/>
      <c r="H296" s="46"/>
      <c r="I296" s="50"/>
      <c r="J296" s="50"/>
      <c r="K296" s="51" t="str">
        <f>IFERROR(__xludf.DUMMYFUNCTION("""COMPUTED_VALUE"""),"")</f>
        <v/>
      </c>
      <c r="L296" s="46" t="str">
        <f>IFERROR(__xludf.DUMMYFUNCTION("""COMPUTED_VALUE"""),"")</f>
        <v/>
      </c>
      <c r="M296" s="46" t="str">
        <f>IFERROR(__xludf.DUMMYFUNCTION("""COMPUTED_VALUE"""),"")</f>
        <v/>
      </c>
      <c r="N296" s="46" t="str">
        <f>IFERROR(__xludf.DUMMYFUNCTION("""COMPUTED_VALUE"""),"")</f>
        <v/>
      </c>
      <c r="O296" s="48"/>
      <c r="P296" s="52" t="str">
        <f>IFERROR(__xludf.DUMMYFUNCTION("""COMPUTED_VALUE"""),"")</f>
        <v/>
      </c>
    </row>
    <row r="297">
      <c r="A297" s="48" t="str">
        <f>IFERROR(__xludf.DUMMYFUNCTION("""COMPUTED_VALUE"""),"")</f>
        <v/>
      </c>
      <c r="B297" s="48"/>
      <c r="C297" s="49"/>
      <c r="D297" s="46"/>
      <c r="E297" s="46"/>
      <c r="F297" s="46"/>
      <c r="G297" s="46"/>
      <c r="H297" s="46"/>
      <c r="I297" s="50"/>
      <c r="J297" s="50"/>
      <c r="K297" s="51" t="str">
        <f>IFERROR(__xludf.DUMMYFUNCTION("""COMPUTED_VALUE"""),"")</f>
        <v/>
      </c>
      <c r="L297" s="46" t="str">
        <f>IFERROR(__xludf.DUMMYFUNCTION("""COMPUTED_VALUE"""),"")</f>
        <v/>
      </c>
      <c r="M297" s="46" t="str">
        <f>IFERROR(__xludf.DUMMYFUNCTION("""COMPUTED_VALUE"""),"")</f>
        <v/>
      </c>
      <c r="N297" s="46" t="str">
        <f>IFERROR(__xludf.DUMMYFUNCTION("""COMPUTED_VALUE"""),"")</f>
        <v/>
      </c>
      <c r="O297" s="48"/>
      <c r="P297" s="52" t="str">
        <f>IFERROR(__xludf.DUMMYFUNCTION("""COMPUTED_VALUE"""),"")</f>
        <v/>
      </c>
    </row>
    <row r="298">
      <c r="A298" s="48" t="str">
        <f>IFERROR(__xludf.DUMMYFUNCTION("""COMPUTED_VALUE"""),"")</f>
        <v/>
      </c>
      <c r="B298" s="48"/>
      <c r="C298" s="49"/>
      <c r="D298" s="46"/>
      <c r="E298" s="46"/>
      <c r="F298" s="46"/>
      <c r="G298" s="46"/>
      <c r="H298" s="46"/>
      <c r="I298" s="50"/>
      <c r="J298" s="50"/>
      <c r="K298" s="51" t="str">
        <f>IFERROR(__xludf.DUMMYFUNCTION("""COMPUTED_VALUE"""),"")</f>
        <v/>
      </c>
      <c r="L298" s="46" t="str">
        <f>IFERROR(__xludf.DUMMYFUNCTION("""COMPUTED_VALUE"""),"")</f>
        <v/>
      </c>
      <c r="M298" s="46" t="str">
        <f>IFERROR(__xludf.DUMMYFUNCTION("""COMPUTED_VALUE"""),"")</f>
        <v/>
      </c>
      <c r="N298" s="46" t="str">
        <f>IFERROR(__xludf.DUMMYFUNCTION("""COMPUTED_VALUE"""),"")</f>
        <v/>
      </c>
      <c r="O298" s="48"/>
      <c r="P298" s="52" t="str">
        <f>IFERROR(__xludf.DUMMYFUNCTION("""COMPUTED_VALUE"""),"")</f>
        <v/>
      </c>
    </row>
    <row r="299">
      <c r="A299" s="48" t="str">
        <f>IFERROR(__xludf.DUMMYFUNCTION("""COMPUTED_VALUE"""),"")</f>
        <v/>
      </c>
      <c r="B299" s="48"/>
      <c r="C299" s="49"/>
      <c r="D299" s="46"/>
      <c r="E299" s="46"/>
      <c r="F299" s="46"/>
      <c r="G299" s="46"/>
      <c r="H299" s="46"/>
      <c r="I299" s="50"/>
      <c r="J299" s="50"/>
      <c r="K299" s="51" t="str">
        <f>IFERROR(__xludf.DUMMYFUNCTION("""COMPUTED_VALUE"""),"")</f>
        <v/>
      </c>
      <c r="L299" s="46" t="str">
        <f>IFERROR(__xludf.DUMMYFUNCTION("""COMPUTED_VALUE"""),"")</f>
        <v/>
      </c>
      <c r="M299" s="46" t="str">
        <f>IFERROR(__xludf.DUMMYFUNCTION("""COMPUTED_VALUE"""),"")</f>
        <v/>
      </c>
      <c r="N299" s="46" t="str">
        <f>IFERROR(__xludf.DUMMYFUNCTION("""COMPUTED_VALUE"""),"")</f>
        <v/>
      </c>
      <c r="O299" s="48"/>
      <c r="P299" s="52" t="str">
        <f>IFERROR(__xludf.DUMMYFUNCTION("""COMPUTED_VALUE"""),"")</f>
        <v/>
      </c>
    </row>
    <row r="300">
      <c r="A300" s="48" t="str">
        <f>IFERROR(__xludf.DUMMYFUNCTION("""COMPUTED_VALUE"""),"")</f>
        <v/>
      </c>
      <c r="B300" s="48"/>
      <c r="C300" s="49"/>
      <c r="D300" s="46"/>
      <c r="E300" s="46"/>
      <c r="F300" s="46"/>
      <c r="G300" s="46"/>
      <c r="H300" s="46"/>
      <c r="I300" s="50"/>
      <c r="J300" s="50"/>
      <c r="K300" s="51" t="str">
        <f>IFERROR(__xludf.DUMMYFUNCTION("""COMPUTED_VALUE"""),"")</f>
        <v/>
      </c>
      <c r="L300" s="46" t="str">
        <f>IFERROR(__xludf.DUMMYFUNCTION("""COMPUTED_VALUE"""),"")</f>
        <v/>
      </c>
      <c r="M300" s="46" t="str">
        <f>IFERROR(__xludf.DUMMYFUNCTION("""COMPUTED_VALUE"""),"")</f>
        <v/>
      </c>
      <c r="N300" s="46" t="str">
        <f>IFERROR(__xludf.DUMMYFUNCTION("""COMPUTED_VALUE"""),"")</f>
        <v/>
      </c>
      <c r="O300" s="48"/>
      <c r="P300" s="52" t="str">
        <f>IFERROR(__xludf.DUMMYFUNCTION("""COMPUTED_VALUE"""),"")</f>
        <v/>
      </c>
    </row>
    <row r="301">
      <c r="A301" s="48" t="str">
        <f>IFERROR(__xludf.DUMMYFUNCTION("""COMPUTED_VALUE"""),"")</f>
        <v/>
      </c>
      <c r="B301" s="48"/>
      <c r="C301" s="49"/>
      <c r="D301" s="46"/>
      <c r="E301" s="46"/>
      <c r="F301" s="46"/>
      <c r="G301" s="46"/>
      <c r="H301" s="46"/>
      <c r="I301" s="50"/>
      <c r="J301" s="50"/>
      <c r="K301" s="51" t="str">
        <f>IFERROR(__xludf.DUMMYFUNCTION("""COMPUTED_VALUE"""),"")</f>
        <v/>
      </c>
      <c r="L301" s="46" t="str">
        <f>IFERROR(__xludf.DUMMYFUNCTION("""COMPUTED_VALUE"""),"")</f>
        <v/>
      </c>
      <c r="M301" s="46" t="str">
        <f>IFERROR(__xludf.DUMMYFUNCTION("""COMPUTED_VALUE"""),"")</f>
        <v/>
      </c>
      <c r="N301" s="46" t="str">
        <f>IFERROR(__xludf.DUMMYFUNCTION("""COMPUTED_VALUE"""),"")</f>
        <v/>
      </c>
      <c r="O301" s="48"/>
      <c r="P301" s="52" t="str">
        <f>IFERROR(__xludf.DUMMYFUNCTION("""COMPUTED_VALUE"""),"")</f>
        <v/>
      </c>
    </row>
    <row r="302">
      <c r="A302" s="48" t="str">
        <f>IFERROR(__xludf.DUMMYFUNCTION("""COMPUTED_VALUE"""),"")</f>
        <v/>
      </c>
      <c r="B302" s="48"/>
      <c r="C302" s="49"/>
      <c r="D302" s="46"/>
      <c r="E302" s="46"/>
      <c r="F302" s="46"/>
      <c r="G302" s="46"/>
      <c r="H302" s="46"/>
      <c r="I302" s="50"/>
      <c r="J302" s="50"/>
      <c r="K302" s="51" t="str">
        <f>IFERROR(__xludf.DUMMYFUNCTION("""COMPUTED_VALUE"""),"")</f>
        <v/>
      </c>
      <c r="L302" s="46" t="str">
        <f>IFERROR(__xludf.DUMMYFUNCTION("""COMPUTED_VALUE"""),"")</f>
        <v/>
      </c>
      <c r="M302" s="46" t="str">
        <f>IFERROR(__xludf.DUMMYFUNCTION("""COMPUTED_VALUE"""),"")</f>
        <v/>
      </c>
      <c r="N302" s="46" t="str">
        <f>IFERROR(__xludf.DUMMYFUNCTION("""COMPUTED_VALUE"""),"")</f>
        <v/>
      </c>
      <c r="O302" s="48"/>
      <c r="P302" s="52" t="str">
        <f>IFERROR(__xludf.DUMMYFUNCTION("""COMPUTED_VALUE"""),"")</f>
        <v/>
      </c>
    </row>
    <row r="303">
      <c r="A303" s="48" t="str">
        <f>IFERROR(__xludf.DUMMYFUNCTION("""COMPUTED_VALUE"""),"")</f>
        <v/>
      </c>
      <c r="B303" s="48"/>
      <c r="C303" s="49"/>
      <c r="D303" s="46"/>
      <c r="E303" s="46"/>
      <c r="F303" s="46"/>
      <c r="G303" s="46"/>
      <c r="H303" s="46"/>
      <c r="I303" s="50"/>
      <c r="J303" s="50"/>
      <c r="K303" s="51" t="str">
        <f>IFERROR(__xludf.DUMMYFUNCTION("""COMPUTED_VALUE"""),"")</f>
        <v/>
      </c>
      <c r="L303" s="46" t="str">
        <f>IFERROR(__xludf.DUMMYFUNCTION("""COMPUTED_VALUE"""),"")</f>
        <v/>
      </c>
      <c r="M303" s="46" t="str">
        <f>IFERROR(__xludf.DUMMYFUNCTION("""COMPUTED_VALUE"""),"")</f>
        <v/>
      </c>
      <c r="N303" s="46" t="str">
        <f>IFERROR(__xludf.DUMMYFUNCTION("""COMPUTED_VALUE"""),"")</f>
        <v/>
      </c>
      <c r="O303" s="48"/>
      <c r="P303" s="52" t="str">
        <f>IFERROR(__xludf.DUMMYFUNCTION("""COMPUTED_VALUE"""),"")</f>
        <v/>
      </c>
    </row>
    <row r="304">
      <c r="A304" s="48" t="str">
        <f>IFERROR(__xludf.DUMMYFUNCTION("""COMPUTED_VALUE"""),"")</f>
        <v/>
      </c>
      <c r="B304" s="48"/>
      <c r="C304" s="49"/>
      <c r="D304" s="46"/>
      <c r="E304" s="46"/>
      <c r="F304" s="46"/>
      <c r="G304" s="46"/>
      <c r="H304" s="46"/>
      <c r="I304" s="50"/>
      <c r="J304" s="50"/>
      <c r="K304" s="51" t="str">
        <f>IFERROR(__xludf.DUMMYFUNCTION("""COMPUTED_VALUE"""),"")</f>
        <v/>
      </c>
      <c r="L304" s="46" t="str">
        <f>IFERROR(__xludf.DUMMYFUNCTION("""COMPUTED_VALUE"""),"")</f>
        <v/>
      </c>
      <c r="M304" s="46" t="str">
        <f>IFERROR(__xludf.DUMMYFUNCTION("""COMPUTED_VALUE"""),"")</f>
        <v/>
      </c>
      <c r="N304" s="46" t="str">
        <f>IFERROR(__xludf.DUMMYFUNCTION("""COMPUTED_VALUE"""),"")</f>
        <v/>
      </c>
      <c r="O304" s="48"/>
      <c r="P304" s="52" t="str">
        <f>IFERROR(__xludf.DUMMYFUNCTION("""COMPUTED_VALUE"""),"")</f>
        <v/>
      </c>
    </row>
    <row r="305">
      <c r="A305" s="48" t="str">
        <f>IFERROR(__xludf.DUMMYFUNCTION("""COMPUTED_VALUE"""),"")</f>
        <v/>
      </c>
      <c r="B305" s="48"/>
      <c r="C305" s="49"/>
      <c r="D305" s="46"/>
      <c r="E305" s="46"/>
      <c r="F305" s="46"/>
      <c r="G305" s="46"/>
      <c r="H305" s="46"/>
      <c r="I305" s="50"/>
      <c r="J305" s="50"/>
      <c r="K305" s="51" t="str">
        <f>IFERROR(__xludf.DUMMYFUNCTION("""COMPUTED_VALUE"""),"")</f>
        <v/>
      </c>
      <c r="L305" s="46" t="str">
        <f>IFERROR(__xludf.DUMMYFUNCTION("""COMPUTED_VALUE"""),"")</f>
        <v/>
      </c>
      <c r="M305" s="46" t="str">
        <f>IFERROR(__xludf.DUMMYFUNCTION("""COMPUTED_VALUE"""),"")</f>
        <v/>
      </c>
      <c r="N305" s="46" t="str">
        <f>IFERROR(__xludf.DUMMYFUNCTION("""COMPUTED_VALUE"""),"")</f>
        <v/>
      </c>
      <c r="O305" s="48"/>
      <c r="P305" s="52" t="str">
        <f>IFERROR(__xludf.DUMMYFUNCTION("""COMPUTED_VALUE"""),"")</f>
        <v/>
      </c>
    </row>
    <row r="306">
      <c r="A306" s="48" t="str">
        <f>IFERROR(__xludf.DUMMYFUNCTION("""COMPUTED_VALUE"""),"")</f>
        <v/>
      </c>
      <c r="B306" s="48"/>
      <c r="C306" s="49"/>
      <c r="D306" s="46"/>
      <c r="E306" s="46"/>
      <c r="F306" s="46"/>
      <c r="G306" s="46"/>
      <c r="H306" s="46"/>
      <c r="I306" s="50"/>
      <c r="J306" s="50"/>
      <c r="K306" s="51" t="str">
        <f>IFERROR(__xludf.DUMMYFUNCTION("""COMPUTED_VALUE"""),"")</f>
        <v/>
      </c>
      <c r="L306" s="46" t="str">
        <f>IFERROR(__xludf.DUMMYFUNCTION("""COMPUTED_VALUE"""),"")</f>
        <v/>
      </c>
      <c r="M306" s="46" t="str">
        <f>IFERROR(__xludf.DUMMYFUNCTION("""COMPUTED_VALUE"""),"")</f>
        <v/>
      </c>
      <c r="N306" s="46" t="str">
        <f>IFERROR(__xludf.DUMMYFUNCTION("""COMPUTED_VALUE"""),"")</f>
        <v/>
      </c>
      <c r="O306" s="48"/>
      <c r="P306" s="52" t="str">
        <f>IFERROR(__xludf.DUMMYFUNCTION("""COMPUTED_VALUE"""),"")</f>
        <v/>
      </c>
    </row>
    <row r="307">
      <c r="A307" s="48" t="str">
        <f>IFERROR(__xludf.DUMMYFUNCTION("""COMPUTED_VALUE"""),"")</f>
        <v/>
      </c>
      <c r="B307" s="48"/>
      <c r="C307" s="49"/>
      <c r="D307" s="46"/>
      <c r="E307" s="46"/>
      <c r="F307" s="46"/>
      <c r="G307" s="46"/>
      <c r="H307" s="46"/>
      <c r="I307" s="50"/>
      <c r="J307" s="50"/>
      <c r="K307" s="51" t="str">
        <f>IFERROR(__xludf.DUMMYFUNCTION("""COMPUTED_VALUE"""),"")</f>
        <v/>
      </c>
      <c r="L307" s="46" t="str">
        <f>IFERROR(__xludf.DUMMYFUNCTION("""COMPUTED_VALUE"""),"")</f>
        <v/>
      </c>
      <c r="M307" s="46" t="str">
        <f>IFERROR(__xludf.DUMMYFUNCTION("""COMPUTED_VALUE"""),"")</f>
        <v/>
      </c>
      <c r="N307" s="46" t="str">
        <f>IFERROR(__xludf.DUMMYFUNCTION("""COMPUTED_VALUE"""),"")</f>
        <v/>
      </c>
      <c r="O307" s="48"/>
      <c r="P307" s="52" t="str">
        <f>IFERROR(__xludf.DUMMYFUNCTION("""COMPUTED_VALUE"""),"")</f>
        <v/>
      </c>
    </row>
    <row r="308">
      <c r="A308" s="48" t="str">
        <f>IFERROR(__xludf.DUMMYFUNCTION("""COMPUTED_VALUE"""),"")</f>
        <v/>
      </c>
      <c r="B308" s="48"/>
      <c r="C308" s="49"/>
      <c r="D308" s="46"/>
      <c r="E308" s="46"/>
      <c r="F308" s="46"/>
      <c r="G308" s="46"/>
      <c r="H308" s="46"/>
      <c r="I308" s="50"/>
      <c r="J308" s="50"/>
      <c r="K308" s="51" t="str">
        <f>IFERROR(__xludf.DUMMYFUNCTION("""COMPUTED_VALUE"""),"")</f>
        <v/>
      </c>
      <c r="L308" s="46" t="str">
        <f>IFERROR(__xludf.DUMMYFUNCTION("""COMPUTED_VALUE"""),"")</f>
        <v/>
      </c>
      <c r="M308" s="46" t="str">
        <f>IFERROR(__xludf.DUMMYFUNCTION("""COMPUTED_VALUE"""),"")</f>
        <v/>
      </c>
      <c r="N308" s="46" t="str">
        <f>IFERROR(__xludf.DUMMYFUNCTION("""COMPUTED_VALUE"""),"")</f>
        <v/>
      </c>
      <c r="O308" s="48"/>
      <c r="P308" s="52" t="str">
        <f>IFERROR(__xludf.DUMMYFUNCTION("""COMPUTED_VALUE"""),"")</f>
        <v/>
      </c>
    </row>
    <row r="309">
      <c r="A309" s="48" t="str">
        <f>IFERROR(__xludf.DUMMYFUNCTION("""COMPUTED_VALUE"""),"")</f>
        <v/>
      </c>
      <c r="B309" s="48"/>
      <c r="C309" s="49"/>
      <c r="D309" s="46"/>
      <c r="E309" s="46"/>
      <c r="F309" s="46"/>
      <c r="G309" s="46"/>
      <c r="H309" s="46"/>
      <c r="I309" s="50"/>
      <c r="J309" s="50"/>
      <c r="K309" s="51" t="str">
        <f>IFERROR(__xludf.DUMMYFUNCTION("""COMPUTED_VALUE"""),"")</f>
        <v/>
      </c>
      <c r="L309" s="46" t="str">
        <f>IFERROR(__xludf.DUMMYFUNCTION("""COMPUTED_VALUE"""),"")</f>
        <v/>
      </c>
      <c r="M309" s="46" t="str">
        <f>IFERROR(__xludf.DUMMYFUNCTION("""COMPUTED_VALUE"""),"")</f>
        <v/>
      </c>
      <c r="N309" s="46" t="str">
        <f>IFERROR(__xludf.DUMMYFUNCTION("""COMPUTED_VALUE"""),"")</f>
        <v/>
      </c>
      <c r="O309" s="48"/>
      <c r="P309" s="52" t="str">
        <f>IFERROR(__xludf.DUMMYFUNCTION("""COMPUTED_VALUE"""),"")</f>
        <v/>
      </c>
    </row>
    <row r="310">
      <c r="A310" s="48" t="str">
        <f>IFERROR(__xludf.DUMMYFUNCTION("""COMPUTED_VALUE"""),"")</f>
        <v/>
      </c>
      <c r="B310" s="48"/>
      <c r="C310" s="49"/>
      <c r="D310" s="46"/>
      <c r="E310" s="46"/>
      <c r="F310" s="46"/>
      <c r="G310" s="46"/>
      <c r="H310" s="46"/>
      <c r="I310" s="50"/>
      <c r="J310" s="50"/>
      <c r="K310" s="51" t="str">
        <f>IFERROR(__xludf.DUMMYFUNCTION("""COMPUTED_VALUE"""),"")</f>
        <v/>
      </c>
      <c r="L310" s="46" t="str">
        <f>IFERROR(__xludf.DUMMYFUNCTION("""COMPUTED_VALUE"""),"")</f>
        <v/>
      </c>
      <c r="M310" s="46" t="str">
        <f>IFERROR(__xludf.DUMMYFUNCTION("""COMPUTED_VALUE"""),"")</f>
        <v/>
      </c>
      <c r="N310" s="46" t="str">
        <f>IFERROR(__xludf.DUMMYFUNCTION("""COMPUTED_VALUE"""),"")</f>
        <v/>
      </c>
      <c r="O310" s="48"/>
      <c r="P310" s="52" t="str">
        <f>IFERROR(__xludf.DUMMYFUNCTION("""COMPUTED_VALUE"""),"")</f>
        <v/>
      </c>
    </row>
    <row r="311">
      <c r="A311" s="48" t="str">
        <f>IFERROR(__xludf.DUMMYFUNCTION("""COMPUTED_VALUE"""),"")</f>
        <v/>
      </c>
      <c r="B311" s="48"/>
      <c r="C311" s="49"/>
      <c r="D311" s="46"/>
      <c r="E311" s="46"/>
      <c r="F311" s="46"/>
      <c r="G311" s="46"/>
      <c r="H311" s="46"/>
      <c r="I311" s="50"/>
      <c r="J311" s="50"/>
      <c r="K311" s="51" t="str">
        <f>IFERROR(__xludf.DUMMYFUNCTION("""COMPUTED_VALUE"""),"")</f>
        <v/>
      </c>
      <c r="L311" s="46" t="str">
        <f>IFERROR(__xludf.DUMMYFUNCTION("""COMPUTED_VALUE"""),"")</f>
        <v/>
      </c>
      <c r="M311" s="46" t="str">
        <f>IFERROR(__xludf.DUMMYFUNCTION("""COMPUTED_VALUE"""),"")</f>
        <v/>
      </c>
      <c r="N311" s="46" t="str">
        <f>IFERROR(__xludf.DUMMYFUNCTION("""COMPUTED_VALUE"""),"")</f>
        <v/>
      </c>
      <c r="O311" s="48"/>
      <c r="P311" s="52" t="str">
        <f>IFERROR(__xludf.DUMMYFUNCTION("""COMPUTED_VALUE"""),"")</f>
        <v/>
      </c>
    </row>
    <row r="312">
      <c r="A312" s="48" t="str">
        <f>IFERROR(__xludf.DUMMYFUNCTION("""COMPUTED_VALUE"""),"")</f>
        <v/>
      </c>
      <c r="B312" s="48"/>
      <c r="C312" s="49"/>
      <c r="D312" s="46"/>
      <c r="E312" s="46"/>
      <c r="F312" s="46"/>
      <c r="G312" s="46"/>
      <c r="H312" s="46"/>
      <c r="I312" s="50"/>
      <c r="J312" s="50"/>
      <c r="K312" s="51" t="str">
        <f>IFERROR(__xludf.DUMMYFUNCTION("""COMPUTED_VALUE"""),"")</f>
        <v/>
      </c>
      <c r="L312" s="46" t="str">
        <f>IFERROR(__xludf.DUMMYFUNCTION("""COMPUTED_VALUE"""),"")</f>
        <v/>
      </c>
      <c r="M312" s="46" t="str">
        <f>IFERROR(__xludf.DUMMYFUNCTION("""COMPUTED_VALUE"""),"")</f>
        <v/>
      </c>
      <c r="N312" s="46" t="str">
        <f>IFERROR(__xludf.DUMMYFUNCTION("""COMPUTED_VALUE"""),"")</f>
        <v/>
      </c>
      <c r="O312" s="48"/>
      <c r="P312" s="52" t="str">
        <f>IFERROR(__xludf.DUMMYFUNCTION("""COMPUTED_VALUE"""),"")</f>
        <v/>
      </c>
    </row>
    <row r="313">
      <c r="A313" s="48" t="str">
        <f>IFERROR(__xludf.DUMMYFUNCTION("""COMPUTED_VALUE"""),"")</f>
        <v/>
      </c>
      <c r="B313" s="48"/>
      <c r="C313" s="49"/>
      <c r="D313" s="46"/>
      <c r="E313" s="46"/>
      <c r="F313" s="46"/>
      <c r="G313" s="46"/>
      <c r="H313" s="46"/>
      <c r="I313" s="50"/>
      <c r="J313" s="50"/>
      <c r="K313" s="51" t="str">
        <f>IFERROR(__xludf.DUMMYFUNCTION("""COMPUTED_VALUE"""),"")</f>
        <v/>
      </c>
      <c r="L313" s="46" t="str">
        <f>IFERROR(__xludf.DUMMYFUNCTION("""COMPUTED_VALUE"""),"")</f>
        <v/>
      </c>
      <c r="M313" s="46" t="str">
        <f>IFERROR(__xludf.DUMMYFUNCTION("""COMPUTED_VALUE"""),"")</f>
        <v/>
      </c>
      <c r="N313" s="46" t="str">
        <f>IFERROR(__xludf.DUMMYFUNCTION("""COMPUTED_VALUE"""),"")</f>
        <v/>
      </c>
      <c r="O313" s="48"/>
      <c r="P313" s="52" t="str">
        <f>IFERROR(__xludf.DUMMYFUNCTION("""COMPUTED_VALUE"""),"")</f>
        <v/>
      </c>
    </row>
    <row r="314">
      <c r="A314" s="48" t="str">
        <f>IFERROR(__xludf.DUMMYFUNCTION("""COMPUTED_VALUE"""),"")</f>
        <v/>
      </c>
      <c r="B314" s="48"/>
      <c r="C314" s="49"/>
      <c r="D314" s="46"/>
      <c r="E314" s="46"/>
      <c r="F314" s="46"/>
      <c r="G314" s="46"/>
      <c r="H314" s="46"/>
      <c r="I314" s="50"/>
      <c r="J314" s="50"/>
      <c r="K314" s="51" t="str">
        <f>IFERROR(__xludf.DUMMYFUNCTION("""COMPUTED_VALUE"""),"")</f>
        <v/>
      </c>
      <c r="L314" s="46" t="str">
        <f>IFERROR(__xludf.DUMMYFUNCTION("""COMPUTED_VALUE"""),"")</f>
        <v/>
      </c>
      <c r="M314" s="46" t="str">
        <f>IFERROR(__xludf.DUMMYFUNCTION("""COMPUTED_VALUE"""),"")</f>
        <v/>
      </c>
      <c r="N314" s="46" t="str">
        <f>IFERROR(__xludf.DUMMYFUNCTION("""COMPUTED_VALUE"""),"")</f>
        <v/>
      </c>
      <c r="O314" s="48"/>
      <c r="P314" s="52" t="str">
        <f>IFERROR(__xludf.DUMMYFUNCTION("""COMPUTED_VALUE"""),"")</f>
        <v/>
      </c>
    </row>
    <row r="315">
      <c r="A315" s="48" t="str">
        <f>IFERROR(__xludf.DUMMYFUNCTION("""COMPUTED_VALUE"""),"")</f>
        <v/>
      </c>
      <c r="B315" s="48"/>
      <c r="C315" s="49"/>
      <c r="D315" s="46"/>
      <c r="E315" s="46"/>
      <c r="F315" s="46"/>
      <c r="G315" s="46"/>
      <c r="H315" s="46"/>
      <c r="I315" s="50"/>
      <c r="J315" s="50"/>
      <c r="K315" s="51" t="str">
        <f>IFERROR(__xludf.DUMMYFUNCTION("""COMPUTED_VALUE"""),"")</f>
        <v/>
      </c>
      <c r="L315" s="46" t="str">
        <f>IFERROR(__xludf.DUMMYFUNCTION("""COMPUTED_VALUE"""),"")</f>
        <v/>
      </c>
      <c r="M315" s="46" t="str">
        <f>IFERROR(__xludf.DUMMYFUNCTION("""COMPUTED_VALUE"""),"")</f>
        <v/>
      </c>
      <c r="N315" s="46" t="str">
        <f>IFERROR(__xludf.DUMMYFUNCTION("""COMPUTED_VALUE"""),"")</f>
        <v/>
      </c>
      <c r="O315" s="48"/>
      <c r="P315" s="52" t="str">
        <f>IFERROR(__xludf.DUMMYFUNCTION("""COMPUTED_VALUE"""),"")</f>
        <v/>
      </c>
    </row>
    <row r="316">
      <c r="A316" s="48" t="str">
        <f>IFERROR(__xludf.DUMMYFUNCTION("""COMPUTED_VALUE"""),"")</f>
        <v/>
      </c>
      <c r="B316" s="48"/>
      <c r="C316" s="49"/>
      <c r="D316" s="46"/>
      <c r="E316" s="46"/>
      <c r="F316" s="46"/>
      <c r="G316" s="46"/>
      <c r="H316" s="46"/>
      <c r="I316" s="50"/>
      <c r="J316" s="50"/>
      <c r="K316" s="51" t="str">
        <f>IFERROR(__xludf.DUMMYFUNCTION("""COMPUTED_VALUE"""),"")</f>
        <v/>
      </c>
      <c r="L316" s="46" t="str">
        <f>IFERROR(__xludf.DUMMYFUNCTION("""COMPUTED_VALUE"""),"")</f>
        <v/>
      </c>
      <c r="M316" s="46" t="str">
        <f>IFERROR(__xludf.DUMMYFUNCTION("""COMPUTED_VALUE"""),"")</f>
        <v/>
      </c>
      <c r="N316" s="46" t="str">
        <f>IFERROR(__xludf.DUMMYFUNCTION("""COMPUTED_VALUE"""),"")</f>
        <v/>
      </c>
      <c r="O316" s="48"/>
      <c r="P316" s="52" t="str">
        <f>IFERROR(__xludf.DUMMYFUNCTION("""COMPUTED_VALUE"""),"")</f>
        <v/>
      </c>
    </row>
    <row r="317">
      <c r="A317" s="48" t="str">
        <f>IFERROR(__xludf.DUMMYFUNCTION("""COMPUTED_VALUE"""),"")</f>
        <v/>
      </c>
      <c r="B317" s="48"/>
      <c r="C317" s="49"/>
      <c r="D317" s="46"/>
      <c r="E317" s="46"/>
      <c r="F317" s="46"/>
      <c r="G317" s="46"/>
      <c r="H317" s="46"/>
      <c r="I317" s="50"/>
      <c r="J317" s="50"/>
      <c r="K317" s="51" t="str">
        <f>IFERROR(__xludf.DUMMYFUNCTION("""COMPUTED_VALUE"""),"")</f>
        <v/>
      </c>
      <c r="L317" s="46" t="str">
        <f>IFERROR(__xludf.DUMMYFUNCTION("""COMPUTED_VALUE"""),"")</f>
        <v/>
      </c>
      <c r="M317" s="46" t="str">
        <f>IFERROR(__xludf.DUMMYFUNCTION("""COMPUTED_VALUE"""),"")</f>
        <v/>
      </c>
      <c r="N317" s="46" t="str">
        <f>IFERROR(__xludf.DUMMYFUNCTION("""COMPUTED_VALUE"""),"")</f>
        <v/>
      </c>
      <c r="O317" s="48"/>
      <c r="P317" s="52" t="str">
        <f>IFERROR(__xludf.DUMMYFUNCTION("""COMPUTED_VALUE"""),"")</f>
        <v/>
      </c>
    </row>
    <row r="318">
      <c r="A318" s="48" t="str">
        <f>IFERROR(__xludf.DUMMYFUNCTION("""COMPUTED_VALUE"""),"")</f>
        <v/>
      </c>
      <c r="B318" s="48"/>
      <c r="C318" s="49"/>
      <c r="D318" s="46"/>
      <c r="E318" s="46"/>
      <c r="F318" s="46"/>
      <c r="G318" s="46"/>
      <c r="H318" s="46"/>
      <c r="I318" s="50"/>
      <c r="J318" s="50"/>
      <c r="K318" s="51" t="str">
        <f>IFERROR(__xludf.DUMMYFUNCTION("""COMPUTED_VALUE"""),"")</f>
        <v/>
      </c>
      <c r="L318" s="46" t="str">
        <f>IFERROR(__xludf.DUMMYFUNCTION("""COMPUTED_VALUE"""),"")</f>
        <v/>
      </c>
      <c r="M318" s="46" t="str">
        <f>IFERROR(__xludf.DUMMYFUNCTION("""COMPUTED_VALUE"""),"")</f>
        <v/>
      </c>
      <c r="N318" s="46" t="str">
        <f>IFERROR(__xludf.DUMMYFUNCTION("""COMPUTED_VALUE"""),"")</f>
        <v/>
      </c>
      <c r="O318" s="48"/>
      <c r="P318" s="52" t="str">
        <f>IFERROR(__xludf.DUMMYFUNCTION("""COMPUTED_VALUE"""),"")</f>
        <v/>
      </c>
    </row>
    <row r="319">
      <c r="A319" s="48" t="str">
        <f>IFERROR(__xludf.DUMMYFUNCTION("""COMPUTED_VALUE"""),"")</f>
        <v/>
      </c>
      <c r="B319" s="48"/>
      <c r="C319" s="49"/>
      <c r="D319" s="46"/>
      <c r="E319" s="46"/>
      <c r="F319" s="46"/>
      <c r="G319" s="46"/>
      <c r="H319" s="46"/>
      <c r="I319" s="50"/>
      <c r="J319" s="50"/>
      <c r="K319" s="51" t="str">
        <f>IFERROR(__xludf.DUMMYFUNCTION("""COMPUTED_VALUE"""),"")</f>
        <v/>
      </c>
      <c r="L319" s="46" t="str">
        <f>IFERROR(__xludf.DUMMYFUNCTION("""COMPUTED_VALUE"""),"")</f>
        <v/>
      </c>
      <c r="M319" s="46" t="str">
        <f>IFERROR(__xludf.DUMMYFUNCTION("""COMPUTED_VALUE"""),"")</f>
        <v/>
      </c>
      <c r="N319" s="46" t="str">
        <f>IFERROR(__xludf.DUMMYFUNCTION("""COMPUTED_VALUE"""),"")</f>
        <v/>
      </c>
      <c r="O319" s="48"/>
      <c r="P319" s="52" t="str">
        <f>IFERROR(__xludf.DUMMYFUNCTION("""COMPUTED_VALUE"""),"")</f>
        <v/>
      </c>
    </row>
    <row r="320">
      <c r="A320" s="48" t="str">
        <f>IFERROR(__xludf.DUMMYFUNCTION("""COMPUTED_VALUE"""),"")</f>
        <v/>
      </c>
      <c r="B320" s="48"/>
      <c r="C320" s="49"/>
      <c r="D320" s="46"/>
      <c r="E320" s="46"/>
      <c r="F320" s="46"/>
      <c r="G320" s="46"/>
      <c r="H320" s="46"/>
      <c r="I320" s="50"/>
      <c r="J320" s="50"/>
      <c r="K320" s="51" t="str">
        <f>IFERROR(__xludf.DUMMYFUNCTION("""COMPUTED_VALUE"""),"")</f>
        <v/>
      </c>
      <c r="L320" s="46" t="str">
        <f>IFERROR(__xludf.DUMMYFUNCTION("""COMPUTED_VALUE"""),"")</f>
        <v/>
      </c>
      <c r="M320" s="46" t="str">
        <f>IFERROR(__xludf.DUMMYFUNCTION("""COMPUTED_VALUE"""),"")</f>
        <v/>
      </c>
      <c r="N320" s="46" t="str">
        <f>IFERROR(__xludf.DUMMYFUNCTION("""COMPUTED_VALUE"""),"")</f>
        <v/>
      </c>
      <c r="O320" s="48"/>
      <c r="P320" s="52" t="str">
        <f>IFERROR(__xludf.DUMMYFUNCTION("""COMPUTED_VALUE"""),"")</f>
        <v/>
      </c>
    </row>
    <row r="321">
      <c r="A321" s="48" t="str">
        <f>IFERROR(__xludf.DUMMYFUNCTION("""COMPUTED_VALUE"""),"")</f>
        <v/>
      </c>
      <c r="B321" s="48"/>
      <c r="C321" s="49"/>
      <c r="D321" s="46"/>
      <c r="E321" s="46"/>
      <c r="F321" s="46"/>
      <c r="G321" s="46"/>
      <c r="H321" s="46"/>
      <c r="I321" s="50"/>
      <c r="J321" s="50"/>
      <c r="K321" s="51" t="str">
        <f>IFERROR(__xludf.DUMMYFUNCTION("""COMPUTED_VALUE"""),"")</f>
        <v/>
      </c>
      <c r="L321" s="46" t="str">
        <f>IFERROR(__xludf.DUMMYFUNCTION("""COMPUTED_VALUE"""),"")</f>
        <v/>
      </c>
      <c r="M321" s="46" t="str">
        <f>IFERROR(__xludf.DUMMYFUNCTION("""COMPUTED_VALUE"""),"")</f>
        <v/>
      </c>
      <c r="N321" s="46" t="str">
        <f>IFERROR(__xludf.DUMMYFUNCTION("""COMPUTED_VALUE"""),"")</f>
        <v/>
      </c>
      <c r="O321" s="48"/>
      <c r="P321" s="52" t="str">
        <f>IFERROR(__xludf.DUMMYFUNCTION("""COMPUTED_VALUE"""),"")</f>
        <v/>
      </c>
    </row>
    <row r="322">
      <c r="A322" s="48" t="str">
        <f>IFERROR(__xludf.DUMMYFUNCTION("""COMPUTED_VALUE"""),"")</f>
        <v/>
      </c>
      <c r="B322" s="48"/>
      <c r="C322" s="49"/>
      <c r="D322" s="46"/>
      <c r="E322" s="46"/>
      <c r="F322" s="46"/>
      <c r="G322" s="46"/>
      <c r="H322" s="46"/>
      <c r="I322" s="50"/>
      <c r="J322" s="50"/>
      <c r="K322" s="51" t="str">
        <f>IFERROR(__xludf.DUMMYFUNCTION("""COMPUTED_VALUE"""),"")</f>
        <v/>
      </c>
      <c r="L322" s="46" t="str">
        <f>IFERROR(__xludf.DUMMYFUNCTION("""COMPUTED_VALUE"""),"")</f>
        <v/>
      </c>
      <c r="M322" s="46" t="str">
        <f>IFERROR(__xludf.DUMMYFUNCTION("""COMPUTED_VALUE"""),"")</f>
        <v/>
      </c>
      <c r="N322" s="46" t="str">
        <f>IFERROR(__xludf.DUMMYFUNCTION("""COMPUTED_VALUE"""),"")</f>
        <v/>
      </c>
      <c r="O322" s="48"/>
      <c r="P322" s="52" t="str">
        <f>IFERROR(__xludf.DUMMYFUNCTION("""COMPUTED_VALUE"""),"")</f>
        <v/>
      </c>
    </row>
    <row r="323">
      <c r="A323" s="48" t="str">
        <f>IFERROR(__xludf.DUMMYFUNCTION("""COMPUTED_VALUE"""),"")</f>
        <v/>
      </c>
      <c r="B323" s="48"/>
      <c r="C323" s="49"/>
      <c r="D323" s="46"/>
      <c r="E323" s="46"/>
      <c r="F323" s="46"/>
      <c r="G323" s="46"/>
      <c r="H323" s="46"/>
      <c r="I323" s="50"/>
      <c r="J323" s="50"/>
      <c r="K323" s="51" t="str">
        <f>IFERROR(__xludf.DUMMYFUNCTION("""COMPUTED_VALUE"""),"")</f>
        <v/>
      </c>
      <c r="L323" s="46" t="str">
        <f>IFERROR(__xludf.DUMMYFUNCTION("""COMPUTED_VALUE"""),"")</f>
        <v/>
      </c>
      <c r="M323" s="46" t="str">
        <f>IFERROR(__xludf.DUMMYFUNCTION("""COMPUTED_VALUE"""),"")</f>
        <v/>
      </c>
      <c r="N323" s="46" t="str">
        <f>IFERROR(__xludf.DUMMYFUNCTION("""COMPUTED_VALUE"""),"")</f>
        <v/>
      </c>
      <c r="O323" s="48"/>
      <c r="P323" s="52" t="str">
        <f>IFERROR(__xludf.DUMMYFUNCTION("""COMPUTED_VALUE"""),"")</f>
        <v/>
      </c>
    </row>
    <row r="324">
      <c r="A324" s="48" t="str">
        <f>IFERROR(__xludf.DUMMYFUNCTION("""COMPUTED_VALUE"""),"")</f>
        <v/>
      </c>
      <c r="B324" s="48"/>
      <c r="C324" s="49"/>
      <c r="D324" s="46"/>
      <c r="E324" s="46"/>
      <c r="F324" s="46"/>
      <c r="G324" s="46"/>
      <c r="H324" s="46"/>
      <c r="I324" s="50"/>
      <c r="J324" s="50"/>
      <c r="K324" s="51" t="str">
        <f>IFERROR(__xludf.DUMMYFUNCTION("""COMPUTED_VALUE"""),"")</f>
        <v/>
      </c>
      <c r="L324" s="46" t="str">
        <f>IFERROR(__xludf.DUMMYFUNCTION("""COMPUTED_VALUE"""),"")</f>
        <v/>
      </c>
      <c r="M324" s="46" t="str">
        <f>IFERROR(__xludf.DUMMYFUNCTION("""COMPUTED_VALUE"""),"")</f>
        <v/>
      </c>
      <c r="N324" s="46" t="str">
        <f>IFERROR(__xludf.DUMMYFUNCTION("""COMPUTED_VALUE"""),"")</f>
        <v/>
      </c>
      <c r="O324" s="48"/>
      <c r="P324" s="52" t="str">
        <f>IFERROR(__xludf.DUMMYFUNCTION("""COMPUTED_VALUE"""),"")</f>
        <v/>
      </c>
    </row>
    <row r="325">
      <c r="A325" s="48" t="str">
        <f>IFERROR(__xludf.DUMMYFUNCTION("""COMPUTED_VALUE"""),"")</f>
        <v/>
      </c>
      <c r="B325" s="48"/>
      <c r="C325" s="49"/>
      <c r="D325" s="46"/>
      <c r="E325" s="46"/>
      <c r="F325" s="46"/>
      <c r="G325" s="46"/>
      <c r="H325" s="46"/>
      <c r="I325" s="50"/>
      <c r="J325" s="50"/>
      <c r="K325" s="51" t="str">
        <f>IFERROR(__xludf.DUMMYFUNCTION("""COMPUTED_VALUE"""),"")</f>
        <v/>
      </c>
      <c r="L325" s="46" t="str">
        <f>IFERROR(__xludf.DUMMYFUNCTION("""COMPUTED_VALUE"""),"")</f>
        <v/>
      </c>
      <c r="M325" s="46" t="str">
        <f>IFERROR(__xludf.DUMMYFUNCTION("""COMPUTED_VALUE"""),"")</f>
        <v/>
      </c>
      <c r="N325" s="46" t="str">
        <f>IFERROR(__xludf.DUMMYFUNCTION("""COMPUTED_VALUE"""),"")</f>
        <v/>
      </c>
      <c r="O325" s="48"/>
      <c r="P325" s="52" t="str">
        <f>IFERROR(__xludf.DUMMYFUNCTION("""COMPUTED_VALUE"""),"")</f>
        <v/>
      </c>
    </row>
    <row r="326">
      <c r="A326" s="48" t="str">
        <f>IFERROR(__xludf.DUMMYFUNCTION("""COMPUTED_VALUE"""),"")</f>
        <v/>
      </c>
      <c r="B326" s="48"/>
      <c r="C326" s="49"/>
      <c r="D326" s="46"/>
      <c r="E326" s="46"/>
      <c r="F326" s="46"/>
      <c r="G326" s="46"/>
      <c r="H326" s="46"/>
      <c r="I326" s="50"/>
      <c r="J326" s="50"/>
      <c r="K326" s="51" t="str">
        <f>IFERROR(__xludf.DUMMYFUNCTION("""COMPUTED_VALUE"""),"")</f>
        <v/>
      </c>
      <c r="L326" s="46" t="str">
        <f>IFERROR(__xludf.DUMMYFUNCTION("""COMPUTED_VALUE"""),"")</f>
        <v/>
      </c>
      <c r="M326" s="46" t="str">
        <f>IFERROR(__xludf.DUMMYFUNCTION("""COMPUTED_VALUE"""),"")</f>
        <v/>
      </c>
      <c r="N326" s="46" t="str">
        <f>IFERROR(__xludf.DUMMYFUNCTION("""COMPUTED_VALUE"""),"")</f>
        <v/>
      </c>
      <c r="O326" s="48"/>
      <c r="P326" s="52" t="str">
        <f>IFERROR(__xludf.DUMMYFUNCTION("""COMPUTED_VALUE"""),"")</f>
        <v/>
      </c>
    </row>
    <row r="327">
      <c r="A327" s="48" t="str">
        <f>IFERROR(__xludf.DUMMYFUNCTION("""COMPUTED_VALUE"""),"")</f>
        <v/>
      </c>
      <c r="B327" s="48"/>
      <c r="C327" s="49"/>
      <c r="D327" s="46"/>
      <c r="E327" s="46"/>
      <c r="F327" s="46"/>
      <c r="G327" s="46"/>
      <c r="H327" s="46"/>
      <c r="I327" s="50"/>
      <c r="J327" s="50"/>
      <c r="K327" s="51" t="str">
        <f>IFERROR(__xludf.DUMMYFUNCTION("""COMPUTED_VALUE"""),"")</f>
        <v/>
      </c>
      <c r="L327" s="46" t="str">
        <f>IFERROR(__xludf.DUMMYFUNCTION("""COMPUTED_VALUE"""),"")</f>
        <v/>
      </c>
      <c r="M327" s="46" t="str">
        <f>IFERROR(__xludf.DUMMYFUNCTION("""COMPUTED_VALUE"""),"")</f>
        <v/>
      </c>
      <c r="N327" s="46" t="str">
        <f>IFERROR(__xludf.DUMMYFUNCTION("""COMPUTED_VALUE"""),"")</f>
        <v/>
      </c>
      <c r="O327" s="48"/>
      <c r="P327" s="52" t="str">
        <f>IFERROR(__xludf.DUMMYFUNCTION("""COMPUTED_VALUE"""),"")</f>
        <v/>
      </c>
    </row>
    <row r="328">
      <c r="A328" s="48" t="str">
        <f>IFERROR(__xludf.DUMMYFUNCTION("""COMPUTED_VALUE"""),"")</f>
        <v/>
      </c>
      <c r="B328" s="48"/>
      <c r="C328" s="49"/>
      <c r="D328" s="46"/>
      <c r="E328" s="46"/>
      <c r="F328" s="46"/>
      <c r="G328" s="46"/>
      <c r="H328" s="46"/>
      <c r="I328" s="50"/>
      <c r="J328" s="50"/>
      <c r="K328" s="51" t="str">
        <f>IFERROR(__xludf.DUMMYFUNCTION("""COMPUTED_VALUE"""),"")</f>
        <v/>
      </c>
      <c r="L328" s="46" t="str">
        <f>IFERROR(__xludf.DUMMYFUNCTION("""COMPUTED_VALUE"""),"")</f>
        <v/>
      </c>
      <c r="M328" s="46" t="str">
        <f>IFERROR(__xludf.DUMMYFUNCTION("""COMPUTED_VALUE"""),"")</f>
        <v/>
      </c>
      <c r="N328" s="46" t="str">
        <f>IFERROR(__xludf.DUMMYFUNCTION("""COMPUTED_VALUE"""),"")</f>
        <v/>
      </c>
      <c r="O328" s="48"/>
      <c r="P328" s="52" t="str">
        <f>IFERROR(__xludf.DUMMYFUNCTION("""COMPUTED_VALUE"""),"")</f>
        <v/>
      </c>
    </row>
    <row r="329">
      <c r="A329" s="48" t="str">
        <f>IFERROR(__xludf.DUMMYFUNCTION("""COMPUTED_VALUE"""),"")</f>
        <v/>
      </c>
      <c r="B329" s="48"/>
      <c r="C329" s="49"/>
      <c r="D329" s="46"/>
      <c r="E329" s="46"/>
      <c r="F329" s="46"/>
      <c r="G329" s="46"/>
      <c r="H329" s="46"/>
      <c r="I329" s="50"/>
      <c r="J329" s="50"/>
      <c r="K329" s="51" t="str">
        <f>IFERROR(__xludf.DUMMYFUNCTION("""COMPUTED_VALUE"""),"")</f>
        <v/>
      </c>
      <c r="L329" s="46" t="str">
        <f>IFERROR(__xludf.DUMMYFUNCTION("""COMPUTED_VALUE"""),"")</f>
        <v/>
      </c>
      <c r="M329" s="46" t="str">
        <f>IFERROR(__xludf.DUMMYFUNCTION("""COMPUTED_VALUE"""),"")</f>
        <v/>
      </c>
      <c r="N329" s="46" t="str">
        <f>IFERROR(__xludf.DUMMYFUNCTION("""COMPUTED_VALUE"""),"")</f>
        <v/>
      </c>
      <c r="O329" s="48"/>
      <c r="P329" s="52" t="str">
        <f>IFERROR(__xludf.DUMMYFUNCTION("""COMPUTED_VALUE"""),"")</f>
        <v/>
      </c>
    </row>
    <row r="330">
      <c r="A330" s="48" t="str">
        <f>IFERROR(__xludf.DUMMYFUNCTION("""COMPUTED_VALUE"""),"")</f>
        <v/>
      </c>
      <c r="B330" s="48"/>
      <c r="C330" s="49"/>
      <c r="D330" s="46"/>
      <c r="E330" s="46"/>
      <c r="F330" s="46"/>
      <c r="G330" s="46"/>
      <c r="H330" s="46"/>
      <c r="I330" s="50"/>
      <c r="J330" s="50"/>
      <c r="K330" s="51" t="str">
        <f>IFERROR(__xludf.DUMMYFUNCTION("""COMPUTED_VALUE"""),"")</f>
        <v/>
      </c>
      <c r="L330" s="46" t="str">
        <f>IFERROR(__xludf.DUMMYFUNCTION("""COMPUTED_VALUE"""),"")</f>
        <v/>
      </c>
      <c r="M330" s="46" t="str">
        <f>IFERROR(__xludf.DUMMYFUNCTION("""COMPUTED_VALUE"""),"")</f>
        <v/>
      </c>
      <c r="N330" s="46" t="str">
        <f>IFERROR(__xludf.DUMMYFUNCTION("""COMPUTED_VALUE"""),"")</f>
        <v/>
      </c>
      <c r="O330" s="48"/>
      <c r="P330" s="52" t="str">
        <f>IFERROR(__xludf.DUMMYFUNCTION("""COMPUTED_VALUE"""),"")</f>
        <v/>
      </c>
    </row>
    <row r="331">
      <c r="A331" s="48" t="str">
        <f>IFERROR(__xludf.DUMMYFUNCTION("""COMPUTED_VALUE"""),"")</f>
        <v/>
      </c>
      <c r="B331" s="48"/>
      <c r="C331" s="49"/>
      <c r="D331" s="46"/>
      <c r="E331" s="46"/>
      <c r="F331" s="46"/>
      <c r="G331" s="46"/>
      <c r="H331" s="46"/>
      <c r="I331" s="50"/>
      <c r="J331" s="50"/>
      <c r="K331" s="51" t="str">
        <f>IFERROR(__xludf.DUMMYFUNCTION("""COMPUTED_VALUE"""),"")</f>
        <v/>
      </c>
      <c r="L331" s="46" t="str">
        <f>IFERROR(__xludf.DUMMYFUNCTION("""COMPUTED_VALUE"""),"")</f>
        <v/>
      </c>
      <c r="M331" s="46" t="str">
        <f>IFERROR(__xludf.DUMMYFUNCTION("""COMPUTED_VALUE"""),"")</f>
        <v/>
      </c>
      <c r="N331" s="46" t="str">
        <f>IFERROR(__xludf.DUMMYFUNCTION("""COMPUTED_VALUE"""),"")</f>
        <v/>
      </c>
      <c r="O331" s="48"/>
      <c r="P331" s="52" t="str">
        <f>IFERROR(__xludf.DUMMYFUNCTION("""COMPUTED_VALUE"""),"")</f>
        <v/>
      </c>
    </row>
    <row r="332">
      <c r="A332" s="48" t="str">
        <f>IFERROR(__xludf.DUMMYFUNCTION("""COMPUTED_VALUE"""),"")</f>
        <v/>
      </c>
      <c r="B332" s="48"/>
      <c r="C332" s="49"/>
      <c r="D332" s="46"/>
      <c r="E332" s="46"/>
      <c r="F332" s="46"/>
      <c r="G332" s="46"/>
      <c r="H332" s="46"/>
      <c r="I332" s="50"/>
      <c r="J332" s="50"/>
      <c r="K332" s="51" t="str">
        <f>IFERROR(__xludf.DUMMYFUNCTION("""COMPUTED_VALUE"""),"")</f>
        <v/>
      </c>
      <c r="L332" s="46" t="str">
        <f>IFERROR(__xludf.DUMMYFUNCTION("""COMPUTED_VALUE"""),"")</f>
        <v/>
      </c>
      <c r="M332" s="46" t="str">
        <f>IFERROR(__xludf.DUMMYFUNCTION("""COMPUTED_VALUE"""),"")</f>
        <v/>
      </c>
      <c r="N332" s="46" t="str">
        <f>IFERROR(__xludf.DUMMYFUNCTION("""COMPUTED_VALUE"""),"")</f>
        <v/>
      </c>
      <c r="O332" s="48"/>
      <c r="P332" s="52" t="str">
        <f>IFERROR(__xludf.DUMMYFUNCTION("""COMPUTED_VALUE"""),"")</f>
        <v/>
      </c>
    </row>
    <row r="333">
      <c r="A333" s="48" t="str">
        <f>IFERROR(__xludf.DUMMYFUNCTION("""COMPUTED_VALUE"""),"")</f>
        <v/>
      </c>
      <c r="B333" s="48"/>
      <c r="C333" s="49"/>
      <c r="D333" s="46"/>
      <c r="E333" s="46"/>
      <c r="F333" s="46"/>
      <c r="G333" s="46"/>
      <c r="H333" s="46"/>
      <c r="I333" s="50"/>
      <c r="J333" s="50"/>
      <c r="K333" s="51" t="str">
        <f>IFERROR(__xludf.DUMMYFUNCTION("""COMPUTED_VALUE"""),"")</f>
        <v/>
      </c>
      <c r="L333" s="46" t="str">
        <f>IFERROR(__xludf.DUMMYFUNCTION("""COMPUTED_VALUE"""),"")</f>
        <v/>
      </c>
      <c r="M333" s="46" t="str">
        <f>IFERROR(__xludf.DUMMYFUNCTION("""COMPUTED_VALUE"""),"")</f>
        <v/>
      </c>
      <c r="N333" s="46" t="str">
        <f>IFERROR(__xludf.DUMMYFUNCTION("""COMPUTED_VALUE"""),"")</f>
        <v/>
      </c>
      <c r="O333" s="48"/>
      <c r="P333" s="52" t="str">
        <f>IFERROR(__xludf.DUMMYFUNCTION("""COMPUTED_VALUE"""),"")</f>
        <v/>
      </c>
    </row>
    <row r="334">
      <c r="A334" s="48" t="str">
        <f>IFERROR(__xludf.DUMMYFUNCTION("""COMPUTED_VALUE"""),"")</f>
        <v/>
      </c>
      <c r="B334" s="48"/>
      <c r="C334" s="49"/>
      <c r="D334" s="46"/>
      <c r="E334" s="46"/>
      <c r="F334" s="46"/>
      <c r="G334" s="46"/>
      <c r="H334" s="46"/>
      <c r="I334" s="50"/>
      <c r="J334" s="50"/>
      <c r="K334" s="51" t="str">
        <f>IFERROR(__xludf.DUMMYFUNCTION("""COMPUTED_VALUE"""),"")</f>
        <v/>
      </c>
      <c r="L334" s="46" t="str">
        <f>IFERROR(__xludf.DUMMYFUNCTION("""COMPUTED_VALUE"""),"")</f>
        <v/>
      </c>
      <c r="M334" s="46" t="str">
        <f>IFERROR(__xludf.DUMMYFUNCTION("""COMPUTED_VALUE"""),"")</f>
        <v/>
      </c>
      <c r="N334" s="46" t="str">
        <f>IFERROR(__xludf.DUMMYFUNCTION("""COMPUTED_VALUE"""),"")</f>
        <v/>
      </c>
      <c r="O334" s="48"/>
      <c r="P334" s="52" t="str">
        <f>IFERROR(__xludf.DUMMYFUNCTION("""COMPUTED_VALUE"""),"")</f>
        <v/>
      </c>
    </row>
    <row r="335">
      <c r="A335" s="48" t="str">
        <f>IFERROR(__xludf.DUMMYFUNCTION("""COMPUTED_VALUE"""),"")</f>
        <v/>
      </c>
      <c r="B335" s="48"/>
      <c r="C335" s="49"/>
      <c r="D335" s="46"/>
      <c r="E335" s="46"/>
      <c r="F335" s="46"/>
      <c r="G335" s="46"/>
      <c r="H335" s="46"/>
      <c r="I335" s="50"/>
      <c r="J335" s="50"/>
      <c r="K335" s="51" t="str">
        <f>IFERROR(__xludf.DUMMYFUNCTION("""COMPUTED_VALUE"""),"")</f>
        <v/>
      </c>
      <c r="L335" s="46" t="str">
        <f>IFERROR(__xludf.DUMMYFUNCTION("""COMPUTED_VALUE"""),"")</f>
        <v/>
      </c>
      <c r="M335" s="46" t="str">
        <f>IFERROR(__xludf.DUMMYFUNCTION("""COMPUTED_VALUE"""),"")</f>
        <v/>
      </c>
      <c r="N335" s="46" t="str">
        <f>IFERROR(__xludf.DUMMYFUNCTION("""COMPUTED_VALUE"""),"")</f>
        <v/>
      </c>
      <c r="O335" s="48"/>
      <c r="P335" s="52" t="str">
        <f>IFERROR(__xludf.DUMMYFUNCTION("""COMPUTED_VALUE"""),"")</f>
        <v/>
      </c>
    </row>
    <row r="336">
      <c r="A336" s="48" t="str">
        <f>IFERROR(__xludf.DUMMYFUNCTION("""COMPUTED_VALUE"""),"")</f>
        <v/>
      </c>
      <c r="B336" s="48"/>
      <c r="C336" s="49"/>
      <c r="D336" s="46"/>
      <c r="E336" s="46"/>
      <c r="F336" s="46"/>
      <c r="G336" s="46"/>
      <c r="H336" s="46"/>
      <c r="I336" s="50"/>
      <c r="J336" s="50"/>
      <c r="K336" s="51" t="str">
        <f>IFERROR(__xludf.DUMMYFUNCTION("""COMPUTED_VALUE"""),"")</f>
        <v/>
      </c>
      <c r="L336" s="46" t="str">
        <f>IFERROR(__xludf.DUMMYFUNCTION("""COMPUTED_VALUE"""),"")</f>
        <v/>
      </c>
      <c r="M336" s="46" t="str">
        <f>IFERROR(__xludf.DUMMYFUNCTION("""COMPUTED_VALUE"""),"")</f>
        <v/>
      </c>
      <c r="N336" s="46" t="str">
        <f>IFERROR(__xludf.DUMMYFUNCTION("""COMPUTED_VALUE"""),"")</f>
        <v/>
      </c>
      <c r="O336" s="48"/>
      <c r="P336" s="52" t="str">
        <f>IFERROR(__xludf.DUMMYFUNCTION("""COMPUTED_VALUE"""),"")</f>
        <v/>
      </c>
    </row>
    <row r="337">
      <c r="A337" s="48" t="str">
        <f>IFERROR(__xludf.DUMMYFUNCTION("""COMPUTED_VALUE"""),"")</f>
        <v/>
      </c>
      <c r="B337" s="48"/>
      <c r="C337" s="49"/>
      <c r="D337" s="46"/>
      <c r="E337" s="46"/>
      <c r="F337" s="46"/>
      <c r="G337" s="46"/>
      <c r="H337" s="46"/>
      <c r="I337" s="50"/>
      <c r="J337" s="50"/>
      <c r="K337" s="51" t="str">
        <f>IFERROR(__xludf.DUMMYFUNCTION("""COMPUTED_VALUE"""),"")</f>
        <v/>
      </c>
      <c r="L337" s="46" t="str">
        <f>IFERROR(__xludf.DUMMYFUNCTION("""COMPUTED_VALUE"""),"")</f>
        <v/>
      </c>
      <c r="M337" s="46" t="str">
        <f>IFERROR(__xludf.DUMMYFUNCTION("""COMPUTED_VALUE"""),"")</f>
        <v/>
      </c>
      <c r="N337" s="46" t="str">
        <f>IFERROR(__xludf.DUMMYFUNCTION("""COMPUTED_VALUE"""),"")</f>
        <v/>
      </c>
      <c r="O337" s="48"/>
      <c r="P337" s="52" t="str">
        <f>IFERROR(__xludf.DUMMYFUNCTION("""COMPUTED_VALUE"""),"")</f>
        <v/>
      </c>
    </row>
    <row r="338">
      <c r="A338" s="48" t="str">
        <f>IFERROR(__xludf.DUMMYFUNCTION("""COMPUTED_VALUE"""),"")</f>
        <v/>
      </c>
      <c r="B338" s="48"/>
      <c r="C338" s="49"/>
      <c r="D338" s="46"/>
      <c r="E338" s="46"/>
      <c r="F338" s="46"/>
      <c r="G338" s="46"/>
      <c r="H338" s="46"/>
      <c r="I338" s="50"/>
      <c r="J338" s="50"/>
      <c r="K338" s="51" t="str">
        <f>IFERROR(__xludf.DUMMYFUNCTION("""COMPUTED_VALUE"""),"")</f>
        <v/>
      </c>
      <c r="L338" s="46" t="str">
        <f>IFERROR(__xludf.DUMMYFUNCTION("""COMPUTED_VALUE"""),"")</f>
        <v/>
      </c>
      <c r="M338" s="46" t="str">
        <f>IFERROR(__xludf.DUMMYFUNCTION("""COMPUTED_VALUE"""),"")</f>
        <v/>
      </c>
      <c r="N338" s="46" t="str">
        <f>IFERROR(__xludf.DUMMYFUNCTION("""COMPUTED_VALUE"""),"")</f>
        <v/>
      </c>
      <c r="O338" s="48"/>
      <c r="P338" s="52" t="str">
        <f>IFERROR(__xludf.DUMMYFUNCTION("""COMPUTED_VALUE"""),"")</f>
        <v/>
      </c>
    </row>
    <row r="339">
      <c r="A339" s="48" t="str">
        <f>IFERROR(__xludf.DUMMYFUNCTION("""COMPUTED_VALUE"""),"")</f>
        <v/>
      </c>
      <c r="B339" s="48"/>
      <c r="C339" s="49"/>
      <c r="D339" s="46"/>
      <c r="E339" s="46"/>
      <c r="F339" s="46"/>
      <c r="G339" s="46"/>
      <c r="H339" s="46"/>
      <c r="I339" s="50"/>
      <c r="J339" s="50"/>
      <c r="K339" s="51" t="str">
        <f>IFERROR(__xludf.DUMMYFUNCTION("""COMPUTED_VALUE"""),"")</f>
        <v/>
      </c>
      <c r="L339" s="46" t="str">
        <f>IFERROR(__xludf.DUMMYFUNCTION("""COMPUTED_VALUE"""),"")</f>
        <v/>
      </c>
      <c r="M339" s="46" t="str">
        <f>IFERROR(__xludf.DUMMYFUNCTION("""COMPUTED_VALUE"""),"")</f>
        <v/>
      </c>
      <c r="N339" s="46" t="str">
        <f>IFERROR(__xludf.DUMMYFUNCTION("""COMPUTED_VALUE"""),"")</f>
        <v/>
      </c>
      <c r="O339" s="48"/>
      <c r="P339" s="52" t="str">
        <f>IFERROR(__xludf.DUMMYFUNCTION("""COMPUTED_VALUE"""),"")</f>
        <v/>
      </c>
    </row>
    <row r="340">
      <c r="A340" s="48" t="str">
        <f>IFERROR(__xludf.DUMMYFUNCTION("""COMPUTED_VALUE"""),"")</f>
        <v/>
      </c>
      <c r="B340" s="48"/>
      <c r="C340" s="49"/>
      <c r="D340" s="46"/>
      <c r="E340" s="46"/>
      <c r="F340" s="46"/>
      <c r="G340" s="46"/>
      <c r="H340" s="46"/>
      <c r="I340" s="50"/>
      <c r="J340" s="50"/>
      <c r="K340" s="51" t="str">
        <f>IFERROR(__xludf.DUMMYFUNCTION("""COMPUTED_VALUE"""),"")</f>
        <v/>
      </c>
      <c r="L340" s="46" t="str">
        <f>IFERROR(__xludf.DUMMYFUNCTION("""COMPUTED_VALUE"""),"")</f>
        <v/>
      </c>
      <c r="M340" s="46" t="str">
        <f>IFERROR(__xludf.DUMMYFUNCTION("""COMPUTED_VALUE"""),"")</f>
        <v/>
      </c>
      <c r="N340" s="46" t="str">
        <f>IFERROR(__xludf.DUMMYFUNCTION("""COMPUTED_VALUE"""),"")</f>
        <v/>
      </c>
      <c r="O340" s="48"/>
      <c r="P340" s="52" t="str">
        <f>IFERROR(__xludf.DUMMYFUNCTION("""COMPUTED_VALUE"""),"")</f>
        <v/>
      </c>
    </row>
    <row r="341">
      <c r="A341" s="48" t="str">
        <f>IFERROR(__xludf.DUMMYFUNCTION("""COMPUTED_VALUE"""),"")</f>
        <v/>
      </c>
      <c r="B341" s="48"/>
      <c r="C341" s="49"/>
      <c r="D341" s="46"/>
      <c r="E341" s="46"/>
      <c r="F341" s="46"/>
      <c r="G341" s="46"/>
      <c r="H341" s="46"/>
      <c r="I341" s="50"/>
      <c r="J341" s="50"/>
      <c r="K341" s="51" t="str">
        <f>IFERROR(__xludf.DUMMYFUNCTION("""COMPUTED_VALUE"""),"")</f>
        <v/>
      </c>
      <c r="L341" s="46" t="str">
        <f>IFERROR(__xludf.DUMMYFUNCTION("""COMPUTED_VALUE"""),"")</f>
        <v/>
      </c>
      <c r="M341" s="46" t="str">
        <f>IFERROR(__xludf.DUMMYFUNCTION("""COMPUTED_VALUE"""),"")</f>
        <v/>
      </c>
      <c r="N341" s="46" t="str">
        <f>IFERROR(__xludf.DUMMYFUNCTION("""COMPUTED_VALUE"""),"")</f>
        <v/>
      </c>
      <c r="O341" s="48"/>
      <c r="P341" s="52" t="str">
        <f>IFERROR(__xludf.DUMMYFUNCTION("""COMPUTED_VALUE"""),"")</f>
        <v/>
      </c>
    </row>
    <row r="342">
      <c r="A342" s="48" t="str">
        <f>IFERROR(__xludf.DUMMYFUNCTION("""COMPUTED_VALUE"""),"")</f>
        <v/>
      </c>
      <c r="B342" s="48"/>
      <c r="C342" s="49"/>
      <c r="D342" s="46"/>
      <c r="E342" s="46"/>
      <c r="F342" s="46"/>
      <c r="G342" s="46"/>
      <c r="H342" s="46"/>
      <c r="I342" s="50"/>
      <c r="J342" s="50"/>
      <c r="K342" s="51" t="str">
        <f>IFERROR(__xludf.DUMMYFUNCTION("""COMPUTED_VALUE"""),"")</f>
        <v/>
      </c>
      <c r="L342" s="46" t="str">
        <f>IFERROR(__xludf.DUMMYFUNCTION("""COMPUTED_VALUE"""),"")</f>
        <v/>
      </c>
      <c r="M342" s="46" t="str">
        <f>IFERROR(__xludf.DUMMYFUNCTION("""COMPUTED_VALUE"""),"")</f>
        <v/>
      </c>
      <c r="N342" s="46" t="str">
        <f>IFERROR(__xludf.DUMMYFUNCTION("""COMPUTED_VALUE"""),"")</f>
        <v/>
      </c>
      <c r="O342" s="48"/>
      <c r="P342" s="52" t="str">
        <f>IFERROR(__xludf.DUMMYFUNCTION("""COMPUTED_VALUE"""),"")</f>
        <v/>
      </c>
    </row>
    <row r="343">
      <c r="A343" s="48" t="str">
        <f>IFERROR(__xludf.DUMMYFUNCTION("""COMPUTED_VALUE"""),"")</f>
        <v/>
      </c>
      <c r="B343" s="48"/>
      <c r="C343" s="49"/>
      <c r="D343" s="46"/>
      <c r="E343" s="46"/>
      <c r="F343" s="46"/>
      <c r="G343" s="46"/>
      <c r="H343" s="46"/>
      <c r="I343" s="50"/>
      <c r="J343" s="50"/>
      <c r="K343" s="51" t="str">
        <f>IFERROR(__xludf.DUMMYFUNCTION("""COMPUTED_VALUE"""),"")</f>
        <v/>
      </c>
      <c r="L343" s="46" t="str">
        <f>IFERROR(__xludf.DUMMYFUNCTION("""COMPUTED_VALUE"""),"")</f>
        <v/>
      </c>
      <c r="M343" s="46" t="str">
        <f>IFERROR(__xludf.DUMMYFUNCTION("""COMPUTED_VALUE"""),"")</f>
        <v/>
      </c>
      <c r="N343" s="46" t="str">
        <f>IFERROR(__xludf.DUMMYFUNCTION("""COMPUTED_VALUE"""),"")</f>
        <v/>
      </c>
      <c r="O343" s="48"/>
      <c r="P343" s="52" t="str">
        <f>IFERROR(__xludf.DUMMYFUNCTION("""COMPUTED_VALUE"""),"")</f>
        <v/>
      </c>
    </row>
    <row r="344">
      <c r="A344" s="48" t="str">
        <f>IFERROR(__xludf.DUMMYFUNCTION("""COMPUTED_VALUE"""),"")</f>
        <v/>
      </c>
      <c r="B344" s="48"/>
      <c r="C344" s="49"/>
      <c r="D344" s="46"/>
      <c r="E344" s="46"/>
      <c r="F344" s="46"/>
      <c r="G344" s="46"/>
      <c r="H344" s="46"/>
      <c r="I344" s="50"/>
      <c r="J344" s="50"/>
      <c r="K344" s="51" t="str">
        <f>IFERROR(__xludf.DUMMYFUNCTION("""COMPUTED_VALUE"""),"")</f>
        <v/>
      </c>
      <c r="L344" s="46" t="str">
        <f>IFERROR(__xludf.DUMMYFUNCTION("""COMPUTED_VALUE"""),"")</f>
        <v/>
      </c>
      <c r="M344" s="46" t="str">
        <f>IFERROR(__xludf.DUMMYFUNCTION("""COMPUTED_VALUE"""),"")</f>
        <v/>
      </c>
      <c r="N344" s="46" t="str">
        <f>IFERROR(__xludf.DUMMYFUNCTION("""COMPUTED_VALUE"""),"")</f>
        <v/>
      </c>
      <c r="O344" s="48"/>
      <c r="P344" s="52" t="str">
        <f>IFERROR(__xludf.DUMMYFUNCTION("""COMPUTED_VALUE"""),"")</f>
        <v/>
      </c>
    </row>
    <row r="345">
      <c r="A345" s="48" t="str">
        <f>IFERROR(__xludf.DUMMYFUNCTION("""COMPUTED_VALUE"""),"")</f>
        <v/>
      </c>
      <c r="B345" s="48"/>
      <c r="C345" s="49"/>
      <c r="D345" s="46"/>
      <c r="E345" s="46"/>
      <c r="F345" s="46"/>
      <c r="G345" s="46"/>
      <c r="H345" s="46"/>
      <c r="I345" s="50"/>
      <c r="J345" s="50"/>
      <c r="K345" s="51" t="str">
        <f>IFERROR(__xludf.DUMMYFUNCTION("""COMPUTED_VALUE"""),"")</f>
        <v/>
      </c>
      <c r="L345" s="46" t="str">
        <f>IFERROR(__xludf.DUMMYFUNCTION("""COMPUTED_VALUE"""),"")</f>
        <v/>
      </c>
      <c r="M345" s="46" t="str">
        <f>IFERROR(__xludf.DUMMYFUNCTION("""COMPUTED_VALUE"""),"")</f>
        <v/>
      </c>
      <c r="N345" s="46" t="str">
        <f>IFERROR(__xludf.DUMMYFUNCTION("""COMPUTED_VALUE"""),"")</f>
        <v/>
      </c>
      <c r="O345" s="48"/>
      <c r="P345" s="52" t="str">
        <f>IFERROR(__xludf.DUMMYFUNCTION("""COMPUTED_VALUE"""),"")</f>
        <v/>
      </c>
    </row>
    <row r="346">
      <c r="A346" s="48" t="str">
        <f>IFERROR(__xludf.DUMMYFUNCTION("""COMPUTED_VALUE"""),"")</f>
        <v/>
      </c>
      <c r="B346" s="48"/>
      <c r="C346" s="49"/>
      <c r="D346" s="46"/>
      <c r="E346" s="46"/>
      <c r="F346" s="46"/>
      <c r="G346" s="46"/>
      <c r="H346" s="46"/>
      <c r="I346" s="50"/>
      <c r="J346" s="50"/>
      <c r="K346" s="51" t="str">
        <f>IFERROR(__xludf.DUMMYFUNCTION("""COMPUTED_VALUE"""),"")</f>
        <v/>
      </c>
      <c r="L346" s="46" t="str">
        <f>IFERROR(__xludf.DUMMYFUNCTION("""COMPUTED_VALUE"""),"")</f>
        <v/>
      </c>
      <c r="M346" s="46" t="str">
        <f>IFERROR(__xludf.DUMMYFUNCTION("""COMPUTED_VALUE"""),"")</f>
        <v/>
      </c>
      <c r="N346" s="46" t="str">
        <f>IFERROR(__xludf.DUMMYFUNCTION("""COMPUTED_VALUE"""),"")</f>
        <v/>
      </c>
      <c r="O346" s="48"/>
      <c r="P346" s="52" t="str">
        <f>IFERROR(__xludf.DUMMYFUNCTION("""COMPUTED_VALUE"""),"")</f>
        <v/>
      </c>
    </row>
    <row r="347">
      <c r="A347" s="48" t="str">
        <f>IFERROR(__xludf.DUMMYFUNCTION("""COMPUTED_VALUE"""),"")</f>
        <v/>
      </c>
      <c r="B347" s="48"/>
      <c r="C347" s="49"/>
      <c r="D347" s="46"/>
      <c r="E347" s="46"/>
      <c r="F347" s="46"/>
      <c r="G347" s="46"/>
      <c r="H347" s="46"/>
      <c r="I347" s="50"/>
      <c r="J347" s="50"/>
      <c r="K347" s="51" t="str">
        <f>IFERROR(__xludf.DUMMYFUNCTION("""COMPUTED_VALUE"""),"")</f>
        <v/>
      </c>
      <c r="L347" s="46" t="str">
        <f>IFERROR(__xludf.DUMMYFUNCTION("""COMPUTED_VALUE"""),"")</f>
        <v/>
      </c>
      <c r="M347" s="46" t="str">
        <f>IFERROR(__xludf.DUMMYFUNCTION("""COMPUTED_VALUE"""),"")</f>
        <v/>
      </c>
      <c r="N347" s="46" t="str">
        <f>IFERROR(__xludf.DUMMYFUNCTION("""COMPUTED_VALUE"""),"")</f>
        <v/>
      </c>
      <c r="O347" s="48"/>
      <c r="P347" s="52" t="str">
        <f>IFERROR(__xludf.DUMMYFUNCTION("""COMPUTED_VALUE"""),"")</f>
        <v/>
      </c>
    </row>
    <row r="348">
      <c r="A348" s="48" t="str">
        <f>IFERROR(__xludf.DUMMYFUNCTION("""COMPUTED_VALUE"""),"")</f>
        <v/>
      </c>
      <c r="B348" s="48"/>
      <c r="C348" s="49"/>
      <c r="D348" s="46"/>
      <c r="E348" s="46"/>
      <c r="F348" s="46"/>
      <c r="G348" s="46"/>
      <c r="H348" s="46"/>
      <c r="I348" s="50"/>
      <c r="J348" s="50"/>
      <c r="K348" s="51" t="str">
        <f>IFERROR(__xludf.DUMMYFUNCTION("""COMPUTED_VALUE"""),"")</f>
        <v/>
      </c>
      <c r="L348" s="46" t="str">
        <f>IFERROR(__xludf.DUMMYFUNCTION("""COMPUTED_VALUE"""),"")</f>
        <v/>
      </c>
      <c r="M348" s="46" t="str">
        <f>IFERROR(__xludf.DUMMYFUNCTION("""COMPUTED_VALUE"""),"")</f>
        <v/>
      </c>
      <c r="N348" s="46" t="str">
        <f>IFERROR(__xludf.DUMMYFUNCTION("""COMPUTED_VALUE"""),"")</f>
        <v/>
      </c>
      <c r="O348" s="48"/>
      <c r="P348" s="52" t="str">
        <f>IFERROR(__xludf.DUMMYFUNCTION("""COMPUTED_VALUE"""),"")</f>
        <v/>
      </c>
    </row>
    <row r="349">
      <c r="A349" s="48" t="str">
        <f>IFERROR(__xludf.DUMMYFUNCTION("""COMPUTED_VALUE"""),"")</f>
        <v/>
      </c>
      <c r="B349" s="48"/>
      <c r="C349" s="49"/>
      <c r="D349" s="46"/>
      <c r="E349" s="46"/>
      <c r="F349" s="46"/>
      <c r="G349" s="46"/>
      <c r="H349" s="46"/>
      <c r="I349" s="50"/>
      <c r="J349" s="50"/>
      <c r="K349" s="51" t="str">
        <f>IFERROR(__xludf.DUMMYFUNCTION("""COMPUTED_VALUE"""),"")</f>
        <v/>
      </c>
      <c r="L349" s="46" t="str">
        <f>IFERROR(__xludf.DUMMYFUNCTION("""COMPUTED_VALUE"""),"")</f>
        <v/>
      </c>
      <c r="M349" s="46" t="str">
        <f>IFERROR(__xludf.DUMMYFUNCTION("""COMPUTED_VALUE"""),"")</f>
        <v/>
      </c>
      <c r="N349" s="46" t="str">
        <f>IFERROR(__xludf.DUMMYFUNCTION("""COMPUTED_VALUE"""),"")</f>
        <v/>
      </c>
      <c r="O349" s="48"/>
      <c r="P349" s="52" t="str">
        <f>IFERROR(__xludf.DUMMYFUNCTION("""COMPUTED_VALUE"""),"")</f>
        <v/>
      </c>
    </row>
    <row r="350">
      <c r="A350" s="48" t="str">
        <f>IFERROR(__xludf.DUMMYFUNCTION("""COMPUTED_VALUE"""),"")</f>
        <v/>
      </c>
      <c r="B350" s="48"/>
      <c r="C350" s="49"/>
      <c r="D350" s="46"/>
      <c r="E350" s="46"/>
      <c r="F350" s="46"/>
      <c r="G350" s="46"/>
      <c r="H350" s="46"/>
      <c r="I350" s="50"/>
      <c r="J350" s="50"/>
      <c r="K350" s="51" t="str">
        <f>IFERROR(__xludf.DUMMYFUNCTION("""COMPUTED_VALUE"""),"")</f>
        <v/>
      </c>
      <c r="L350" s="46" t="str">
        <f>IFERROR(__xludf.DUMMYFUNCTION("""COMPUTED_VALUE"""),"")</f>
        <v/>
      </c>
      <c r="M350" s="46" t="str">
        <f>IFERROR(__xludf.DUMMYFUNCTION("""COMPUTED_VALUE"""),"")</f>
        <v/>
      </c>
      <c r="N350" s="46" t="str">
        <f>IFERROR(__xludf.DUMMYFUNCTION("""COMPUTED_VALUE"""),"")</f>
        <v/>
      </c>
      <c r="O350" s="48"/>
      <c r="P350" s="52" t="str">
        <f>IFERROR(__xludf.DUMMYFUNCTION("""COMPUTED_VALUE"""),"")</f>
        <v/>
      </c>
    </row>
    <row r="351">
      <c r="A351" s="48" t="str">
        <f>IFERROR(__xludf.DUMMYFUNCTION("""COMPUTED_VALUE"""),"")</f>
        <v/>
      </c>
      <c r="B351" s="48"/>
      <c r="C351" s="49"/>
      <c r="D351" s="46"/>
      <c r="E351" s="46"/>
      <c r="F351" s="46"/>
      <c r="G351" s="46"/>
      <c r="H351" s="46"/>
      <c r="I351" s="50"/>
      <c r="J351" s="50"/>
      <c r="K351" s="51" t="str">
        <f>IFERROR(__xludf.DUMMYFUNCTION("""COMPUTED_VALUE"""),"")</f>
        <v/>
      </c>
      <c r="L351" s="46" t="str">
        <f>IFERROR(__xludf.DUMMYFUNCTION("""COMPUTED_VALUE"""),"")</f>
        <v/>
      </c>
      <c r="M351" s="46" t="str">
        <f>IFERROR(__xludf.DUMMYFUNCTION("""COMPUTED_VALUE"""),"")</f>
        <v/>
      </c>
      <c r="N351" s="46" t="str">
        <f>IFERROR(__xludf.DUMMYFUNCTION("""COMPUTED_VALUE"""),"")</f>
        <v/>
      </c>
      <c r="O351" s="48"/>
      <c r="P351" s="52" t="str">
        <f>IFERROR(__xludf.DUMMYFUNCTION("""COMPUTED_VALUE"""),"")</f>
        <v/>
      </c>
    </row>
    <row r="352">
      <c r="A352" s="48" t="str">
        <f>IFERROR(__xludf.DUMMYFUNCTION("""COMPUTED_VALUE"""),"")</f>
        <v/>
      </c>
      <c r="B352" s="48"/>
      <c r="C352" s="49"/>
      <c r="D352" s="46"/>
      <c r="E352" s="46"/>
      <c r="F352" s="46"/>
      <c r="G352" s="46"/>
      <c r="H352" s="46"/>
      <c r="I352" s="50"/>
      <c r="J352" s="50"/>
      <c r="K352" s="51" t="str">
        <f>IFERROR(__xludf.DUMMYFUNCTION("""COMPUTED_VALUE"""),"")</f>
        <v/>
      </c>
      <c r="L352" s="46" t="str">
        <f>IFERROR(__xludf.DUMMYFUNCTION("""COMPUTED_VALUE"""),"")</f>
        <v/>
      </c>
      <c r="M352" s="46" t="str">
        <f>IFERROR(__xludf.DUMMYFUNCTION("""COMPUTED_VALUE"""),"")</f>
        <v/>
      </c>
      <c r="N352" s="46" t="str">
        <f>IFERROR(__xludf.DUMMYFUNCTION("""COMPUTED_VALUE"""),"")</f>
        <v/>
      </c>
      <c r="O352" s="48"/>
      <c r="P352" s="52" t="str">
        <f>IFERROR(__xludf.DUMMYFUNCTION("""COMPUTED_VALUE"""),"")</f>
        <v/>
      </c>
    </row>
    <row r="353">
      <c r="A353" s="48" t="str">
        <f>IFERROR(__xludf.DUMMYFUNCTION("""COMPUTED_VALUE"""),"")</f>
        <v/>
      </c>
      <c r="B353" s="48"/>
      <c r="C353" s="49"/>
      <c r="D353" s="46"/>
      <c r="E353" s="46"/>
      <c r="F353" s="46"/>
      <c r="G353" s="46"/>
      <c r="H353" s="46"/>
      <c r="I353" s="50"/>
      <c r="J353" s="50"/>
      <c r="K353" s="51" t="str">
        <f>IFERROR(__xludf.DUMMYFUNCTION("""COMPUTED_VALUE"""),"")</f>
        <v/>
      </c>
      <c r="L353" s="46" t="str">
        <f>IFERROR(__xludf.DUMMYFUNCTION("""COMPUTED_VALUE"""),"")</f>
        <v/>
      </c>
      <c r="M353" s="46" t="str">
        <f>IFERROR(__xludf.DUMMYFUNCTION("""COMPUTED_VALUE"""),"")</f>
        <v/>
      </c>
      <c r="N353" s="46" t="str">
        <f>IFERROR(__xludf.DUMMYFUNCTION("""COMPUTED_VALUE"""),"")</f>
        <v/>
      </c>
      <c r="O353" s="48"/>
      <c r="P353" s="52" t="str">
        <f>IFERROR(__xludf.DUMMYFUNCTION("""COMPUTED_VALUE"""),"")</f>
        <v/>
      </c>
    </row>
    <row r="354">
      <c r="A354" s="48" t="str">
        <f>IFERROR(__xludf.DUMMYFUNCTION("""COMPUTED_VALUE"""),"")</f>
        <v/>
      </c>
      <c r="B354" s="48"/>
      <c r="C354" s="49"/>
      <c r="D354" s="46"/>
      <c r="E354" s="46"/>
      <c r="F354" s="46"/>
      <c r="G354" s="46"/>
      <c r="H354" s="46"/>
      <c r="I354" s="50"/>
      <c r="J354" s="50"/>
      <c r="K354" s="51" t="str">
        <f>IFERROR(__xludf.DUMMYFUNCTION("""COMPUTED_VALUE"""),"")</f>
        <v/>
      </c>
      <c r="L354" s="46" t="str">
        <f>IFERROR(__xludf.DUMMYFUNCTION("""COMPUTED_VALUE"""),"")</f>
        <v/>
      </c>
      <c r="M354" s="46" t="str">
        <f>IFERROR(__xludf.DUMMYFUNCTION("""COMPUTED_VALUE"""),"")</f>
        <v/>
      </c>
      <c r="N354" s="46" t="str">
        <f>IFERROR(__xludf.DUMMYFUNCTION("""COMPUTED_VALUE"""),"")</f>
        <v/>
      </c>
      <c r="O354" s="48"/>
      <c r="P354" s="52" t="str">
        <f>IFERROR(__xludf.DUMMYFUNCTION("""COMPUTED_VALUE"""),"")</f>
        <v/>
      </c>
    </row>
    <row r="355">
      <c r="A355" s="48" t="str">
        <f>IFERROR(__xludf.DUMMYFUNCTION("""COMPUTED_VALUE"""),"")</f>
        <v/>
      </c>
      <c r="B355" s="48"/>
      <c r="C355" s="49"/>
      <c r="D355" s="46"/>
      <c r="E355" s="46"/>
      <c r="F355" s="46"/>
      <c r="G355" s="46"/>
      <c r="H355" s="46"/>
      <c r="I355" s="50"/>
      <c r="J355" s="50"/>
      <c r="K355" s="51" t="str">
        <f>IFERROR(__xludf.DUMMYFUNCTION("""COMPUTED_VALUE"""),"")</f>
        <v/>
      </c>
      <c r="L355" s="46" t="str">
        <f>IFERROR(__xludf.DUMMYFUNCTION("""COMPUTED_VALUE"""),"")</f>
        <v/>
      </c>
      <c r="M355" s="46" t="str">
        <f>IFERROR(__xludf.DUMMYFUNCTION("""COMPUTED_VALUE"""),"")</f>
        <v/>
      </c>
      <c r="N355" s="46" t="str">
        <f>IFERROR(__xludf.DUMMYFUNCTION("""COMPUTED_VALUE"""),"")</f>
        <v/>
      </c>
      <c r="O355" s="48"/>
      <c r="P355" s="52" t="str">
        <f>IFERROR(__xludf.DUMMYFUNCTION("""COMPUTED_VALUE"""),"")</f>
        <v/>
      </c>
    </row>
    <row r="356">
      <c r="A356" s="48" t="str">
        <f>IFERROR(__xludf.DUMMYFUNCTION("""COMPUTED_VALUE"""),"")</f>
        <v/>
      </c>
      <c r="B356" s="48"/>
      <c r="C356" s="49"/>
      <c r="D356" s="46"/>
      <c r="E356" s="46"/>
      <c r="F356" s="46"/>
      <c r="G356" s="46"/>
      <c r="H356" s="46"/>
      <c r="I356" s="50"/>
      <c r="J356" s="50"/>
      <c r="K356" s="51" t="str">
        <f>IFERROR(__xludf.DUMMYFUNCTION("""COMPUTED_VALUE"""),"")</f>
        <v/>
      </c>
      <c r="L356" s="46" t="str">
        <f>IFERROR(__xludf.DUMMYFUNCTION("""COMPUTED_VALUE"""),"")</f>
        <v/>
      </c>
      <c r="M356" s="46" t="str">
        <f>IFERROR(__xludf.DUMMYFUNCTION("""COMPUTED_VALUE"""),"")</f>
        <v/>
      </c>
      <c r="N356" s="46" t="str">
        <f>IFERROR(__xludf.DUMMYFUNCTION("""COMPUTED_VALUE"""),"")</f>
        <v/>
      </c>
      <c r="O356" s="48"/>
      <c r="P356" s="52" t="str">
        <f>IFERROR(__xludf.DUMMYFUNCTION("""COMPUTED_VALUE"""),"")</f>
        <v/>
      </c>
    </row>
    <row r="357">
      <c r="A357" s="48" t="str">
        <f>IFERROR(__xludf.DUMMYFUNCTION("""COMPUTED_VALUE"""),"")</f>
        <v/>
      </c>
      <c r="B357" s="48"/>
      <c r="C357" s="49"/>
      <c r="D357" s="46"/>
      <c r="E357" s="46"/>
      <c r="F357" s="46"/>
      <c r="G357" s="46"/>
      <c r="H357" s="46"/>
      <c r="I357" s="50"/>
      <c r="J357" s="50"/>
      <c r="K357" s="51" t="str">
        <f>IFERROR(__xludf.DUMMYFUNCTION("""COMPUTED_VALUE"""),"")</f>
        <v/>
      </c>
      <c r="L357" s="46" t="str">
        <f>IFERROR(__xludf.DUMMYFUNCTION("""COMPUTED_VALUE"""),"")</f>
        <v/>
      </c>
      <c r="M357" s="46" t="str">
        <f>IFERROR(__xludf.DUMMYFUNCTION("""COMPUTED_VALUE"""),"")</f>
        <v/>
      </c>
      <c r="N357" s="46" t="str">
        <f>IFERROR(__xludf.DUMMYFUNCTION("""COMPUTED_VALUE"""),"")</f>
        <v/>
      </c>
      <c r="O357" s="48"/>
      <c r="P357" s="52" t="str">
        <f>IFERROR(__xludf.DUMMYFUNCTION("""COMPUTED_VALUE"""),"")</f>
        <v/>
      </c>
    </row>
    <row r="358">
      <c r="A358" s="48" t="str">
        <f>IFERROR(__xludf.DUMMYFUNCTION("""COMPUTED_VALUE"""),"")</f>
        <v/>
      </c>
      <c r="B358" s="48"/>
      <c r="C358" s="49"/>
      <c r="D358" s="46"/>
      <c r="E358" s="46"/>
      <c r="F358" s="46"/>
      <c r="G358" s="46"/>
      <c r="H358" s="46"/>
      <c r="I358" s="50"/>
      <c r="J358" s="50"/>
      <c r="K358" s="51" t="str">
        <f>IFERROR(__xludf.DUMMYFUNCTION("""COMPUTED_VALUE"""),"")</f>
        <v/>
      </c>
      <c r="L358" s="46" t="str">
        <f>IFERROR(__xludf.DUMMYFUNCTION("""COMPUTED_VALUE"""),"")</f>
        <v/>
      </c>
      <c r="M358" s="46" t="str">
        <f>IFERROR(__xludf.DUMMYFUNCTION("""COMPUTED_VALUE"""),"")</f>
        <v/>
      </c>
      <c r="N358" s="46" t="str">
        <f>IFERROR(__xludf.DUMMYFUNCTION("""COMPUTED_VALUE"""),"")</f>
        <v/>
      </c>
      <c r="O358" s="48"/>
      <c r="P358" s="52" t="str">
        <f>IFERROR(__xludf.DUMMYFUNCTION("""COMPUTED_VALUE"""),"")</f>
        <v/>
      </c>
    </row>
    <row r="359">
      <c r="A359" s="48" t="str">
        <f>IFERROR(__xludf.DUMMYFUNCTION("""COMPUTED_VALUE"""),"")</f>
        <v/>
      </c>
      <c r="B359" s="48"/>
      <c r="C359" s="49"/>
      <c r="D359" s="46"/>
      <c r="E359" s="46"/>
      <c r="F359" s="46"/>
      <c r="G359" s="46"/>
      <c r="H359" s="46"/>
      <c r="I359" s="50"/>
      <c r="J359" s="50"/>
      <c r="K359" s="51" t="str">
        <f>IFERROR(__xludf.DUMMYFUNCTION("""COMPUTED_VALUE"""),"")</f>
        <v/>
      </c>
      <c r="L359" s="46" t="str">
        <f>IFERROR(__xludf.DUMMYFUNCTION("""COMPUTED_VALUE"""),"")</f>
        <v/>
      </c>
      <c r="M359" s="46" t="str">
        <f>IFERROR(__xludf.DUMMYFUNCTION("""COMPUTED_VALUE"""),"")</f>
        <v/>
      </c>
      <c r="N359" s="46" t="str">
        <f>IFERROR(__xludf.DUMMYFUNCTION("""COMPUTED_VALUE"""),"")</f>
        <v/>
      </c>
      <c r="O359" s="48"/>
      <c r="P359" s="52" t="str">
        <f>IFERROR(__xludf.DUMMYFUNCTION("""COMPUTED_VALUE"""),"")</f>
        <v/>
      </c>
    </row>
    <row r="360">
      <c r="A360" s="48" t="str">
        <f>IFERROR(__xludf.DUMMYFUNCTION("""COMPUTED_VALUE"""),"")</f>
        <v/>
      </c>
      <c r="B360" s="48"/>
      <c r="C360" s="49"/>
      <c r="D360" s="46"/>
      <c r="E360" s="46"/>
      <c r="F360" s="46"/>
      <c r="G360" s="46"/>
      <c r="H360" s="46"/>
      <c r="I360" s="50"/>
      <c r="J360" s="50"/>
      <c r="K360" s="51" t="str">
        <f>IFERROR(__xludf.DUMMYFUNCTION("""COMPUTED_VALUE"""),"")</f>
        <v/>
      </c>
      <c r="L360" s="46" t="str">
        <f>IFERROR(__xludf.DUMMYFUNCTION("""COMPUTED_VALUE"""),"")</f>
        <v/>
      </c>
      <c r="M360" s="46" t="str">
        <f>IFERROR(__xludf.DUMMYFUNCTION("""COMPUTED_VALUE"""),"")</f>
        <v/>
      </c>
      <c r="N360" s="46" t="str">
        <f>IFERROR(__xludf.DUMMYFUNCTION("""COMPUTED_VALUE"""),"")</f>
        <v/>
      </c>
      <c r="O360" s="48"/>
      <c r="P360" s="52" t="str">
        <f>IFERROR(__xludf.DUMMYFUNCTION("""COMPUTED_VALUE"""),"")</f>
        <v/>
      </c>
    </row>
    <row r="361">
      <c r="A361" s="48" t="str">
        <f>IFERROR(__xludf.DUMMYFUNCTION("""COMPUTED_VALUE"""),"")</f>
        <v/>
      </c>
      <c r="B361" s="48"/>
      <c r="C361" s="49"/>
      <c r="D361" s="46"/>
      <c r="E361" s="46"/>
      <c r="F361" s="46"/>
      <c r="G361" s="46"/>
      <c r="H361" s="46"/>
      <c r="I361" s="50"/>
      <c r="J361" s="50"/>
      <c r="K361" s="51" t="str">
        <f>IFERROR(__xludf.DUMMYFUNCTION("""COMPUTED_VALUE"""),"")</f>
        <v/>
      </c>
      <c r="L361" s="46" t="str">
        <f>IFERROR(__xludf.DUMMYFUNCTION("""COMPUTED_VALUE"""),"")</f>
        <v/>
      </c>
      <c r="M361" s="46" t="str">
        <f>IFERROR(__xludf.DUMMYFUNCTION("""COMPUTED_VALUE"""),"")</f>
        <v/>
      </c>
      <c r="N361" s="46" t="str">
        <f>IFERROR(__xludf.DUMMYFUNCTION("""COMPUTED_VALUE"""),"")</f>
        <v/>
      </c>
      <c r="O361" s="48"/>
      <c r="P361" s="52" t="str">
        <f>IFERROR(__xludf.DUMMYFUNCTION("""COMPUTED_VALUE"""),"")</f>
        <v/>
      </c>
    </row>
    <row r="362">
      <c r="A362" s="48" t="str">
        <f>IFERROR(__xludf.DUMMYFUNCTION("""COMPUTED_VALUE"""),"")</f>
        <v/>
      </c>
      <c r="B362" s="48"/>
      <c r="C362" s="49"/>
      <c r="D362" s="46"/>
      <c r="E362" s="46"/>
      <c r="F362" s="46"/>
      <c r="G362" s="46"/>
      <c r="H362" s="46"/>
      <c r="I362" s="50"/>
      <c r="J362" s="50"/>
      <c r="K362" s="51" t="str">
        <f>IFERROR(__xludf.DUMMYFUNCTION("""COMPUTED_VALUE"""),"")</f>
        <v/>
      </c>
      <c r="L362" s="46" t="str">
        <f>IFERROR(__xludf.DUMMYFUNCTION("""COMPUTED_VALUE"""),"")</f>
        <v/>
      </c>
      <c r="M362" s="46" t="str">
        <f>IFERROR(__xludf.DUMMYFUNCTION("""COMPUTED_VALUE"""),"")</f>
        <v/>
      </c>
      <c r="N362" s="46" t="str">
        <f>IFERROR(__xludf.DUMMYFUNCTION("""COMPUTED_VALUE"""),"")</f>
        <v/>
      </c>
      <c r="O362" s="48"/>
      <c r="P362" s="52" t="str">
        <f>IFERROR(__xludf.DUMMYFUNCTION("""COMPUTED_VALUE"""),"")</f>
        <v/>
      </c>
    </row>
    <row r="363">
      <c r="A363" s="48" t="str">
        <f>IFERROR(__xludf.DUMMYFUNCTION("""COMPUTED_VALUE"""),"")</f>
        <v/>
      </c>
      <c r="B363" s="48"/>
      <c r="C363" s="49"/>
      <c r="D363" s="46"/>
      <c r="E363" s="46"/>
      <c r="F363" s="46"/>
      <c r="G363" s="46"/>
      <c r="H363" s="46"/>
      <c r="I363" s="50"/>
      <c r="J363" s="50"/>
      <c r="K363" s="51" t="str">
        <f>IFERROR(__xludf.DUMMYFUNCTION("""COMPUTED_VALUE"""),"")</f>
        <v/>
      </c>
      <c r="L363" s="46" t="str">
        <f>IFERROR(__xludf.DUMMYFUNCTION("""COMPUTED_VALUE"""),"")</f>
        <v/>
      </c>
      <c r="M363" s="46" t="str">
        <f>IFERROR(__xludf.DUMMYFUNCTION("""COMPUTED_VALUE"""),"")</f>
        <v/>
      </c>
      <c r="N363" s="46" t="str">
        <f>IFERROR(__xludf.DUMMYFUNCTION("""COMPUTED_VALUE"""),"")</f>
        <v/>
      </c>
      <c r="O363" s="48"/>
      <c r="P363" s="52" t="str">
        <f>IFERROR(__xludf.DUMMYFUNCTION("""COMPUTED_VALUE"""),"")</f>
        <v/>
      </c>
    </row>
    <row r="364">
      <c r="A364" s="48" t="str">
        <f>IFERROR(__xludf.DUMMYFUNCTION("""COMPUTED_VALUE"""),"")</f>
        <v/>
      </c>
      <c r="B364" s="48"/>
      <c r="C364" s="49"/>
      <c r="D364" s="46"/>
      <c r="E364" s="46"/>
      <c r="F364" s="46"/>
      <c r="G364" s="46"/>
      <c r="H364" s="46"/>
      <c r="I364" s="50"/>
      <c r="J364" s="50"/>
      <c r="K364" s="51" t="str">
        <f>IFERROR(__xludf.DUMMYFUNCTION("""COMPUTED_VALUE"""),"")</f>
        <v/>
      </c>
      <c r="L364" s="46" t="str">
        <f>IFERROR(__xludf.DUMMYFUNCTION("""COMPUTED_VALUE"""),"")</f>
        <v/>
      </c>
      <c r="M364" s="46" t="str">
        <f>IFERROR(__xludf.DUMMYFUNCTION("""COMPUTED_VALUE"""),"")</f>
        <v/>
      </c>
      <c r="N364" s="46" t="str">
        <f>IFERROR(__xludf.DUMMYFUNCTION("""COMPUTED_VALUE"""),"")</f>
        <v/>
      </c>
      <c r="O364" s="48"/>
      <c r="P364" s="52" t="str">
        <f>IFERROR(__xludf.DUMMYFUNCTION("""COMPUTED_VALUE"""),"")</f>
        <v/>
      </c>
    </row>
    <row r="365">
      <c r="A365" s="48" t="str">
        <f>IFERROR(__xludf.DUMMYFUNCTION("""COMPUTED_VALUE"""),"")</f>
        <v/>
      </c>
      <c r="B365" s="48"/>
      <c r="C365" s="49"/>
      <c r="D365" s="46"/>
      <c r="E365" s="46"/>
      <c r="F365" s="46"/>
      <c r="G365" s="46"/>
      <c r="H365" s="46"/>
      <c r="I365" s="50"/>
      <c r="J365" s="50"/>
      <c r="K365" s="51" t="str">
        <f>IFERROR(__xludf.DUMMYFUNCTION("""COMPUTED_VALUE"""),"")</f>
        <v/>
      </c>
      <c r="L365" s="46" t="str">
        <f>IFERROR(__xludf.DUMMYFUNCTION("""COMPUTED_VALUE"""),"")</f>
        <v/>
      </c>
      <c r="M365" s="46" t="str">
        <f>IFERROR(__xludf.DUMMYFUNCTION("""COMPUTED_VALUE"""),"")</f>
        <v/>
      </c>
      <c r="N365" s="46" t="str">
        <f>IFERROR(__xludf.DUMMYFUNCTION("""COMPUTED_VALUE"""),"")</f>
        <v/>
      </c>
      <c r="O365" s="48"/>
      <c r="P365" s="52" t="str">
        <f>IFERROR(__xludf.DUMMYFUNCTION("""COMPUTED_VALUE"""),"")</f>
        <v/>
      </c>
    </row>
    <row r="366">
      <c r="A366" s="48" t="str">
        <f>IFERROR(__xludf.DUMMYFUNCTION("""COMPUTED_VALUE"""),"")</f>
        <v/>
      </c>
      <c r="B366" s="48"/>
      <c r="C366" s="49"/>
      <c r="D366" s="46"/>
      <c r="E366" s="46"/>
      <c r="F366" s="46"/>
      <c r="G366" s="46"/>
      <c r="H366" s="46"/>
      <c r="I366" s="50"/>
      <c r="J366" s="50"/>
      <c r="K366" s="51" t="str">
        <f>IFERROR(__xludf.DUMMYFUNCTION("""COMPUTED_VALUE"""),"")</f>
        <v/>
      </c>
      <c r="L366" s="46" t="str">
        <f>IFERROR(__xludf.DUMMYFUNCTION("""COMPUTED_VALUE"""),"")</f>
        <v/>
      </c>
      <c r="M366" s="46" t="str">
        <f>IFERROR(__xludf.DUMMYFUNCTION("""COMPUTED_VALUE"""),"")</f>
        <v/>
      </c>
      <c r="N366" s="46" t="str">
        <f>IFERROR(__xludf.DUMMYFUNCTION("""COMPUTED_VALUE"""),"")</f>
        <v/>
      </c>
      <c r="O366" s="48"/>
      <c r="P366" s="52" t="str">
        <f>IFERROR(__xludf.DUMMYFUNCTION("""COMPUTED_VALUE"""),"")</f>
        <v/>
      </c>
    </row>
    <row r="367">
      <c r="A367" s="48" t="str">
        <f>IFERROR(__xludf.DUMMYFUNCTION("""COMPUTED_VALUE"""),"")</f>
        <v/>
      </c>
      <c r="B367" s="48"/>
      <c r="C367" s="49"/>
      <c r="D367" s="46"/>
      <c r="E367" s="46"/>
      <c r="F367" s="46"/>
      <c r="G367" s="46"/>
      <c r="H367" s="46"/>
      <c r="I367" s="50"/>
      <c r="J367" s="50"/>
      <c r="K367" s="51" t="str">
        <f>IFERROR(__xludf.DUMMYFUNCTION("""COMPUTED_VALUE"""),"")</f>
        <v/>
      </c>
      <c r="L367" s="46" t="str">
        <f>IFERROR(__xludf.DUMMYFUNCTION("""COMPUTED_VALUE"""),"")</f>
        <v/>
      </c>
      <c r="M367" s="46" t="str">
        <f>IFERROR(__xludf.DUMMYFUNCTION("""COMPUTED_VALUE"""),"")</f>
        <v/>
      </c>
      <c r="N367" s="46" t="str">
        <f>IFERROR(__xludf.DUMMYFUNCTION("""COMPUTED_VALUE"""),"")</f>
        <v/>
      </c>
      <c r="O367" s="48"/>
      <c r="P367" s="52" t="str">
        <f>IFERROR(__xludf.DUMMYFUNCTION("""COMPUTED_VALUE"""),"")</f>
        <v/>
      </c>
    </row>
    <row r="368">
      <c r="A368" s="48" t="str">
        <f>IFERROR(__xludf.DUMMYFUNCTION("""COMPUTED_VALUE"""),"")</f>
        <v/>
      </c>
      <c r="B368" s="48"/>
      <c r="C368" s="49"/>
      <c r="D368" s="46"/>
      <c r="E368" s="46"/>
      <c r="F368" s="46"/>
      <c r="G368" s="46"/>
      <c r="H368" s="46"/>
      <c r="I368" s="50"/>
      <c r="J368" s="50"/>
      <c r="K368" s="51" t="str">
        <f>IFERROR(__xludf.DUMMYFUNCTION("""COMPUTED_VALUE"""),"")</f>
        <v/>
      </c>
      <c r="L368" s="46" t="str">
        <f>IFERROR(__xludf.DUMMYFUNCTION("""COMPUTED_VALUE"""),"")</f>
        <v/>
      </c>
      <c r="M368" s="46" t="str">
        <f>IFERROR(__xludf.DUMMYFUNCTION("""COMPUTED_VALUE"""),"")</f>
        <v/>
      </c>
      <c r="N368" s="46" t="str">
        <f>IFERROR(__xludf.DUMMYFUNCTION("""COMPUTED_VALUE"""),"")</f>
        <v/>
      </c>
      <c r="O368" s="48"/>
      <c r="P368" s="52" t="str">
        <f>IFERROR(__xludf.DUMMYFUNCTION("""COMPUTED_VALUE"""),"")</f>
        <v/>
      </c>
    </row>
    <row r="369">
      <c r="A369" s="48" t="str">
        <f>IFERROR(__xludf.DUMMYFUNCTION("""COMPUTED_VALUE"""),"")</f>
        <v/>
      </c>
      <c r="B369" s="48"/>
      <c r="C369" s="49"/>
      <c r="D369" s="46"/>
      <c r="E369" s="46"/>
      <c r="F369" s="46"/>
      <c r="G369" s="46"/>
      <c r="H369" s="46"/>
      <c r="I369" s="50"/>
      <c r="J369" s="50"/>
      <c r="K369" s="51" t="str">
        <f>IFERROR(__xludf.DUMMYFUNCTION("""COMPUTED_VALUE"""),"")</f>
        <v/>
      </c>
      <c r="L369" s="46" t="str">
        <f>IFERROR(__xludf.DUMMYFUNCTION("""COMPUTED_VALUE"""),"")</f>
        <v/>
      </c>
      <c r="M369" s="46" t="str">
        <f>IFERROR(__xludf.DUMMYFUNCTION("""COMPUTED_VALUE"""),"")</f>
        <v/>
      </c>
      <c r="N369" s="46" t="str">
        <f>IFERROR(__xludf.DUMMYFUNCTION("""COMPUTED_VALUE"""),"")</f>
        <v/>
      </c>
      <c r="O369" s="48"/>
      <c r="P369" s="52" t="str">
        <f>IFERROR(__xludf.DUMMYFUNCTION("""COMPUTED_VALUE"""),"")</f>
        <v/>
      </c>
    </row>
    <row r="370">
      <c r="A370" s="48" t="str">
        <f>IFERROR(__xludf.DUMMYFUNCTION("""COMPUTED_VALUE"""),"")</f>
        <v/>
      </c>
      <c r="B370" s="48"/>
      <c r="C370" s="49"/>
      <c r="D370" s="46"/>
      <c r="E370" s="46"/>
      <c r="F370" s="46"/>
      <c r="G370" s="46"/>
      <c r="H370" s="46"/>
      <c r="I370" s="50"/>
      <c r="J370" s="50"/>
      <c r="K370" s="51" t="str">
        <f>IFERROR(__xludf.DUMMYFUNCTION("""COMPUTED_VALUE"""),"")</f>
        <v/>
      </c>
      <c r="L370" s="46" t="str">
        <f>IFERROR(__xludf.DUMMYFUNCTION("""COMPUTED_VALUE"""),"")</f>
        <v/>
      </c>
      <c r="M370" s="46" t="str">
        <f>IFERROR(__xludf.DUMMYFUNCTION("""COMPUTED_VALUE"""),"")</f>
        <v/>
      </c>
      <c r="N370" s="46" t="str">
        <f>IFERROR(__xludf.DUMMYFUNCTION("""COMPUTED_VALUE"""),"")</f>
        <v/>
      </c>
      <c r="O370" s="48"/>
      <c r="P370" s="52" t="str">
        <f>IFERROR(__xludf.DUMMYFUNCTION("""COMPUTED_VALUE"""),"")</f>
        <v/>
      </c>
    </row>
    <row r="371">
      <c r="A371" s="48" t="str">
        <f>IFERROR(__xludf.DUMMYFUNCTION("""COMPUTED_VALUE"""),"")</f>
        <v/>
      </c>
      <c r="B371" s="48"/>
      <c r="C371" s="49"/>
      <c r="D371" s="46"/>
      <c r="E371" s="46"/>
      <c r="F371" s="46"/>
      <c r="G371" s="46"/>
      <c r="H371" s="46"/>
      <c r="I371" s="50"/>
      <c r="J371" s="50"/>
      <c r="K371" s="51" t="str">
        <f>IFERROR(__xludf.DUMMYFUNCTION("""COMPUTED_VALUE"""),"")</f>
        <v/>
      </c>
      <c r="L371" s="46" t="str">
        <f>IFERROR(__xludf.DUMMYFUNCTION("""COMPUTED_VALUE"""),"")</f>
        <v/>
      </c>
      <c r="M371" s="46" t="str">
        <f>IFERROR(__xludf.DUMMYFUNCTION("""COMPUTED_VALUE"""),"")</f>
        <v/>
      </c>
      <c r="N371" s="46" t="str">
        <f>IFERROR(__xludf.DUMMYFUNCTION("""COMPUTED_VALUE"""),"")</f>
        <v/>
      </c>
      <c r="O371" s="48"/>
      <c r="P371" s="52" t="str">
        <f>IFERROR(__xludf.DUMMYFUNCTION("""COMPUTED_VALUE"""),"")</f>
        <v/>
      </c>
    </row>
    <row r="372">
      <c r="A372" s="48" t="str">
        <f>IFERROR(__xludf.DUMMYFUNCTION("""COMPUTED_VALUE"""),"")</f>
        <v/>
      </c>
      <c r="B372" s="48"/>
      <c r="C372" s="49"/>
      <c r="D372" s="46"/>
      <c r="E372" s="46"/>
      <c r="F372" s="46"/>
      <c r="G372" s="46"/>
      <c r="H372" s="46"/>
      <c r="I372" s="50"/>
      <c r="J372" s="50"/>
      <c r="K372" s="51" t="str">
        <f>IFERROR(__xludf.DUMMYFUNCTION("""COMPUTED_VALUE"""),"")</f>
        <v/>
      </c>
      <c r="L372" s="46" t="str">
        <f>IFERROR(__xludf.DUMMYFUNCTION("""COMPUTED_VALUE"""),"")</f>
        <v/>
      </c>
      <c r="M372" s="46" t="str">
        <f>IFERROR(__xludf.DUMMYFUNCTION("""COMPUTED_VALUE"""),"")</f>
        <v/>
      </c>
      <c r="N372" s="46" t="str">
        <f>IFERROR(__xludf.DUMMYFUNCTION("""COMPUTED_VALUE"""),"")</f>
        <v/>
      </c>
      <c r="O372" s="48"/>
      <c r="P372" s="52" t="str">
        <f>IFERROR(__xludf.DUMMYFUNCTION("""COMPUTED_VALUE"""),"")</f>
        <v/>
      </c>
    </row>
    <row r="373">
      <c r="A373" s="48" t="str">
        <f>IFERROR(__xludf.DUMMYFUNCTION("""COMPUTED_VALUE"""),"")</f>
        <v/>
      </c>
      <c r="B373" s="48"/>
      <c r="C373" s="49"/>
      <c r="D373" s="46"/>
      <c r="E373" s="46"/>
      <c r="F373" s="46"/>
      <c r="G373" s="46"/>
      <c r="H373" s="46"/>
      <c r="I373" s="50"/>
      <c r="J373" s="50"/>
      <c r="K373" s="51" t="str">
        <f>IFERROR(__xludf.DUMMYFUNCTION("""COMPUTED_VALUE"""),"")</f>
        <v/>
      </c>
      <c r="L373" s="46" t="str">
        <f>IFERROR(__xludf.DUMMYFUNCTION("""COMPUTED_VALUE"""),"")</f>
        <v/>
      </c>
      <c r="M373" s="46" t="str">
        <f>IFERROR(__xludf.DUMMYFUNCTION("""COMPUTED_VALUE"""),"")</f>
        <v/>
      </c>
      <c r="N373" s="46" t="str">
        <f>IFERROR(__xludf.DUMMYFUNCTION("""COMPUTED_VALUE"""),"")</f>
        <v/>
      </c>
      <c r="O373" s="48"/>
      <c r="P373" s="52" t="str">
        <f>IFERROR(__xludf.DUMMYFUNCTION("""COMPUTED_VALUE"""),"")</f>
        <v/>
      </c>
    </row>
    <row r="374">
      <c r="A374" s="48" t="str">
        <f>IFERROR(__xludf.DUMMYFUNCTION("""COMPUTED_VALUE"""),"")</f>
        <v/>
      </c>
      <c r="B374" s="48"/>
      <c r="C374" s="49"/>
      <c r="D374" s="46"/>
      <c r="E374" s="46"/>
      <c r="F374" s="46"/>
      <c r="G374" s="46"/>
      <c r="H374" s="46"/>
      <c r="I374" s="50"/>
      <c r="J374" s="50"/>
      <c r="K374" s="51" t="str">
        <f>IFERROR(__xludf.DUMMYFUNCTION("""COMPUTED_VALUE"""),"")</f>
        <v/>
      </c>
      <c r="L374" s="46" t="str">
        <f>IFERROR(__xludf.DUMMYFUNCTION("""COMPUTED_VALUE"""),"")</f>
        <v/>
      </c>
      <c r="M374" s="46" t="str">
        <f>IFERROR(__xludf.DUMMYFUNCTION("""COMPUTED_VALUE"""),"")</f>
        <v/>
      </c>
      <c r="N374" s="46" t="str">
        <f>IFERROR(__xludf.DUMMYFUNCTION("""COMPUTED_VALUE"""),"")</f>
        <v/>
      </c>
      <c r="O374" s="48"/>
      <c r="P374" s="52" t="str">
        <f>IFERROR(__xludf.DUMMYFUNCTION("""COMPUTED_VALUE"""),"")</f>
        <v/>
      </c>
    </row>
    <row r="375">
      <c r="A375" s="48" t="str">
        <f>IFERROR(__xludf.DUMMYFUNCTION("""COMPUTED_VALUE"""),"")</f>
        <v/>
      </c>
      <c r="B375" s="48"/>
      <c r="C375" s="49"/>
      <c r="D375" s="46"/>
      <c r="E375" s="46"/>
      <c r="F375" s="46"/>
      <c r="G375" s="46"/>
      <c r="H375" s="46"/>
      <c r="I375" s="50"/>
      <c r="J375" s="50"/>
      <c r="K375" s="51" t="str">
        <f>IFERROR(__xludf.DUMMYFUNCTION("""COMPUTED_VALUE"""),"")</f>
        <v/>
      </c>
      <c r="L375" s="46" t="str">
        <f>IFERROR(__xludf.DUMMYFUNCTION("""COMPUTED_VALUE"""),"")</f>
        <v/>
      </c>
      <c r="M375" s="46" t="str">
        <f>IFERROR(__xludf.DUMMYFUNCTION("""COMPUTED_VALUE"""),"")</f>
        <v/>
      </c>
      <c r="N375" s="46" t="str">
        <f>IFERROR(__xludf.DUMMYFUNCTION("""COMPUTED_VALUE"""),"")</f>
        <v/>
      </c>
      <c r="O375" s="48"/>
      <c r="P375" s="52" t="str">
        <f>IFERROR(__xludf.DUMMYFUNCTION("""COMPUTED_VALUE"""),"")</f>
        <v/>
      </c>
    </row>
    <row r="376">
      <c r="A376" s="48" t="str">
        <f>IFERROR(__xludf.DUMMYFUNCTION("""COMPUTED_VALUE"""),"")</f>
        <v/>
      </c>
      <c r="B376" s="48"/>
      <c r="C376" s="49"/>
      <c r="D376" s="46"/>
      <c r="E376" s="46"/>
      <c r="F376" s="46"/>
      <c r="G376" s="46"/>
      <c r="H376" s="46"/>
      <c r="I376" s="50"/>
      <c r="J376" s="50"/>
      <c r="K376" s="51" t="str">
        <f>IFERROR(__xludf.DUMMYFUNCTION("""COMPUTED_VALUE"""),"")</f>
        <v/>
      </c>
      <c r="L376" s="46" t="str">
        <f>IFERROR(__xludf.DUMMYFUNCTION("""COMPUTED_VALUE"""),"")</f>
        <v/>
      </c>
      <c r="M376" s="46" t="str">
        <f>IFERROR(__xludf.DUMMYFUNCTION("""COMPUTED_VALUE"""),"")</f>
        <v/>
      </c>
      <c r="N376" s="46" t="str">
        <f>IFERROR(__xludf.DUMMYFUNCTION("""COMPUTED_VALUE"""),"")</f>
        <v/>
      </c>
      <c r="O376" s="48"/>
      <c r="P376" s="52" t="str">
        <f>IFERROR(__xludf.DUMMYFUNCTION("""COMPUTED_VALUE"""),"")</f>
        <v/>
      </c>
    </row>
    <row r="377">
      <c r="A377" s="48" t="str">
        <f>IFERROR(__xludf.DUMMYFUNCTION("""COMPUTED_VALUE"""),"")</f>
        <v/>
      </c>
      <c r="B377" s="48"/>
      <c r="C377" s="49"/>
      <c r="D377" s="46"/>
      <c r="E377" s="46"/>
      <c r="F377" s="46"/>
      <c r="G377" s="46"/>
      <c r="H377" s="46"/>
      <c r="I377" s="50"/>
      <c r="J377" s="50"/>
      <c r="K377" s="51" t="str">
        <f>IFERROR(__xludf.DUMMYFUNCTION("""COMPUTED_VALUE"""),"")</f>
        <v/>
      </c>
      <c r="L377" s="46" t="str">
        <f>IFERROR(__xludf.DUMMYFUNCTION("""COMPUTED_VALUE"""),"")</f>
        <v/>
      </c>
      <c r="M377" s="46" t="str">
        <f>IFERROR(__xludf.DUMMYFUNCTION("""COMPUTED_VALUE"""),"")</f>
        <v/>
      </c>
      <c r="N377" s="46" t="str">
        <f>IFERROR(__xludf.DUMMYFUNCTION("""COMPUTED_VALUE"""),"")</f>
        <v/>
      </c>
      <c r="O377" s="48"/>
      <c r="P377" s="52" t="str">
        <f>IFERROR(__xludf.DUMMYFUNCTION("""COMPUTED_VALUE"""),"")</f>
        <v/>
      </c>
    </row>
    <row r="378">
      <c r="A378" s="48" t="str">
        <f>IFERROR(__xludf.DUMMYFUNCTION("""COMPUTED_VALUE"""),"")</f>
        <v/>
      </c>
      <c r="B378" s="48"/>
      <c r="C378" s="49"/>
      <c r="D378" s="46"/>
      <c r="E378" s="46"/>
      <c r="F378" s="46"/>
      <c r="G378" s="46"/>
      <c r="H378" s="46"/>
      <c r="I378" s="50"/>
      <c r="J378" s="50"/>
      <c r="K378" s="51" t="str">
        <f>IFERROR(__xludf.DUMMYFUNCTION("""COMPUTED_VALUE"""),"")</f>
        <v/>
      </c>
      <c r="L378" s="46" t="str">
        <f>IFERROR(__xludf.DUMMYFUNCTION("""COMPUTED_VALUE"""),"")</f>
        <v/>
      </c>
      <c r="M378" s="46" t="str">
        <f>IFERROR(__xludf.DUMMYFUNCTION("""COMPUTED_VALUE"""),"")</f>
        <v/>
      </c>
      <c r="N378" s="46" t="str">
        <f>IFERROR(__xludf.DUMMYFUNCTION("""COMPUTED_VALUE"""),"")</f>
        <v/>
      </c>
      <c r="O378" s="48"/>
      <c r="P378" s="52" t="str">
        <f>IFERROR(__xludf.DUMMYFUNCTION("""COMPUTED_VALUE"""),"")</f>
        <v/>
      </c>
    </row>
    <row r="379">
      <c r="A379" s="48" t="str">
        <f>IFERROR(__xludf.DUMMYFUNCTION("""COMPUTED_VALUE"""),"")</f>
        <v/>
      </c>
      <c r="B379" s="48"/>
      <c r="C379" s="49"/>
      <c r="D379" s="46"/>
      <c r="E379" s="46"/>
      <c r="F379" s="46"/>
      <c r="G379" s="46"/>
      <c r="H379" s="46"/>
      <c r="I379" s="50"/>
      <c r="J379" s="50"/>
      <c r="K379" s="51" t="str">
        <f>IFERROR(__xludf.DUMMYFUNCTION("""COMPUTED_VALUE"""),"")</f>
        <v/>
      </c>
      <c r="L379" s="46" t="str">
        <f>IFERROR(__xludf.DUMMYFUNCTION("""COMPUTED_VALUE"""),"")</f>
        <v/>
      </c>
      <c r="M379" s="46" t="str">
        <f>IFERROR(__xludf.DUMMYFUNCTION("""COMPUTED_VALUE"""),"")</f>
        <v/>
      </c>
      <c r="N379" s="46" t="str">
        <f>IFERROR(__xludf.DUMMYFUNCTION("""COMPUTED_VALUE"""),"")</f>
        <v/>
      </c>
      <c r="O379" s="48"/>
      <c r="P379" s="52" t="str">
        <f>IFERROR(__xludf.DUMMYFUNCTION("""COMPUTED_VALUE"""),"")</f>
        <v/>
      </c>
    </row>
    <row r="380">
      <c r="A380" s="48" t="str">
        <f>IFERROR(__xludf.DUMMYFUNCTION("""COMPUTED_VALUE"""),"")</f>
        <v/>
      </c>
      <c r="B380" s="48"/>
      <c r="C380" s="49"/>
      <c r="D380" s="46"/>
      <c r="E380" s="46"/>
      <c r="F380" s="46"/>
      <c r="G380" s="46"/>
      <c r="H380" s="46"/>
      <c r="I380" s="50"/>
      <c r="J380" s="50"/>
      <c r="K380" s="51" t="str">
        <f>IFERROR(__xludf.DUMMYFUNCTION("""COMPUTED_VALUE"""),"")</f>
        <v/>
      </c>
      <c r="L380" s="46" t="str">
        <f>IFERROR(__xludf.DUMMYFUNCTION("""COMPUTED_VALUE"""),"")</f>
        <v/>
      </c>
      <c r="M380" s="46" t="str">
        <f>IFERROR(__xludf.DUMMYFUNCTION("""COMPUTED_VALUE"""),"")</f>
        <v/>
      </c>
      <c r="N380" s="46" t="str">
        <f>IFERROR(__xludf.DUMMYFUNCTION("""COMPUTED_VALUE"""),"")</f>
        <v/>
      </c>
      <c r="O380" s="48"/>
      <c r="P380" s="52" t="str">
        <f>IFERROR(__xludf.DUMMYFUNCTION("""COMPUTED_VALUE"""),"")</f>
        <v/>
      </c>
    </row>
    <row r="381">
      <c r="A381" s="48" t="str">
        <f>IFERROR(__xludf.DUMMYFUNCTION("""COMPUTED_VALUE"""),"")</f>
        <v/>
      </c>
      <c r="B381" s="48"/>
      <c r="C381" s="49"/>
      <c r="D381" s="46"/>
      <c r="E381" s="46"/>
      <c r="F381" s="46"/>
      <c r="G381" s="46"/>
      <c r="H381" s="46"/>
      <c r="I381" s="50"/>
      <c r="J381" s="50"/>
      <c r="K381" s="51" t="str">
        <f>IFERROR(__xludf.DUMMYFUNCTION("""COMPUTED_VALUE"""),"")</f>
        <v/>
      </c>
      <c r="L381" s="46" t="str">
        <f>IFERROR(__xludf.DUMMYFUNCTION("""COMPUTED_VALUE"""),"")</f>
        <v/>
      </c>
      <c r="M381" s="46" t="str">
        <f>IFERROR(__xludf.DUMMYFUNCTION("""COMPUTED_VALUE"""),"")</f>
        <v/>
      </c>
      <c r="N381" s="46" t="str">
        <f>IFERROR(__xludf.DUMMYFUNCTION("""COMPUTED_VALUE"""),"")</f>
        <v/>
      </c>
      <c r="O381" s="48"/>
      <c r="P381" s="52" t="str">
        <f>IFERROR(__xludf.DUMMYFUNCTION("""COMPUTED_VALUE"""),"")</f>
        <v/>
      </c>
    </row>
    <row r="382">
      <c r="A382" s="48" t="str">
        <f>IFERROR(__xludf.DUMMYFUNCTION("""COMPUTED_VALUE"""),"")</f>
        <v/>
      </c>
      <c r="B382" s="48"/>
      <c r="C382" s="49"/>
      <c r="D382" s="46"/>
      <c r="E382" s="46"/>
      <c r="F382" s="46"/>
      <c r="G382" s="46"/>
      <c r="H382" s="46"/>
      <c r="I382" s="50"/>
      <c r="J382" s="50"/>
      <c r="K382" s="51" t="str">
        <f>IFERROR(__xludf.DUMMYFUNCTION("""COMPUTED_VALUE"""),"")</f>
        <v/>
      </c>
      <c r="L382" s="46" t="str">
        <f>IFERROR(__xludf.DUMMYFUNCTION("""COMPUTED_VALUE"""),"")</f>
        <v/>
      </c>
      <c r="M382" s="46" t="str">
        <f>IFERROR(__xludf.DUMMYFUNCTION("""COMPUTED_VALUE"""),"")</f>
        <v/>
      </c>
      <c r="N382" s="46" t="str">
        <f>IFERROR(__xludf.DUMMYFUNCTION("""COMPUTED_VALUE"""),"")</f>
        <v/>
      </c>
      <c r="O382" s="48"/>
      <c r="P382" s="52" t="str">
        <f>IFERROR(__xludf.DUMMYFUNCTION("""COMPUTED_VALUE"""),"")</f>
        <v/>
      </c>
    </row>
    <row r="383">
      <c r="A383" s="48" t="str">
        <f>IFERROR(__xludf.DUMMYFUNCTION("""COMPUTED_VALUE"""),"")</f>
        <v/>
      </c>
      <c r="B383" s="48"/>
      <c r="C383" s="49"/>
      <c r="D383" s="46"/>
      <c r="E383" s="46"/>
      <c r="F383" s="46"/>
      <c r="G383" s="46"/>
      <c r="H383" s="46"/>
      <c r="I383" s="50"/>
      <c r="J383" s="50"/>
      <c r="K383" s="51" t="str">
        <f>IFERROR(__xludf.DUMMYFUNCTION("""COMPUTED_VALUE"""),"")</f>
        <v/>
      </c>
      <c r="L383" s="46" t="str">
        <f>IFERROR(__xludf.DUMMYFUNCTION("""COMPUTED_VALUE"""),"")</f>
        <v/>
      </c>
      <c r="M383" s="46" t="str">
        <f>IFERROR(__xludf.DUMMYFUNCTION("""COMPUTED_VALUE"""),"")</f>
        <v/>
      </c>
      <c r="N383" s="46" t="str">
        <f>IFERROR(__xludf.DUMMYFUNCTION("""COMPUTED_VALUE"""),"")</f>
        <v/>
      </c>
      <c r="O383" s="48"/>
      <c r="P383" s="52" t="str">
        <f>IFERROR(__xludf.DUMMYFUNCTION("""COMPUTED_VALUE"""),"")</f>
        <v/>
      </c>
    </row>
    <row r="384">
      <c r="A384" s="48" t="str">
        <f>IFERROR(__xludf.DUMMYFUNCTION("""COMPUTED_VALUE"""),"")</f>
        <v/>
      </c>
      <c r="B384" s="48"/>
      <c r="C384" s="49"/>
      <c r="D384" s="46"/>
      <c r="E384" s="46"/>
      <c r="F384" s="46"/>
      <c r="G384" s="46"/>
      <c r="H384" s="46"/>
      <c r="I384" s="50"/>
      <c r="J384" s="50"/>
      <c r="K384" s="51" t="str">
        <f>IFERROR(__xludf.DUMMYFUNCTION("""COMPUTED_VALUE"""),"")</f>
        <v/>
      </c>
      <c r="L384" s="46" t="str">
        <f>IFERROR(__xludf.DUMMYFUNCTION("""COMPUTED_VALUE"""),"")</f>
        <v/>
      </c>
      <c r="M384" s="46" t="str">
        <f>IFERROR(__xludf.DUMMYFUNCTION("""COMPUTED_VALUE"""),"")</f>
        <v/>
      </c>
      <c r="N384" s="46" t="str">
        <f>IFERROR(__xludf.DUMMYFUNCTION("""COMPUTED_VALUE"""),"")</f>
        <v/>
      </c>
      <c r="O384" s="48"/>
      <c r="P384" s="52" t="str">
        <f>IFERROR(__xludf.DUMMYFUNCTION("""COMPUTED_VALUE"""),"")</f>
        <v/>
      </c>
    </row>
    <row r="385">
      <c r="A385" s="48" t="str">
        <f>IFERROR(__xludf.DUMMYFUNCTION("""COMPUTED_VALUE"""),"")</f>
        <v/>
      </c>
      <c r="B385" s="48"/>
      <c r="C385" s="49"/>
      <c r="D385" s="46"/>
      <c r="E385" s="46"/>
      <c r="F385" s="46"/>
      <c r="G385" s="46"/>
      <c r="H385" s="46"/>
      <c r="I385" s="50"/>
      <c r="J385" s="50"/>
      <c r="K385" s="51" t="str">
        <f>IFERROR(__xludf.DUMMYFUNCTION("""COMPUTED_VALUE"""),"")</f>
        <v/>
      </c>
      <c r="L385" s="46" t="str">
        <f>IFERROR(__xludf.DUMMYFUNCTION("""COMPUTED_VALUE"""),"")</f>
        <v/>
      </c>
      <c r="M385" s="46" t="str">
        <f>IFERROR(__xludf.DUMMYFUNCTION("""COMPUTED_VALUE"""),"")</f>
        <v/>
      </c>
      <c r="N385" s="46" t="str">
        <f>IFERROR(__xludf.DUMMYFUNCTION("""COMPUTED_VALUE"""),"")</f>
        <v/>
      </c>
      <c r="O385" s="48"/>
      <c r="P385" s="52" t="str">
        <f>IFERROR(__xludf.DUMMYFUNCTION("""COMPUTED_VALUE"""),"")</f>
        <v/>
      </c>
    </row>
    <row r="386">
      <c r="A386" s="48" t="str">
        <f>IFERROR(__xludf.DUMMYFUNCTION("""COMPUTED_VALUE"""),"")</f>
        <v/>
      </c>
      <c r="B386" s="48"/>
      <c r="C386" s="49"/>
      <c r="D386" s="46"/>
      <c r="E386" s="46"/>
      <c r="F386" s="46"/>
      <c r="G386" s="46"/>
      <c r="H386" s="46"/>
      <c r="I386" s="50"/>
      <c r="J386" s="50"/>
      <c r="K386" s="51" t="str">
        <f>IFERROR(__xludf.DUMMYFUNCTION("""COMPUTED_VALUE"""),"")</f>
        <v/>
      </c>
      <c r="L386" s="46" t="str">
        <f>IFERROR(__xludf.DUMMYFUNCTION("""COMPUTED_VALUE"""),"")</f>
        <v/>
      </c>
      <c r="M386" s="46" t="str">
        <f>IFERROR(__xludf.DUMMYFUNCTION("""COMPUTED_VALUE"""),"")</f>
        <v/>
      </c>
      <c r="N386" s="46" t="str">
        <f>IFERROR(__xludf.DUMMYFUNCTION("""COMPUTED_VALUE"""),"")</f>
        <v/>
      </c>
      <c r="O386" s="48"/>
      <c r="P386" s="52" t="str">
        <f>IFERROR(__xludf.DUMMYFUNCTION("""COMPUTED_VALUE"""),"")</f>
        <v/>
      </c>
    </row>
    <row r="387">
      <c r="A387" s="48" t="str">
        <f>IFERROR(__xludf.DUMMYFUNCTION("""COMPUTED_VALUE"""),"")</f>
        <v/>
      </c>
      <c r="B387" s="48"/>
      <c r="C387" s="49"/>
      <c r="D387" s="46"/>
      <c r="E387" s="46"/>
      <c r="F387" s="46"/>
      <c r="G387" s="46"/>
      <c r="H387" s="46"/>
      <c r="I387" s="50"/>
      <c r="J387" s="50"/>
      <c r="K387" s="51" t="str">
        <f>IFERROR(__xludf.DUMMYFUNCTION("""COMPUTED_VALUE"""),"")</f>
        <v/>
      </c>
      <c r="L387" s="46" t="str">
        <f>IFERROR(__xludf.DUMMYFUNCTION("""COMPUTED_VALUE"""),"")</f>
        <v/>
      </c>
      <c r="M387" s="46" t="str">
        <f>IFERROR(__xludf.DUMMYFUNCTION("""COMPUTED_VALUE"""),"")</f>
        <v/>
      </c>
      <c r="N387" s="46" t="str">
        <f>IFERROR(__xludf.DUMMYFUNCTION("""COMPUTED_VALUE"""),"")</f>
        <v/>
      </c>
      <c r="O387" s="48"/>
      <c r="P387" s="52" t="str">
        <f>IFERROR(__xludf.DUMMYFUNCTION("""COMPUTED_VALUE"""),"")</f>
        <v/>
      </c>
    </row>
    <row r="388">
      <c r="A388" s="48" t="str">
        <f>IFERROR(__xludf.DUMMYFUNCTION("""COMPUTED_VALUE"""),"")</f>
        <v/>
      </c>
      <c r="B388" s="48"/>
      <c r="C388" s="49"/>
      <c r="D388" s="46"/>
      <c r="E388" s="46"/>
      <c r="F388" s="46"/>
      <c r="G388" s="46"/>
      <c r="H388" s="46"/>
      <c r="I388" s="50"/>
      <c r="J388" s="50"/>
      <c r="K388" s="51" t="str">
        <f>IFERROR(__xludf.DUMMYFUNCTION("""COMPUTED_VALUE"""),"")</f>
        <v/>
      </c>
      <c r="L388" s="46" t="str">
        <f>IFERROR(__xludf.DUMMYFUNCTION("""COMPUTED_VALUE"""),"")</f>
        <v/>
      </c>
      <c r="M388" s="46" t="str">
        <f>IFERROR(__xludf.DUMMYFUNCTION("""COMPUTED_VALUE"""),"")</f>
        <v/>
      </c>
      <c r="N388" s="46" t="str">
        <f>IFERROR(__xludf.DUMMYFUNCTION("""COMPUTED_VALUE"""),"")</f>
        <v/>
      </c>
      <c r="O388" s="48"/>
      <c r="P388" s="52" t="str">
        <f>IFERROR(__xludf.DUMMYFUNCTION("""COMPUTED_VALUE"""),"")</f>
        <v/>
      </c>
    </row>
    <row r="389">
      <c r="A389" s="48" t="str">
        <f>IFERROR(__xludf.DUMMYFUNCTION("""COMPUTED_VALUE"""),"")</f>
        <v/>
      </c>
      <c r="B389" s="48"/>
      <c r="C389" s="49"/>
      <c r="D389" s="46"/>
      <c r="E389" s="46"/>
      <c r="F389" s="46"/>
      <c r="G389" s="46"/>
      <c r="H389" s="46"/>
      <c r="I389" s="50"/>
      <c r="J389" s="50"/>
      <c r="K389" s="51" t="str">
        <f>IFERROR(__xludf.DUMMYFUNCTION("""COMPUTED_VALUE"""),"")</f>
        <v/>
      </c>
      <c r="L389" s="46" t="str">
        <f>IFERROR(__xludf.DUMMYFUNCTION("""COMPUTED_VALUE"""),"")</f>
        <v/>
      </c>
      <c r="M389" s="46" t="str">
        <f>IFERROR(__xludf.DUMMYFUNCTION("""COMPUTED_VALUE"""),"")</f>
        <v/>
      </c>
      <c r="N389" s="46" t="str">
        <f>IFERROR(__xludf.DUMMYFUNCTION("""COMPUTED_VALUE"""),"")</f>
        <v/>
      </c>
      <c r="O389" s="48"/>
      <c r="P389" s="52" t="str">
        <f>IFERROR(__xludf.DUMMYFUNCTION("""COMPUTED_VALUE"""),"")</f>
        <v/>
      </c>
    </row>
    <row r="390">
      <c r="A390" s="48" t="str">
        <f>IFERROR(__xludf.DUMMYFUNCTION("""COMPUTED_VALUE"""),"")</f>
        <v/>
      </c>
      <c r="B390" s="48"/>
      <c r="C390" s="49"/>
      <c r="D390" s="46"/>
      <c r="E390" s="46"/>
      <c r="F390" s="46"/>
      <c r="G390" s="46"/>
      <c r="H390" s="46"/>
      <c r="I390" s="50"/>
      <c r="J390" s="50"/>
      <c r="K390" s="51" t="str">
        <f>IFERROR(__xludf.DUMMYFUNCTION("""COMPUTED_VALUE"""),"")</f>
        <v/>
      </c>
      <c r="L390" s="46" t="str">
        <f>IFERROR(__xludf.DUMMYFUNCTION("""COMPUTED_VALUE"""),"")</f>
        <v/>
      </c>
      <c r="M390" s="46" t="str">
        <f>IFERROR(__xludf.DUMMYFUNCTION("""COMPUTED_VALUE"""),"")</f>
        <v/>
      </c>
      <c r="N390" s="46" t="str">
        <f>IFERROR(__xludf.DUMMYFUNCTION("""COMPUTED_VALUE"""),"")</f>
        <v/>
      </c>
      <c r="O390" s="48"/>
      <c r="P390" s="52" t="str">
        <f>IFERROR(__xludf.DUMMYFUNCTION("""COMPUTED_VALUE"""),"")</f>
        <v/>
      </c>
    </row>
    <row r="391">
      <c r="A391" s="48" t="str">
        <f>IFERROR(__xludf.DUMMYFUNCTION("""COMPUTED_VALUE"""),"")</f>
        <v/>
      </c>
      <c r="B391" s="48"/>
      <c r="C391" s="49"/>
      <c r="D391" s="46"/>
      <c r="E391" s="46"/>
      <c r="F391" s="46"/>
      <c r="G391" s="46"/>
      <c r="H391" s="46"/>
      <c r="I391" s="50"/>
      <c r="J391" s="50"/>
      <c r="K391" s="51" t="str">
        <f>IFERROR(__xludf.DUMMYFUNCTION("""COMPUTED_VALUE"""),"")</f>
        <v/>
      </c>
      <c r="L391" s="46" t="str">
        <f>IFERROR(__xludf.DUMMYFUNCTION("""COMPUTED_VALUE"""),"")</f>
        <v/>
      </c>
      <c r="M391" s="46" t="str">
        <f>IFERROR(__xludf.DUMMYFUNCTION("""COMPUTED_VALUE"""),"")</f>
        <v/>
      </c>
      <c r="N391" s="46" t="str">
        <f>IFERROR(__xludf.DUMMYFUNCTION("""COMPUTED_VALUE"""),"")</f>
        <v/>
      </c>
      <c r="O391" s="48"/>
      <c r="P391" s="52" t="str">
        <f>IFERROR(__xludf.DUMMYFUNCTION("""COMPUTED_VALUE"""),"")</f>
        <v/>
      </c>
    </row>
    <row r="392">
      <c r="A392" s="48" t="str">
        <f>IFERROR(__xludf.DUMMYFUNCTION("""COMPUTED_VALUE"""),"")</f>
        <v/>
      </c>
      <c r="B392" s="48"/>
      <c r="C392" s="49"/>
      <c r="D392" s="46"/>
      <c r="E392" s="46"/>
      <c r="F392" s="46"/>
      <c r="G392" s="46"/>
      <c r="H392" s="46"/>
      <c r="I392" s="50"/>
      <c r="J392" s="50"/>
      <c r="K392" s="51" t="str">
        <f>IFERROR(__xludf.DUMMYFUNCTION("""COMPUTED_VALUE"""),"")</f>
        <v/>
      </c>
      <c r="L392" s="46" t="str">
        <f>IFERROR(__xludf.DUMMYFUNCTION("""COMPUTED_VALUE"""),"")</f>
        <v/>
      </c>
      <c r="M392" s="46" t="str">
        <f>IFERROR(__xludf.DUMMYFUNCTION("""COMPUTED_VALUE"""),"")</f>
        <v/>
      </c>
      <c r="N392" s="46" t="str">
        <f>IFERROR(__xludf.DUMMYFUNCTION("""COMPUTED_VALUE"""),"")</f>
        <v/>
      </c>
      <c r="O392" s="48"/>
      <c r="P392" s="52" t="str">
        <f>IFERROR(__xludf.DUMMYFUNCTION("""COMPUTED_VALUE"""),"")</f>
        <v/>
      </c>
    </row>
    <row r="393">
      <c r="A393" s="48" t="str">
        <f>IFERROR(__xludf.DUMMYFUNCTION("""COMPUTED_VALUE"""),"")</f>
        <v/>
      </c>
      <c r="B393" s="48"/>
      <c r="C393" s="49"/>
      <c r="D393" s="46"/>
      <c r="E393" s="46"/>
      <c r="F393" s="46"/>
      <c r="G393" s="46"/>
      <c r="H393" s="46"/>
      <c r="I393" s="50"/>
      <c r="J393" s="50"/>
      <c r="K393" s="51" t="str">
        <f>IFERROR(__xludf.DUMMYFUNCTION("""COMPUTED_VALUE"""),"")</f>
        <v/>
      </c>
      <c r="L393" s="46" t="str">
        <f>IFERROR(__xludf.DUMMYFUNCTION("""COMPUTED_VALUE"""),"")</f>
        <v/>
      </c>
      <c r="M393" s="46" t="str">
        <f>IFERROR(__xludf.DUMMYFUNCTION("""COMPUTED_VALUE"""),"")</f>
        <v/>
      </c>
      <c r="N393" s="46" t="str">
        <f>IFERROR(__xludf.DUMMYFUNCTION("""COMPUTED_VALUE"""),"")</f>
        <v/>
      </c>
      <c r="O393" s="48"/>
      <c r="P393" s="52" t="str">
        <f>IFERROR(__xludf.DUMMYFUNCTION("""COMPUTED_VALUE"""),"")</f>
        <v/>
      </c>
    </row>
    <row r="394">
      <c r="A394" s="48" t="str">
        <f>IFERROR(__xludf.DUMMYFUNCTION("""COMPUTED_VALUE"""),"")</f>
        <v/>
      </c>
      <c r="B394" s="48"/>
      <c r="C394" s="49"/>
      <c r="D394" s="46"/>
      <c r="E394" s="46"/>
      <c r="F394" s="46"/>
      <c r="G394" s="46"/>
      <c r="H394" s="46"/>
      <c r="I394" s="50"/>
      <c r="J394" s="50"/>
      <c r="K394" s="51" t="str">
        <f>IFERROR(__xludf.DUMMYFUNCTION("""COMPUTED_VALUE"""),"")</f>
        <v/>
      </c>
      <c r="L394" s="46" t="str">
        <f>IFERROR(__xludf.DUMMYFUNCTION("""COMPUTED_VALUE"""),"")</f>
        <v/>
      </c>
      <c r="M394" s="46" t="str">
        <f>IFERROR(__xludf.DUMMYFUNCTION("""COMPUTED_VALUE"""),"")</f>
        <v/>
      </c>
      <c r="N394" s="46" t="str">
        <f>IFERROR(__xludf.DUMMYFUNCTION("""COMPUTED_VALUE"""),"")</f>
        <v/>
      </c>
      <c r="O394" s="48"/>
      <c r="P394" s="52" t="str">
        <f>IFERROR(__xludf.DUMMYFUNCTION("""COMPUTED_VALUE"""),"")</f>
        <v/>
      </c>
    </row>
    <row r="395">
      <c r="A395" s="48" t="str">
        <f>IFERROR(__xludf.DUMMYFUNCTION("""COMPUTED_VALUE"""),"")</f>
        <v/>
      </c>
      <c r="B395" s="48"/>
      <c r="C395" s="49"/>
      <c r="D395" s="46"/>
      <c r="E395" s="46"/>
      <c r="F395" s="46"/>
      <c r="G395" s="46"/>
      <c r="H395" s="46"/>
      <c r="I395" s="50"/>
      <c r="J395" s="50"/>
      <c r="K395" s="51" t="str">
        <f>IFERROR(__xludf.DUMMYFUNCTION("""COMPUTED_VALUE"""),"")</f>
        <v/>
      </c>
      <c r="L395" s="46" t="str">
        <f>IFERROR(__xludf.DUMMYFUNCTION("""COMPUTED_VALUE"""),"")</f>
        <v/>
      </c>
      <c r="M395" s="46" t="str">
        <f>IFERROR(__xludf.DUMMYFUNCTION("""COMPUTED_VALUE"""),"")</f>
        <v/>
      </c>
      <c r="N395" s="46" t="str">
        <f>IFERROR(__xludf.DUMMYFUNCTION("""COMPUTED_VALUE"""),"")</f>
        <v/>
      </c>
      <c r="O395" s="48"/>
      <c r="P395" s="52" t="str">
        <f>IFERROR(__xludf.DUMMYFUNCTION("""COMPUTED_VALUE"""),"")</f>
        <v/>
      </c>
    </row>
    <row r="396">
      <c r="A396" s="48" t="str">
        <f>IFERROR(__xludf.DUMMYFUNCTION("""COMPUTED_VALUE"""),"")</f>
        <v/>
      </c>
      <c r="B396" s="48"/>
      <c r="C396" s="49"/>
      <c r="D396" s="46"/>
      <c r="E396" s="46"/>
      <c r="F396" s="46"/>
      <c r="G396" s="46"/>
      <c r="H396" s="46"/>
      <c r="I396" s="50"/>
      <c r="J396" s="50"/>
      <c r="K396" s="51" t="str">
        <f>IFERROR(__xludf.DUMMYFUNCTION("""COMPUTED_VALUE"""),"")</f>
        <v/>
      </c>
      <c r="L396" s="46" t="str">
        <f>IFERROR(__xludf.DUMMYFUNCTION("""COMPUTED_VALUE"""),"")</f>
        <v/>
      </c>
      <c r="M396" s="46" t="str">
        <f>IFERROR(__xludf.DUMMYFUNCTION("""COMPUTED_VALUE"""),"")</f>
        <v/>
      </c>
      <c r="N396" s="46" t="str">
        <f>IFERROR(__xludf.DUMMYFUNCTION("""COMPUTED_VALUE"""),"")</f>
        <v/>
      </c>
      <c r="O396" s="48"/>
      <c r="P396" s="52" t="str">
        <f>IFERROR(__xludf.DUMMYFUNCTION("""COMPUTED_VALUE"""),"")</f>
        <v/>
      </c>
    </row>
    <row r="397">
      <c r="A397" s="48" t="str">
        <f>IFERROR(__xludf.DUMMYFUNCTION("""COMPUTED_VALUE"""),"")</f>
        <v/>
      </c>
      <c r="B397" s="48"/>
      <c r="C397" s="49"/>
      <c r="D397" s="46"/>
      <c r="E397" s="46"/>
      <c r="F397" s="46"/>
      <c r="G397" s="46"/>
      <c r="H397" s="46"/>
      <c r="I397" s="50"/>
      <c r="J397" s="50"/>
      <c r="K397" s="51" t="str">
        <f>IFERROR(__xludf.DUMMYFUNCTION("""COMPUTED_VALUE"""),"")</f>
        <v/>
      </c>
      <c r="L397" s="46" t="str">
        <f>IFERROR(__xludf.DUMMYFUNCTION("""COMPUTED_VALUE"""),"")</f>
        <v/>
      </c>
      <c r="M397" s="46" t="str">
        <f>IFERROR(__xludf.DUMMYFUNCTION("""COMPUTED_VALUE"""),"")</f>
        <v/>
      </c>
      <c r="N397" s="46" t="str">
        <f>IFERROR(__xludf.DUMMYFUNCTION("""COMPUTED_VALUE"""),"")</f>
        <v/>
      </c>
      <c r="O397" s="48"/>
      <c r="P397" s="52" t="str">
        <f>IFERROR(__xludf.DUMMYFUNCTION("""COMPUTED_VALUE"""),"")</f>
        <v/>
      </c>
    </row>
    <row r="398">
      <c r="A398" s="48" t="str">
        <f>IFERROR(__xludf.DUMMYFUNCTION("""COMPUTED_VALUE"""),"")</f>
        <v/>
      </c>
      <c r="B398" s="48"/>
      <c r="C398" s="49"/>
      <c r="D398" s="46"/>
      <c r="E398" s="46"/>
      <c r="F398" s="46"/>
      <c r="G398" s="46"/>
      <c r="H398" s="46"/>
      <c r="I398" s="50"/>
      <c r="J398" s="50"/>
      <c r="K398" s="51" t="str">
        <f>IFERROR(__xludf.DUMMYFUNCTION("""COMPUTED_VALUE"""),"")</f>
        <v/>
      </c>
      <c r="L398" s="46" t="str">
        <f>IFERROR(__xludf.DUMMYFUNCTION("""COMPUTED_VALUE"""),"")</f>
        <v/>
      </c>
      <c r="M398" s="46" t="str">
        <f>IFERROR(__xludf.DUMMYFUNCTION("""COMPUTED_VALUE"""),"")</f>
        <v/>
      </c>
      <c r="N398" s="46" t="str">
        <f>IFERROR(__xludf.DUMMYFUNCTION("""COMPUTED_VALUE"""),"")</f>
        <v/>
      </c>
      <c r="O398" s="48"/>
      <c r="P398" s="52" t="str">
        <f>IFERROR(__xludf.DUMMYFUNCTION("""COMPUTED_VALUE"""),"")</f>
        <v/>
      </c>
    </row>
    <row r="399">
      <c r="A399" s="48" t="str">
        <f>IFERROR(__xludf.DUMMYFUNCTION("""COMPUTED_VALUE"""),"")</f>
        <v/>
      </c>
      <c r="B399" s="48"/>
      <c r="C399" s="49"/>
      <c r="D399" s="46"/>
      <c r="E399" s="46"/>
      <c r="F399" s="46"/>
      <c r="G399" s="46"/>
      <c r="H399" s="46"/>
      <c r="I399" s="50"/>
      <c r="J399" s="50"/>
      <c r="K399" s="51" t="str">
        <f>IFERROR(__xludf.DUMMYFUNCTION("""COMPUTED_VALUE"""),"")</f>
        <v/>
      </c>
      <c r="L399" s="46" t="str">
        <f>IFERROR(__xludf.DUMMYFUNCTION("""COMPUTED_VALUE"""),"")</f>
        <v/>
      </c>
      <c r="M399" s="46" t="str">
        <f>IFERROR(__xludf.DUMMYFUNCTION("""COMPUTED_VALUE"""),"")</f>
        <v/>
      </c>
      <c r="N399" s="46" t="str">
        <f>IFERROR(__xludf.DUMMYFUNCTION("""COMPUTED_VALUE"""),"")</f>
        <v/>
      </c>
      <c r="O399" s="48"/>
      <c r="P399" s="52" t="str">
        <f>IFERROR(__xludf.DUMMYFUNCTION("""COMPUTED_VALUE"""),"")</f>
        <v/>
      </c>
    </row>
    <row r="400">
      <c r="A400" s="48" t="str">
        <f>IFERROR(__xludf.DUMMYFUNCTION("""COMPUTED_VALUE"""),"")</f>
        <v/>
      </c>
      <c r="B400" s="48"/>
      <c r="C400" s="49"/>
      <c r="D400" s="46"/>
      <c r="E400" s="46"/>
      <c r="F400" s="46"/>
      <c r="G400" s="46"/>
      <c r="H400" s="46"/>
      <c r="I400" s="50"/>
      <c r="J400" s="50"/>
      <c r="K400" s="51" t="str">
        <f>IFERROR(__xludf.DUMMYFUNCTION("""COMPUTED_VALUE"""),"")</f>
        <v/>
      </c>
      <c r="L400" s="46" t="str">
        <f>IFERROR(__xludf.DUMMYFUNCTION("""COMPUTED_VALUE"""),"")</f>
        <v/>
      </c>
      <c r="M400" s="46" t="str">
        <f>IFERROR(__xludf.DUMMYFUNCTION("""COMPUTED_VALUE"""),"")</f>
        <v/>
      </c>
      <c r="N400" s="46" t="str">
        <f>IFERROR(__xludf.DUMMYFUNCTION("""COMPUTED_VALUE"""),"")</f>
        <v/>
      </c>
      <c r="O400" s="48"/>
      <c r="P400" s="52" t="str">
        <f>IFERROR(__xludf.DUMMYFUNCTION("""COMPUTED_VALUE"""),"")</f>
        <v/>
      </c>
    </row>
    <row r="401">
      <c r="A401" s="48" t="str">
        <f>IFERROR(__xludf.DUMMYFUNCTION("""COMPUTED_VALUE"""),"")</f>
        <v/>
      </c>
      <c r="B401" s="48"/>
      <c r="C401" s="49"/>
      <c r="D401" s="46"/>
      <c r="E401" s="46"/>
      <c r="F401" s="46"/>
      <c r="G401" s="46"/>
      <c r="H401" s="46"/>
      <c r="I401" s="50"/>
      <c r="J401" s="50"/>
      <c r="K401" s="51" t="str">
        <f>IFERROR(__xludf.DUMMYFUNCTION("""COMPUTED_VALUE"""),"")</f>
        <v/>
      </c>
      <c r="L401" s="46" t="str">
        <f>IFERROR(__xludf.DUMMYFUNCTION("""COMPUTED_VALUE"""),"")</f>
        <v/>
      </c>
      <c r="M401" s="46" t="str">
        <f>IFERROR(__xludf.DUMMYFUNCTION("""COMPUTED_VALUE"""),"")</f>
        <v/>
      </c>
      <c r="N401" s="46" t="str">
        <f>IFERROR(__xludf.DUMMYFUNCTION("""COMPUTED_VALUE"""),"")</f>
        <v/>
      </c>
      <c r="O401" s="48"/>
      <c r="P401" s="52" t="str">
        <f>IFERROR(__xludf.DUMMYFUNCTION("""COMPUTED_VALUE"""),"")</f>
        <v/>
      </c>
    </row>
    <row r="402">
      <c r="A402" s="48" t="str">
        <f>IFERROR(__xludf.DUMMYFUNCTION("""COMPUTED_VALUE"""),"")</f>
        <v/>
      </c>
      <c r="B402" s="48"/>
      <c r="C402" s="49"/>
      <c r="D402" s="46"/>
      <c r="E402" s="46"/>
      <c r="F402" s="46"/>
      <c r="G402" s="46"/>
      <c r="H402" s="46"/>
      <c r="I402" s="50"/>
      <c r="J402" s="50"/>
      <c r="K402" s="51" t="str">
        <f>IFERROR(__xludf.DUMMYFUNCTION("""COMPUTED_VALUE"""),"")</f>
        <v/>
      </c>
      <c r="L402" s="46" t="str">
        <f>IFERROR(__xludf.DUMMYFUNCTION("""COMPUTED_VALUE"""),"")</f>
        <v/>
      </c>
      <c r="M402" s="46" t="str">
        <f>IFERROR(__xludf.DUMMYFUNCTION("""COMPUTED_VALUE"""),"")</f>
        <v/>
      </c>
      <c r="N402" s="46" t="str">
        <f>IFERROR(__xludf.DUMMYFUNCTION("""COMPUTED_VALUE"""),"")</f>
        <v/>
      </c>
      <c r="O402" s="48"/>
      <c r="P402" s="52" t="str">
        <f>IFERROR(__xludf.DUMMYFUNCTION("""COMPUTED_VALUE"""),"")</f>
        <v/>
      </c>
    </row>
    <row r="403">
      <c r="A403" s="48" t="str">
        <f>IFERROR(__xludf.DUMMYFUNCTION("""COMPUTED_VALUE"""),"")</f>
        <v/>
      </c>
      <c r="B403" s="48"/>
      <c r="C403" s="49"/>
      <c r="D403" s="46"/>
      <c r="E403" s="46"/>
      <c r="F403" s="46"/>
      <c r="G403" s="46"/>
      <c r="H403" s="46"/>
      <c r="I403" s="50"/>
      <c r="J403" s="50"/>
      <c r="K403" s="51" t="str">
        <f>IFERROR(__xludf.DUMMYFUNCTION("""COMPUTED_VALUE"""),"")</f>
        <v/>
      </c>
      <c r="L403" s="46" t="str">
        <f>IFERROR(__xludf.DUMMYFUNCTION("""COMPUTED_VALUE"""),"")</f>
        <v/>
      </c>
      <c r="M403" s="46" t="str">
        <f>IFERROR(__xludf.DUMMYFUNCTION("""COMPUTED_VALUE"""),"")</f>
        <v/>
      </c>
      <c r="N403" s="46" t="str">
        <f>IFERROR(__xludf.DUMMYFUNCTION("""COMPUTED_VALUE"""),"")</f>
        <v/>
      </c>
      <c r="O403" s="48"/>
      <c r="P403" s="52" t="str">
        <f>IFERROR(__xludf.DUMMYFUNCTION("""COMPUTED_VALUE"""),"")</f>
        <v/>
      </c>
    </row>
    <row r="404">
      <c r="A404" s="48" t="str">
        <f>IFERROR(__xludf.DUMMYFUNCTION("""COMPUTED_VALUE"""),"")</f>
        <v/>
      </c>
      <c r="B404" s="48"/>
      <c r="C404" s="49"/>
      <c r="D404" s="46"/>
      <c r="E404" s="46"/>
      <c r="F404" s="46"/>
      <c r="G404" s="46"/>
      <c r="H404" s="46"/>
      <c r="I404" s="50"/>
      <c r="J404" s="50"/>
      <c r="K404" s="51" t="str">
        <f>IFERROR(__xludf.DUMMYFUNCTION("""COMPUTED_VALUE"""),"")</f>
        <v/>
      </c>
      <c r="L404" s="46" t="str">
        <f>IFERROR(__xludf.DUMMYFUNCTION("""COMPUTED_VALUE"""),"")</f>
        <v/>
      </c>
      <c r="M404" s="46" t="str">
        <f>IFERROR(__xludf.DUMMYFUNCTION("""COMPUTED_VALUE"""),"")</f>
        <v/>
      </c>
      <c r="N404" s="46" t="str">
        <f>IFERROR(__xludf.DUMMYFUNCTION("""COMPUTED_VALUE"""),"")</f>
        <v/>
      </c>
      <c r="O404" s="48"/>
      <c r="P404" s="52" t="str">
        <f>IFERROR(__xludf.DUMMYFUNCTION("""COMPUTED_VALUE"""),"")</f>
        <v/>
      </c>
    </row>
    <row r="405">
      <c r="A405" s="48" t="str">
        <f>IFERROR(__xludf.DUMMYFUNCTION("""COMPUTED_VALUE"""),"")</f>
        <v/>
      </c>
      <c r="B405" s="48"/>
      <c r="C405" s="49"/>
      <c r="D405" s="46"/>
      <c r="E405" s="46"/>
      <c r="F405" s="46"/>
      <c r="G405" s="46"/>
      <c r="H405" s="46"/>
      <c r="I405" s="50"/>
      <c r="J405" s="50"/>
      <c r="K405" s="51" t="str">
        <f>IFERROR(__xludf.DUMMYFUNCTION("""COMPUTED_VALUE"""),"")</f>
        <v/>
      </c>
      <c r="L405" s="46" t="str">
        <f>IFERROR(__xludf.DUMMYFUNCTION("""COMPUTED_VALUE"""),"")</f>
        <v/>
      </c>
      <c r="M405" s="46" t="str">
        <f>IFERROR(__xludf.DUMMYFUNCTION("""COMPUTED_VALUE"""),"")</f>
        <v/>
      </c>
      <c r="N405" s="46" t="str">
        <f>IFERROR(__xludf.DUMMYFUNCTION("""COMPUTED_VALUE"""),"")</f>
        <v/>
      </c>
      <c r="O405" s="48"/>
      <c r="P405" s="52" t="str">
        <f>IFERROR(__xludf.DUMMYFUNCTION("""COMPUTED_VALUE"""),"")</f>
        <v/>
      </c>
    </row>
    <row r="406">
      <c r="A406" s="48" t="str">
        <f>IFERROR(__xludf.DUMMYFUNCTION("""COMPUTED_VALUE"""),"")</f>
        <v/>
      </c>
      <c r="B406" s="48"/>
      <c r="C406" s="49"/>
      <c r="D406" s="46"/>
      <c r="E406" s="46"/>
      <c r="F406" s="46"/>
      <c r="G406" s="46"/>
      <c r="H406" s="46"/>
      <c r="I406" s="50"/>
      <c r="J406" s="50"/>
      <c r="K406" s="51" t="str">
        <f>IFERROR(__xludf.DUMMYFUNCTION("""COMPUTED_VALUE"""),"")</f>
        <v/>
      </c>
      <c r="L406" s="46" t="str">
        <f>IFERROR(__xludf.DUMMYFUNCTION("""COMPUTED_VALUE"""),"")</f>
        <v/>
      </c>
      <c r="M406" s="46" t="str">
        <f>IFERROR(__xludf.DUMMYFUNCTION("""COMPUTED_VALUE"""),"")</f>
        <v/>
      </c>
      <c r="N406" s="46" t="str">
        <f>IFERROR(__xludf.DUMMYFUNCTION("""COMPUTED_VALUE"""),"")</f>
        <v/>
      </c>
      <c r="O406" s="48"/>
      <c r="P406" s="52" t="str">
        <f>IFERROR(__xludf.DUMMYFUNCTION("""COMPUTED_VALUE"""),"")</f>
        <v/>
      </c>
    </row>
    <row r="407">
      <c r="A407" s="48" t="str">
        <f>IFERROR(__xludf.DUMMYFUNCTION("""COMPUTED_VALUE"""),"")</f>
        <v/>
      </c>
      <c r="B407" s="48"/>
      <c r="C407" s="49"/>
      <c r="D407" s="46"/>
      <c r="E407" s="46"/>
      <c r="F407" s="46"/>
      <c r="G407" s="46"/>
      <c r="H407" s="46"/>
      <c r="I407" s="50"/>
      <c r="J407" s="50"/>
      <c r="K407" s="51" t="str">
        <f>IFERROR(__xludf.DUMMYFUNCTION("""COMPUTED_VALUE"""),"")</f>
        <v/>
      </c>
      <c r="L407" s="46" t="str">
        <f>IFERROR(__xludf.DUMMYFUNCTION("""COMPUTED_VALUE"""),"")</f>
        <v/>
      </c>
      <c r="M407" s="46" t="str">
        <f>IFERROR(__xludf.DUMMYFUNCTION("""COMPUTED_VALUE"""),"")</f>
        <v/>
      </c>
      <c r="N407" s="46" t="str">
        <f>IFERROR(__xludf.DUMMYFUNCTION("""COMPUTED_VALUE"""),"")</f>
        <v/>
      </c>
      <c r="O407" s="48"/>
      <c r="P407" s="52" t="str">
        <f>IFERROR(__xludf.DUMMYFUNCTION("""COMPUTED_VALUE"""),"")</f>
        <v/>
      </c>
    </row>
    <row r="408">
      <c r="A408" s="48" t="str">
        <f>IFERROR(__xludf.DUMMYFUNCTION("""COMPUTED_VALUE"""),"")</f>
        <v/>
      </c>
      <c r="B408" s="48"/>
      <c r="C408" s="49"/>
      <c r="D408" s="46"/>
      <c r="E408" s="46"/>
      <c r="F408" s="46"/>
      <c r="G408" s="46"/>
      <c r="H408" s="46"/>
      <c r="I408" s="50"/>
      <c r="J408" s="50"/>
      <c r="K408" s="51" t="str">
        <f>IFERROR(__xludf.DUMMYFUNCTION("""COMPUTED_VALUE"""),"")</f>
        <v/>
      </c>
      <c r="L408" s="46" t="str">
        <f>IFERROR(__xludf.DUMMYFUNCTION("""COMPUTED_VALUE"""),"")</f>
        <v/>
      </c>
      <c r="M408" s="46" t="str">
        <f>IFERROR(__xludf.DUMMYFUNCTION("""COMPUTED_VALUE"""),"")</f>
        <v/>
      </c>
      <c r="N408" s="46" t="str">
        <f>IFERROR(__xludf.DUMMYFUNCTION("""COMPUTED_VALUE"""),"")</f>
        <v/>
      </c>
      <c r="O408" s="48"/>
      <c r="P408" s="52" t="str">
        <f>IFERROR(__xludf.DUMMYFUNCTION("""COMPUTED_VALUE"""),"")</f>
        <v/>
      </c>
    </row>
    <row r="409">
      <c r="A409" s="48" t="str">
        <f>IFERROR(__xludf.DUMMYFUNCTION("""COMPUTED_VALUE"""),"")</f>
        <v/>
      </c>
      <c r="B409" s="48"/>
      <c r="C409" s="49"/>
      <c r="D409" s="46"/>
      <c r="E409" s="46"/>
      <c r="F409" s="46"/>
      <c r="G409" s="46"/>
      <c r="H409" s="46"/>
      <c r="I409" s="50"/>
      <c r="J409" s="50"/>
      <c r="K409" s="51" t="str">
        <f>IFERROR(__xludf.DUMMYFUNCTION("""COMPUTED_VALUE"""),"")</f>
        <v/>
      </c>
      <c r="L409" s="46" t="str">
        <f>IFERROR(__xludf.DUMMYFUNCTION("""COMPUTED_VALUE"""),"")</f>
        <v/>
      </c>
      <c r="M409" s="46" t="str">
        <f>IFERROR(__xludf.DUMMYFUNCTION("""COMPUTED_VALUE"""),"")</f>
        <v/>
      </c>
      <c r="N409" s="46" t="str">
        <f>IFERROR(__xludf.DUMMYFUNCTION("""COMPUTED_VALUE"""),"")</f>
        <v/>
      </c>
      <c r="O409" s="48"/>
      <c r="P409" s="52" t="str">
        <f>IFERROR(__xludf.DUMMYFUNCTION("""COMPUTED_VALUE"""),"")</f>
        <v/>
      </c>
    </row>
    <row r="410">
      <c r="A410" s="48" t="str">
        <f>IFERROR(__xludf.DUMMYFUNCTION("""COMPUTED_VALUE"""),"")</f>
        <v/>
      </c>
      <c r="B410" s="48"/>
      <c r="C410" s="49"/>
      <c r="D410" s="46"/>
      <c r="E410" s="46"/>
      <c r="F410" s="46"/>
      <c r="G410" s="46"/>
      <c r="H410" s="46"/>
      <c r="I410" s="50"/>
      <c r="J410" s="50"/>
      <c r="K410" s="51" t="str">
        <f>IFERROR(__xludf.DUMMYFUNCTION("""COMPUTED_VALUE"""),"")</f>
        <v/>
      </c>
      <c r="L410" s="46" t="str">
        <f>IFERROR(__xludf.DUMMYFUNCTION("""COMPUTED_VALUE"""),"")</f>
        <v/>
      </c>
      <c r="M410" s="46" t="str">
        <f>IFERROR(__xludf.DUMMYFUNCTION("""COMPUTED_VALUE"""),"")</f>
        <v/>
      </c>
      <c r="N410" s="46" t="str">
        <f>IFERROR(__xludf.DUMMYFUNCTION("""COMPUTED_VALUE"""),"")</f>
        <v/>
      </c>
      <c r="O410" s="48"/>
      <c r="P410" s="52" t="str">
        <f>IFERROR(__xludf.DUMMYFUNCTION("""COMPUTED_VALUE"""),"")</f>
        <v/>
      </c>
    </row>
    <row r="411">
      <c r="A411" s="48" t="str">
        <f>IFERROR(__xludf.DUMMYFUNCTION("""COMPUTED_VALUE"""),"")</f>
        <v/>
      </c>
      <c r="B411" s="48"/>
      <c r="C411" s="49"/>
      <c r="D411" s="46"/>
      <c r="E411" s="46"/>
      <c r="F411" s="46"/>
      <c r="G411" s="46"/>
      <c r="H411" s="46"/>
      <c r="I411" s="50"/>
      <c r="J411" s="50"/>
      <c r="K411" s="51" t="str">
        <f>IFERROR(__xludf.DUMMYFUNCTION("""COMPUTED_VALUE"""),"")</f>
        <v/>
      </c>
      <c r="L411" s="46" t="str">
        <f>IFERROR(__xludf.DUMMYFUNCTION("""COMPUTED_VALUE"""),"")</f>
        <v/>
      </c>
      <c r="M411" s="46" t="str">
        <f>IFERROR(__xludf.DUMMYFUNCTION("""COMPUTED_VALUE"""),"")</f>
        <v/>
      </c>
      <c r="N411" s="46" t="str">
        <f>IFERROR(__xludf.DUMMYFUNCTION("""COMPUTED_VALUE"""),"")</f>
        <v/>
      </c>
      <c r="O411" s="48"/>
      <c r="P411" s="52" t="str">
        <f>IFERROR(__xludf.DUMMYFUNCTION("""COMPUTED_VALUE"""),"")</f>
        <v/>
      </c>
    </row>
    <row r="412">
      <c r="A412" s="48" t="str">
        <f>IFERROR(__xludf.DUMMYFUNCTION("""COMPUTED_VALUE"""),"")</f>
        <v/>
      </c>
      <c r="B412" s="48"/>
      <c r="C412" s="49"/>
      <c r="D412" s="46"/>
      <c r="E412" s="46"/>
      <c r="F412" s="46"/>
      <c r="G412" s="46"/>
      <c r="H412" s="46"/>
      <c r="I412" s="50"/>
      <c r="J412" s="50"/>
      <c r="K412" s="51" t="str">
        <f>IFERROR(__xludf.DUMMYFUNCTION("""COMPUTED_VALUE"""),"")</f>
        <v/>
      </c>
      <c r="L412" s="46" t="str">
        <f>IFERROR(__xludf.DUMMYFUNCTION("""COMPUTED_VALUE"""),"")</f>
        <v/>
      </c>
      <c r="M412" s="46" t="str">
        <f>IFERROR(__xludf.DUMMYFUNCTION("""COMPUTED_VALUE"""),"")</f>
        <v/>
      </c>
      <c r="N412" s="46" t="str">
        <f>IFERROR(__xludf.DUMMYFUNCTION("""COMPUTED_VALUE"""),"")</f>
        <v/>
      </c>
      <c r="O412" s="48"/>
      <c r="P412" s="52" t="str">
        <f>IFERROR(__xludf.DUMMYFUNCTION("""COMPUTED_VALUE"""),"")</f>
        <v/>
      </c>
    </row>
    <row r="413">
      <c r="A413" s="48" t="str">
        <f>IFERROR(__xludf.DUMMYFUNCTION("""COMPUTED_VALUE"""),"")</f>
        <v/>
      </c>
      <c r="B413" s="48"/>
      <c r="C413" s="49"/>
      <c r="D413" s="46"/>
      <c r="E413" s="46"/>
      <c r="F413" s="46"/>
      <c r="G413" s="46"/>
      <c r="H413" s="46"/>
      <c r="I413" s="50"/>
      <c r="J413" s="50"/>
      <c r="K413" s="51" t="str">
        <f>IFERROR(__xludf.DUMMYFUNCTION("""COMPUTED_VALUE"""),"")</f>
        <v/>
      </c>
      <c r="L413" s="46" t="str">
        <f>IFERROR(__xludf.DUMMYFUNCTION("""COMPUTED_VALUE"""),"")</f>
        <v/>
      </c>
      <c r="M413" s="46" t="str">
        <f>IFERROR(__xludf.DUMMYFUNCTION("""COMPUTED_VALUE"""),"")</f>
        <v/>
      </c>
      <c r="N413" s="46" t="str">
        <f>IFERROR(__xludf.DUMMYFUNCTION("""COMPUTED_VALUE"""),"")</f>
        <v/>
      </c>
      <c r="O413" s="48"/>
      <c r="P413" s="52" t="str">
        <f>IFERROR(__xludf.DUMMYFUNCTION("""COMPUTED_VALUE"""),"")</f>
        <v/>
      </c>
    </row>
    <row r="414">
      <c r="A414" s="48" t="str">
        <f>IFERROR(__xludf.DUMMYFUNCTION("""COMPUTED_VALUE"""),"")</f>
        <v/>
      </c>
      <c r="B414" s="48"/>
      <c r="C414" s="49"/>
      <c r="D414" s="46"/>
      <c r="E414" s="46"/>
      <c r="F414" s="46"/>
      <c r="G414" s="46"/>
      <c r="H414" s="46"/>
      <c r="I414" s="50"/>
      <c r="J414" s="50"/>
      <c r="K414" s="51" t="str">
        <f>IFERROR(__xludf.DUMMYFUNCTION("""COMPUTED_VALUE"""),"")</f>
        <v/>
      </c>
      <c r="L414" s="46" t="str">
        <f>IFERROR(__xludf.DUMMYFUNCTION("""COMPUTED_VALUE"""),"")</f>
        <v/>
      </c>
      <c r="M414" s="46" t="str">
        <f>IFERROR(__xludf.DUMMYFUNCTION("""COMPUTED_VALUE"""),"")</f>
        <v/>
      </c>
      <c r="N414" s="46" t="str">
        <f>IFERROR(__xludf.DUMMYFUNCTION("""COMPUTED_VALUE"""),"")</f>
        <v/>
      </c>
      <c r="O414" s="48"/>
      <c r="P414" s="52" t="str">
        <f>IFERROR(__xludf.DUMMYFUNCTION("""COMPUTED_VALUE"""),"")</f>
        <v/>
      </c>
    </row>
    <row r="415">
      <c r="A415" s="48" t="str">
        <f>IFERROR(__xludf.DUMMYFUNCTION("""COMPUTED_VALUE"""),"")</f>
        <v/>
      </c>
      <c r="B415" s="48"/>
      <c r="C415" s="49"/>
      <c r="D415" s="46"/>
      <c r="E415" s="46"/>
      <c r="F415" s="46"/>
      <c r="G415" s="46"/>
      <c r="H415" s="46"/>
      <c r="I415" s="50"/>
      <c r="J415" s="50"/>
      <c r="K415" s="51" t="str">
        <f>IFERROR(__xludf.DUMMYFUNCTION("""COMPUTED_VALUE"""),"")</f>
        <v/>
      </c>
      <c r="L415" s="46" t="str">
        <f>IFERROR(__xludf.DUMMYFUNCTION("""COMPUTED_VALUE"""),"")</f>
        <v/>
      </c>
      <c r="M415" s="46" t="str">
        <f>IFERROR(__xludf.DUMMYFUNCTION("""COMPUTED_VALUE"""),"")</f>
        <v/>
      </c>
      <c r="N415" s="46" t="str">
        <f>IFERROR(__xludf.DUMMYFUNCTION("""COMPUTED_VALUE"""),"")</f>
        <v/>
      </c>
      <c r="O415" s="48"/>
      <c r="P415" s="52" t="str">
        <f>IFERROR(__xludf.DUMMYFUNCTION("""COMPUTED_VALUE"""),"")</f>
        <v/>
      </c>
    </row>
    <row r="416">
      <c r="A416" s="48" t="str">
        <f>IFERROR(__xludf.DUMMYFUNCTION("""COMPUTED_VALUE"""),"")</f>
        <v/>
      </c>
      <c r="B416" s="48"/>
      <c r="C416" s="49"/>
      <c r="D416" s="46"/>
      <c r="E416" s="46"/>
      <c r="F416" s="46"/>
      <c r="G416" s="46"/>
      <c r="H416" s="46"/>
      <c r="I416" s="50"/>
      <c r="J416" s="50"/>
      <c r="K416" s="51" t="str">
        <f>IFERROR(__xludf.DUMMYFUNCTION("""COMPUTED_VALUE"""),"")</f>
        <v/>
      </c>
      <c r="L416" s="46" t="str">
        <f>IFERROR(__xludf.DUMMYFUNCTION("""COMPUTED_VALUE"""),"")</f>
        <v/>
      </c>
      <c r="M416" s="46" t="str">
        <f>IFERROR(__xludf.DUMMYFUNCTION("""COMPUTED_VALUE"""),"")</f>
        <v/>
      </c>
      <c r="N416" s="46" t="str">
        <f>IFERROR(__xludf.DUMMYFUNCTION("""COMPUTED_VALUE"""),"")</f>
        <v/>
      </c>
      <c r="O416" s="48"/>
      <c r="P416" s="52" t="str">
        <f>IFERROR(__xludf.DUMMYFUNCTION("""COMPUTED_VALUE"""),"")</f>
        <v/>
      </c>
    </row>
    <row r="417">
      <c r="A417" s="48" t="str">
        <f>IFERROR(__xludf.DUMMYFUNCTION("""COMPUTED_VALUE"""),"")</f>
        <v/>
      </c>
      <c r="B417" s="48"/>
      <c r="C417" s="49"/>
      <c r="D417" s="46"/>
      <c r="E417" s="46"/>
      <c r="F417" s="46"/>
      <c r="G417" s="46"/>
      <c r="H417" s="46"/>
      <c r="I417" s="50"/>
      <c r="J417" s="50"/>
      <c r="K417" s="51" t="str">
        <f>IFERROR(__xludf.DUMMYFUNCTION("""COMPUTED_VALUE"""),"")</f>
        <v/>
      </c>
      <c r="L417" s="46" t="str">
        <f>IFERROR(__xludf.DUMMYFUNCTION("""COMPUTED_VALUE"""),"")</f>
        <v/>
      </c>
      <c r="M417" s="46" t="str">
        <f>IFERROR(__xludf.DUMMYFUNCTION("""COMPUTED_VALUE"""),"")</f>
        <v/>
      </c>
      <c r="N417" s="46" t="str">
        <f>IFERROR(__xludf.DUMMYFUNCTION("""COMPUTED_VALUE"""),"")</f>
        <v/>
      </c>
      <c r="O417" s="48"/>
      <c r="P417" s="52" t="str">
        <f>IFERROR(__xludf.DUMMYFUNCTION("""COMPUTED_VALUE"""),"")</f>
        <v/>
      </c>
    </row>
    <row r="418">
      <c r="A418" s="48" t="str">
        <f>IFERROR(__xludf.DUMMYFUNCTION("""COMPUTED_VALUE"""),"")</f>
        <v/>
      </c>
      <c r="B418" s="48"/>
      <c r="C418" s="49"/>
      <c r="D418" s="46"/>
      <c r="E418" s="46"/>
      <c r="F418" s="46"/>
      <c r="G418" s="46"/>
      <c r="H418" s="46"/>
      <c r="I418" s="50"/>
      <c r="J418" s="50"/>
      <c r="K418" s="51" t="str">
        <f>IFERROR(__xludf.DUMMYFUNCTION("""COMPUTED_VALUE"""),"")</f>
        <v/>
      </c>
      <c r="L418" s="46" t="str">
        <f>IFERROR(__xludf.DUMMYFUNCTION("""COMPUTED_VALUE"""),"")</f>
        <v/>
      </c>
      <c r="M418" s="46" t="str">
        <f>IFERROR(__xludf.DUMMYFUNCTION("""COMPUTED_VALUE"""),"")</f>
        <v/>
      </c>
      <c r="N418" s="46" t="str">
        <f>IFERROR(__xludf.DUMMYFUNCTION("""COMPUTED_VALUE"""),"")</f>
        <v/>
      </c>
      <c r="O418" s="48"/>
      <c r="P418" s="52" t="str">
        <f>IFERROR(__xludf.DUMMYFUNCTION("""COMPUTED_VALUE"""),"")</f>
        <v/>
      </c>
    </row>
    <row r="419">
      <c r="A419" s="48" t="str">
        <f>IFERROR(__xludf.DUMMYFUNCTION("""COMPUTED_VALUE"""),"")</f>
        <v/>
      </c>
      <c r="B419" s="48"/>
      <c r="C419" s="49"/>
      <c r="D419" s="46"/>
      <c r="E419" s="46"/>
      <c r="F419" s="46"/>
      <c r="G419" s="46"/>
      <c r="H419" s="46"/>
      <c r="I419" s="50"/>
      <c r="J419" s="50"/>
      <c r="K419" s="51" t="str">
        <f>IFERROR(__xludf.DUMMYFUNCTION("""COMPUTED_VALUE"""),"")</f>
        <v/>
      </c>
      <c r="L419" s="46" t="str">
        <f>IFERROR(__xludf.DUMMYFUNCTION("""COMPUTED_VALUE"""),"")</f>
        <v/>
      </c>
      <c r="M419" s="46" t="str">
        <f>IFERROR(__xludf.DUMMYFUNCTION("""COMPUTED_VALUE"""),"")</f>
        <v/>
      </c>
      <c r="N419" s="46" t="str">
        <f>IFERROR(__xludf.DUMMYFUNCTION("""COMPUTED_VALUE"""),"")</f>
        <v/>
      </c>
      <c r="O419" s="48"/>
      <c r="P419" s="52" t="str">
        <f>IFERROR(__xludf.DUMMYFUNCTION("""COMPUTED_VALUE"""),"")</f>
        <v/>
      </c>
    </row>
    <row r="420">
      <c r="A420" s="48" t="str">
        <f>IFERROR(__xludf.DUMMYFUNCTION("""COMPUTED_VALUE"""),"")</f>
        <v/>
      </c>
      <c r="B420" s="48"/>
      <c r="C420" s="49"/>
      <c r="D420" s="46"/>
      <c r="E420" s="46"/>
      <c r="F420" s="46"/>
      <c r="G420" s="46"/>
      <c r="H420" s="46"/>
      <c r="I420" s="50"/>
      <c r="J420" s="50"/>
      <c r="K420" s="51" t="str">
        <f>IFERROR(__xludf.DUMMYFUNCTION("""COMPUTED_VALUE"""),"")</f>
        <v/>
      </c>
      <c r="L420" s="46" t="str">
        <f>IFERROR(__xludf.DUMMYFUNCTION("""COMPUTED_VALUE"""),"")</f>
        <v/>
      </c>
      <c r="M420" s="46" t="str">
        <f>IFERROR(__xludf.DUMMYFUNCTION("""COMPUTED_VALUE"""),"")</f>
        <v/>
      </c>
      <c r="N420" s="46" t="str">
        <f>IFERROR(__xludf.DUMMYFUNCTION("""COMPUTED_VALUE"""),"")</f>
        <v/>
      </c>
      <c r="O420" s="48"/>
      <c r="P420" s="52" t="str">
        <f>IFERROR(__xludf.DUMMYFUNCTION("""COMPUTED_VALUE"""),"")</f>
        <v/>
      </c>
    </row>
    <row r="421">
      <c r="A421" s="48" t="str">
        <f>IFERROR(__xludf.DUMMYFUNCTION("""COMPUTED_VALUE"""),"")</f>
        <v/>
      </c>
      <c r="B421" s="48"/>
      <c r="C421" s="49"/>
      <c r="D421" s="46"/>
      <c r="E421" s="46"/>
      <c r="F421" s="46"/>
      <c r="G421" s="46"/>
      <c r="H421" s="46"/>
      <c r="I421" s="50"/>
      <c r="J421" s="50"/>
      <c r="K421" s="51" t="str">
        <f>IFERROR(__xludf.DUMMYFUNCTION("""COMPUTED_VALUE"""),"")</f>
        <v/>
      </c>
      <c r="L421" s="46" t="str">
        <f>IFERROR(__xludf.DUMMYFUNCTION("""COMPUTED_VALUE"""),"")</f>
        <v/>
      </c>
      <c r="M421" s="46" t="str">
        <f>IFERROR(__xludf.DUMMYFUNCTION("""COMPUTED_VALUE"""),"")</f>
        <v/>
      </c>
      <c r="N421" s="46" t="str">
        <f>IFERROR(__xludf.DUMMYFUNCTION("""COMPUTED_VALUE"""),"")</f>
        <v/>
      </c>
      <c r="O421" s="48"/>
      <c r="P421" s="52" t="str">
        <f>IFERROR(__xludf.DUMMYFUNCTION("""COMPUTED_VALUE"""),"")</f>
        <v/>
      </c>
    </row>
    <row r="422">
      <c r="A422" s="48" t="str">
        <f>IFERROR(__xludf.DUMMYFUNCTION("""COMPUTED_VALUE"""),"")</f>
        <v/>
      </c>
      <c r="B422" s="48"/>
      <c r="C422" s="49"/>
      <c r="D422" s="46"/>
      <c r="E422" s="46"/>
      <c r="F422" s="46"/>
      <c r="G422" s="46"/>
      <c r="H422" s="46"/>
      <c r="I422" s="50"/>
      <c r="J422" s="50"/>
      <c r="K422" s="51" t="str">
        <f>IFERROR(__xludf.DUMMYFUNCTION("""COMPUTED_VALUE"""),"")</f>
        <v/>
      </c>
      <c r="L422" s="46" t="str">
        <f>IFERROR(__xludf.DUMMYFUNCTION("""COMPUTED_VALUE"""),"")</f>
        <v/>
      </c>
      <c r="M422" s="46" t="str">
        <f>IFERROR(__xludf.DUMMYFUNCTION("""COMPUTED_VALUE"""),"")</f>
        <v/>
      </c>
      <c r="N422" s="46" t="str">
        <f>IFERROR(__xludf.DUMMYFUNCTION("""COMPUTED_VALUE"""),"")</f>
        <v/>
      </c>
      <c r="O422" s="48"/>
      <c r="P422" s="52" t="str">
        <f>IFERROR(__xludf.DUMMYFUNCTION("""COMPUTED_VALUE"""),"")</f>
        <v/>
      </c>
    </row>
    <row r="423">
      <c r="A423" s="48" t="str">
        <f>IFERROR(__xludf.DUMMYFUNCTION("""COMPUTED_VALUE"""),"")</f>
        <v/>
      </c>
      <c r="B423" s="48"/>
      <c r="C423" s="49"/>
      <c r="D423" s="46"/>
      <c r="E423" s="46"/>
      <c r="F423" s="46"/>
      <c r="G423" s="46"/>
      <c r="H423" s="46"/>
      <c r="I423" s="50"/>
      <c r="J423" s="50"/>
      <c r="K423" s="51" t="str">
        <f>IFERROR(__xludf.DUMMYFUNCTION("""COMPUTED_VALUE"""),"")</f>
        <v/>
      </c>
      <c r="L423" s="46" t="str">
        <f>IFERROR(__xludf.DUMMYFUNCTION("""COMPUTED_VALUE"""),"")</f>
        <v/>
      </c>
      <c r="M423" s="46" t="str">
        <f>IFERROR(__xludf.DUMMYFUNCTION("""COMPUTED_VALUE"""),"")</f>
        <v/>
      </c>
      <c r="N423" s="46" t="str">
        <f>IFERROR(__xludf.DUMMYFUNCTION("""COMPUTED_VALUE"""),"")</f>
        <v/>
      </c>
      <c r="O423" s="48"/>
      <c r="P423" s="52" t="str">
        <f>IFERROR(__xludf.DUMMYFUNCTION("""COMPUTED_VALUE"""),"")</f>
        <v/>
      </c>
    </row>
    <row r="424">
      <c r="A424" s="48" t="str">
        <f>IFERROR(__xludf.DUMMYFUNCTION("""COMPUTED_VALUE"""),"")</f>
        <v/>
      </c>
      <c r="B424" s="48"/>
      <c r="C424" s="49"/>
      <c r="D424" s="46"/>
      <c r="E424" s="46"/>
      <c r="F424" s="46"/>
      <c r="G424" s="46"/>
      <c r="H424" s="46"/>
      <c r="I424" s="50"/>
      <c r="J424" s="50"/>
      <c r="K424" s="51" t="str">
        <f>IFERROR(__xludf.DUMMYFUNCTION("""COMPUTED_VALUE"""),"")</f>
        <v/>
      </c>
      <c r="L424" s="46" t="str">
        <f>IFERROR(__xludf.DUMMYFUNCTION("""COMPUTED_VALUE"""),"")</f>
        <v/>
      </c>
      <c r="M424" s="46" t="str">
        <f>IFERROR(__xludf.DUMMYFUNCTION("""COMPUTED_VALUE"""),"")</f>
        <v/>
      </c>
      <c r="N424" s="46" t="str">
        <f>IFERROR(__xludf.DUMMYFUNCTION("""COMPUTED_VALUE"""),"")</f>
        <v/>
      </c>
      <c r="O424" s="48"/>
      <c r="P424" s="52" t="str">
        <f>IFERROR(__xludf.DUMMYFUNCTION("""COMPUTED_VALUE"""),"")</f>
        <v/>
      </c>
    </row>
    <row r="425">
      <c r="A425" s="48" t="str">
        <f>IFERROR(__xludf.DUMMYFUNCTION("""COMPUTED_VALUE"""),"")</f>
        <v/>
      </c>
      <c r="B425" s="48"/>
      <c r="C425" s="49"/>
      <c r="D425" s="46"/>
      <c r="E425" s="46"/>
      <c r="F425" s="46"/>
      <c r="G425" s="46"/>
      <c r="H425" s="46"/>
      <c r="I425" s="50"/>
      <c r="J425" s="50"/>
      <c r="K425" s="51" t="str">
        <f>IFERROR(__xludf.DUMMYFUNCTION("""COMPUTED_VALUE"""),"")</f>
        <v/>
      </c>
      <c r="L425" s="46" t="str">
        <f>IFERROR(__xludf.DUMMYFUNCTION("""COMPUTED_VALUE"""),"")</f>
        <v/>
      </c>
      <c r="M425" s="46" t="str">
        <f>IFERROR(__xludf.DUMMYFUNCTION("""COMPUTED_VALUE"""),"")</f>
        <v/>
      </c>
      <c r="N425" s="46" t="str">
        <f>IFERROR(__xludf.DUMMYFUNCTION("""COMPUTED_VALUE"""),"")</f>
        <v/>
      </c>
      <c r="O425" s="48"/>
      <c r="P425" s="52" t="str">
        <f>IFERROR(__xludf.DUMMYFUNCTION("""COMPUTED_VALUE"""),"")</f>
        <v/>
      </c>
    </row>
    <row r="426">
      <c r="A426" s="48" t="str">
        <f>IFERROR(__xludf.DUMMYFUNCTION("""COMPUTED_VALUE"""),"")</f>
        <v/>
      </c>
      <c r="B426" s="48"/>
      <c r="C426" s="49"/>
      <c r="D426" s="46"/>
      <c r="E426" s="46"/>
      <c r="F426" s="46"/>
      <c r="G426" s="46"/>
      <c r="H426" s="46"/>
      <c r="I426" s="50"/>
      <c r="J426" s="50"/>
      <c r="K426" s="51" t="str">
        <f>IFERROR(__xludf.DUMMYFUNCTION("""COMPUTED_VALUE"""),"")</f>
        <v/>
      </c>
      <c r="L426" s="46" t="str">
        <f>IFERROR(__xludf.DUMMYFUNCTION("""COMPUTED_VALUE"""),"")</f>
        <v/>
      </c>
      <c r="M426" s="46" t="str">
        <f>IFERROR(__xludf.DUMMYFUNCTION("""COMPUTED_VALUE"""),"")</f>
        <v/>
      </c>
      <c r="N426" s="46" t="str">
        <f>IFERROR(__xludf.DUMMYFUNCTION("""COMPUTED_VALUE"""),"")</f>
        <v/>
      </c>
      <c r="O426" s="48"/>
      <c r="P426" s="52" t="str">
        <f>IFERROR(__xludf.DUMMYFUNCTION("""COMPUTED_VALUE"""),"")</f>
        <v/>
      </c>
    </row>
    <row r="427">
      <c r="A427" s="48" t="str">
        <f>IFERROR(__xludf.DUMMYFUNCTION("""COMPUTED_VALUE"""),"")</f>
        <v/>
      </c>
      <c r="B427" s="48"/>
      <c r="C427" s="49"/>
      <c r="D427" s="46"/>
      <c r="E427" s="46"/>
      <c r="F427" s="46"/>
      <c r="G427" s="46"/>
      <c r="H427" s="46"/>
      <c r="I427" s="50"/>
      <c r="J427" s="50"/>
      <c r="K427" s="51" t="str">
        <f>IFERROR(__xludf.DUMMYFUNCTION("""COMPUTED_VALUE"""),"")</f>
        <v/>
      </c>
      <c r="L427" s="46" t="str">
        <f>IFERROR(__xludf.DUMMYFUNCTION("""COMPUTED_VALUE"""),"")</f>
        <v/>
      </c>
      <c r="M427" s="46" t="str">
        <f>IFERROR(__xludf.DUMMYFUNCTION("""COMPUTED_VALUE"""),"")</f>
        <v/>
      </c>
      <c r="N427" s="46" t="str">
        <f>IFERROR(__xludf.DUMMYFUNCTION("""COMPUTED_VALUE"""),"")</f>
        <v/>
      </c>
      <c r="O427" s="48"/>
      <c r="P427" s="52" t="str">
        <f>IFERROR(__xludf.DUMMYFUNCTION("""COMPUTED_VALUE"""),"")</f>
        <v/>
      </c>
    </row>
    <row r="428">
      <c r="A428" s="48" t="str">
        <f>IFERROR(__xludf.DUMMYFUNCTION("""COMPUTED_VALUE"""),"")</f>
        <v/>
      </c>
      <c r="B428" s="48"/>
      <c r="C428" s="49"/>
      <c r="D428" s="46"/>
      <c r="E428" s="46"/>
      <c r="F428" s="46"/>
      <c r="G428" s="46"/>
      <c r="H428" s="46"/>
      <c r="I428" s="50"/>
      <c r="J428" s="50"/>
      <c r="K428" s="51" t="str">
        <f>IFERROR(__xludf.DUMMYFUNCTION("""COMPUTED_VALUE"""),"")</f>
        <v/>
      </c>
      <c r="L428" s="46" t="str">
        <f>IFERROR(__xludf.DUMMYFUNCTION("""COMPUTED_VALUE"""),"")</f>
        <v/>
      </c>
      <c r="M428" s="46" t="str">
        <f>IFERROR(__xludf.DUMMYFUNCTION("""COMPUTED_VALUE"""),"")</f>
        <v/>
      </c>
      <c r="N428" s="46" t="str">
        <f>IFERROR(__xludf.DUMMYFUNCTION("""COMPUTED_VALUE"""),"")</f>
        <v/>
      </c>
      <c r="O428" s="48"/>
      <c r="P428" s="52" t="str">
        <f>IFERROR(__xludf.DUMMYFUNCTION("""COMPUTED_VALUE"""),"")</f>
        <v/>
      </c>
    </row>
    <row r="429">
      <c r="A429" s="48" t="str">
        <f>IFERROR(__xludf.DUMMYFUNCTION("""COMPUTED_VALUE"""),"")</f>
        <v/>
      </c>
      <c r="B429" s="48"/>
      <c r="C429" s="49"/>
      <c r="D429" s="46"/>
      <c r="E429" s="46"/>
      <c r="F429" s="46"/>
      <c r="G429" s="46"/>
      <c r="H429" s="46"/>
      <c r="I429" s="50"/>
      <c r="J429" s="50"/>
      <c r="K429" s="51" t="str">
        <f>IFERROR(__xludf.DUMMYFUNCTION("""COMPUTED_VALUE"""),"")</f>
        <v/>
      </c>
      <c r="L429" s="46" t="str">
        <f>IFERROR(__xludf.DUMMYFUNCTION("""COMPUTED_VALUE"""),"")</f>
        <v/>
      </c>
      <c r="M429" s="46" t="str">
        <f>IFERROR(__xludf.DUMMYFUNCTION("""COMPUTED_VALUE"""),"")</f>
        <v/>
      </c>
      <c r="N429" s="46" t="str">
        <f>IFERROR(__xludf.DUMMYFUNCTION("""COMPUTED_VALUE"""),"")</f>
        <v/>
      </c>
      <c r="O429" s="48"/>
      <c r="P429" s="52" t="str">
        <f>IFERROR(__xludf.DUMMYFUNCTION("""COMPUTED_VALUE"""),"")</f>
        <v/>
      </c>
    </row>
    <row r="430">
      <c r="A430" s="48" t="str">
        <f>IFERROR(__xludf.DUMMYFUNCTION("""COMPUTED_VALUE"""),"")</f>
        <v/>
      </c>
      <c r="B430" s="48"/>
      <c r="C430" s="49"/>
      <c r="D430" s="46"/>
      <c r="E430" s="46"/>
      <c r="F430" s="46"/>
      <c r="G430" s="46"/>
      <c r="H430" s="46"/>
      <c r="I430" s="50"/>
      <c r="J430" s="50"/>
      <c r="K430" s="51" t="str">
        <f>IFERROR(__xludf.DUMMYFUNCTION("""COMPUTED_VALUE"""),"")</f>
        <v/>
      </c>
      <c r="L430" s="46" t="str">
        <f>IFERROR(__xludf.DUMMYFUNCTION("""COMPUTED_VALUE"""),"")</f>
        <v/>
      </c>
      <c r="M430" s="46" t="str">
        <f>IFERROR(__xludf.DUMMYFUNCTION("""COMPUTED_VALUE"""),"")</f>
        <v/>
      </c>
      <c r="N430" s="46" t="str">
        <f>IFERROR(__xludf.DUMMYFUNCTION("""COMPUTED_VALUE"""),"")</f>
        <v/>
      </c>
      <c r="O430" s="48"/>
      <c r="P430" s="52" t="str">
        <f>IFERROR(__xludf.DUMMYFUNCTION("""COMPUTED_VALUE"""),"")</f>
        <v/>
      </c>
    </row>
    <row r="431">
      <c r="A431" s="48" t="str">
        <f>IFERROR(__xludf.DUMMYFUNCTION("""COMPUTED_VALUE"""),"")</f>
        <v/>
      </c>
      <c r="B431" s="48"/>
      <c r="C431" s="49"/>
      <c r="D431" s="46"/>
      <c r="E431" s="46"/>
      <c r="F431" s="46"/>
      <c r="G431" s="46"/>
      <c r="H431" s="46"/>
      <c r="I431" s="50"/>
      <c r="J431" s="50"/>
      <c r="K431" s="51" t="str">
        <f>IFERROR(__xludf.DUMMYFUNCTION("""COMPUTED_VALUE"""),"")</f>
        <v/>
      </c>
      <c r="L431" s="46" t="str">
        <f>IFERROR(__xludf.DUMMYFUNCTION("""COMPUTED_VALUE"""),"")</f>
        <v/>
      </c>
      <c r="M431" s="46" t="str">
        <f>IFERROR(__xludf.DUMMYFUNCTION("""COMPUTED_VALUE"""),"")</f>
        <v/>
      </c>
      <c r="N431" s="46" t="str">
        <f>IFERROR(__xludf.DUMMYFUNCTION("""COMPUTED_VALUE"""),"")</f>
        <v/>
      </c>
      <c r="O431" s="48"/>
      <c r="P431" s="52" t="str">
        <f>IFERROR(__xludf.DUMMYFUNCTION("""COMPUTED_VALUE"""),"")</f>
        <v/>
      </c>
    </row>
    <row r="432">
      <c r="A432" s="48" t="str">
        <f>IFERROR(__xludf.DUMMYFUNCTION("""COMPUTED_VALUE"""),"")</f>
        <v/>
      </c>
      <c r="B432" s="48"/>
      <c r="C432" s="49"/>
      <c r="D432" s="46"/>
      <c r="E432" s="46"/>
      <c r="F432" s="46"/>
      <c r="G432" s="46"/>
      <c r="H432" s="46"/>
      <c r="I432" s="50"/>
      <c r="J432" s="50"/>
      <c r="K432" s="51" t="str">
        <f>IFERROR(__xludf.DUMMYFUNCTION("""COMPUTED_VALUE"""),"")</f>
        <v/>
      </c>
      <c r="L432" s="46" t="str">
        <f>IFERROR(__xludf.DUMMYFUNCTION("""COMPUTED_VALUE"""),"")</f>
        <v/>
      </c>
      <c r="M432" s="46" t="str">
        <f>IFERROR(__xludf.DUMMYFUNCTION("""COMPUTED_VALUE"""),"")</f>
        <v/>
      </c>
      <c r="N432" s="46" t="str">
        <f>IFERROR(__xludf.DUMMYFUNCTION("""COMPUTED_VALUE"""),"")</f>
        <v/>
      </c>
      <c r="O432" s="48"/>
      <c r="P432" s="52" t="str">
        <f>IFERROR(__xludf.DUMMYFUNCTION("""COMPUTED_VALUE"""),"")</f>
        <v/>
      </c>
    </row>
    <row r="433">
      <c r="A433" s="48" t="str">
        <f>IFERROR(__xludf.DUMMYFUNCTION("""COMPUTED_VALUE"""),"")</f>
        <v/>
      </c>
      <c r="B433" s="48"/>
      <c r="C433" s="49"/>
      <c r="D433" s="46"/>
      <c r="E433" s="46"/>
      <c r="F433" s="46"/>
      <c r="G433" s="46"/>
      <c r="H433" s="46"/>
      <c r="I433" s="50"/>
      <c r="J433" s="50"/>
      <c r="K433" s="51" t="str">
        <f>IFERROR(__xludf.DUMMYFUNCTION("""COMPUTED_VALUE"""),"")</f>
        <v/>
      </c>
      <c r="L433" s="46" t="str">
        <f>IFERROR(__xludf.DUMMYFUNCTION("""COMPUTED_VALUE"""),"")</f>
        <v/>
      </c>
      <c r="M433" s="46" t="str">
        <f>IFERROR(__xludf.DUMMYFUNCTION("""COMPUTED_VALUE"""),"")</f>
        <v/>
      </c>
      <c r="N433" s="46" t="str">
        <f>IFERROR(__xludf.DUMMYFUNCTION("""COMPUTED_VALUE"""),"")</f>
        <v/>
      </c>
      <c r="O433" s="48"/>
      <c r="P433" s="52" t="str">
        <f>IFERROR(__xludf.DUMMYFUNCTION("""COMPUTED_VALUE"""),"")</f>
        <v/>
      </c>
    </row>
    <row r="434">
      <c r="A434" s="48" t="str">
        <f>IFERROR(__xludf.DUMMYFUNCTION("""COMPUTED_VALUE"""),"")</f>
        <v/>
      </c>
      <c r="B434" s="48"/>
      <c r="C434" s="49"/>
      <c r="D434" s="46"/>
      <c r="E434" s="46"/>
      <c r="F434" s="46"/>
      <c r="G434" s="46"/>
      <c r="H434" s="46"/>
      <c r="I434" s="50"/>
      <c r="J434" s="50"/>
      <c r="K434" s="51" t="str">
        <f>IFERROR(__xludf.DUMMYFUNCTION("""COMPUTED_VALUE"""),"")</f>
        <v/>
      </c>
      <c r="L434" s="46" t="str">
        <f>IFERROR(__xludf.DUMMYFUNCTION("""COMPUTED_VALUE"""),"")</f>
        <v/>
      </c>
      <c r="M434" s="46" t="str">
        <f>IFERROR(__xludf.DUMMYFUNCTION("""COMPUTED_VALUE"""),"")</f>
        <v/>
      </c>
      <c r="N434" s="46" t="str">
        <f>IFERROR(__xludf.DUMMYFUNCTION("""COMPUTED_VALUE"""),"")</f>
        <v/>
      </c>
      <c r="O434" s="48"/>
      <c r="P434" s="52" t="str">
        <f>IFERROR(__xludf.DUMMYFUNCTION("""COMPUTED_VALUE"""),"")</f>
        <v/>
      </c>
    </row>
    <row r="435">
      <c r="A435" s="48" t="str">
        <f>IFERROR(__xludf.DUMMYFUNCTION("""COMPUTED_VALUE"""),"")</f>
        <v/>
      </c>
      <c r="B435" s="48"/>
      <c r="C435" s="49"/>
      <c r="D435" s="46"/>
      <c r="E435" s="46"/>
      <c r="F435" s="46"/>
      <c r="G435" s="46"/>
      <c r="H435" s="46"/>
      <c r="I435" s="50"/>
      <c r="J435" s="50"/>
      <c r="K435" s="51" t="str">
        <f>IFERROR(__xludf.DUMMYFUNCTION("""COMPUTED_VALUE"""),"")</f>
        <v/>
      </c>
      <c r="L435" s="46" t="str">
        <f>IFERROR(__xludf.DUMMYFUNCTION("""COMPUTED_VALUE"""),"")</f>
        <v/>
      </c>
      <c r="M435" s="46" t="str">
        <f>IFERROR(__xludf.DUMMYFUNCTION("""COMPUTED_VALUE"""),"")</f>
        <v/>
      </c>
      <c r="N435" s="46" t="str">
        <f>IFERROR(__xludf.DUMMYFUNCTION("""COMPUTED_VALUE"""),"")</f>
        <v/>
      </c>
      <c r="O435" s="48"/>
      <c r="P435" s="52" t="str">
        <f>IFERROR(__xludf.DUMMYFUNCTION("""COMPUTED_VALUE"""),"")</f>
        <v/>
      </c>
    </row>
    <row r="436">
      <c r="A436" s="48" t="str">
        <f>IFERROR(__xludf.DUMMYFUNCTION("""COMPUTED_VALUE"""),"")</f>
        <v/>
      </c>
      <c r="B436" s="48"/>
      <c r="C436" s="49"/>
      <c r="D436" s="46"/>
      <c r="E436" s="46"/>
      <c r="F436" s="46"/>
      <c r="G436" s="46"/>
      <c r="H436" s="46"/>
      <c r="I436" s="50"/>
      <c r="J436" s="50"/>
      <c r="K436" s="51" t="str">
        <f>IFERROR(__xludf.DUMMYFUNCTION("""COMPUTED_VALUE"""),"")</f>
        <v/>
      </c>
      <c r="L436" s="46" t="str">
        <f>IFERROR(__xludf.DUMMYFUNCTION("""COMPUTED_VALUE"""),"")</f>
        <v/>
      </c>
      <c r="M436" s="46" t="str">
        <f>IFERROR(__xludf.DUMMYFUNCTION("""COMPUTED_VALUE"""),"")</f>
        <v/>
      </c>
      <c r="N436" s="46" t="str">
        <f>IFERROR(__xludf.DUMMYFUNCTION("""COMPUTED_VALUE"""),"")</f>
        <v/>
      </c>
      <c r="O436" s="48"/>
      <c r="P436" s="52" t="str">
        <f>IFERROR(__xludf.DUMMYFUNCTION("""COMPUTED_VALUE"""),"")</f>
        <v/>
      </c>
    </row>
    <row r="437">
      <c r="A437" s="48" t="str">
        <f>IFERROR(__xludf.DUMMYFUNCTION("""COMPUTED_VALUE"""),"")</f>
        <v/>
      </c>
      <c r="B437" s="48"/>
      <c r="C437" s="49"/>
      <c r="D437" s="46"/>
      <c r="E437" s="46"/>
      <c r="F437" s="46"/>
      <c r="G437" s="46"/>
      <c r="H437" s="46"/>
      <c r="I437" s="50"/>
      <c r="J437" s="50"/>
      <c r="K437" s="51" t="str">
        <f>IFERROR(__xludf.DUMMYFUNCTION("""COMPUTED_VALUE"""),"")</f>
        <v/>
      </c>
      <c r="L437" s="46" t="str">
        <f>IFERROR(__xludf.DUMMYFUNCTION("""COMPUTED_VALUE"""),"")</f>
        <v/>
      </c>
      <c r="M437" s="46" t="str">
        <f>IFERROR(__xludf.DUMMYFUNCTION("""COMPUTED_VALUE"""),"")</f>
        <v/>
      </c>
      <c r="N437" s="46" t="str">
        <f>IFERROR(__xludf.DUMMYFUNCTION("""COMPUTED_VALUE"""),"")</f>
        <v/>
      </c>
      <c r="O437" s="48"/>
      <c r="P437" s="52" t="str">
        <f>IFERROR(__xludf.DUMMYFUNCTION("""COMPUTED_VALUE"""),"")</f>
        <v/>
      </c>
    </row>
    <row r="438">
      <c r="A438" s="48" t="str">
        <f>IFERROR(__xludf.DUMMYFUNCTION("""COMPUTED_VALUE"""),"")</f>
        <v/>
      </c>
      <c r="B438" s="48"/>
      <c r="C438" s="49"/>
      <c r="D438" s="46"/>
      <c r="E438" s="46"/>
      <c r="F438" s="46"/>
      <c r="G438" s="46"/>
      <c r="H438" s="46"/>
      <c r="I438" s="50"/>
      <c r="J438" s="50"/>
      <c r="K438" s="51" t="str">
        <f>IFERROR(__xludf.DUMMYFUNCTION("""COMPUTED_VALUE"""),"")</f>
        <v/>
      </c>
      <c r="L438" s="46" t="str">
        <f>IFERROR(__xludf.DUMMYFUNCTION("""COMPUTED_VALUE"""),"")</f>
        <v/>
      </c>
      <c r="M438" s="46" t="str">
        <f>IFERROR(__xludf.DUMMYFUNCTION("""COMPUTED_VALUE"""),"")</f>
        <v/>
      </c>
      <c r="N438" s="46" t="str">
        <f>IFERROR(__xludf.DUMMYFUNCTION("""COMPUTED_VALUE"""),"")</f>
        <v/>
      </c>
      <c r="O438" s="48"/>
      <c r="P438" s="52" t="str">
        <f>IFERROR(__xludf.DUMMYFUNCTION("""COMPUTED_VALUE"""),"")</f>
        <v/>
      </c>
    </row>
    <row r="439">
      <c r="A439" s="48" t="str">
        <f>IFERROR(__xludf.DUMMYFUNCTION("""COMPUTED_VALUE"""),"")</f>
        <v/>
      </c>
      <c r="B439" s="48"/>
      <c r="C439" s="49"/>
      <c r="D439" s="46"/>
      <c r="E439" s="46"/>
      <c r="F439" s="46"/>
      <c r="G439" s="46"/>
      <c r="H439" s="46"/>
      <c r="I439" s="50"/>
      <c r="J439" s="50"/>
      <c r="K439" s="51" t="str">
        <f>IFERROR(__xludf.DUMMYFUNCTION("""COMPUTED_VALUE"""),"")</f>
        <v/>
      </c>
      <c r="L439" s="46" t="str">
        <f>IFERROR(__xludf.DUMMYFUNCTION("""COMPUTED_VALUE"""),"")</f>
        <v/>
      </c>
      <c r="M439" s="46" t="str">
        <f>IFERROR(__xludf.DUMMYFUNCTION("""COMPUTED_VALUE"""),"")</f>
        <v/>
      </c>
      <c r="N439" s="46" t="str">
        <f>IFERROR(__xludf.DUMMYFUNCTION("""COMPUTED_VALUE"""),"")</f>
        <v/>
      </c>
      <c r="O439" s="48"/>
      <c r="P439" s="52" t="str">
        <f>IFERROR(__xludf.DUMMYFUNCTION("""COMPUTED_VALUE"""),"")</f>
        <v/>
      </c>
    </row>
    <row r="440">
      <c r="A440" s="48" t="str">
        <f>IFERROR(__xludf.DUMMYFUNCTION("""COMPUTED_VALUE"""),"")</f>
        <v/>
      </c>
      <c r="B440" s="48"/>
      <c r="C440" s="49"/>
      <c r="D440" s="46"/>
      <c r="E440" s="46"/>
      <c r="F440" s="46"/>
      <c r="G440" s="46"/>
      <c r="H440" s="46"/>
      <c r="I440" s="50"/>
      <c r="J440" s="50"/>
      <c r="K440" s="51" t="str">
        <f>IFERROR(__xludf.DUMMYFUNCTION("""COMPUTED_VALUE"""),"")</f>
        <v/>
      </c>
      <c r="L440" s="46" t="str">
        <f>IFERROR(__xludf.DUMMYFUNCTION("""COMPUTED_VALUE"""),"")</f>
        <v/>
      </c>
      <c r="M440" s="46" t="str">
        <f>IFERROR(__xludf.DUMMYFUNCTION("""COMPUTED_VALUE"""),"")</f>
        <v/>
      </c>
      <c r="N440" s="46" t="str">
        <f>IFERROR(__xludf.DUMMYFUNCTION("""COMPUTED_VALUE"""),"")</f>
        <v/>
      </c>
      <c r="O440" s="48"/>
      <c r="P440" s="52" t="str">
        <f>IFERROR(__xludf.DUMMYFUNCTION("""COMPUTED_VALUE"""),"")</f>
        <v/>
      </c>
    </row>
    <row r="441">
      <c r="A441" s="48" t="str">
        <f>IFERROR(__xludf.DUMMYFUNCTION("""COMPUTED_VALUE"""),"")</f>
        <v/>
      </c>
      <c r="B441" s="48"/>
      <c r="C441" s="49"/>
      <c r="D441" s="46"/>
      <c r="E441" s="46"/>
      <c r="F441" s="46"/>
      <c r="G441" s="46"/>
      <c r="H441" s="46"/>
      <c r="I441" s="50"/>
      <c r="J441" s="50"/>
      <c r="K441" s="51" t="str">
        <f>IFERROR(__xludf.DUMMYFUNCTION("""COMPUTED_VALUE"""),"")</f>
        <v/>
      </c>
      <c r="L441" s="46" t="str">
        <f>IFERROR(__xludf.DUMMYFUNCTION("""COMPUTED_VALUE"""),"")</f>
        <v/>
      </c>
      <c r="M441" s="46" t="str">
        <f>IFERROR(__xludf.DUMMYFUNCTION("""COMPUTED_VALUE"""),"")</f>
        <v/>
      </c>
      <c r="N441" s="46" t="str">
        <f>IFERROR(__xludf.DUMMYFUNCTION("""COMPUTED_VALUE"""),"")</f>
        <v/>
      </c>
      <c r="O441" s="48"/>
      <c r="P441" s="52" t="str">
        <f>IFERROR(__xludf.DUMMYFUNCTION("""COMPUTED_VALUE"""),"")</f>
        <v/>
      </c>
    </row>
    <row r="442">
      <c r="A442" s="48" t="str">
        <f>IFERROR(__xludf.DUMMYFUNCTION("""COMPUTED_VALUE"""),"")</f>
        <v/>
      </c>
      <c r="B442" s="48"/>
      <c r="C442" s="49"/>
      <c r="D442" s="46"/>
      <c r="E442" s="46"/>
      <c r="F442" s="46"/>
      <c r="G442" s="46"/>
      <c r="H442" s="46"/>
      <c r="I442" s="50"/>
      <c r="J442" s="50"/>
      <c r="K442" s="51" t="str">
        <f>IFERROR(__xludf.DUMMYFUNCTION("""COMPUTED_VALUE"""),"")</f>
        <v/>
      </c>
      <c r="L442" s="46" t="str">
        <f>IFERROR(__xludf.DUMMYFUNCTION("""COMPUTED_VALUE"""),"")</f>
        <v/>
      </c>
      <c r="M442" s="46" t="str">
        <f>IFERROR(__xludf.DUMMYFUNCTION("""COMPUTED_VALUE"""),"")</f>
        <v/>
      </c>
      <c r="N442" s="46" t="str">
        <f>IFERROR(__xludf.DUMMYFUNCTION("""COMPUTED_VALUE"""),"")</f>
        <v/>
      </c>
      <c r="O442" s="48"/>
      <c r="P442" s="52" t="str">
        <f>IFERROR(__xludf.DUMMYFUNCTION("""COMPUTED_VALUE"""),"")</f>
        <v/>
      </c>
    </row>
    <row r="443">
      <c r="A443" s="48" t="str">
        <f>IFERROR(__xludf.DUMMYFUNCTION("""COMPUTED_VALUE"""),"")</f>
        <v/>
      </c>
      <c r="B443" s="48"/>
      <c r="C443" s="49"/>
      <c r="D443" s="46"/>
      <c r="E443" s="46"/>
      <c r="F443" s="46"/>
      <c r="G443" s="46"/>
      <c r="H443" s="46"/>
      <c r="I443" s="50"/>
      <c r="J443" s="50"/>
      <c r="K443" s="51" t="str">
        <f>IFERROR(__xludf.DUMMYFUNCTION("""COMPUTED_VALUE"""),"")</f>
        <v/>
      </c>
      <c r="L443" s="46" t="str">
        <f>IFERROR(__xludf.DUMMYFUNCTION("""COMPUTED_VALUE"""),"")</f>
        <v/>
      </c>
      <c r="M443" s="46" t="str">
        <f>IFERROR(__xludf.DUMMYFUNCTION("""COMPUTED_VALUE"""),"")</f>
        <v/>
      </c>
      <c r="N443" s="46" t="str">
        <f>IFERROR(__xludf.DUMMYFUNCTION("""COMPUTED_VALUE"""),"")</f>
        <v/>
      </c>
      <c r="O443" s="48"/>
      <c r="P443" s="52" t="str">
        <f>IFERROR(__xludf.DUMMYFUNCTION("""COMPUTED_VALUE"""),"")</f>
        <v/>
      </c>
    </row>
    <row r="444">
      <c r="A444" s="48" t="str">
        <f>IFERROR(__xludf.DUMMYFUNCTION("""COMPUTED_VALUE"""),"")</f>
        <v/>
      </c>
      <c r="B444" s="48"/>
      <c r="C444" s="49"/>
      <c r="D444" s="46"/>
      <c r="E444" s="46"/>
      <c r="F444" s="46"/>
      <c r="G444" s="46"/>
      <c r="H444" s="46"/>
      <c r="I444" s="50"/>
      <c r="J444" s="50"/>
      <c r="K444" s="51" t="str">
        <f>IFERROR(__xludf.DUMMYFUNCTION("""COMPUTED_VALUE"""),"")</f>
        <v/>
      </c>
      <c r="L444" s="46" t="str">
        <f>IFERROR(__xludf.DUMMYFUNCTION("""COMPUTED_VALUE"""),"")</f>
        <v/>
      </c>
      <c r="M444" s="46" t="str">
        <f>IFERROR(__xludf.DUMMYFUNCTION("""COMPUTED_VALUE"""),"")</f>
        <v/>
      </c>
      <c r="N444" s="46" t="str">
        <f>IFERROR(__xludf.DUMMYFUNCTION("""COMPUTED_VALUE"""),"")</f>
        <v/>
      </c>
      <c r="O444" s="48"/>
      <c r="P444" s="52" t="str">
        <f>IFERROR(__xludf.DUMMYFUNCTION("""COMPUTED_VALUE"""),"")</f>
        <v/>
      </c>
    </row>
    <row r="445">
      <c r="A445" s="48" t="str">
        <f>IFERROR(__xludf.DUMMYFUNCTION("""COMPUTED_VALUE"""),"")</f>
        <v/>
      </c>
      <c r="B445" s="48"/>
      <c r="C445" s="49"/>
      <c r="D445" s="46"/>
      <c r="E445" s="46"/>
      <c r="F445" s="46"/>
      <c r="G445" s="46"/>
      <c r="H445" s="46"/>
      <c r="I445" s="50"/>
      <c r="J445" s="50"/>
      <c r="K445" s="51" t="str">
        <f>IFERROR(__xludf.DUMMYFUNCTION("""COMPUTED_VALUE"""),"")</f>
        <v/>
      </c>
      <c r="L445" s="46" t="str">
        <f>IFERROR(__xludf.DUMMYFUNCTION("""COMPUTED_VALUE"""),"")</f>
        <v/>
      </c>
      <c r="M445" s="46" t="str">
        <f>IFERROR(__xludf.DUMMYFUNCTION("""COMPUTED_VALUE"""),"")</f>
        <v/>
      </c>
      <c r="N445" s="46" t="str">
        <f>IFERROR(__xludf.DUMMYFUNCTION("""COMPUTED_VALUE"""),"")</f>
        <v/>
      </c>
      <c r="O445" s="48"/>
      <c r="P445" s="52" t="str">
        <f>IFERROR(__xludf.DUMMYFUNCTION("""COMPUTED_VALUE"""),"")</f>
        <v/>
      </c>
    </row>
    <row r="446">
      <c r="A446" s="48" t="str">
        <f>IFERROR(__xludf.DUMMYFUNCTION("""COMPUTED_VALUE"""),"")</f>
        <v/>
      </c>
      <c r="B446" s="48"/>
      <c r="C446" s="49"/>
      <c r="D446" s="46"/>
      <c r="E446" s="46"/>
      <c r="F446" s="46"/>
      <c r="G446" s="46"/>
      <c r="H446" s="46"/>
      <c r="I446" s="50"/>
      <c r="J446" s="50"/>
      <c r="K446" s="51" t="str">
        <f>IFERROR(__xludf.DUMMYFUNCTION("""COMPUTED_VALUE"""),"")</f>
        <v/>
      </c>
      <c r="L446" s="46" t="str">
        <f>IFERROR(__xludf.DUMMYFUNCTION("""COMPUTED_VALUE"""),"")</f>
        <v/>
      </c>
      <c r="M446" s="46" t="str">
        <f>IFERROR(__xludf.DUMMYFUNCTION("""COMPUTED_VALUE"""),"")</f>
        <v/>
      </c>
      <c r="N446" s="46" t="str">
        <f>IFERROR(__xludf.DUMMYFUNCTION("""COMPUTED_VALUE"""),"")</f>
        <v/>
      </c>
      <c r="O446" s="48"/>
      <c r="P446" s="52" t="str">
        <f>IFERROR(__xludf.DUMMYFUNCTION("""COMPUTED_VALUE"""),"")</f>
        <v/>
      </c>
    </row>
    <row r="447">
      <c r="A447" s="48" t="str">
        <f>IFERROR(__xludf.DUMMYFUNCTION("""COMPUTED_VALUE"""),"")</f>
        <v/>
      </c>
      <c r="B447" s="48"/>
      <c r="C447" s="49"/>
      <c r="D447" s="46"/>
      <c r="E447" s="46"/>
      <c r="F447" s="46"/>
      <c r="G447" s="46"/>
      <c r="H447" s="46"/>
      <c r="I447" s="50"/>
      <c r="J447" s="50"/>
      <c r="K447" s="51" t="str">
        <f>IFERROR(__xludf.DUMMYFUNCTION("""COMPUTED_VALUE"""),"")</f>
        <v/>
      </c>
      <c r="L447" s="46" t="str">
        <f>IFERROR(__xludf.DUMMYFUNCTION("""COMPUTED_VALUE"""),"")</f>
        <v/>
      </c>
      <c r="M447" s="46" t="str">
        <f>IFERROR(__xludf.DUMMYFUNCTION("""COMPUTED_VALUE"""),"")</f>
        <v/>
      </c>
      <c r="N447" s="46" t="str">
        <f>IFERROR(__xludf.DUMMYFUNCTION("""COMPUTED_VALUE"""),"")</f>
        <v/>
      </c>
      <c r="O447" s="48"/>
      <c r="P447" s="52" t="str">
        <f>IFERROR(__xludf.DUMMYFUNCTION("""COMPUTED_VALUE"""),"")</f>
        <v/>
      </c>
    </row>
    <row r="448">
      <c r="A448" s="48" t="str">
        <f>IFERROR(__xludf.DUMMYFUNCTION("""COMPUTED_VALUE"""),"")</f>
        <v/>
      </c>
      <c r="B448" s="48"/>
      <c r="C448" s="49"/>
      <c r="D448" s="46"/>
      <c r="E448" s="46"/>
      <c r="F448" s="46"/>
      <c r="G448" s="46"/>
      <c r="H448" s="46"/>
      <c r="I448" s="50"/>
      <c r="J448" s="50"/>
      <c r="K448" s="51" t="str">
        <f>IFERROR(__xludf.DUMMYFUNCTION("""COMPUTED_VALUE"""),"")</f>
        <v/>
      </c>
      <c r="L448" s="46" t="str">
        <f>IFERROR(__xludf.DUMMYFUNCTION("""COMPUTED_VALUE"""),"")</f>
        <v/>
      </c>
      <c r="M448" s="46" t="str">
        <f>IFERROR(__xludf.DUMMYFUNCTION("""COMPUTED_VALUE"""),"")</f>
        <v/>
      </c>
      <c r="N448" s="46" t="str">
        <f>IFERROR(__xludf.DUMMYFUNCTION("""COMPUTED_VALUE"""),"")</f>
        <v/>
      </c>
      <c r="O448" s="48"/>
      <c r="P448" s="52" t="str">
        <f>IFERROR(__xludf.DUMMYFUNCTION("""COMPUTED_VALUE"""),"")</f>
        <v/>
      </c>
    </row>
    <row r="449">
      <c r="A449" s="48" t="str">
        <f>IFERROR(__xludf.DUMMYFUNCTION("""COMPUTED_VALUE"""),"")</f>
        <v/>
      </c>
      <c r="B449" s="48"/>
      <c r="C449" s="49"/>
      <c r="D449" s="46"/>
      <c r="E449" s="46"/>
      <c r="F449" s="46"/>
      <c r="G449" s="46"/>
      <c r="H449" s="46"/>
      <c r="I449" s="50"/>
      <c r="J449" s="50"/>
      <c r="K449" s="51" t="str">
        <f>IFERROR(__xludf.DUMMYFUNCTION("""COMPUTED_VALUE"""),"")</f>
        <v/>
      </c>
      <c r="L449" s="46" t="str">
        <f>IFERROR(__xludf.DUMMYFUNCTION("""COMPUTED_VALUE"""),"")</f>
        <v/>
      </c>
      <c r="M449" s="46" t="str">
        <f>IFERROR(__xludf.DUMMYFUNCTION("""COMPUTED_VALUE"""),"")</f>
        <v/>
      </c>
      <c r="N449" s="46" t="str">
        <f>IFERROR(__xludf.DUMMYFUNCTION("""COMPUTED_VALUE"""),"")</f>
        <v/>
      </c>
      <c r="O449" s="48"/>
      <c r="P449" s="52" t="str">
        <f>IFERROR(__xludf.DUMMYFUNCTION("""COMPUTED_VALUE"""),"")</f>
        <v/>
      </c>
    </row>
    <row r="450">
      <c r="A450" s="48" t="str">
        <f>IFERROR(__xludf.DUMMYFUNCTION("""COMPUTED_VALUE"""),"")</f>
        <v/>
      </c>
      <c r="B450" s="48"/>
      <c r="C450" s="49"/>
      <c r="D450" s="46"/>
      <c r="E450" s="46"/>
      <c r="F450" s="46"/>
      <c r="G450" s="46"/>
      <c r="H450" s="46"/>
      <c r="I450" s="50"/>
      <c r="J450" s="50"/>
      <c r="K450" s="51" t="str">
        <f>IFERROR(__xludf.DUMMYFUNCTION("""COMPUTED_VALUE"""),"")</f>
        <v/>
      </c>
      <c r="L450" s="46" t="str">
        <f>IFERROR(__xludf.DUMMYFUNCTION("""COMPUTED_VALUE"""),"")</f>
        <v/>
      </c>
      <c r="M450" s="46" t="str">
        <f>IFERROR(__xludf.DUMMYFUNCTION("""COMPUTED_VALUE"""),"")</f>
        <v/>
      </c>
      <c r="N450" s="46" t="str">
        <f>IFERROR(__xludf.DUMMYFUNCTION("""COMPUTED_VALUE"""),"")</f>
        <v/>
      </c>
      <c r="O450" s="48"/>
      <c r="P450" s="52" t="str">
        <f>IFERROR(__xludf.DUMMYFUNCTION("""COMPUTED_VALUE"""),"")</f>
        <v/>
      </c>
    </row>
    <row r="451">
      <c r="A451" s="48" t="str">
        <f>IFERROR(__xludf.DUMMYFUNCTION("""COMPUTED_VALUE"""),"")</f>
        <v/>
      </c>
      <c r="B451" s="48"/>
      <c r="C451" s="49"/>
      <c r="D451" s="46"/>
      <c r="E451" s="46"/>
      <c r="F451" s="46"/>
      <c r="G451" s="46"/>
      <c r="H451" s="46"/>
      <c r="I451" s="50"/>
      <c r="J451" s="50"/>
      <c r="K451" s="51" t="str">
        <f>IFERROR(__xludf.DUMMYFUNCTION("""COMPUTED_VALUE"""),"")</f>
        <v/>
      </c>
      <c r="L451" s="46" t="str">
        <f>IFERROR(__xludf.DUMMYFUNCTION("""COMPUTED_VALUE"""),"")</f>
        <v/>
      </c>
      <c r="M451" s="46" t="str">
        <f>IFERROR(__xludf.DUMMYFUNCTION("""COMPUTED_VALUE"""),"")</f>
        <v/>
      </c>
      <c r="N451" s="46" t="str">
        <f>IFERROR(__xludf.DUMMYFUNCTION("""COMPUTED_VALUE"""),"")</f>
        <v/>
      </c>
      <c r="O451" s="48"/>
      <c r="P451" s="52" t="str">
        <f>IFERROR(__xludf.DUMMYFUNCTION("""COMPUTED_VALUE"""),"")</f>
        <v/>
      </c>
    </row>
    <row r="452">
      <c r="A452" s="48" t="str">
        <f>IFERROR(__xludf.DUMMYFUNCTION("""COMPUTED_VALUE"""),"")</f>
        <v/>
      </c>
      <c r="B452" s="48"/>
      <c r="C452" s="49"/>
      <c r="D452" s="46"/>
      <c r="E452" s="46"/>
      <c r="F452" s="46"/>
      <c r="G452" s="46"/>
      <c r="H452" s="46"/>
      <c r="I452" s="50"/>
      <c r="J452" s="50"/>
      <c r="K452" s="51" t="str">
        <f>IFERROR(__xludf.DUMMYFUNCTION("""COMPUTED_VALUE"""),"")</f>
        <v/>
      </c>
      <c r="L452" s="46" t="str">
        <f>IFERROR(__xludf.DUMMYFUNCTION("""COMPUTED_VALUE"""),"")</f>
        <v/>
      </c>
      <c r="M452" s="46" t="str">
        <f>IFERROR(__xludf.DUMMYFUNCTION("""COMPUTED_VALUE"""),"")</f>
        <v/>
      </c>
      <c r="N452" s="46" t="str">
        <f>IFERROR(__xludf.DUMMYFUNCTION("""COMPUTED_VALUE"""),"")</f>
        <v/>
      </c>
      <c r="O452" s="48"/>
      <c r="P452" s="52" t="str">
        <f>IFERROR(__xludf.DUMMYFUNCTION("""COMPUTED_VALUE"""),"")</f>
        <v/>
      </c>
    </row>
    <row r="453">
      <c r="A453" s="48" t="str">
        <f>IFERROR(__xludf.DUMMYFUNCTION("""COMPUTED_VALUE"""),"")</f>
        <v/>
      </c>
      <c r="B453" s="48"/>
      <c r="C453" s="49"/>
      <c r="D453" s="46"/>
      <c r="E453" s="46"/>
      <c r="F453" s="46"/>
      <c r="G453" s="46"/>
      <c r="H453" s="46"/>
      <c r="I453" s="50"/>
      <c r="J453" s="50"/>
      <c r="K453" s="51" t="str">
        <f>IFERROR(__xludf.DUMMYFUNCTION("""COMPUTED_VALUE"""),"")</f>
        <v/>
      </c>
      <c r="L453" s="46" t="str">
        <f>IFERROR(__xludf.DUMMYFUNCTION("""COMPUTED_VALUE"""),"")</f>
        <v/>
      </c>
      <c r="M453" s="46" t="str">
        <f>IFERROR(__xludf.DUMMYFUNCTION("""COMPUTED_VALUE"""),"")</f>
        <v/>
      </c>
      <c r="N453" s="46" t="str">
        <f>IFERROR(__xludf.DUMMYFUNCTION("""COMPUTED_VALUE"""),"")</f>
        <v/>
      </c>
      <c r="O453" s="48"/>
      <c r="P453" s="52" t="str">
        <f>IFERROR(__xludf.DUMMYFUNCTION("""COMPUTED_VALUE"""),"")</f>
        <v/>
      </c>
    </row>
    <row r="454">
      <c r="A454" s="48" t="str">
        <f>IFERROR(__xludf.DUMMYFUNCTION("""COMPUTED_VALUE"""),"")</f>
        <v/>
      </c>
      <c r="B454" s="48"/>
      <c r="C454" s="49"/>
      <c r="D454" s="46"/>
      <c r="E454" s="46"/>
      <c r="F454" s="46"/>
      <c r="G454" s="46"/>
      <c r="H454" s="46"/>
      <c r="I454" s="50"/>
      <c r="J454" s="50"/>
      <c r="K454" s="51" t="str">
        <f>IFERROR(__xludf.DUMMYFUNCTION("""COMPUTED_VALUE"""),"")</f>
        <v/>
      </c>
      <c r="L454" s="46" t="str">
        <f>IFERROR(__xludf.DUMMYFUNCTION("""COMPUTED_VALUE"""),"")</f>
        <v/>
      </c>
      <c r="M454" s="46" t="str">
        <f>IFERROR(__xludf.DUMMYFUNCTION("""COMPUTED_VALUE"""),"")</f>
        <v/>
      </c>
      <c r="N454" s="46" t="str">
        <f>IFERROR(__xludf.DUMMYFUNCTION("""COMPUTED_VALUE"""),"")</f>
        <v/>
      </c>
      <c r="O454" s="48"/>
      <c r="P454" s="52" t="str">
        <f>IFERROR(__xludf.DUMMYFUNCTION("""COMPUTED_VALUE"""),"")</f>
        <v/>
      </c>
    </row>
    <row r="455">
      <c r="A455" s="48" t="str">
        <f>IFERROR(__xludf.DUMMYFUNCTION("""COMPUTED_VALUE"""),"")</f>
        <v/>
      </c>
      <c r="B455" s="48"/>
      <c r="C455" s="49"/>
      <c r="D455" s="46"/>
      <c r="E455" s="46"/>
      <c r="F455" s="46"/>
      <c r="G455" s="46"/>
      <c r="H455" s="46"/>
      <c r="I455" s="50"/>
      <c r="J455" s="50"/>
      <c r="K455" s="51" t="str">
        <f>IFERROR(__xludf.DUMMYFUNCTION("""COMPUTED_VALUE"""),"")</f>
        <v/>
      </c>
      <c r="L455" s="46" t="str">
        <f>IFERROR(__xludf.DUMMYFUNCTION("""COMPUTED_VALUE"""),"")</f>
        <v/>
      </c>
      <c r="M455" s="46" t="str">
        <f>IFERROR(__xludf.DUMMYFUNCTION("""COMPUTED_VALUE"""),"")</f>
        <v/>
      </c>
      <c r="N455" s="46" t="str">
        <f>IFERROR(__xludf.DUMMYFUNCTION("""COMPUTED_VALUE"""),"")</f>
        <v/>
      </c>
      <c r="O455" s="48"/>
      <c r="P455" s="52" t="str">
        <f>IFERROR(__xludf.DUMMYFUNCTION("""COMPUTED_VALUE"""),"")</f>
        <v/>
      </c>
    </row>
    <row r="456">
      <c r="A456" s="48" t="str">
        <f>IFERROR(__xludf.DUMMYFUNCTION("""COMPUTED_VALUE"""),"")</f>
        <v/>
      </c>
      <c r="B456" s="48"/>
      <c r="C456" s="49"/>
      <c r="D456" s="46"/>
      <c r="E456" s="46"/>
      <c r="F456" s="46"/>
      <c r="G456" s="46"/>
      <c r="H456" s="46"/>
      <c r="I456" s="50"/>
      <c r="J456" s="50"/>
      <c r="K456" s="51" t="str">
        <f>IFERROR(__xludf.DUMMYFUNCTION("""COMPUTED_VALUE"""),"")</f>
        <v/>
      </c>
      <c r="L456" s="46" t="str">
        <f>IFERROR(__xludf.DUMMYFUNCTION("""COMPUTED_VALUE"""),"")</f>
        <v/>
      </c>
      <c r="M456" s="46" t="str">
        <f>IFERROR(__xludf.DUMMYFUNCTION("""COMPUTED_VALUE"""),"")</f>
        <v/>
      </c>
      <c r="N456" s="46" t="str">
        <f>IFERROR(__xludf.DUMMYFUNCTION("""COMPUTED_VALUE"""),"")</f>
        <v/>
      </c>
      <c r="O456" s="48"/>
      <c r="P456" s="52" t="str">
        <f>IFERROR(__xludf.DUMMYFUNCTION("""COMPUTED_VALUE"""),"")</f>
        <v/>
      </c>
    </row>
    <row r="457">
      <c r="A457" s="48" t="str">
        <f>IFERROR(__xludf.DUMMYFUNCTION("""COMPUTED_VALUE"""),"")</f>
        <v/>
      </c>
      <c r="B457" s="48"/>
      <c r="C457" s="49"/>
      <c r="D457" s="46"/>
      <c r="E457" s="46"/>
      <c r="F457" s="46"/>
      <c r="G457" s="46"/>
      <c r="H457" s="46"/>
      <c r="I457" s="50"/>
      <c r="J457" s="50"/>
      <c r="K457" s="51" t="str">
        <f>IFERROR(__xludf.DUMMYFUNCTION("""COMPUTED_VALUE"""),"")</f>
        <v/>
      </c>
      <c r="L457" s="46" t="str">
        <f>IFERROR(__xludf.DUMMYFUNCTION("""COMPUTED_VALUE"""),"")</f>
        <v/>
      </c>
      <c r="M457" s="46" t="str">
        <f>IFERROR(__xludf.DUMMYFUNCTION("""COMPUTED_VALUE"""),"")</f>
        <v/>
      </c>
      <c r="N457" s="46" t="str">
        <f>IFERROR(__xludf.DUMMYFUNCTION("""COMPUTED_VALUE"""),"")</f>
        <v/>
      </c>
      <c r="O457" s="48"/>
      <c r="P457" s="52" t="str">
        <f>IFERROR(__xludf.DUMMYFUNCTION("""COMPUTED_VALUE"""),"")</f>
        <v/>
      </c>
    </row>
    <row r="458">
      <c r="A458" s="48" t="str">
        <f>IFERROR(__xludf.DUMMYFUNCTION("""COMPUTED_VALUE"""),"")</f>
        <v/>
      </c>
      <c r="B458" s="48"/>
      <c r="C458" s="49"/>
      <c r="D458" s="46"/>
      <c r="E458" s="46"/>
      <c r="F458" s="46"/>
      <c r="G458" s="46"/>
      <c r="H458" s="46"/>
      <c r="I458" s="50"/>
      <c r="J458" s="50"/>
      <c r="K458" s="51" t="str">
        <f>IFERROR(__xludf.DUMMYFUNCTION("""COMPUTED_VALUE"""),"")</f>
        <v/>
      </c>
      <c r="L458" s="46" t="str">
        <f>IFERROR(__xludf.DUMMYFUNCTION("""COMPUTED_VALUE"""),"")</f>
        <v/>
      </c>
      <c r="M458" s="46" t="str">
        <f>IFERROR(__xludf.DUMMYFUNCTION("""COMPUTED_VALUE"""),"")</f>
        <v/>
      </c>
      <c r="N458" s="46" t="str">
        <f>IFERROR(__xludf.DUMMYFUNCTION("""COMPUTED_VALUE"""),"")</f>
        <v/>
      </c>
      <c r="O458" s="48"/>
      <c r="P458" s="52" t="str">
        <f>IFERROR(__xludf.DUMMYFUNCTION("""COMPUTED_VALUE"""),"")</f>
        <v/>
      </c>
    </row>
    <row r="459">
      <c r="A459" s="48" t="str">
        <f>IFERROR(__xludf.DUMMYFUNCTION("""COMPUTED_VALUE"""),"")</f>
        <v/>
      </c>
      <c r="B459" s="48"/>
      <c r="C459" s="49"/>
      <c r="D459" s="46"/>
      <c r="E459" s="46"/>
      <c r="F459" s="46"/>
      <c r="G459" s="46"/>
      <c r="H459" s="46"/>
      <c r="I459" s="50"/>
      <c r="J459" s="50"/>
      <c r="K459" s="51" t="str">
        <f>IFERROR(__xludf.DUMMYFUNCTION("""COMPUTED_VALUE"""),"")</f>
        <v/>
      </c>
      <c r="L459" s="46" t="str">
        <f>IFERROR(__xludf.DUMMYFUNCTION("""COMPUTED_VALUE"""),"")</f>
        <v/>
      </c>
      <c r="M459" s="46" t="str">
        <f>IFERROR(__xludf.DUMMYFUNCTION("""COMPUTED_VALUE"""),"")</f>
        <v/>
      </c>
      <c r="N459" s="46" t="str">
        <f>IFERROR(__xludf.DUMMYFUNCTION("""COMPUTED_VALUE"""),"")</f>
        <v/>
      </c>
      <c r="O459" s="48"/>
      <c r="P459" s="52" t="str">
        <f>IFERROR(__xludf.DUMMYFUNCTION("""COMPUTED_VALUE"""),"")</f>
        <v/>
      </c>
    </row>
    <row r="460">
      <c r="A460" s="48" t="str">
        <f>IFERROR(__xludf.DUMMYFUNCTION("""COMPUTED_VALUE"""),"")</f>
        <v/>
      </c>
      <c r="B460" s="48"/>
      <c r="C460" s="49"/>
      <c r="D460" s="46"/>
      <c r="E460" s="46"/>
      <c r="F460" s="46"/>
      <c r="G460" s="46"/>
      <c r="H460" s="46"/>
      <c r="I460" s="50"/>
      <c r="J460" s="50"/>
      <c r="K460" s="51" t="str">
        <f>IFERROR(__xludf.DUMMYFUNCTION("""COMPUTED_VALUE"""),"")</f>
        <v/>
      </c>
      <c r="L460" s="46" t="str">
        <f>IFERROR(__xludf.DUMMYFUNCTION("""COMPUTED_VALUE"""),"")</f>
        <v/>
      </c>
      <c r="M460" s="46" t="str">
        <f>IFERROR(__xludf.DUMMYFUNCTION("""COMPUTED_VALUE"""),"")</f>
        <v/>
      </c>
      <c r="N460" s="46" t="str">
        <f>IFERROR(__xludf.DUMMYFUNCTION("""COMPUTED_VALUE"""),"")</f>
        <v/>
      </c>
      <c r="O460" s="48"/>
      <c r="P460" s="52" t="str">
        <f>IFERROR(__xludf.DUMMYFUNCTION("""COMPUTED_VALUE"""),"")</f>
        <v/>
      </c>
    </row>
    <row r="461">
      <c r="A461" s="48" t="str">
        <f>IFERROR(__xludf.DUMMYFUNCTION("""COMPUTED_VALUE"""),"")</f>
        <v/>
      </c>
      <c r="B461" s="48"/>
      <c r="C461" s="49"/>
      <c r="D461" s="46"/>
      <c r="E461" s="46"/>
      <c r="F461" s="46"/>
      <c r="G461" s="46"/>
      <c r="H461" s="46"/>
      <c r="I461" s="50"/>
      <c r="J461" s="50"/>
      <c r="K461" s="51" t="str">
        <f>IFERROR(__xludf.DUMMYFUNCTION("""COMPUTED_VALUE"""),"")</f>
        <v/>
      </c>
      <c r="L461" s="46" t="str">
        <f>IFERROR(__xludf.DUMMYFUNCTION("""COMPUTED_VALUE"""),"")</f>
        <v/>
      </c>
      <c r="M461" s="46" t="str">
        <f>IFERROR(__xludf.DUMMYFUNCTION("""COMPUTED_VALUE"""),"")</f>
        <v/>
      </c>
      <c r="N461" s="46" t="str">
        <f>IFERROR(__xludf.DUMMYFUNCTION("""COMPUTED_VALUE"""),"")</f>
        <v/>
      </c>
      <c r="O461" s="48"/>
      <c r="P461" s="52" t="str">
        <f>IFERROR(__xludf.DUMMYFUNCTION("""COMPUTED_VALUE"""),"")</f>
        <v/>
      </c>
    </row>
    <row r="462">
      <c r="A462" s="48" t="str">
        <f>IFERROR(__xludf.DUMMYFUNCTION("""COMPUTED_VALUE"""),"")</f>
        <v/>
      </c>
      <c r="B462" s="48"/>
      <c r="C462" s="49"/>
      <c r="D462" s="46"/>
      <c r="E462" s="46"/>
      <c r="F462" s="46"/>
      <c r="G462" s="46"/>
      <c r="H462" s="46"/>
      <c r="I462" s="50"/>
      <c r="J462" s="50"/>
      <c r="K462" s="51" t="str">
        <f>IFERROR(__xludf.DUMMYFUNCTION("""COMPUTED_VALUE"""),"")</f>
        <v/>
      </c>
      <c r="L462" s="46" t="str">
        <f>IFERROR(__xludf.DUMMYFUNCTION("""COMPUTED_VALUE"""),"")</f>
        <v/>
      </c>
      <c r="M462" s="46" t="str">
        <f>IFERROR(__xludf.DUMMYFUNCTION("""COMPUTED_VALUE"""),"")</f>
        <v/>
      </c>
      <c r="N462" s="46" t="str">
        <f>IFERROR(__xludf.DUMMYFUNCTION("""COMPUTED_VALUE"""),"")</f>
        <v/>
      </c>
      <c r="O462" s="48"/>
      <c r="P462" s="52" t="str">
        <f>IFERROR(__xludf.DUMMYFUNCTION("""COMPUTED_VALUE"""),"")</f>
        <v/>
      </c>
    </row>
    <row r="463">
      <c r="A463" s="48" t="str">
        <f>IFERROR(__xludf.DUMMYFUNCTION("""COMPUTED_VALUE"""),"")</f>
        <v/>
      </c>
      <c r="B463" s="48"/>
      <c r="C463" s="49"/>
      <c r="D463" s="46"/>
      <c r="E463" s="46"/>
      <c r="F463" s="46"/>
      <c r="G463" s="46"/>
      <c r="H463" s="46"/>
      <c r="I463" s="50"/>
      <c r="J463" s="50"/>
      <c r="K463" s="51" t="str">
        <f>IFERROR(__xludf.DUMMYFUNCTION("""COMPUTED_VALUE"""),"")</f>
        <v/>
      </c>
      <c r="L463" s="46" t="str">
        <f>IFERROR(__xludf.DUMMYFUNCTION("""COMPUTED_VALUE"""),"")</f>
        <v/>
      </c>
      <c r="M463" s="46" t="str">
        <f>IFERROR(__xludf.DUMMYFUNCTION("""COMPUTED_VALUE"""),"")</f>
        <v/>
      </c>
      <c r="N463" s="46" t="str">
        <f>IFERROR(__xludf.DUMMYFUNCTION("""COMPUTED_VALUE"""),"")</f>
        <v/>
      </c>
      <c r="O463" s="48"/>
      <c r="P463" s="52" t="str">
        <f>IFERROR(__xludf.DUMMYFUNCTION("""COMPUTED_VALUE"""),"")</f>
        <v/>
      </c>
    </row>
    <row r="464">
      <c r="A464" s="48" t="str">
        <f>IFERROR(__xludf.DUMMYFUNCTION("""COMPUTED_VALUE"""),"")</f>
        <v/>
      </c>
      <c r="B464" s="48"/>
      <c r="C464" s="49"/>
      <c r="D464" s="46"/>
      <c r="E464" s="46"/>
      <c r="F464" s="46"/>
      <c r="G464" s="46"/>
      <c r="H464" s="46"/>
      <c r="I464" s="50"/>
      <c r="J464" s="50"/>
      <c r="K464" s="51" t="str">
        <f>IFERROR(__xludf.DUMMYFUNCTION("""COMPUTED_VALUE"""),"")</f>
        <v/>
      </c>
      <c r="L464" s="46" t="str">
        <f>IFERROR(__xludf.DUMMYFUNCTION("""COMPUTED_VALUE"""),"")</f>
        <v/>
      </c>
      <c r="M464" s="46" t="str">
        <f>IFERROR(__xludf.DUMMYFUNCTION("""COMPUTED_VALUE"""),"")</f>
        <v/>
      </c>
      <c r="N464" s="46" t="str">
        <f>IFERROR(__xludf.DUMMYFUNCTION("""COMPUTED_VALUE"""),"")</f>
        <v/>
      </c>
      <c r="O464" s="48"/>
      <c r="P464" s="52" t="str">
        <f>IFERROR(__xludf.DUMMYFUNCTION("""COMPUTED_VALUE"""),"")</f>
        <v/>
      </c>
    </row>
    <row r="465">
      <c r="A465" s="48" t="str">
        <f>IFERROR(__xludf.DUMMYFUNCTION("""COMPUTED_VALUE"""),"")</f>
        <v/>
      </c>
      <c r="B465" s="48"/>
      <c r="C465" s="49"/>
      <c r="D465" s="46"/>
      <c r="E465" s="46"/>
      <c r="F465" s="46"/>
      <c r="G465" s="46"/>
      <c r="H465" s="46"/>
      <c r="I465" s="50"/>
      <c r="J465" s="50"/>
      <c r="K465" s="51" t="str">
        <f>IFERROR(__xludf.DUMMYFUNCTION("""COMPUTED_VALUE"""),"")</f>
        <v/>
      </c>
      <c r="L465" s="46" t="str">
        <f>IFERROR(__xludf.DUMMYFUNCTION("""COMPUTED_VALUE"""),"")</f>
        <v/>
      </c>
      <c r="M465" s="46" t="str">
        <f>IFERROR(__xludf.DUMMYFUNCTION("""COMPUTED_VALUE"""),"")</f>
        <v/>
      </c>
      <c r="N465" s="46" t="str">
        <f>IFERROR(__xludf.DUMMYFUNCTION("""COMPUTED_VALUE"""),"")</f>
        <v/>
      </c>
      <c r="O465" s="48"/>
      <c r="P465" s="52" t="str">
        <f>IFERROR(__xludf.DUMMYFUNCTION("""COMPUTED_VALUE"""),"")</f>
        <v/>
      </c>
    </row>
    <row r="466">
      <c r="A466" s="48" t="str">
        <f>IFERROR(__xludf.DUMMYFUNCTION("""COMPUTED_VALUE"""),"")</f>
        <v/>
      </c>
      <c r="B466" s="48"/>
      <c r="C466" s="49"/>
      <c r="D466" s="46"/>
      <c r="E466" s="46"/>
      <c r="F466" s="46"/>
      <c r="G466" s="46"/>
      <c r="H466" s="46"/>
      <c r="I466" s="50"/>
      <c r="J466" s="50"/>
      <c r="K466" s="51" t="str">
        <f>IFERROR(__xludf.DUMMYFUNCTION("""COMPUTED_VALUE"""),"")</f>
        <v/>
      </c>
      <c r="L466" s="46" t="str">
        <f>IFERROR(__xludf.DUMMYFUNCTION("""COMPUTED_VALUE"""),"")</f>
        <v/>
      </c>
      <c r="M466" s="46" t="str">
        <f>IFERROR(__xludf.DUMMYFUNCTION("""COMPUTED_VALUE"""),"")</f>
        <v/>
      </c>
      <c r="N466" s="46" t="str">
        <f>IFERROR(__xludf.DUMMYFUNCTION("""COMPUTED_VALUE"""),"")</f>
        <v/>
      </c>
      <c r="O466" s="48"/>
      <c r="P466" s="52" t="str">
        <f>IFERROR(__xludf.DUMMYFUNCTION("""COMPUTED_VALUE"""),"")</f>
        <v/>
      </c>
    </row>
    <row r="467">
      <c r="A467" s="48" t="str">
        <f>IFERROR(__xludf.DUMMYFUNCTION("""COMPUTED_VALUE"""),"")</f>
        <v/>
      </c>
      <c r="B467" s="48"/>
      <c r="C467" s="49"/>
      <c r="D467" s="46"/>
      <c r="E467" s="46"/>
      <c r="F467" s="46"/>
      <c r="G467" s="46"/>
      <c r="H467" s="46"/>
      <c r="I467" s="50"/>
      <c r="J467" s="50"/>
      <c r="K467" s="51" t="str">
        <f>IFERROR(__xludf.DUMMYFUNCTION("""COMPUTED_VALUE"""),"")</f>
        <v/>
      </c>
      <c r="L467" s="46" t="str">
        <f>IFERROR(__xludf.DUMMYFUNCTION("""COMPUTED_VALUE"""),"")</f>
        <v/>
      </c>
      <c r="M467" s="46" t="str">
        <f>IFERROR(__xludf.DUMMYFUNCTION("""COMPUTED_VALUE"""),"")</f>
        <v/>
      </c>
      <c r="N467" s="46" t="str">
        <f>IFERROR(__xludf.DUMMYFUNCTION("""COMPUTED_VALUE"""),"")</f>
        <v/>
      </c>
      <c r="O467" s="48"/>
      <c r="P467" s="52" t="str">
        <f>IFERROR(__xludf.DUMMYFUNCTION("""COMPUTED_VALUE"""),"")</f>
        <v/>
      </c>
    </row>
    <row r="468">
      <c r="A468" s="48" t="str">
        <f>IFERROR(__xludf.DUMMYFUNCTION("""COMPUTED_VALUE"""),"")</f>
        <v/>
      </c>
      <c r="B468" s="48"/>
      <c r="C468" s="49"/>
      <c r="D468" s="46"/>
      <c r="E468" s="46"/>
      <c r="F468" s="46"/>
      <c r="G468" s="46"/>
      <c r="H468" s="46"/>
      <c r="I468" s="50"/>
      <c r="J468" s="50"/>
      <c r="K468" s="51" t="str">
        <f>IFERROR(__xludf.DUMMYFUNCTION("""COMPUTED_VALUE"""),"")</f>
        <v/>
      </c>
      <c r="L468" s="46" t="str">
        <f>IFERROR(__xludf.DUMMYFUNCTION("""COMPUTED_VALUE"""),"")</f>
        <v/>
      </c>
      <c r="M468" s="46" t="str">
        <f>IFERROR(__xludf.DUMMYFUNCTION("""COMPUTED_VALUE"""),"")</f>
        <v/>
      </c>
      <c r="N468" s="46" t="str">
        <f>IFERROR(__xludf.DUMMYFUNCTION("""COMPUTED_VALUE"""),"")</f>
        <v/>
      </c>
      <c r="O468" s="48"/>
      <c r="P468" s="52" t="str">
        <f>IFERROR(__xludf.DUMMYFUNCTION("""COMPUTED_VALUE"""),"")</f>
        <v/>
      </c>
    </row>
    <row r="469">
      <c r="A469" s="48" t="str">
        <f>IFERROR(__xludf.DUMMYFUNCTION("""COMPUTED_VALUE"""),"")</f>
        <v/>
      </c>
      <c r="B469" s="48"/>
      <c r="C469" s="49"/>
      <c r="D469" s="46"/>
      <c r="E469" s="46"/>
      <c r="F469" s="46"/>
      <c r="G469" s="46"/>
      <c r="H469" s="46"/>
      <c r="I469" s="50"/>
      <c r="J469" s="50"/>
      <c r="K469" s="51" t="str">
        <f>IFERROR(__xludf.DUMMYFUNCTION("""COMPUTED_VALUE"""),"")</f>
        <v/>
      </c>
      <c r="L469" s="46" t="str">
        <f>IFERROR(__xludf.DUMMYFUNCTION("""COMPUTED_VALUE"""),"")</f>
        <v/>
      </c>
      <c r="M469" s="46" t="str">
        <f>IFERROR(__xludf.DUMMYFUNCTION("""COMPUTED_VALUE"""),"")</f>
        <v/>
      </c>
      <c r="N469" s="46" t="str">
        <f>IFERROR(__xludf.DUMMYFUNCTION("""COMPUTED_VALUE"""),"")</f>
        <v/>
      </c>
      <c r="O469" s="48"/>
      <c r="P469" s="52" t="str">
        <f>IFERROR(__xludf.DUMMYFUNCTION("""COMPUTED_VALUE"""),"")</f>
        <v/>
      </c>
    </row>
    <row r="470">
      <c r="A470" s="48" t="str">
        <f>IFERROR(__xludf.DUMMYFUNCTION("""COMPUTED_VALUE"""),"")</f>
        <v/>
      </c>
      <c r="B470" s="48"/>
      <c r="C470" s="49"/>
      <c r="D470" s="46"/>
      <c r="E470" s="46"/>
      <c r="F470" s="46"/>
      <c r="G470" s="46"/>
      <c r="H470" s="46"/>
      <c r="I470" s="50"/>
      <c r="J470" s="50"/>
      <c r="K470" s="51" t="str">
        <f>IFERROR(__xludf.DUMMYFUNCTION("""COMPUTED_VALUE"""),"")</f>
        <v/>
      </c>
      <c r="L470" s="46" t="str">
        <f>IFERROR(__xludf.DUMMYFUNCTION("""COMPUTED_VALUE"""),"")</f>
        <v/>
      </c>
      <c r="M470" s="46" t="str">
        <f>IFERROR(__xludf.DUMMYFUNCTION("""COMPUTED_VALUE"""),"")</f>
        <v/>
      </c>
      <c r="N470" s="46" t="str">
        <f>IFERROR(__xludf.DUMMYFUNCTION("""COMPUTED_VALUE"""),"")</f>
        <v/>
      </c>
      <c r="O470" s="48"/>
      <c r="P470" s="52" t="str">
        <f>IFERROR(__xludf.DUMMYFUNCTION("""COMPUTED_VALUE"""),"")</f>
        <v/>
      </c>
    </row>
    <row r="471">
      <c r="A471" s="48" t="str">
        <f>IFERROR(__xludf.DUMMYFUNCTION("""COMPUTED_VALUE"""),"")</f>
        <v/>
      </c>
      <c r="B471" s="48"/>
      <c r="C471" s="49"/>
      <c r="D471" s="46"/>
      <c r="E471" s="46"/>
      <c r="F471" s="46"/>
      <c r="G471" s="46"/>
      <c r="H471" s="46"/>
      <c r="I471" s="50"/>
      <c r="J471" s="50"/>
      <c r="K471" s="51" t="str">
        <f>IFERROR(__xludf.DUMMYFUNCTION("""COMPUTED_VALUE"""),"")</f>
        <v/>
      </c>
      <c r="L471" s="46" t="str">
        <f>IFERROR(__xludf.DUMMYFUNCTION("""COMPUTED_VALUE"""),"")</f>
        <v/>
      </c>
      <c r="M471" s="46" t="str">
        <f>IFERROR(__xludf.DUMMYFUNCTION("""COMPUTED_VALUE"""),"")</f>
        <v/>
      </c>
      <c r="N471" s="46" t="str">
        <f>IFERROR(__xludf.DUMMYFUNCTION("""COMPUTED_VALUE"""),"")</f>
        <v/>
      </c>
      <c r="O471" s="48"/>
      <c r="P471" s="52" t="str">
        <f>IFERROR(__xludf.DUMMYFUNCTION("""COMPUTED_VALUE"""),"")</f>
        <v/>
      </c>
    </row>
    <row r="472">
      <c r="A472" s="48" t="str">
        <f>IFERROR(__xludf.DUMMYFUNCTION("""COMPUTED_VALUE"""),"")</f>
        <v/>
      </c>
      <c r="B472" s="48"/>
      <c r="C472" s="49"/>
      <c r="D472" s="46"/>
      <c r="E472" s="46"/>
      <c r="F472" s="46"/>
      <c r="G472" s="46"/>
      <c r="H472" s="46"/>
      <c r="I472" s="50"/>
      <c r="J472" s="50"/>
      <c r="K472" s="51" t="str">
        <f>IFERROR(__xludf.DUMMYFUNCTION("""COMPUTED_VALUE"""),"")</f>
        <v/>
      </c>
      <c r="L472" s="46" t="str">
        <f>IFERROR(__xludf.DUMMYFUNCTION("""COMPUTED_VALUE"""),"")</f>
        <v/>
      </c>
      <c r="M472" s="46" t="str">
        <f>IFERROR(__xludf.DUMMYFUNCTION("""COMPUTED_VALUE"""),"")</f>
        <v/>
      </c>
      <c r="N472" s="46" t="str">
        <f>IFERROR(__xludf.DUMMYFUNCTION("""COMPUTED_VALUE"""),"")</f>
        <v/>
      </c>
      <c r="O472" s="48"/>
      <c r="P472" s="52" t="str">
        <f>IFERROR(__xludf.DUMMYFUNCTION("""COMPUTED_VALUE"""),"")</f>
        <v/>
      </c>
    </row>
    <row r="473">
      <c r="A473" s="48" t="str">
        <f>IFERROR(__xludf.DUMMYFUNCTION("""COMPUTED_VALUE"""),"")</f>
        <v/>
      </c>
      <c r="B473" s="48"/>
      <c r="C473" s="49"/>
      <c r="D473" s="46"/>
      <c r="E473" s="46"/>
      <c r="F473" s="46"/>
      <c r="G473" s="46"/>
      <c r="H473" s="46"/>
      <c r="I473" s="50"/>
      <c r="J473" s="50"/>
      <c r="K473" s="51" t="str">
        <f>IFERROR(__xludf.DUMMYFUNCTION("""COMPUTED_VALUE"""),"")</f>
        <v/>
      </c>
      <c r="L473" s="46" t="str">
        <f>IFERROR(__xludf.DUMMYFUNCTION("""COMPUTED_VALUE"""),"")</f>
        <v/>
      </c>
      <c r="M473" s="46" t="str">
        <f>IFERROR(__xludf.DUMMYFUNCTION("""COMPUTED_VALUE"""),"")</f>
        <v/>
      </c>
      <c r="N473" s="46" t="str">
        <f>IFERROR(__xludf.DUMMYFUNCTION("""COMPUTED_VALUE"""),"")</f>
        <v/>
      </c>
      <c r="O473" s="48"/>
      <c r="P473" s="52" t="str">
        <f>IFERROR(__xludf.DUMMYFUNCTION("""COMPUTED_VALUE"""),"")</f>
        <v/>
      </c>
    </row>
    <row r="474">
      <c r="A474" s="48" t="str">
        <f>IFERROR(__xludf.DUMMYFUNCTION("""COMPUTED_VALUE"""),"")</f>
        <v/>
      </c>
      <c r="B474" s="48"/>
      <c r="C474" s="49"/>
      <c r="D474" s="46"/>
      <c r="E474" s="46"/>
      <c r="F474" s="46"/>
      <c r="G474" s="46"/>
      <c r="H474" s="46"/>
      <c r="I474" s="50"/>
      <c r="J474" s="50"/>
      <c r="K474" s="51" t="str">
        <f>IFERROR(__xludf.DUMMYFUNCTION("""COMPUTED_VALUE"""),"")</f>
        <v/>
      </c>
      <c r="L474" s="46" t="str">
        <f>IFERROR(__xludf.DUMMYFUNCTION("""COMPUTED_VALUE"""),"")</f>
        <v/>
      </c>
      <c r="M474" s="46" t="str">
        <f>IFERROR(__xludf.DUMMYFUNCTION("""COMPUTED_VALUE"""),"")</f>
        <v/>
      </c>
      <c r="N474" s="46" t="str">
        <f>IFERROR(__xludf.DUMMYFUNCTION("""COMPUTED_VALUE"""),"")</f>
        <v/>
      </c>
      <c r="O474" s="48"/>
      <c r="P474" s="52" t="str">
        <f>IFERROR(__xludf.DUMMYFUNCTION("""COMPUTED_VALUE"""),"")</f>
        <v/>
      </c>
    </row>
    <row r="475">
      <c r="A475" s="48" t="str">
        <f>IFERROR(__xludf.DUMMYFUNCTION("""COMPUTED_VALUE"""),"")</f>
        <v/>
      </c>
      <c r="B475" s="48"/>
      <c r="C475" s="49"/>
      <c r="D475" s="46"/>
      <c r="E475" s="46"/>
      <c r="F475" s="46"/>
      <c r="G475" s="46"/>
      <c r="H475" s="46"/>
      <c r="I475" s="50"/>
      <c r="J475" s="50"/>
      <c r="K475" s="51" t="str">
        <f>IFERROR(__xludf.DUMMYFUNCTION("""COMPUTED_VALUE"""),"")</f>
        <v/>
      </c>
      <c r="L475" s="46" t="str">
        <f>IFERROR(__xludf.DUMMYFUNCTION("""COMPUTED_VALUE"""),"")</f>
        <v/>
      </c>
      <c r="M475" s="46" t="str">
        <f>IFERROR(__xludf.DUMMYFUNCTION("""COMPUTED_VALUE"""),"")</f>
        <v/>
      </c>
      <c r="N475" s="46" t="str">
        <f>IFERROR(__xludf.DUMMYFUNCTION("""COMPUTED_VALUE"""),"")</f>
        <v/>
      </c>
      <c r="O475" s="48"/>
      <c r="P475" s="52" t="str">
        <f>IFERROR(__xludf.DUMMYFUNCTION("""COMPUTED_VALUE"""),"")</f>
        <v/>
      </c>
    </row>
    <row r="476">
      <c r="A476" s="48" t="str">
        <f>IFERROR(__xludf.DUMMYFUNCTION("""COMPUTED_VALUE"""),"")</f>
        <v/>
      </c>
      <c r="B476" s="48"/>
      <c r="C476" s="49"/>
      <c r="D476" s="46"/>
      <c r="E476" s="46"/>
      <c r="F476" s="46"/>
      <c r="G476" s="46"/>
      <c r="H476" s="46"/>
      <c r="I476" s="50"/>
      <c r="J476" s="50"/>
      <c r="K476" s="51" t="str">
        <f>IFERROR(__xludf.DUMMYFUNCTION("""COMPUTED_VALUE"""),"")</f>
        <v/>
      </c>
      <c r="L476" s="46" t="str">
        <f>IFERROR(__xludf.DUMMYFUNCTION("""COMPUTED_VALUE"""),"")</f>
        <v/>
      </c>
      <c r="M476" s="46" t="str">
        <f>IFERROR(__xludf.DUMMYFUNCTION("""COMPUTED_VALUE"""),"")</f>
        <v/>
      </c>
      <c r="N476" s="46" t="str">
        <f>IFERROR(__xludf.DUMMYFUNCTION("""COMPUTED_VALUE"""),"")</f>
        <v/>
      </c>
      <c r="O476" s="48"/>
      <c r="P476" s="52" t="str">
        <f>IFERROR(__xludf.DUMMYFUNCTION("""COMPUTED_VALUE"""),"")</f>
        <v/>
      </c>
    </row>
    <row r="477">
      <c r="A477" s="48" t="str">
        <f>IFERROR(__xludf.DUMMYFUNCTION("""COMPUTED_VALUE"""),"")</f>
        <v/>
      </c>
      <c r="B477" s="48"/>
      <c r="C477" s="49"/>
      <c r="D477" s="46"/>
      <c r="E477" s="46"/>
      <c r="F477" s="46"/>
      <c r="G477" s="46"/>
      <c r="H477" s="46"/>
      <c r="I477" s="50"/>
      <c r="J477" s="50"/>
      <c r="K477" s="51" t="str">
        <f>IFERROR(__xludf.DUMMYFUNCTION("""COMPUTED_VALUE"""),"")</f>
        <v/>
      </c>
      <c r="L477" s="46" t="str">
        <f>IFERROR(__xludf.DUMMYFUNCTION("""COMPUTED_VALUE"""),"")</f>
        <v/>
      </c>
      <c r="M477" s="46" t="str">
        <f>IFERROR(__xludf.DUMMYFUNCTION("""COMPUTED_VALUE"""),"")</f>
        <v/>
      </c>
      <c r="N477" s="46" t="str">
        <f>IFERROR(__xludf.DUMMYFUNCTION("""COMPUTED_VALUE"""),"")</f>
        <v/>
      </c>
      <c r="O477" s="48"/>
      <c r="P477" s="52" t="str">
        <f>IFERROR(__xludf.DUMMYFUNCTION("""COMPUTED_VALUE"""),"")</f>
        <v/>
      </c>
    </row>
    <row r="478">
      <c r="A478" s="48" t="str">
        <f>IFERROR(__xludf.DUMMYFUNCTION("""COMPUTED_VALUE"""),"")</f>
        <v/>
      </c>
      <c r="B478" s="48"/>
      <c r="C478" s="49"/>
      <c r="D478" s="46"/>
      <c r="E478" s="46"/>
      <c r="F478" s="46"/>
      <c r="G478" s="46"/>
      <c r="H478" s="46"/>
      <c r="I478" s="50"/>
      <c r="J478" s="50"/>
      <c r="K478" s="51" t="str">
        <f>IFERROR(__xludf.DUMMYFUNCTION("""COMPUTED_VALUE"""),"")</f>
        <v/>
      </c>
      <c r="L478" s="46" t="str">
        <f>IFERROR(__xludf.DUMMYFUNCTION("""COMPUTED_VALUE"""),"")</f>
        <v/>
      </c>
      <c r="M478" s="46" t="str">
        <f>IFERROR(__xludf.DUMMYFUNCTION("""COMPUTED_VALUE"""),"")</f>
        <v/>
      </c>
      <c r="N478" s="46" t="str">
        <f>IFERROR(__xludf.DUMMYFUNCTION("""COMPUTED_VALUE"""),"")</f>
        <v/>
      </c>
      <c r="O478" s="48"/>
      <c r="P478" s="52" t="str">
        <f>IFERROR(__xludf.DUMMYFUNCTION("""COMPUTED_VALUE"""),"")</f>
        <v/>
      </c>
    </row>
    <row r="479">
      <c r="A479" s="48" t="str">
        <f>IFERROR(__xludf.DUMMYFUNCTION("""COMPUTED_VALUE"""),"")</f>
        <v/>
      </c>
      <c r="B479" s="48"/>
      <c r="C479" s="49"/>
      <c r="D479" s="46"/>
      <c r="E479" s="46"/>
      <c r="F479" s="46"/>
      <c r="G479" s="46"/>
      <c r="H479" s="46"/>
      <c r="I479" s="50"/>
      <c r="J479" s="50"/>
      <c r="K479" s="51" t="str">
        <f>IFERROR(__xludf.DUMMYFUNCTION("""COMPUTED_VALUE"""),"")</f>
        <v/>
      </c>
      <c r="L479" s="46" t="str">
        <f>IFERROR(__xludf.DUMMYFUNCTION("""COMPUTED_VALUE"""),"")</f>
        <v/>
      </c>
      <c r="M479" s="46" t="str">
        <f>IFERROR(__xludf.DUMMYFUNCTION("""COMPUTED_VALUE"""),"")</f>
        <v/>
      </c>
      <c r="N479" s="46" t="str">
        <f>IFERROR(__xludf.DUMMYFUNCTION("""COMPUTED_VALUE"""),"")</f>
        <v/>
      </c>
      <c r="O479" s="48"/>
      <c r="P479" s="52" t="str">
        <f>IFERROR(__xludf.DUMMYFUNCTION("""COMPUTED_VALUE"""),"")</f>
        <v/>
      </c>
    </row>
    <row r="480">
      <c r="A480" s="48" t="str">
        <f>IFERROR(__xludf.DUMMYFUNCTION("""COMPUTED_VALUE"""),"")</f>
        <v/>
      </c>
      <c r="B480" s="48"/>
      <c r="C480" s="49"/>
      <c r="D480" s="46"/>
      <c r="E480" s="46"/>
      <c r="F480" s="46"/>
      <c r="G480" s="46"/>
      <c r="H480" s="46"/>
      <c r="I480" s="50"/>
      <c r="J480" s="50"/>
      <c r="K480" s="51" t="str">
        <f>IFERROR(__xludf.DUMMYFUNCTION("""COMPUTED_VALUE"""),"")</f>
        <v/>
      </c>
      <c r="L480" s="46" t="str">
        <f>IFERROR(__xludf.DUMMYFUNCTION("""COMPUTED_VALUE"""),"")</f>
        <v/>
      </c>
      <c r="M480" s="46" t="str">
        <f>IFERROR(__xludf.DUMMYFUNCTION("""COMPUTED_VALUE"""),"")</f>
        <v/>
      </c>
      <c r="N480" s="46" t="str">
        <f>IFERROR(__xludf.DUMMYFUNCTION("""COMPUTED_VALUE"""),"")</f>
        <v/>
      </c>
      <c r="O480" s="48"/>
      <c r="P480" s="52" t="str">
        <f>IFERROR(__xludf.DUMMYFUNCTION("""COMPUTED_VALUE"""),"")</f>
        <v/>
      </c>
    </row>
    <row r="481">
      <c r="A481" s="48" t="str">
        <f>IFERROR(__xludf.DUMMYFUNCTION("""COMPUTED_VALUE"""),"")</f>
        <v/>
      </c>
      <c r="B481" s="48"/>
      <c r="C481" s="49"/>
      <c r="D481" s="46"/>
      <c r="E481" s="46"/>
      <c r="F481" s="46"/>
      <c r="G481" s="46"/>
      <c r="H481" s="46"/>
      <c r="I481" s="50"/>
      <c r="J481" s="50"/>
      <c r="K481" s="51" t="str">
        <f>IFERROR(__xludf.DUMMYFUNCTION("""COMPUTED_VALUE"""),"")</f>
        <v/>
      </c>
      <c r="L481" s="46" t="str">
        <f>IFERROR(__xludf.DUMMYFUNCTION("""COMPUTED_VALUE"""),"")</f>
        <v/>
      </c>
      <c r="M481" s="46" t="str">
        <f>IFERROR(__xludf.DUMMYFUNCTION("""COMPUTED_VALUE"""),"")</f>
        <v/>
      </c>
      <c r="N481" s="46" t="str">
        <f>IFERROR(__xludf.DUMMYFUNCTION("""COMPUTED_VALUE"""),"")</f>
        <v/>
      </c>
      <c r="O481" s="48"/>
      <c r="P481" s="52" t="str">
        <f>IFERROR(__xludf.DUMMYFUNCTION("""COMPUTED_VALUE"""),"")</f>
        <v/>
      </c>
    </row>
    <row r="482">
      <c r="A482" s="48" t="str">
        <f>IFERROR(__xludf.DUMMYFUNCTION("""COMPUTED_VALUE"""),"")</f>
        <v/>
      </c>
      <c r="B482" s="48"/>
      <c r="C482" s="49"/>
      <c r="D482" s="46"/>
      <c r="E482" s="46"/>
      <c r="F482" s="46"/>
      <c r="G482" s="46"/>
      <c r="H482" s="46"/>
      <c r="I482" s="50"/>
      <c r="J482" s="50"/>
      <c r="K482" s="51" t="str">
        <f>IFERROR(__xludf.DUMMYFUNCTION("""COMPUTED_VALUE"""),"")</f>
        <v/>
      </c>
      <c r="L482" s="46" t="str">
        <f>IFERROR(__xludf.DUMMYFUNCTION("""COMPUTED_VALUE"""),"")</f>
        <v/>
      </c>
      <c r="M482" s="46" t="str">
        <f>IFERROR(__xludf.DUMMYFUNCTION("""COMPUTED_VALUE"""),"")</f>
        <v/>
      </c>
      <c r="N482" s="46" t="str">
        <f>IFERROR(__xludf.DUMMYFUNCTION("""COMPUTED_VALUE"""),"")</f>
        <v/>
      </c>
      <c r="O482" s="48"/>
      <c r="P482" s="52" t="str">
        <f>IFERROR(__xludf.DUMMYFUNCTION("""COMPUTED_VALUE"""),"")</f>
        <v/>
      </c>
    </row>
    <row r="483">
      <c r="A483" s="48" t="str">
        <f>IFERROR(__xludf.DUMMYFUNCTION("""COMPUTED_VALUE"""),"")</f>
        <v/>
      </c>
      <c r="B483" s="48"/>
      <c r="C483" s="49"/>
      <c r="D483" s="46"/>
      <c r="E483" s="46"/>
      <c r="F483" s="46"/>
      <c r="G483" s="46"/>
      <c r="H483" s="46"/>
      <c r="I483" s="50"/>
      <c r="J483" s="50"/>
      <c r="K483" s="51" t="str">
        <f>IFERROR(__xludf.DUMMYFUNCTION("""COMPUTED_VALUE"""),"")</f>
        <v/>
      </c>
      <c r="L483" s="46" t="str">
        <f>IFERROR(__xludf.DUMMYFUNCTION("""COMPUTED_VALUE"""),"")</f>
        <v/>
      </c>
      <c r="M483" s="46" t="str">
        <f>IFERROR(__xludf.DUMMYFUNCTION("""COMPUTED_VALUE"""),"")</f>
        <v/>
      </c>
      <c r="N483" s="46" t="str">
        <f>IFERROR(__xludf.DUMMYFUNCTION("""COMPUTED_VALUE"""),"")</f>
        <v/>
      </c>
      <c r="O483" s="48"/>
      <c r="P483" s="52" t="str">
        <f>IFERROR(__xludf.DUMMYFUNCTION("""COMPUTED_VALUE"""),"")</f>
        <v/>
      </c>
    </row>
    <row r="484">
      <c r="A484" s="48" t="str">
        <f>IFERROR(__xludf.DUMMYFUNCTION("""COMPUTED_VALUE"""),"")</f>
        <v/>
      </c>
      <c r="B484" s="48"/>
      <c r="C484" s="49"/>
      <c r="D484" s="46"/>
      <c r="E484" s="46"/>
      <c r="F484" s="46"/>
      <c r="G484" s="46"/>
      <c r="H484" s="46"/>
      <c r="I484" s="50"/>
      <c r="J484" s="50"/>
      <c r="K484" s="51" t="str">
        <f>IFERROR(__xludf.DUMMYFUNCTION("""COMPUTED_VALUE"""),"")</f>
        <v/>
      </c>
      <c r="L484" s="46" t="str">
        <f>IFERROR(__xludf.DUMMYFUNCTION("""COMPUTED_VALUE"""),"")</f>
        <v/>
      </c>
      <c r="M484" s="46" t="str">
        <f>IFERROR(__xludf.DUMMYFUNCTION("""COMPUTED_VALUE"""),"")</f>
        <v/>
      </c>
      <c r="N484" s="46" t="str">
        <f>IFERROR(__xludf.DUMMYFUNCTION("""COMPUTED_VALUE"""),"")</f>
        <v/>
      </c>
      <c r="O484" s="48"/>
      <c r="P484" s="52" t="str">
        <f>IFERROR(__xludf.DUMMYFUNCTION("""COMPUTED_VALUE"""),"")</f>
        <v/>
      </c>
    </row>
    <row r="485">
      <c r="A485" s="48" t="str">
        <f>IFERROR(__xludf.DUMMYFUNCTION("""COMPUTED_VALUE"""),"")</f>
        <v/>
      </c>
      <c r="B485" s="48"/>
      <c r="C485" s="49"/>
      <c r="D485" s="46"/>
      <c r="E485" s="46"/>
      <c r="F485" s="46"/>
      <c r="G485" s="46"/>
      <c r="H485" s="46"/>
      <c r="I485" s="50"/>
      <c r="J485" s="50"/>
      <c r="K485" s="51" t="str">
        <f>IFERROR(__xludf.DUMMYFUNCTION("""COMPUTED_VALUE"""),"")</f>
        <v/>
      </c>
      <c r="L485" s="46" t="str">
        <f>IFERROR(__xludf.DUMMYFUNCTION("""COMPUTED_VALUE"""),"")</f>
        <v/>
      </c>
      <c r="M485" s="46" t="str">
        <f>IFERROR(__xludf.DUMMYFUNCTION("""COMPUTED_VALUE"""),"")</f>
        <v/>
      </c>
      <c r="N485" s="46" t="str">
        <f>IFERROR(__xludf.DUMMYFUNCTION("""COMPUTED_VALUE"""),"")</f>
        <v/>
      </c>
      <c r="O485" s="48"/>
      <c r="P485" s="52" t="str">
        <f>IFERROR(__xludf.DUMMYFUNCTION("""COMPUTED_VALUE"""),"")</f>
        <v/>
      </c>
    </row>
    <row r="486">
      <c r="A486" s="48" t="str">
        <f>IFERROR(__xludf.DUMMYFUNCTION("""COMPUTED_VALUE"""),"")</f>
        <v/>
      </c>
      <c r="B486" s="48"/>
      <c r="C486" s="49"/>
      <c r="D486" s="46"/>
      <c r="E486" s="46"/>
      <c r="F486" s="46"/>
      <c r="G486" s="46"/>
      <c r="H486" s="46"/>
      <c r="I486" s="50"/>
      <c r="J486" s="50"/>
      <c r="K486" s="51" t="str">
        <f>IFERROR(__xludf.DUMMYFUNCTION("""COMPUTED_VALUE"""),"")</f>
        <v/>
      </c>
      <c r="L486" s="46" t="str">
        <f>IFERROR(__xludf.DUMMYFUNCTION("""COMPUTED_VALUE"""),"")</f>
        <v/>
      </c>
      <c r="M486" s="46" t="str">
        <f>IFERROR(__xludf.DUMMYFUNCTION("""COMPUTED_VALUE"""),"")</f>
        <v/>
      </c>
      <c r="N486" s="46" t="str">
        <f>IFERROR(__xludf.DUMMYFUNCTION("""COMPUTED_VALUE"""),"")</f>
        <v/>
      </c>
      <c r="O486" s="48"/>
      <c r="P486" s="52" t="str">
        <f>IFERROR(__xludf.DUMMYFUNCTION("""COMPUTED_VALUE"""),"")</f>
        <v/>
      </c>
    </row>
    <row r="487">
      <c r="A487" s="48" t="str">
        <f>IFERROR(__xludf.DUMMYFUNCTION("""COMPUTED_VALUE"""),"")</f>
        <v/>
      </c>
      <c r="B487" s="48"/>
      <c r="C487" s="49"/>
      <c r="D487" s="46"/>
      <c r="E487" s="46"/>
      <c r="F487" s="46"/>
      <c r="G487" s="46"/>
      <c r="H487" s="46"/>
      <c r="I487" s="50"/>
      <c r="J487" s="50"/>
      <c r="K487" s="51" t="str">
        <f>IFERROR(__xludf.DUMMYFUNCTION("""COMPUTED_VALUE"""),"")</f>
        <v/>
      </c>
      <c r="L487" s="46" t="str">
        <f>IFERROR(__xludf.DUMMYFUNCTION("""COMPUTED_VALUE"""),"")</f>
        <v/>
      </c>
      <c r="M487" s="46" t="str">
        <f>IFERROR(__xludf.DUMMYFUNCTION("""COMPUTED_VALUE"""),"")</f>
        <v/>
      </c>
      <c r="N487" s="46" t="str">
        <f>IFERROR(__xludf.DUMMYFUNCTION("""COMPUTED_VALUE"""),"")</f>
        <v/>
      </c>
      <c r="O487" s="48"/>
      <c r="P487" s="52" t="str">
        <f>IFERROR(__xludf.DUMMYFUNCTION("""COMPUTED_VALUE"""),"")</f>
        <v/>
      </c>
    </row>
    <row r="488">
      <c r="A488" s="48" t="str">
        <f>IFERROR(__xludf.DUMMYFUNCTION("""COMPUTED_VALUE"""),"")</f>
        <v/>
      </c>
      <c r="B488" s="48"/>
      <c r="C488" s="49"/>
      <c r="D488" s="46"/>
      <c r="E488" s="46"/>
      <c r="F488" s="46"/>
      <c r="G488" s="46"/>
      <c r="H488" s="46"/>
      <c r="I488" s="50"/>
      <c r="J488" s="50"/>
      <c r="K488" s="51" t="str">
        <f>IFERROR(__xludf.DUMMYFUNCTION("""COMPUTED_VALUE"""),"")</f>
        <v/>
      </c>
      <c r="L488" s="46" t="str">
        <f>IFERROR(__xludf.DUMMYFUNCTION("""COMPUTED_VALUE"""),"")</f>
        <v/>
      </c>
      <c r="M488" s="46" t="str">
        <f>IFERROR(__xludf.DUMMYFUNCTION("""COMPUTED_VALUE"""),"")</f>
        <v/>
      </c>
      <c r="N488" s="46" t="str">
        <f>IFERROR(__xludf.DUMMYFUNCTION("""COMPUTED_VALUE"""),"")</f>
        <v/>
      </c>
      <c r="O488" s="48"/>
      <c r="P488" s="52" t="str">
        <f>IFERROR(__xludf.DUMMYFUNCTION("""COMPUTED_VALUE"""),"")</f>
        <v/>
      </c>
    </row>
    <row r="489">
      <c r="A489" s="48" t="str">
        <f>IFERROR(__xludf.DUMMYFUNCTION("""COMPUTED_VALUE"""),"")</f>
        <v/>
      </c>
      <c r="B489" s="48"/>
      <c r="C489" s="49"/>
      <c r="D489" s="46"/>
      <c r="E489" s="46"/>
      <c r="F489" s="46"/>
      <c r="G489" s="46"/>
      <c r="H489" s="46"/>
      <c r="I489" s="50"/>
      <c r="J489" s="50"/>
      <c r="K489" s="51" t="str">
        <f>IFERROR(__xludf.DUMMYFUNCTION("""COMPUTED_VALUE"""),"")</f>
        <v/>
      </c>
      <c r="L489" s="46" t="str">
        <f>IFERROR(__xludf.DUMMYFUNCTION("""COMPUTED_VALUE"""),"")</f>
        <v/>
      </c>
      <c r="M489" s="46" t="str">
        <f>IFERROR(__xludf.DUMMYFUNCTION("""COMPUTED_VALUE"""),"")</f>
        <v/>
      </c>
      <c r="N489" s="46" t="str">
        <f>IFERROR(__xludf.DUMMYFUNCTION("""COMPUTED_VALUE"""),"")</f>
        <v/>
      </c>
      <c r="O489" s="48"/>
      <c r="P489" s="52" t="str">
        <f>IFERROR(__xludf.DUMMYFUNCTION("""COMPUTED_VALUE"""),"")</f>
        <v/>
      </c>
    </row>
    <row r="490">
      <c r="A490" s="48" t="str">
        <f>IFERROR(__xludf.DUMMYFUNCTION("""COMPUTED_VALUE"""),"")</f>
        <v/>
      </c>
      <c r="B490" s="48"/>
      <c r="C490" s="49"/>
      <c r="D490" s="46"/>
      <c r="E490" s="46"/>
      <c r="F490" s="46"/>
      <c r="G490" s="46"/>
      <c r="H490" s="46"/>
      <c r="I490" s="50"/>
      <c r="J490" s="50"/>
      <c r="K490" s="51" t="str">
        <f>IFERROR(__xludf.DUMMYFUNCTION("""COMPUTED_VALUE"""),"")</f>
        <v/>
      </c>
      <c r="L490" s="46" t="str">
        <f>IFERROR(__xludf.DUMMYFUNCTION("""COMPUTED_VALUE"""),"")</f>
        <v/>
      </c>
      <c r="M490" s="46" t="str">
        <f>IFERROR(__xludf.DUMMYFUNCTION("""COMPUTED_VALUE"""),"")</f>
        <v/>
      </c>
      <c r="N490" s="46" t="str">
        <f>IFERROR(__xludf.DUMMYFUNCTION("""COMPUTED_VALUE"""),"")</f>
        <v/>
      </c>
      <c r="O490" s="48"/>
      <c r="P490" s="52" t="str">
        <f>IFERROR(__xludf.DUMMYFUNCTION("""COMPUTED_VALUE"""),"")</f>
        <v/>
      </c>
    </row>
    <row r="491">
      <c r="A491" s="48" t="str">
        <f>IFERROR(__xludf.DUMMYFUNCTION("""COMPUTED_VALUE"""),"")</f>
        <v/>
      </c>
      <c r="B491" s="48"/>
      <c r="C491" s="49"/>
      <c r="D491" s="46"/>
      <c r="E491" s="46"/>
      <c r="F491" s="46"/>
      <c r="G491" s="46"/>
      <c r="H491" s="46"/>
      <c r="I491" s="50"/>
      <c r="J491" s="50"/>
      <c r="K491" s="51" t="str">
        <f>IFERROR(__xludf.DUMMYFUNCTION("""COMPUTED_VALUE"""),"")</f>
        <v/>
      </c>
      <c r="L491" s="46" t="str">
        <f>IFERROR(__xludf.DUMMYFUNCTION("""COMPUTED_VALUE"""),"")</f>
        <v/>
      </c>
      <c r="M491" s="46" t="str">
        <f>IFERROR(__xludf.DUMMYFUNCTION("""COMPUTED_VALUE"""),"")</f>
        <v/>
      </c>
      <c r="N491" s="46" t="str">
        <f>IFERROR(__xludf.DUMMYFUNCTION("""COMPUTED_VALUE"""),"")</f>
        <v/>
      </c>
      <c r="O491" s="48"/>
      <c r="P491" s="52" t="str">
        <f>IFERROR(__xludf.DUMMYFUNCTION("""COMPUTED_VALUE"""),"")</f>
        <v/>
      </c>
    </row>
    <row r="492">
      <c r="A492" s="48" t="str">
        <f>IFERROR(__xludf.DUMMYFUNCTION("""COMPUTED_VALUE"""),"")</f>
        <v/>
      </c>
      <c r="B492" s="48"/>
      <c r="C492" s="49"/>
      <c r="D492" s="46"/>
      <c r="E492" s="46"/>
      <c r="F492" s="46"/>
      <c r="G492" s="46"/>
      <c r="H492" s="46"/>
      <c r="I492" s="50"/>
      <c r="J492" s="50"/>
      <c r="K492" s="51" t="str">
        <f>IFERROR(__xludf.DUMMYFUNCTION("""COMPUTED_VALUE"""),"")</f>
        <v/>
      </c>
      <c r="L492" s="46" t="str">
        <f>IFERROR(__xludf.DUMMYFUNCTION("""COMPUTED_VALUE"""),"")</f>
        <v/>
      </c>
      <c r="M492" s="46" t="str">
        <f>IFERROR(__xludf.DUMMYFUNCTION("""COMPUTED_VALUE"""),"")</f>
        <v/>
      </c>
      <c r="N492" s="46" t="str">
        <f>IFERROR(__xludf.DUMMYFUNCTION("""COMPUTED_VALUE"""),"")</f>
        <v/>
      </c>
      <c r="O492" s="48"/>
      <c r="P492" s="52" t="str">
        <f>IFERROR(__xludf.DUMMYFUNCTION("""COMPUTED_VALUE"""),"")</f>
        <v/>
      </c>
    </row>
    <row r="493">
      <c r="A493" s="48" t="str">
        <f>IFERROR(__xludf.DUMMYFUNCTION("""COMPUTED_VALUE"""),"")</f>
        <v/>
      </c>
      <c r="B493" s="48"/>
      <c r="C493" s="49"/>
      <c r="D493" s="46"/>
      <c r="E493" s="46"/>
      <c r="F493" s="46"/>
      <c r="G493" s="46"/>
      <c r="H493" s="46"/>
      <c r="I493" s="50"/>
      <c r="J493" s="50"/>
      <c r="K493" s="51" t="str">
        <f>IFERROR(__xludf.DUMMYFUNCTION("""COMPUTED_VALUE"""),"")</f>
        <v/>
      </c>
      <c r="L493" s="46" t="str">
        <f>IFERROR(__xludf.DUMMYFUNCTION("""COMPUTED_VALUE"""),"")</f>
        <v/>
      </c>
      <c r="M493" s="46" t="str">
        <f>IFERROR(__xludf.DUMMYFUNCTION("""COMPUTED_VALUE"""),"")</f>
        <v/>
      </c>
      <c r="N493" s="46" t="str">
        <f>IFERROR(__xludf.DUMMYFUNCTION("""COMPUTED_VALUE"""),"")</f>
        <v/>
      </c>
      <c r="O493" s="48"/>
      <c r="P493" s="52" t="str">
        <f>IFERROR(__xludf.DUMMYFUNCTION("""COMPUTED_VALUE"""),"")</f>
        <v/>
      </c>
    </row>
    <row r="494">
      <c r="A494" s="48" t="str">
        <f>IFERROR(__xludf.DUMMYFUNCTION("""COMPUTED_VALUE"""),"")</f>
        <v/>
      </c>
      <c r="B494" s="48"/>
      <c r="C494" s="49"/>
      <c r="D494" s="46"/>
      <c r="E494" s="46"/>
      <c r="F494" s="46"/>
      <c r="G494" s="46"/>
      <c r="H494" s="46"/>
      <c r="I494" s="50"/>
      <c r="J494" s="50"/>
      <c r="K494" s="51" t="str">
        <f>IFERROR(__xludf.DUMMYFUNCTION("""COMPUTED_VALUE"""),"")</f>
        <v/>
      </c>
      <c r="L494" s="46" t="str">
        <f>IFERROR(__xludf.DUMMYFUNCTION("""COMPUTED_VALUE"""),"")</f>
        <v/>
      </c>
      <c r="M494" s="46" t="str">
        <f>IFERROR(__xludf.DUMMYFUNCTION("""COMPUTED_VALUE"""),"")</f>
        <v/>
      </c>
      <c r="N494" s="46" t="str">
        <f>IFERROR(__xludf.DUMMYFUNCTION("""COMPUTED_VALUE"""),"")</f>
        <v/>
      </c>
      <c r="O494" s="48"/>
      <c r="P494" s="52" t="str">
        <f>IFERROR(__xludf.DUMMYFUNCTION("""COMPUTED_VALUE"""),"")</f>
        <v/>
      </c>
    </row>
    <row r="495">
      <c r="A495" s="48" t="str">
        <f>IFERROR(__xludf.DUMMYFUNCTION("""COMPUTED_VALUE"""),"")</f>
        <v/>
      </c>
      <c r="B495" s="48"/>
      <c r="C495" s="49"/>
      <c r="D495" s="46"/>
      <c r="E495" s="46"/>
      <c r="F495" s="46"/>
      <c r="G495" s="46"/>
      <c r="H495" s="46"/>
      <c r="I495" s="50"/>
      <c r="J495" s="50"/>
      <c r="K495" s="51" t="str">
        <f>IFERROR(__xludf.DUMMYFUNCTION("""COMPUTED_VALUE"""),"")</f>
        <v/>
      </c>
      <c r="L495" s="46" t="str">
        <f>IFERROR(__xludf.DUMMYFUNCTION("""COMPUTED_VALUE"""),"")</f>
        <v/>
      </c>
      <c r="M495" s="46" t="str">
        <f>IFERROR(__xludf.DUMMYFUNCTION("""COMPUTED_VALUE"""),"")</f>
        <v/>
      </c>
      <c r="N495" s="46" t="str">
        <f>IFERROR(__xludf.DUMMYFUNCTION("""COMPUTED_VALUE"""),"")</f>
        <v/>
      </c>
      <c r="O495" s="48"/>
      <c r="P495" s="52" t="str">
        <f>IFERROR(__xludf.DUMMYFUNCTION("""COMPUTED_VALUE"""),"")</f>
        <v/>
      </c>
    </row>
    <row r="496">
      <c r="A496" s="48" t="str">
        <f>IFERROR(__xludf.DUMMYFUNCTION("""COMPUTED_VALUE"""),"")</f>
        <v/>
      </c>
      <c r="B496" s="48"/>
      <c r="C496" s="49"/>
      <c r="D496" s="46"/>
      <c r="E496" s="46"/>
      <c r="F496" s="46"/>
      <c r="G496" s="46"/>
      <c r="H496" s="46"/>
      <c r="I496" s="50"/>
      <c r="J496" s="50"/>
      <c r="K496" s="51" t="str">
        <f>IFERROR(__xludf.DUMMYFUNCTION("""COMPUTED_VALUE"""),"")</f>
        <v/>
      </c>
      <c r="L496" s="46" t="str">
        <f>IFERROR(__xludf.DUMMYFUNCTION("""COMPUTED_VALUE"""),"")</f>
        <v/>
      </c>
      <c r="M496" s="46" t="str">
        <f>IFERROR(__xludf.DUMMYFUNCTION("""COMPUTED_VALUE"""),"")</f>
        <v/>
      </c>
      <c r="N496" s="46" t="str">
        <f>IFERROR(__xludf.DUMMYFUNCTION("""COMPUTED_VALUE"""),"")</f>
        <v/>
      </c>
      <c r="O496" s="48"/>
      <c r="P496" s="52" t="str">
        <f>IFERROR(__xludf.DUMMYFUNCTION("""COMPUTED_VALUE"""),"")</f>
        <v/>
      </c>
    </row>
    <row r="497">
      <c r="A497" s="48" t="str">
        <f>IFERROR(__xludf.DUMMYFUNCTION("""COMPUTED_VALUE"""),"")</f>
        <v/>
      </c>
      <c r="B497" s="48"/>
      <c r="C497" s="49"/>
      <c r="D497" s="46"/>
      <c r="E497" s="46"/>
      <c r="F497" s="46"/>
      <c r="G497" s="46"/>
      <c r="H497" s="46"/>
      <c r="I497" s="50"/>
      <c r="J497" s="50"/>
      <c r="K497" s="51" t="str">
        <f>IFERROR(__xludf.DUMMYFUNCTION("""COMPUTED_VALUE"""),"")</f>
        <v/>
      </c>
      <c r="L497" s="46" t="str">
        <f>IFERROR(__xludf.DUMMYFUNCTION("""COMPUTED_VALUE"""),"")</f>
        <v/>
      </c>
      <c r="M497" s="46" t="str">
        <f>IFERROR(__xludf.DUMMYFUNCTION("""COMPUTED_VALUE"""),"")</f>
        <v/>
      </c>
      <c r="N497" s="46" t="str">
        <f>IFERROR(__xludf.DUMMYFUNCTION("""COMPUTED_VALUE"""),"")</f>
        <v/>
      </c>
      <c r="O497" s="48"/>
      <c r="P497" s="52" t="str">
        <f>IFERROR(__xludf.DUMMYFUNCTION("""COMPUTED_VALUE"""),"")</f>
        <v/>
      </c>
    </row>
    <row r="498">
      <c r="A498" s="48" t="str">
        <f>IFERROR(__xludf.DUMMYFUNCTION("""COMPUTED_VALUE"""),"")</f>
        <v/>
      </c>
      <c r="B498" s="48"/>
      <c r="C498" s="49"/>
      <c r="D498" s="46"/>
      <c r="E498" s="46"/>
      <c r="F498" s="46"/>
      <c r="G498" s="46"/>
      <c r="H498" s="46"/>
      <c r="I498" s="50"/>
      <c r="J498" s="50"/>
      <c r="K498" s="51" t="str">
        <f>IFERROR(__xludf.DUMMYFUNCTION("""COMPUTED_VALUE"""),"")</f>
        <v/>
      </c>
      <c r="L498" s="46" t="str">
        <f>IFERROR(__xludf.DUMMYFUNCTION("""COMPUTED_VALUE"""),"")</f>
        <v/>
      </c>
      <c r="M498" s="46" t="str">
        <f>IFERROR(__xludf.DUMMYFUNCTION("""COMPUTED_VALUE"""),"")</f>
        <v/>
      </c>
      <c r="N498" s="46" t="str">
        <f>IFERROR(__xludf.DUMMYFUNCTION("""COMPUTED_VALUE"""),"")</f>
        <v/>
      </c>
      <c r="O498" s="48"/>
      <c r="P498" s="52" t="str">
        <f>IFERROR(__xludf.DUMMYFUNCTION("""COMPUTED_VALUE"""),"")</f>
        <v/>
      </c>
    </row>
    <row r="499">
      <c r="A499" s="48" t="str">
        <f>IFERROR(__xludf.DUMMYFUNCTION("""COMPUTED_VALUE"""),"")</f>
        <v/>
      </c>
      <c r="B499" s="48"/>
      <c r="C499" s="49"/>
      <c r="D499" s="46"/>
      <c r="E499" s="46"/>
      <c r="F499" s="46"/>
      <c r="G499" s="46"/>
      <c r="H499" s="46"/>
      <c r="I499" s="50"/>
      <c r="J499" s="50"/>
      <c r="K499" s="51" t="str">
        <f>IFERROR(__xludf.DUMMYFUNCTION("""COMPUTED_VALUE"""),"")</f>
        <v/>
      </c>
      <c r="L499" s="46" t="str">
        <f>IFERROR(__xludf.DUMMYFUNCTION("""COMPUTED_VALUE"""),"")</f>
        <v/>
      </c>
      <c r="M499" s="46" t="str">
        <f>IFERROR(__xludf.DUMMYFUNCTION("""COMPUTED_VALUE"""),"")</f>
        <v/>
      </c>
      <c r="N499" s="46" t="str">
        <f>IFERROR(__xludf.DUMMYFUNCTION("""COMPUTED_VALUE"""),"")</f>
        <v/>
      </c>
      <c r="O499" s="48"/>
      <c r="P499" s="52" t="str">
        <f>IFERROR(__xludf.DUMMYFUNCTION("""COMPUTED_VALUE"""),"")</f>
        <v/>
      </c>
    </row>
    <row r="500">
      <c r="A500" s="48" t="str">
        <f>IFERROR(__xludf.DUMMYFUNCTION("""COMPUTED_VALUE"""),"")</f>
        <v/>
      </c>
      <c r="B500" s="48"/>
      <c r="C500" s="49"/>
      <c r="D500" s="46"/>
      <c r="E500" s="46"/>
      <c r="F500" s="46"/>
      <c r="G500" s="46"/>
      <c r="H500" s="46"/>
      <c r="I500" s="50"/>
      <c r="J500" s="50"/>
      <c r="K500" s="51" t="str">
        <f>IFERROR(__xludf.DUMMYFUNCTION("""COMPUTED_VALUE"""),"")</f>
        <v/>
      </c>
      <c r="L500" s="46" t="str">
        <f>IFERROR(__xludf.DUMMYFUNCTION("""COMPUTED_VALUE"""),"")</f>
        <v/>
      </c>
      <c r="M500" s="46" t="str">
        <f>IFERROR(__xludf.DUMMYFUNCTION("""COMPUTED_VALUE"""),"")</f>
        <v/>
      </c>
      <c r="N500" s="46" t="str">
        <f>IFERROR(__xludf.DUMMYFUNCTION("""COMPUTED_VALUE"""),"")</f>
        <v/>
      </c>
      <c r="O500" s="48"/>
      <c r="P500" s="52" t="str">
        <f>IFERROR(__xludf.DUMMYFUNCTION("""COMPUTED_VALUE"""),"")</f>
        <v/>
      </c>
    </row>
    <row r="501">
      <c r="A501" s="48" t="str">
        <f>IFERROR(__xludf.DUMMYFUNCTION("""COMPUTED_VALUE"""),"")</f>
        <v/>
      </c>
      <c r="B501" s="48"/>
      <c r="C501" s="49"/>
      <c r="D501" s="46"/>
      <c r="E501" s="46"/>
      <c r="F501" s="46"/>
      <c r="G501" s="46"/>
      <c r="H501" s="46"/>
      <c r="I501" s="50"/>
      <c r="J501" s="50"/>
      <c r="K501" s="51" t="str">
        <f>IFERROR(__xludf.DUMMYFUNCTION("""COMPUTED_VALUE"""),"")</f>
        <v/>
      </c>
      <c r="L501" s="46" t="str">
        <f>IFERROR(__xludf.DUMMYFUNCTION("""COMPUTED_VALUE"""),"")</f>
        <v/>
      </c>
      <c r="M501" s="46" t="str">
        <f>IFERROR(__xludf.DUMMYFUNCTION("""COMPUTED_VALUE"""),"")</f>
        <v/>
      </c>
      <c r="N501" s="46" t="str">
        <f>IFERROR(__xludf.DUMMYFUNCTION("""COMPUTED_VALUE"""),"")</f>
        <v/>
      </c>
      <c r="O501" s="48"/>
      <c r="P501" s="52" t="str">
        <f>IFERROR(__xludf.DUMMYFUNCTION("""COMPUTED_VALUE"""),"")</f>
        <v/>
      </c>
    </row>
    <row r="502">
      <c r="A502" s="48" t="str">
        <f>IFERROR(__xludf.DUMMYFUNCTION("""COMPUTED_VALUE"""),"")</f>
        <v/>
      </c>
      <c r="B502" s="48"/>
      <c r="C502" s="49"/>
      <c r="D502" s="46"/>
      <c r="E502" s="46"/>
      <c r="F502" s="46"/>
      <c r="G502" s="46"/>
      <c r="H502" s="46"/>
      <c r="I502" s="50"/>
      <c r="J502" s="50"/>
      <c r="K502" s="51" t="str">
        <f>IFERROR(__xludf.DUMMYFUNCTION("""COMPUTED_VALUE"""),"")</f>
        <v/>
      </c>
      <c r="L502" s="46" t="str">
        <f>IFERROR(__xludf.DUMMYFUNCTION("""COMPUTED_VALUE"""),"")</f>
        <v/>
      </c>
      <c r="M502" s="46" t="str">
        <f>IFERROR(__xludf.DUMMYFUNCTION("""COMPUTED_VALUE"""),"")</f>
        <v/>
      </c>
      <c r="N502" s="46" t="str">
        <f>IFERROR(__xludf.DUMMYFUNCTION("""COMPUTED_VALUE"""),"")</f>
        <v/>
      </c>
      <c r="O502" s="48"/>
      <c r="P502" s="52" t="str">
        <f>IFERROR(__xludf.DUMMYFUNCTION("""COMPUTED_VALUE"""),"")</f>
        <v/>
      </c>
    </row>
    <row r="503">
      <c r="A503" s="48" t="str">
        <f>IFERROR(__xludf.DUMMYFUNCTION("""COMPUTED_VALUE"""),"")</f>
        <v/>
      </c>
      <c r="B503" s="48"/>
      <c r="C503" s="49"/>
      <c r="D503" s="46"/>
      <c r="E503" s="46"/>
      <c r="F503" s="46"/>
      <c r="G503" s="46"/>
      <c r="H503" s="46"/>
      <c r="I503" s="50"/>
      <c r="J503" s="50"/>
      <c r="K503" s="51" t="str">
        <f>IFERROR(__xludf.DUMMYFUNCTION("""COMPUTED_VALUE"""),"")</f>
        <v/>
      </c>
      <c r="L503" s="46" t="str">
        <f>IFERROR(__xludf.DUMMYFUNCTION("""COMPUTED_VALUE"""),"")</f>
        <v/>
      </c>
      <c r="M503" s="46" t="str">
        <f>IFERROR(__xludf.DUMMYFUNCTION("""COMPUTED_VALUE"""),"")</f>
        <v/>
      </c>
      <c r="N503" s="46" t="str">
        <f>IFERROR(__xludf.DUMMYFUNCTION("""COMPUTED_VALUE"""),"")</f>
        <v/>
      </c>
      <c r="O503" s="48"/>
      <c r="P503" s="52" t="str">
        <f>IFERROR(__xludf.DUMMYFUNCTION("""COMPUTED_VALUE"""),"")</f>
        <v/>
      </c>
    </row>
    <row r="504">
      <c r="A504" s="48" t="str">
        <f>IFERROR(__xludf.DUMMYFUNCTION("""COMPUTED_VALUE"""),"")</f>
        <v/>
      </c>
      <c r="B504" s="48"/>
      <c r="C504" s="49"/>
      <c r="D504" s="46"/>
      <c r="E504" s="46"/>
      <c r="F504" s="46"/>
      <c r="G504" s="46"/>
      <c r="H504" s="46"/>
      <c r="I504" s="50"/>
      <c r="J504" s="50"/>
      <c r="K504" s="51" t="str">
        <f>IFERROR(__xludf.DUMMYFUNCTION("""COMPUTED_VALUE"""),"")</f>
        <v/>
      </c>
      <c r="L504" s="46" t="str">
        <f>IFERROR(__xludf.DUMMYFUNCTION("""COMPUTED_VALUE"""),"")</f>
        <v/>
      </c>
      <c r="M504" s="46" t="str">
        <f>IFERROR(__xludf.DUMMYFUNCTION("""COMPUTED_VALUE"""),"")</f>
        <v/>
      </c>
      <c r="N504" s="46" t="str">
        <f>IFERROR(__xludf.DUMMYFUNCTION("""COMPUTED_VALUE"""),"")</f>
        <v/>
      </c>
      <c r="O504" s="48"/>
      <c r="P504" s="52" t="str">
        <f>IFERROR(__xludf.DUMMYFUNCTION("""COMPUTED_VALUE"""),"")</f>
        <v/>
      </c>
    </row>
    <row r="505">
      <c r="A505" s="48" t="str">
        <f>IFERROR(__xludf.DUMMYFUNCTION("""COMPUTED_VALUE"""),"")</f>
        <v/>
      </c>
      <c r="B505" s="48"/>
      <c r="C505" s="49"/>
      <c r="D505" s="46"/>
      <c r="E505" s="46"/>
      <c r="F505" s="46"/>
      <c r="G505" s="46"/>
      <c r="H505" s="46"/>
      <c r="I505" s="50"/>
      <c r="J505" s="50"/>
      <c r="K505" s="51" t="str">
        <f>IFERROR(__xludf.DUMMYFUNCTION("""COMPUTED_VALUE"""),"")</f>
        <v/>
      </c>
      <c r="L505" s="46" t="str">
        <f>IFERROR(__xludf.DUMMYFUNCTION("""COMPUTED_VALUE"""),"")</f>
        <v/>
      </c>
      <c r="M505" s="46" t="str">
        <f>IFERROR(__xludf.DUMMYFUNCTION("""COMPUTED_VALUE"""),"")</f>
        <v/>
      </c>
      <c r="N505" s="46" t="str">
        <f>IFERROR(__xludf.DUMMYFUNCTION("""COMPUTED_VALUE"""),"")</f>
        <v/>
      </c>
      <c r="O505" s="48"/>
      <c r="P505" s="52" t="str">
        <f>IFERROR(__xludf.DUMMYFUNCTION("""COMPUTED_VALUE"""),"")</f>
        <v/>
      </c>
    </row>
    <row r="506">
      <c r="A506" s="48" t="str">
        <f>IFERROR(__xludf.DUMMYFUNCTION("""COMPUTED_VALUE"""),"")</f>
        <v/>
      </c>
      <c r="B506" s="48"/>
      <c r="C506" s="49"/>
      <c r="D506" s="46"/>
      <c r="E506" s="46"/>
      <c r="F506" s="46"/>
      <c r="G506" s="46"/>
      <c r="H506" s="46"/>
      <c r="I506" s="50"/>
      <c r="J506" s="50"/>
      <c r="K506" s="51" t="str">
        <f>IFERROR(__xludf.DUMMYFUNCTION("""COMPUTED_VALUE"""),"")</f>
        <v/>
      </c>
      <c r="L506" s="46" t="str">
        <f>IFERROR(__xludf.DUMMYFUNCTION("""COMPUTED_VALUE"""),"")</f>
        <v/>
      </c>
      <c r="M506" s="46" t="str">
        <f>IFERROR(__xludf.DUMMYFUNCTION("""COMPUTED_VALUE"""),"")</f>
        <v/>
      </c>
      <c r="N506" s="46" t="str">
        <f>IFERROR(__xludf.DUMMYFUNCTION("""COMPUTED_VALUE"""),"")</f>
        <v/>
      </c>
      <c r="O506" s="48"/>
      <c r="P506" s="52" t="str">
        <f>IFERROR(__xludf.DUMMYFUNCTION("""COMPUTED_VALUE"""),"")</f>
        <v/>
      </c>
    </row>
    <row r="507">
      <c r="A507" s="48" t="str">
        <f>IFERROR(__xludf.DUMMYFUNCTION("""COMPUTED_VALUE"""),"")</f>
        <v/>
      </c>
      <c r="B507" s="48"/>
      <c r="C507" s="49"/>
      <c r="D507" s="46"/>
      <c r="E507" s="46"/>
      <c r="F507" s="46"/>
      <c r="G507" s="46"/>
      <c r="H507" s="46"/>
      <c r="I507" s="50"/>
      <c r="J507" s="50"/>
      <c r="K507" s="51" t="str">
        <f>IFERROR(__xludf.DUMMYFUNCTION("""COMPUTED_VALUE"""),"")</f>
        <v/>
      </c>
      <c r="L507" s="46" t="str">
        <f>IFERROR(__xludf.DUMMYFUNCTION("""COMPUTED_VALUE"""),"")</f>
        <v/>
      </c>
      <c r="M507" s="46" t="str">
        <f>IFERROR(__xludf.DUMMYFUNCTION("""COMPUTED_VALUE"""),"")</f>
        <v/>
      </c>
      <c r="N507" s="46" t="str">
        <f>IFERROR(__xludf.DUMMYFUNCTION("""COMPUTED_VALUE"""),"")</f>
        <v/>
      </c>
      <c r="O507" s="48"/>
      <c r="P507" s="52" t="str">
        <f>IFERROR(__xludf.DUMMYFUNCTION("""COMPUTED_VALUE"""),"")</f>
        <v/>
      </c>
    </row>
    <row r="508">
      <c r="A508" s="48" t="str">
        <f>IFERROR(__xludf.DUMMYFUNCTION("""COMPUTED_VALUE"""),"")</f>
        <v/>
      </c>
      <c r="B508" s="48"/>
      <c r="C508" s="49"/>
      <c r="D508" s="46"/>
      <c r="E508" s="46"/>
      <c r="F508" s="46"/>
      <c r="G508" s="46"/>
      <c r="H508" s="46"/>
      <c r="I508" s="50"/>
      <c r="J508" s="50"/>
      <c r="K508" s="51" t="str">
        <f>IFERROR(__xludf.DUMMYFUNCTION("""COMPUTED_VALUE"""),"")</f>
        <v/>
      </c>
      <c r="L508" s="46" t="str">
        <f>IFERROR(__xludf.DUMMYFUNCTION("""COMPUTED_VALUE"""),"")</f>
        <v/>
      </c>
      <c r="M508" s="46" t="str">
        <f>IFERROR(__xludf.DUMMYFUNCTION("""COMPUTED_VALUE"""),"")</f>
        <v/>
      </c>
      <c r="N508" s="46" t="str">
        <f>IFERROR(__xludf.DUMMYFUNCTION("""COMPUTED_VALUE"""),"")</f>
        <v/>
      </c>
      <c r="O508" s="48"/>
      <c r="P508" s="52" t="str">
        <f>IFERROR(__xludf.DUMMYFUNCTION("""COMPUTED_VALUE"""),"")</f>
        <v/>
      </c>
    </row>
    <row r="509">
      <c r="A509" s="48" t="str">
        <f>IFERROR(__xludf.DUMMYFUNCTION("""COMPUTED_VALUE"""),"")</f>
        <v/>
      </c>
      <c r="B509" s="48"/>
      <c r="C509" s="49"/>
      <c r="D509" s="46"/>
      <c r="E509" s="46"/>
      <c r="F509" s="46"/>
      <c r="G509" s="46"/>
      <c r="H509" s="46"/>
      <c r="I509" s="50"/>
      <c r="J509" s="50"/>
      <c r="K509" s="51" t="str">
        <f>IFERROR(__xludf.DUMMYFUNCTION("""COMPUTED_VALUE"""),"")</f>
        <v/>
      </c>
      <c r="L509" s="46" t="str">
        <f>IFERROR(__xludf.DUMMYFUNCTION("""COMPUTED_VALUE"""),"")</f>
        <v/>
      </c>
      <c r="M509" s="46" t="str">
        <f>IFERROR(__xludf.DUMMYFUNCTION("""COMPUTED_VALUE"""),"")</f>
        <v/>
      </c>
      <c r="N509" s="46" t="str">
        <f>IFERROR(__xludf.DUMMYFUNCTION("""COMPUTED_VALUE"""),"")</f>
        <v/>
      </c>
      <c r="O509" s="48"/>
      <c r="P509" s="52" t="str">
        <f>IFERROR(__xludf.DUMMYFUNCTION("""COMPUTED_VALUE"""),"")</f>
        <v/>
      </c>
    </row>
    <row r="510">
      <c r="A510" s="48" t="str">
        <f>IFERROR(__xludf.DUMMYFUNCTION("""COMPUTED_VALUE"""),"")</f>
        <v/>
      </c>
      <c r="B510" s="48"/>
      <c r="C510" s="49"/>
      <c r="D510" s="46"/>
      <c r="E510" s="46"/>
      <c r="F510" s="46"/>
      <c r="G510" s="46"/>
      <c r="H510" s="46"/>
      <c r="I510" s="50"/>
      <c r="J510" s="50"/>
      <c r="K510" s="51" t="str">
        <f>IFERROR(__xludf.DUMMYFUNCTION("""COMPUTED_VALUE"""),"")</f>
        <v/>
      </c>
      <c r="L510" s="46" t="str">
        <f>IFERROR(__xludf.DUMMYFUNCTION("""COMPUTED_VALUE"""),"")</f>
        <v/>
      </c>
      <c r="M510" s="46" t="str">
        <f>IFERROR(__xludf.DUMMYFUNCTION("""COMPUTED_VALUE"""),"")</f>
        <v/>
      </c>
      <c r="N510" s="46" t="str">
        <f>IFERROR(__xludf.DUMMYFUNCTION("""COMPUTED_VALUE"""),"")</f>
        <v/>
      </c>
      <c r="O510" s="48"/>
      <c r="P510" s="52" t="str">
        <f>IFERROR(__xludf.DUMMYFUNCTION("""COMPUTED_VALUE"""),"")</f>
        <v/>
      </c>
    </row>
    <row r="511">
      <c r="A511" s="48" t="str">
        <f>IFERROR(__xludf.DUMMYFUNCTION("""COMPUTED_VALUE"""),"")</f>
        <v/>
      </c>
      <c r="B511" s="48"/>
      <c r="C511" s="49"/>
      <c r="D511" s="46"/>
      <c r="E511" s="46"/>
      <c r="F511" s="46"/>
      <c r="G511" s="46"/>
      <c r="H511" s="46"/>
      <c r="I511" s="50"/>
      <c r="J511" s="50"/>
      <c r="K511" s="51" t="str">
        <f>IFERROR(__xludf.DUMMYFUNCTION("""COMPUTED_VALUE"""),"")</f>
        <v/>
      </c>
      <c r="L511" s="46" t="str">
        <f>IFERROR(__xludf.DUMMYFUNCTION("""COMPUTED_VALUE"""),"")</f>
        <v/>
      </c>
      <c r="M511" s="46" t="str">
        <f>IFERROR(__xludf.DUMMYFUNCTION("""COMPUTED_VALUE"""),"")</f>
        <v/>
      </c>
      <c r="N511" s="46" t="str">
        <f>IFERROR(__xludf.DUMMYFUNCTION("""COMPUTED_VALUE"""),"")</f>
        <v/>
      </c>
      <c r="O511" s="48"/>
      <c r="P511" s="52" t="str">
        <f>IFERROR(__xludf.DUMMYFUNCTION("""COMPUTED_VALUE"""),"")</f>
        <v/>
      </c>
    </row>
    <row r="512">
      <c r="A512" s="48" t="str">
        <f>IFERROR(__xludf.DUMMYFUNCTION("""COMPUTED_VALUE"""),"")</f>
        <v/>
      </c>
      <c r="B512" s="48"/>
      <c r="C512" s="49"/>
      <c r="D512" s="46"/>
      <c r="E512" s="46"/>
      <c r="F512" s="46"/>
      <c r="G512" s="46"/>
      <c r="H512" s="46"/>
      <c r="I512" s="50"/>
      <c r="J512" s="50"/>
      <c r="K512" s="51" t="str">
        <f>IFERROR(__xludf.DUMMYFUNCTION("""COMPUTED_VALUE"""),"")</f>
        <v/>
      </c>
      <c r="L512" s="46" t="str">
        <f>IFERROR(__xludf.DUMMYFUNCTION("""COMPUTED_VALUE"""),"")</f>
        <v/>
      </c>
      <c r="M512" s="46" t="str">
        <f>IFERROR(__xludf.DUMMYFUNCTION("""COMPUTED_VALUE"""),"")</f>
        <v/>
      </c>
      <c r="N512" s="46" t="str">
        <f>IFERROR(__xludf.DUMMYFUNCTION("""COMPUTED_VALUE"""),"")</f>
        <v/>
      </c>
      <c r="O512" s="48"/>
      <c r="P512" s="52" t="str">
        <f>IFERROR(__xludf.DUMMYFUNCTION("""COMPUTED_VALUE"""),"")</f>
        <v/>
      </c>
    </row>
    <row r="513">
      <c r="A513" s="48" t="str">
        <f>IFERROR(__xludf.DUMMYFUNCTION("""COMPUTED_VALUE"""),"")</f>
        <v/>
      </c>
      <c r="B513" s="48"/>
      <c r="C513" s="49"/>
      <c r="D513" s="46"/>
      <c r="E513" s="46"/>
      <c r="F513" s="46"/>
      <c r="G513" s="46"/>
      <c r="H513" s="46"/>
      <c r="I513" s="50"/>
      <c r="J513" s="50"/>
      <c r="K513" s="51" t="str">
        <f>IFERROR(__xludf.DUMMYFUNCTION("""COMPUTED_VALUE"""),"")</f>
        <v/>
      </c>
      <c r="L513" s="46" t="str">
        <f>IFERROR(__xludf.DUMMYFUNCTION("""COMPUTED_VALUE"""),"")</f>
        <v/>
      </c>
      <c r="M513" s="46" t="str">
        <f>IFERROR(__xludf.DUMMYFUNCTION("""COMPUTED_VALUE"""),"")</f>
        <v/>
      </c>
      <c r="N513" s="46" t="str">
        <f>IFERROR(__xludf.DUMMYFUNCTION("""COMPUTED_VALUE"""),"")</f>
        <v/>
      </c>
      <c r="O513" s="48"/>
      <c r="P513" s="52" t="str">
        <f>IFERROR(__xludf.DUMMYFUNCTION("""COMPUTED_VALUE"""),"")</f>
        <v/>
      </c>
    </row>
    <row r="514">
      <c r="A514" s="48" t="str">
        <f>IFERROR(__xludf.DUMMYFUNCTION("""COMPUTED_VALUE"""),"")</f>
        <v/>
      </c>
      <c r="B514" s="48"/>
      <c r="C514" s="49"/>
      <c r="D514" s="46"/>
      <c r="E514" s="46"/>
      <c r="F514" s="46"/>
      <c r="G514" s="46"/>
      <c r="H514" s="46"/>
      <c r="I514" s="50"/>
      <c r="J514" s="50"/>
      <c r="K514" s="51" t="str">
        <f>IFERROR(__xludf.DUMMYFUNCTION("""COMPUTED_VALUE"""),"")</f>
        <v/>
      </c>
      <c r="L514" s="46" t="str">
        <f>IFERROR(__xludf.DUMMYFUNCTION("""COMPUTED_VALUE"""),"")</f>
        <v/>
      </c>
      <c r="M514" s="46" t="str">
        <f>IFERROR(__xludf.DUMMYFUNCTION("""COMPUTED_VALUE"""),"")</f>
        <v/>
      </c>
      <c r="N514" s="46" t="str">
        <f>IFERROR(__xludf.DUMMYFUNCTION("""COMPUTED_VALUE"""),"")</f>
        <v/>
      </c>
      <c r="O514" s="48"/>
      <c r="P514" s="52" t="str">
        <f>IFERROR(__xludf.DUMMYFUNCTION("""COMPUTED_VALUE"""),"")</f>
        <v/>
      </c>
    </row>
    <row r="515">
      <c r="A515" s="48" t="str">
        <f>IFERROR(__xludf.DUMMYFUNCTION("""COMPUTED_VALUE"""),"")</f>
        <v/>
      </c>
      <c r="B515" s="48"/>
      <c r="C515" s="49"/>
      <c r="D515" s="46"/>
      <c r="E515" s="46"/>
      <c r="F515" s="46"/>
      <c r="G515" s="46"/>
      <c r="H515" s="46"/>
      <c r="I515" s="50"/>
      <c r="J515" s="50"/>
      <c r="K515" s="51" t="str">
        <f>IFERROR(__xludf.DUMMYFUNCTION("""COMPUTED_VALUE"""),"")</f>
        <v/>
      </c>
      <c r="L515" s="46" t="str">
        <f>IFERROR(__xludf.DUMMYFUNCTION("""COMPUTED_VALUE"""),"")</f>
        <v/>
      </c>
      <c r="M515" s="46" t="str">
        <f>IFERROR(__xludf.DUMMYFUNCTION("""COMPUTED_VALUE"""),"")</f>
        <v/>
      </c>
      <c r="N515" s="46" t="str">
        <f>IFERROR(__xludf.DUMMYFUNCTION("""COMPUTED_VALUE"""),"")</f>
        <v/>
      </c>
      <c r="O515" s="48"/>
      <c r="P515" s="52" t="str">
        <f>IFERROR(__xludf.DUMMYFUNCTION("""COMPUTED_VALUE"""),"")</f>
        <v/>
      </c>
    </row>
    <row r="516">
      <c r="A516" s="48" t="str">
        <f>IFERROR(__xludf.DUMMYFUNCTION("""COMPUTED_VALUE"""),"")</f>
        <v/>
      </c>
      <c r="B516" s="48"/>
      <c r="C516" s="49"/>
      <c r="D516" s="46"/>
      <c r="E516" s="46"/>
      <c r="F516" s="46"/>
      <c r="G516" s="46"/>
      <c r="H516" s="46"/>
      <c r="I516" s="50"/>
      <c r="J516" s="50"/>
      <c r="K516" s="51" t="str">
        <f>IFERROR(__xludf.DUMMYFUNCTION("""COMPUTED_VALUE"""),"")</f>
        <v/>
      </c>
      <c r="L516" s="46" t="str">
        <f>IFERROR(__xludf.DUMMYFUNCTION("""COMPUTED_VALUE"""),"")</f>
        <v/>
      </c>
      <c r="M516" s="46" t="str">
        <f>IFERROR(__xludf.DUMMYFUNCTION("""COMPUTED_VALUE"""),"")</f>
        <v/>
      </c>
      <c r="N516" s="46" t="str">
        <f>IFERROR(__xludf.DUMMYFUNCTION("""COMPUTED_VALUE"""),"")</f>
        <v/>
      </c>
      <c r="O516" s="48"/>
      <c r="P516" s="52" t="str">
        <f>IFERROR(__xludf.DUMMYFUNCTION("""COMPUTED_VALUE"""),"")</f>
        <v/>
      </c>
    </row>
    <row r="517">
      <c r="A517" s="48" t="str">
        <f>IFERROR(__xludf.DUMMYFUNCTION("""COMPUTED_VALUE"""),"")</f>
        <v/>
      </c>
      <c r="B517" s="48"/>
      <c r="C517" s="49"/>
      <c r="D517" s="46"/>
      <c r="E517" s="46"/>
      <c r="F517" s="46"/>
      <c r="G517" s="46"/>
      <c r="H517" s="46"/>
      <c r="I517" s="50"/>
      <c r="J517" s="50"/>
      <c r="K517" s="51" t="str">
        <f>IFERROR(__xludf.DUMMYFUNCTION("""COMPUTED_VALUE"""),"")</f>
        <v/>
      </c>
      <c r="L517" s="46" t="str">
        <f>IFERROR(__xludf.DUMMYFUNCTION("""COMPUTED_VALUE"""),"")</f>
        <v/>
      </c>
      <c r="M517" s="46" t="str">
        <f>IFERROR(__xludf.DUMMYFUNCTION("""COMPUTED_VALUE"""),"")</f>
        <v/>
      </c>
      <c r="N517" s="46" t="str">
        <f>IFERROR(__xludf.DUMMYFUNCTION("""COMPUTED_VALUE"""),"")</f>
        <v/>
      </c>
      <c r="O517" s="48"/>
      <c r="P517" s="52" t="str">
        <f>IFERROR(__xludf.DUMMYFUNCTION("""COMPUTED_VALUE"""),"")</f>
        <v/>
      </c>
    </row>
    <row r="518">
      <c r="A518" s="48" t="str">
        <f>IFERROR(__xludf.DUMMYFUNCTION("""COMPUTED_VALUE"""),"")</f>
        <v/>
      </c>
      <c r="B518" s="48"/>
      <c r="C518" s="49"/>
      <c r="D518" s="46"/>
      <c r="E518" s="46"/>
      <c r="F518" s="46"/>
      <c r="G518" s="46"/>
      <c r="H518" s="46"/>
      <c r="I518" s="50"/>
      <c r="J518" s="50"/>
      <c r="K518" s="51" t="str">
        <f>IFERROR(__xludf.DUMMYFUNCTION("""COMPUTED_VALUE"""),"")</f>
        <v/>
      </c>
      <c r="L518" s="46" t="str">
        <f>IFERROR(__xludf.DUMMYFUNCTION("""COMPUTED_VALUE"""),"")</f>
        <v/>
      </c>
      <c r="M518" s="46" t="str">
        <f>IFERROR(__xludf.DUMMYFUNCTION("""COMPUTED_VALUE"""),"")</f>
        <v/>
      </c>
      <c r="N518" s="46" t="str">
        <f>IFERROR(__xludf.DUMMYFUNCTION("""COMPUTED_VALUE"""),"")</f>
        <v/>
      </c>
      <c r="O518" s="48"/>
      <c r="P518" s="52" t="str">
        <f>IFERROR(__xludf.DUMMYFUNCTION("""COMPUTED_VALUE"""),"")</f>
        <v/>
      </c>
    </row>
    <row r="519">
      <c r="A519" s="48" t="str">
        <f>IFERROR(__xludf.DUMMYFUNCTION("""COMPUTED_VALUE"""),"")</f>
        <v/>
      </c>
      <c r="B519" s="48"/>
      <c r="C519" s="49"/>
      <c r="D519" s="46"/>
      <c r="E519" s="46"/>
      <c r="F519" s="46"/>
      <c r="G519" s="46"/>
      <c r="H519" s="46"/>
      <c r="I519" s="50"/>
      <c r="J519" s="50"/>
      <c r="K519" s="51" t="str">
        <f>IFERROR(__xludf.DUMMYFUNCTION("""COMPUTED_VALUE"""),"")</f>
        <v/>
      </c>
      <c r="L519" s="46" t="str">
        <f>IFERROR(__xludf.DUMMYFUNCTION("""COMPUTED_VALUE"""),"")</f>
        <v/>
      </c>
      <c r="M519" s="46" t="str">
        <f>IFERROR(__xludf.DUMMYFUNCTION("""COMPUTED_VALUE"""),"")</f>
        <v/>
      </c>
      <c r="N519" s="46" t="str">
        <f>IFERROR(__xludf.DUMMYFUNCTION("""COMPUTED_VALUE"""),"")</f>
        <v/>
      </c>
      <c r="O519" s="48"/>
      <c r="P519" s="52" t="str">
        <f>IFERROR(__xludf.DUMMYFUNCTION("""COMPUTED_VALUE"""),"")</f>
        <v/>
      </c>
    </row>
    <row r="520">
      <c r="A520" s="48" t="str">
        <f>IFERROR(__xludf.DUMMYFUNCTION("""COMPUTED_VALUE"""),"")</f>
        <v/>
      </c>
      <c r="B520" s="48"/>
      <c r="C520" s="49"/>
      <c r="D520" s="46"/>
      <c r="E520" s="46"/>
      <c r="F520" s="46"/>
      <c r="G520" s="46"/>
      <c r="H520" s="46"/>
      <c r="I520" s="50"/>
      <c r="J520" s="50"/>
      <c r="K520" s="51" t="str">
        <f>IFERROR(__xludf.DUMMYFUNCTION("""COMPUTED_VALUE"""),"")</f>
        <v/>
      </c>
      <c r="L520" s="46" t="str">
        <f>IFERROR(__xludf.DUMMYFUNCTION("""COMPUTED_VALUE"""),"")</f>
        <v/>
      </c>
      <c r="M520" s="46" t="str">
        <f>IFERROR(__xludf.DUMMYFUNCTION("""COMPUTED_VALUE"""),"")</f>
        <v/>
      </c>
      <c r="N520" s="46" t="str">
        <f>IFERROR(__xludf.DUMMYFUNCTION("""COMPUTED_VALUE"""),"")</f>
        <v/>
      </c>
      <c r="O520" s="48"/>
      <c r="P520" s="52" t="str">
        <f>IFERROR(__xludf.DUMMYFUNCTION("""COMPUTED_VALUE"""),"")</f>
        <v/>
      </c>
    </row>
    <row r="521">
      <c r="A521" s="48" t="str">
        <f>IFERROR(__xludf.DUMMYFUNCTION("""COMPUTED_VALUE"""),"")</f>
        <v/>
      </c>
      <c r="B521" s="48"/>
      <c r="C521" s="49"/>
      <c r="D521" s="46"/>
      <c r="E521" s="46"/>
      <c r="F521" s="46"/>
      <c r="G521" s="46"/>
      <c r="H521" s="46"/>
      <c r="I521" s="50"/>
      <c r="J521" s="50"/>
      <c r="K521" s="51" t="str">
        <f>IFERROR(__xludf.DUMMYFUNCTION("""COMPUTED_VALUE"""),"")</f>
        <v/>
      </c>
      <c r="L521" s="46" t="str">
        <f>IFERROR(__xludf.DUMMYFUNCTION("""COMPUTED_VALUE"""),"")</f>
        <v/>
      </c>
      <c r="M521" s="46" t="str">
        <f>IFERROR(__xludf.DUMMYFUNCTION("""COMPUTED_VALUE"""),"")</f>
        <v/>
      </c>
      <c r="N521" s="46" t="str">
        <f>IFERROR(__xludf.DUMMYFUNCTION("""COMPUTED_VALUE"""),"")</f>
        <v/>
      </c>
      <c r="O521" s="48"/>
      <c r="P521" s="52" t="str">
        <f>IFERROR(__xludf.DUMMYFUNCTION("""COMPUTED_VALUE"""),"")</f>
        <v/>
      </c>
    </row>
    <row r="522">
      <c r="A522" s="48" t="str">
        <f>IFERROR(__xludf.DUMMYFUNCTION("""COMPUTED_VALUE"""),"")</f>
        <v/>
      </c>
      <c r="B522" s="48"/>
      <c r="C522" s="49"/>
      <c r="D522" s="46"/>
      <c r="E522" s="46"/>
      <c r="F522" s="46"/>
      <c r="G522" s="46"/>
      <c r="H522" s="46"/>
      <c r="I522" s="50"/>
      <c r="J522" s="50"/>
      <c r="K522" s="51" t="str">
        <f>IFERROR(__xludf.DUMMYFUNCTION("""COMPUTED_VALUE"""),"")</f>
        <v/>
      </c>
      <c r="L522" s="46" t="str">
        <f>IFERROR(__xludf.DUMMYFUNCTION("""COMPUTED_VALUE"""),"")</f>
        <v/>
      </c>
      <c r="M522" s="46" t="str">
        <f>IFERROR(__xludf.DUMMYFUNCTION("""COMPUTED_VALUE"""),"")</f>
        <v/>
      </c>
      <c r="N522" s="46" t="str">
        <f>IFERROR(__xludf.DUMMYFUNCTION("""COMPUTED_VALUE"""),"")</f>
        <v/>
      </c>
      <c r="O522" s="48"/>
      <c r="P522" s="52" t="str">
        <f>IFERROR(__xludf.DUMMYFUNCTION("""COMPUTED_VALUE"""),"")</f>
        <v/>
      </c>
    </row>
    <row r="523">
      <c r="A523" s="48" t="str">
        <f>IFERROR(__xludf.DUMMYFUNCTION("""COMPUTED_VALUE"""),"")</f>
        <v/>
      </c>
      <c r="B523" s="48"/>
      <c r="C523" s="49"/>
      <c r="D523" s="46"/>
      <c r="E523" s="46"/>
      <c r="F523" s="46"/>
      <c r="G523" s="46"/>
      <c r="H523" s="46"/>
      <c r="I523" s="50"/>
      <c r="J523" s="50"/>
      <c r="K523" s="51" t="str">
        <f>IFERROR(__xludf.DUMMYFUNCTION("""COMPUTED_VALUE"""),"")</f>
        <v/>
      </c>
      <c r="L523" s="46" t="str">
        <f>IFERROR(__xludf.DUMMYFUNCTION("""COMPUTED_VALUE"""),"")</f>
        <v/>
      </c>
      <c r="M523" s="46" t="str">
        <f>IFERROR(__xludf.DUMMYFUNCTION("""COMPUTED_VALUE"""),"")</f>
        <v/>
      </c>
      <c r="N523" s="46" t="str">
        <f>IFERROR(__xludf.DUMMYFUNCTION("""COMPUTED_VALUE"""),"")</f>
        <v/>
      </c>
      <c r="O523" s="48"/>
      <c r="P523" s="52" t="str">
        <f>IFERROR(__xludf.DUMMYFUNCTION("""COMPUTED_VALUE"""),"")</f>
        <v/>
      </c>
    </row>
    <row r="524">
      <c r="A524" s="48" t="str">
        <f>IFERROR(__xludf.DUMMYFUNCTION("""COMPUTED_VALUE"""),"")</f>
        <v/>
      </c>
      <c r="B524" s="48"/>
      <c r="C524" s="49"/>
      <c r="D524" s="46"/>
      <c r="E524" s="46"/>
      <c r="F524" s="46"/>
      <c r="G524" s="46"/>
      <c r="H524" s="46"/>
      <c r="I524" s="50"/>
      <c r="J524" s="50"/>
      <c r="K524" s="51" t="str">
        <f>IFERROR(__xludf.DUMMYFUNCTION("""COMPUTED_VALUE"""),"")</f>
        <v/>
      </c>
      <c r="L524" s="46" t="str">
        <f>IFERROR(__xludf.DUMMYFUNCTION("""COMPUTED_VALUE"""),"")</f>
        <v/>
      </c>
      <c r="M524" s="46" t="str">
        <f>IFERROR(__xludf.DUMMYFUNCTION("""COMPUTED_VALUE"""),"")</f>
        <v/>
      </c>
      <c r="N524" s="46" t="str">
        <f>IFERROR(__xludf.DUMMYFUNCTION("""COMPUTED_VALUE"""),"")</f>
        <v/>
      </c>
      <c r="O524" s="48"/>
      <c r="P524" s="52" t="str">
        <f>IFERROR(__xludf.DUMMYFUNCTION("""COMPUTED_VALUE"""),"")</f>
        <v/>
      </c>
    </row>
    <row r="525">
      <c r="A525" s="48" t="str">
        <f>IFERROR(__xludf.DUMMYFUNCTION("""COMPUTED_VALUE"""),"")</f>
        <v/>
      </c>
      <c r="B525" s="48"/>
      <c r="C525" s="49"/>
      <c r="D525" s="46"/>
      <c r="E525" s="46"/>
      <c r="F525" s="46"/>
      <c r="G525" s="46"/>
      <c r="H525" s="46"/>
      <c r="I525" s="50"/>
      <c r="J525" s="50"/>
      <c r="K525" s="51" t="str">
        <f>IFERROR(__xludf.DUMMYFUNCTION("""COMPUTED_VALUE"""),"")</f>
        <v/>
      </c>
      <c r="L525" s="46" t="str">
        <f>IFERROR(__xludf.DUMMYFUNCTION("""COMPUTED_VALUE"""),"")</f>
        <v/>
      </c>
      <c r="M525" s="46" t="str">
        <f>IFERROR(__xludf.DUMMYFUNCTION("""COMPUTED_VALUE"""),"")</f>
        <v/>
      </c>
      <c r="N525" s="46" t="str">
        <f>IFERROR(__xludf.DUMMYFUNCTION("""COMPUTED_VALUE"""),"")</f>
        <v/>
      </c>
      <c r="O525" s="48"/>
      <c r="P525" s="52" t="str">
        <f>IFERROR(__xludf.DUMMYFUNCTION("""COMPUTED_VALUE"""),"")</f>
        <v/>
      </c>
    </row>
    <row r="526">
      <c r="A526" s="48" t="str">
        <f>IFERROR(__xludf.DUMMYFUNCTION("""COMPUTED_VALUE"""),"")</f>
        <v/>
      </c>
      <c r="B526" s="48"/>
      <c r="C526" s="49"/>
      <c r="D526" s="46"/>
      <c r="E526" s="46"/>
      <c r="F526" s="46"/>
      <c r="G526" s="46"/>
      <c r="H526" s="46"/>
      <c r="I526" s="50"/>
      <c r="J526" s="50"/>
      <c r="K526" s="51" t="str">
        <f>IFERROR(__xludf.DUMMYFUNCTION("""COMPUTED_VALUE"""),"")</f>
        <v/>
      </c>
      <c r="L526" s="46" t="str">
        <f>IFERROR(__xludf.DUMMYFUNCTION("""COMPUTED_VALUE"""),"")</f>
        <v/>
      </c>
      <c r="M526" s="46" t="str">
        <f>IFERROR(__xludf.DUMMYFUNCTION("""COMPUTED_VALUE"""),"")</f>
        <v/>
      </c>
      <c r="N526" s="46" t="str">
        <f>IFERROR(__xludf.DUMMYFUNCTION("""COMPUTED_VALUE"""),"")</f>
        <v/>
      </c>
      <c r="O526" s="48"/>
      <c r="P526" s="52" t="str">
        <f>IFERROR(__xludf.DUMMYFUNCTION("""COMPUTED_VALUE"""),"")</f>
        <v/>
      </c>
    </row>
    <row r="527">
      <c r="A527" s="48" t="str">
        <f>IFERROR(__xludf.DUMMYFUNCTION("""COMPUTED_VALUE"""),"")</f>
        <v/>
      </c>
      <c r="B527" s="48"/>
      <c r="C527" s="49"/>
      <c r="D527" s="46"/>
      <c r="E527" s="46"/>
      <c r="F527" s="46"/>
      <c r="G527" s="46"/>
      <c r="H527" s="46"/>
      <c r="I527" s="50"/>
      <c r="J527" s="50"/>
      <c r="K527" s="51" t="str">
        <f>IFERROR(__xludf.DUMMYFUNCTION("""COMPUTED_VALUE"""),"")</f>
        <v/>
      </c>
      <c r="L527" s="46" t="str">
        <f>IFERROR(__xludf.DUMMYFUNCTION("""COMPUTED_VALUE"""),"")</f>
        <v/>
      </c>
      <c r="M527" s="46" t="str">
        <f>IFERROR(__xludf.DUMMYFUNCTION("""COMPUTED_VALUE"""),"")</f>
        <v/>
      </c>
      <c r="N527" s="46" t="str">
        <f>IFERROR(__xludf.DUMMYFUNCTION("""COMPUTED_VALUE"""),"")</f>
        <v/>
      </c>
      <c r="O527" s="48"/>
      <c r="P527" s="52" t="str">
        <f>IFERROR(__xludf.DUMMYFUNCTION("""COMPUTED_VALUE"""),"")</f>
        <v/>
      </c>
    </row>
    <row r="528">
      <c r="A528" s="48" t="str">
        <f>IFERROR(__xludf.DUMMYFUNCTION("""COMPUTED_VALUE"""),"")</f>
        <v/>
      </c>
      <c r="B528" s="48"/>
      <c r="C528" s="49"/>
      <c r="D528" s="46"/>
      <c r="E528" s="46"/>
      <c r="F528" s="46"/>
      <c r="G528" s="46"/>
      <c r="H528" s="46"/>
      <c r="I528" s="50"/>
      <c r="J528" s="50"/>
      <c r="K528" s="51" t="str">
        <f>IFERROR(__xludf.DUMMYFUNCTION("""COMPUTED_VALUE"""),"")</f>
        <v/>
      </c>
      <c r="L528" s="46" t="str">
        <f>IFERROR(__xludf.DUMMYFUNCTION("""COMPUTED_VALUE"""),"")</f>
        <v/>
      </c>
      <c r="M528" s="46" t="str">
        <f>IFERROR(__xludf.DUMMYFUNCTION("""COMPUTED_VALUE"""),"")</f>
        <v/>
      </c>
      <c r="N528" s="46" t="str">
        <f>IFERROR(__xludf.DUMMYFUNCTION("""COMPUTED_VALUE"""),"")</f>
        <v/>
      </c>
      <c r="O528" s="48"/>
      <c r="P528" s="52" t="str">
        <f>IFERROR(__xludf.DUMMYFUNCTION("""COMPUTED_VALUE"""),"")</f>
        <v/>
      </c>
    </row>
    <row r="529">
      <c r="A529" s="48" t="str">
        <f>IFERROR(__xludf.DUMMYFUNCTION("""COMPUTED_VALUE"""),"")</f>
        <v/>
      </c>
      <c r="B529" s="48"/>
      <c r="C529" s="49"/>
      <c r="D529" s="46"/>
      <c r="E529" s="46"/>
      <c r="F529" s="46"/>
      <c r="G529" s="46"/>
      <c r="H529" s="46"/>
      <c r="I529" s="50"/>
      <c r="J529" s="50"/>
      <c r="K529" s="51" t="str">
        <f>IFERROR(__xludf.DUMMYFUNCTION("""COMPUTED_VALUE"""),"")</f>
        <v/>
      </c>
      <c r="L529" s="46" t="str">
        <f>IFERROR(__xludf.DUMMYFUNCTION("""COMPUTED_VALUE"""),"")</f>
        <v/>
      </c>
      <c r="M529" s="46" t="str">
        <f>IFERROR(__xludf.DUMMYFUNCTION("""COMPUTED_VALUE"""),"")</f>
        <v/>
      </c>
      <c r="N529" s="46" t="str">
        <f>IFERROR(__xludf.DUMMYFUNCTION("""COMPUTED_VALUE"""),"")</f>
        <v/>
      </c>
      <c r="O529" s="48"/>
      <c r="P529" s="52" t="str">
        <f>IFERROR(__xludf.DUMMYFUNCTION("""COMPUTED_VALUE"""),"")</f>
        <v/>
      </c>
    </row>
    <row r="530">
      <c r="A530" s="48" t="str">
        <f>IFERROR(__xludf.DUMMYFUNCTION("""COMPUTED_VALUE"""),"")</f>
        <v/>
      </c>
      <c r="B530" s="48"/>
      <c r="C530" s="49"/>
      <c r="D530" s="46"/>
      <c r="E530" s="46"/>
      <c r="F530" s="46"/>
      <c r="G530" s="46"/>
      <c r="H530" s="46"/>
      <c r="I530" s="50"/>
      <c r="J530" s="50"/>
      <c r="K530" s="51" t="str">
        <f>IFERROR(__xludf.DUMMYFUNCTION("""COMPUTED_VALUE"""),"")</f>
        <v/>
      </c>
      <c r="L530" s="46" t="str">
        <f>IFERROR(__xludf.DUMMYFUNCTION("""COMPUTED_VALUE"""),"")</f>
        <v/>
      </c>
      <c r="M530" s="46" t="str">
        <f>IFERROR(__xludf.DUMMYFUNCTION("""COMPUTED_VALUE"""),"")</f>
        <v/>
      </c>
      <c r="N530" s="46" t="str">
        <f>IFERROR(__xludf.DUMMYFUNCTION("""COMPUTED_VALUE"""),"")</f>
        <v/>
      </c>
      <c r="O530" s="48"/>
      <c r="P530" s="52" t="str">
        <f>IFERROR(__xludf.DUMMYFUNCTION("""COMPUTED_VALUE"""),"")</f>
        <v/>
      </c>
    </row>
    <row r="531">
      <c r="A531" s="48" t="str">
        <f>IFERROR(__xludf.DUMMYFUNCTION("""COMPUTED_VALUE"""),"")</f>
        <v/>
      </c>
      <c r="B531" s="48"/>
      <c r="C531" s="49"/>
      <c r="D531" s="46"/>
      <c r="E531" s="46"/>
      <c r="F531" s="46"/>
      <c r="G531" s="46"/>
      <c r="H531" s="46"/>
      <c r="I531" s="50"/>
      <c r="J531" s="50"/>
      <c r="K531" s="51" t="str">
        <f>IFERROR(__xludf.DUMMYFUNCTION("""COMPUTED_VALUE"""),"")</f>
        <v/>
      </c>
      <c r="L531" s="46" t="str">
        <f>IFERROR(__xludf.DUMMYFUNCTION("""COMPUTED_VALUE"""),"")</f>
        <v/>
      </c>
      <c r="M531" s="46" t="str">
        <f>IFERROR(__xludf.DUMMYFUNCTION("""COMPUTED_VALUE"""),"")</f>
        <v/>
      </c>
      <c r="N531" s="46" t="str">
        <f>IFERROR(__xludf.DUMMYFUNCTION("""COMPUTED_VALUE"""),"")</f>
        <v/>
      </c>
      <c r="O531" s="48"/>
      <c r="P531" s="52" t="str">
        <f>IFERROR(__xludf.DUMMYFUNCTION("""COMPUTED_VALUE"""),"")</f>
        <v/>
      </c>
    </row>
    <row r="532">
      <c r="A532" s="48" t="str">
        <f>IFERROR(__xludf.DUMMYFUNCTION("""COMPUTED_VALUE"""),"")</f>
        <v/>
      </c>
      <c r="B532" s="48"/>
      <c r="C532" s="49"/>
      <c r="D532" s="46"/>
      <c r="E532" s="46"/>
      <c r="F532" s="46"/>
      <c r="G532" s="46"/>
      <c r="H532" s="46"/>
      <c r="I532" s="50"/>
      <c r="J532" s="50"/>
      <c r="K532" s="51" t="str">
        <f>IFERROR(__xludf.DUMMYFUNCTION("""COMPUTED_VALUE"""),"")</f>
        <v/>
      </c>
      <c r="L532" s="46" t="str">
        <f>IFERROR(__xludf.DUMMYFUNCTION("""COMPUTED_VALUE"""),"")</f>
        <v/>
      </c>
      <c r="M532" s="46" t="str">
        <f>IFERROR(__xludf.DUMMYFUNCTION("""COMPUTED_VALUE"""),"")</f>
        <v/>
      </c>
      <c r="N532" s="46" t="str">
        <f>IFERROR(__xludf.DUMMYFUNCTION("""COMPUTED_VALUE"""),"")</f>
        <v/>
      </c>
      <c r="O532" s="48"/>
      <c r="P532" s="52" t="str">
        <f>IFERROR(__xludf.DUMMYFUNCTION("""COMPUTED_VALUE"""),"")</f>
        <v/>
      </c>
    </row>
    <row r="533">
      <c r="A533" s="48" t="str">
        <f>IFERROR(__xludf.DUMMYFUNCTION("""COMPUTED_VALUE"""),"")</f>
        <v/>
      </c>
      <c r="B533" s="48"/>
      <c r="C533" s="49"/>
      <c r="D533" s="46"/>
      <c r="E533" s="46"/>
      <c r="F533" s="46"/>
      <c r="G533" s="46"/>
      <c r="H533" s="46"/>
      <c r="I533" s="50"/>
      <c r="J533" s="50"/>
      <c r="K533" s="51" t="str">
        <f>IFERROR(__xludf.DUMMYFUNCTION("""COMPUTED_VALUE"""),"")</f>
        <v/>
      </c>
      <c r="L533" s="46" t="str">
        <f>IFERROR(__xludf.DUMMYFUNCTION("""COMPUTED_VALUE"""),"")</f>
        <v/>
      </c>
      <c r="M533" s="46" t="str">
        <f>IFERROR(__xludf.DUMMYFUNCTION("""COMPUTED_VALUE"""),"")</f>
        <v/>
      </c>
      <c r="N533" s="46" t="str">
        <f>IFERROR(__xludf.DUMMYFUNCTION("""COMPUTED_VALUE"""),"")</f>
        <v/>
      </c>
      <c r="O533" s="48"/>
      <c r="P533" s="52" t="str">
        <f>IFERROR(__xludf.DUMMYFUNCTION("""COMPUTED_VALUE"""),"")</f>
        <v/>
      </c>
    </row>
    <row r="534">
      <c r="A534" s="48" t="str">
        <f>IFERROR(__xludf.DUMMYFUNCTION("""COMPUTED_VALUE"""),"")</f>
        <v/>
      </c>
      <c r="B534" s="48"/>
      <c r="C534" s="49"/>
      <c r="D534" s="46"/>
      <c r="E534" s="46"/>
      <c r="F534" s="46"/>
      <c r="G534" s="46"/>
      <c r="H534" s="46"/>
      <c r="I534" s="50"/>
      <c r="J534" s="50"/>
      <c r="K534" s="51" t="str">
        <f>IFERROR(__xludf.DUMMYFUNCTION("""COMPUTED_VALUE"""),"")</f>
        <v/>
      </c>
      <c r="L534" s="46" t="str">
        <f>IFERROR(__xludf.DUMMYFUNCTION("""COMPUTED_VALUE"""),"")</f>
        <v/>
      </c>
      <c r="M534" s="46" t="str">
        <f>IFERROR(__xludf.DUMMYFUNCTION("""COMPUTED_VALUE"""),"")</f>
        <v/>
      </c>
      <c r="N534" s="46" t="str">
        <f>IFERROR(__xludf.DUMMYFUNCTION("""COMPUTED_VALUE"""),"")</f>
        <v/>
      </c>
      <c r="O534" s="48"/>
      <c r="P534" s="52" t="str">
        <f>IFERROR(__xludf.DUMMYFUNCTION("""COMPUTED_VALUE"""),"")</f>
        <v/>
      </c>
    </row>
    <row r="535">
      <c r="A535" s="48" t="str">
        <f>IFERROR(__xludf.DUMMYFUNCTION("""COMPUTED_VALUE"""),"")</f>
        <v/>
      </c>
      <c r="B535" s="48"/>
      <c r="C535" s="49"/>
      <c r="D535" s="46"/>
      <c r="E535" s="46"/>
      <c r="F535" s="46"/>
      <c r="G535" s="46"/>
      <c r="H535" s="46"/>
      <c r="I535" s="50"/>
      <c r="J535" s="50"/>
      <c r="K535" s="51" t="str">
        <f>IFERROR(__xludf.DUMMYFUNCTION("""COMPUTED_VALUE"""),"")</f>
        <v/>
      </c>
      <c r="L535" s="46" t="str">
        <f>IFERROR(__xludf.DUMMYFUNCTION("""COMPUTED_VALUE"""),"")</f>
        <v/>
      </c>
      <c r="M535" s="46" t="str">
        <f>IFERROR(__xludf.DUMMYFUNCTION("""COMPUTED_VALUE"""),"")</f>
        <v/>
      </c>
      <c r="N535" s="46" t="str">
        <f>IFERROR(__xludf.DUMMYFUNCTION("""COMPUTED_VALUE"""),"")</f>
        <v/>
      </c>
      <c r="O535" s="48"/>
      <c r="P535" s="52" t="str">
        <f>IFERROR(__xludf.DUMMYFUNCTION("""COMPUTED_VALUE"""),"")</f>
        <v/>
      </c>
    </row>
    <row r="536">
      <c r="A536" s="48" t="str">
        <f>IFERROR(__xludf.DUMMYFUNCTION("""COMPUTED_VALUE"""),"")</f>
        <v/>
      </c>
      <c r="B536" s="48"/>
      <c r="C536" s="49"/>
      <c r="D536" s="46"/>
      <c r="E536" s="46"/>
      <c r="F536" s="46"/>
      <c r="G536" s="46"/>
      <c r="H536" s="46"/>
      <c r="I536" s="50"/>
      <c r="J536" s="50"/>
      <c r="K536" s="51" t="str">
        <f>IFERROR(__xludf.DUMMYFUNCTION("""COMPUTED_VALUE"""),"")</f>
        <v/>
      </c>
      <c r="L536" s="46" t="str">
        <f>IFERROR(__xludf.DUMMYFUNCTION("""COMPUTED_VALUE"""),"")</f>
        <v/>
      </c>
      <c r="M536" s="46" t="str">
        <f>IFERROR(__xludf.DUMMYFUNCTION("""COMPUTED_VALUE"""),"")</f>
        <v/>
      </c>
      <c r="N536" s="46" t="str">
        <f>IFERROR(__xludf.DUMMYFUNCTION("""COMPUTED_VALUE"""),"")</f>
        <v/>
      </c>
      <c r="O536" s="48"/>
      <c r="P536" s="52" t="str">
        <f>IFERROR(__xludf.DUMMYFUNCTION("""COMPUTED_VALUE"""),"")</f>
        <v/>
      </c>
    </row>
    <row r="537">
      <c r="A537" s="48" t="str">
        <f>IFERROR(__xludf.DUMMYFUNCTION("""COMPUTED_VALUE"""),"")</f>
        <v/>
      </c>
      <c r="B537" s="48"/>
      <c r="C537" s="49"/>
      <c r="D537" s="46"/>
      <c r="E537" s="46"/>
      <c r="F537" s="46"/>
      <c r="G537" s="46"/>
      <c r="H537" s="46"/>
      <c r="I537" s="50"/>
      <c r="J537" s="50"/>
      <c r="K537" s="51" t="str">
        <f>IFERROR(__xludf.DUMMYFUNCTION("""COMPUTED_VALUE"""),"")</f>
        <v/>
      </c>
      <c r="L537" s="46" t="str">
        <f>IFERROR(__xludf.DUMMYFUNCTION("""COMPUTED_VALUE"""),"")</f>
        <v/>
      </c>
      <c r="M537" s="46" t="str">
        <f>IFERROR(__xludf.DUMMYFUNCTION("""COMPUTED_VALUE"""),"")</f>
        <v/>
      </c>
      <c r="N537" s="46" t="str">
        <f>IFERROR(__xludf.DUMMYFUNCTION("""COMPUTED_VALUE"""),"")</f>
        <v/>
      </c>
      <c r="O537" s="48"/>
      <c r="P537" s="52" t="str">
        <f>IFERROR(__xludf.DUMMYFUNCTION("""COMPUTED_VALUE"""),"")</f>
        <v/>
      </c>
    </row>
    <row r="538">
      <c r="A538" s="48" t="str">
        <f>IFERROR(__xludf.DUMMYFUNCTION("""COMPUTED_VALUE"""),"")</f>
        <v/>
      </c>
      <c r="B538" s="48"/>
      <c r="C538" s="49"/>
      <c r="D538" s="46"/>
      <c r="E538" s="46"/>
      <c r="F538" s="46"/>
      <c r="G538" s="46"/>
      <c r="H538" s="46"/>
      <c r="I538" s="50"/>
      <c r="J538" s="50"/>
      <c r="K538" s="51" t="str">
        <f>IFERROR(__xludf.DUMMYFUNCTION("""COMPUTED_VALUE"""),"")</f>
        <v/>
      </c>
      <c r="L538" s="46" t="str">
        <f>IFERROR(__xludf.DUMMYFUNCTION("""COMPUTED_VALUE"""),"")</f>
        <v/>
      </c>
      <c r="M538" s="46" t="str">
        <f>IFERROR(__xludf.DUMMYFUNCTION("""COMPUTED_VALUE"""),"")</f>
        <v/>
      </c>
      <c r="N538" s="46" t="str">
        <f>IFERROR(__xludf.DUMMYFUNCTION("""COMPUTED_VALUE"""),"")</f>
        <v/>
      </c>
      <c r="O538" s="48"/>
      <c r="P538" s="52" t="str">
        <f>IFERROR(__xludf.DUMMYFUNCTION("""COMPUTED_VALUE"""),"")</f>
        <v/>
      </c>
    </row>
    <row r="539">
      <c r="A539" s="48" t="str">
        <f>IFERROR(__xludf.DUMMYFUNCTION("""COMPUTED_VALUE"""),"")</f>
        <v/>
      </c>
      <c r="B539" s="48"/>
      <c r="C539" s="49"/>
      <c r="D539" s="46"/>
      <c r="E539" s="46"/>
      <c r="F539" s="46"/>
      <c r="G539" s="46"/>
      <c r="H539" s="46"/>
      <c r="I539" s="50"/>
      <c r="J539" s="50"/>
      <c r="K539" s="51" t="str">
        <f>IFERROR(__xludf.DUMMYFUNCTION("""COMPUTED_VALUE"""),"")</f>
        <v/>
      </c>
      <c r="L539" s="46" t="str">
        <f>IFERROR(__xludf.DUMMYFUNCTION("""COMPUTED_VALUE"""),"")</f>
        <v/>
      </c>
      <c r="M539" s="46" t="str">
        <f>IFERROR(__xludf.DUMMYFUNCTION("""COMPUTED_VALUE"""),"")</f>
        <v/>
      </c>
      <c r="N539" s="46" t="str">
        <f>IFERROR(__xludf.DUMMYFUNCTION("""COMPUTED_VALUE"""),"")</f>
        <v/>
      </c>
      <c r="O539" s="48"/>
      <c r="P539" s="52" t="str">
        <f>IFERROR(__xludf.DUMMYFUNCTION("""COMPUTED_VALUE"""),"")</f>
        <v/>
      </c>
    </row>
    <row r="540">
      <c r="A540" s="48" t="str">
        <f>IFERROR(__xludf.DUMMYFUNCTION("""COMPUTED_VALUE"""),"")</f>
        <v/>
      </c>
      <c r="B540" s="48"/>
      <c r="C540" s="49"/>
      <c r="D540" s="46"/>
      <c r="E540" s="46"/>
      <c r="F540" s="46"/>
      <c r="G540" s="46"/>
      <c r="H540" s="46"/>
      <c r="I540" s="50"/>
      <c r="J540" s="50"/>
      <c r="K540" s="51" t="str">
        <f>IFERROR(__xludf.DUMMYFUNCTION("""COMPUTED_VALUE"""),"")</f>
        <v/>
      </c>
      <c r="L540" s="46" t="str">
        <f>IFERROR(__xludf.DUMMYFUNCTION("""COMPUTED_VALUE"""),"")</f>
        <v/>
      </c>
      <c r="M540" s="46" t="str">
        <f>IFERROR(__xludf.DUMMYFUNCTION("""COMPUTED_VALUE"""),"")</f>
        <v/>
      </c>
      <c r="N540" s="46" t="str">
        <f>IFERROR(__xludf.DUMMYFUNCTION("""COMPUTED_VALUE"""),"")</f>
        <v/>
      </c>
      <c r="O540" s="48"/>
      <c r="P540" s="52" t="str">
        <f>IFERROR(__xludf.DUMMYFUNCTION("""COMPUTED_VALUE"""),"")</f>
        <v/>
      </c>
    </row>
    <row r="541">
      <c r="A541" s="48" t="str">
        <f>IFERROR(__xludf.DUMMYFUNCTION("""COMPUTED_VALUE"""),"")</f>
        <v/>
      </c>
      <c r="B541" s="48"/>
      <c r="C541" s="49"/>
      <c r="D541" s="46"/>
      <c r="E541" s="46"/>
      <c r="F541" s="46"/>
      <c r="G541" s="46"/>
      <c r="H541" s="46"/>
      <c r="I541" s="50"/>
      <c r="J541" s="50"/>
      <c r="K541" s="51" t="str">
        <f>IFERROR(__xludf.DUMMYFUNCTION("""COMPUTED_VALUE"""),"")</f>
        <v/>
      </c>
      <c r="L541" s="46" t="str">
        <f>IFERROR(__xludf.DUMMYFUNCTION("""COMPUTED_VALUE"""),"")</f>
        <v/>
      </c>
      <c r="M541" s="46" t="str">
        <f>IFERROR(__xludf.DUMMYFUNCTION("""COMPUTED_VALUE"""),"")</f>
        <v/>
      </c>
      <c r="N541" s="46" t="str">
        <f>IFERROR(__xludf.DUMMYFUNCTION("""COMPUTED_VALUE"""),"")</f>
        <v/>
      </c>
      <c r="O541" s="48"/>
      <c r="P541" s="52" t="str">
        <f>IFERROR(__xludf.DUMMYFUNCTION("""COMPUTED_VALUE"""),"")</f>
        <v/>
      </c>
    </row>
    <row r="542">
      <c r="A542" s="48" t="str">
        <f>IFERROR(__xludf.DUMMYFUNCTION("""COMPUTED_VALUE"""),"")</f>
        <v/>
      </c>
      <c r="B542" s="48"/>
      <c r="C542" s="49"/>
      <c r="D542" s="46"/>
      <c r="E542" s="46"/>
      <c r="F542" s="46"/>
      <c r="G542" s="46"/>
      <c r="H542" s="46"/>
      <c r="I542" s="50"/>
      <c r="J542" s="50"/>
      <c r="K542" s="51" t="str">
        <f>IFERROR(__xludf.DUMMYFUNCTION("""COMPUTED_VALUE"""),"")</f>
        <v/>
      </c>
      <c r="L542" s="46" t="str">
        <f>IFERROR(__xludf.DUMMYFUNCTION("""COMPUTED_VALUE"""),"")</f>
        <v/>
      </c>
      <c r="M542" s="46" t="str">
        <f>IFERROR(__xludf.DUMMYFUNCTION("""COMPUTED_VALUE"""),"")</f>
        <v/>
      </c>
      <c r="N542" s="46" t="str">
        <f>IFERROR(__xludf.DUMMYFUNCTION("""COMPUTED_VALUE"""),"")</f>
        <v/>
      </c>
      <c r="O542" s="48"/>
      <c r="P542" s="52" t="str">
        <f>IFERROR(__xludf.DUMMYFUNCTION("""COMPUTED_VALUE"""),"")</f>
        <v/>
      </c>
    </row>
    <row r="543">
      <c r="A543" s="48" t="str">
        <f>IFERROR(__xludf.DUMMYFUNCTION("""COMPUTED_VALUE"""),"")</f>
        <v/>
      </c>
      <c r="B543" s="48"/>
      <c r="C543" s="49"/>
      <c r="D543" s="46"/>
      <c r="E543" s="46"/>
      <c r="F543" s="46"/>
      <c r="G543" s="46"/>
      <c r="H543" s="46"/>
      <c r="I543" s="50"/>
      <c r="J543" s="50"/>
      <c r="K543" s="51" t="str">
        <f>IFERROR(__xludf.DUMMYFUNCTION("""COMPUTED_VALUE"""),"")</f>
        <v/>
      </c>
      <c r="L543" s="46" t="str">
        <f>IFERROR(__xludf.DUMMYFUNCTION("""COMPUTED_VALUE"""),"")</f>
        <v/>
      </c>
      <c r="M543" s="46" t="str">
        <f>IFERROR(__xludf.DUMMYFUNCTION("""COMPUTED_VALUE"""),"")</f>
        <v/>
      </c>
      <c r="N543" s="46" t="str">
        <f>IFERROR(__xludf.DUMMYFUNCTION("""COMPUTED_VALUE"""),"")</f>
        <v/>
      </c>
      <c r="O543" s="48"/>
      <c r="P543" s="52" t="str">
        <f>IFERROR(__xludf.DUMMYFUNCTION("""COMPUTED_VALUE"""),"")</f>
        <v/>
      </c>
    </row>
    <row r="544">
      <c r="A544" s="48" t="str">
        <f>IFERROR(__xludf.DUMMYFUNCTION("""COMPUTED_VALUE"""),"")</f>
        <v/>
      </c>
      <c r="B544" s="48"/>
      <c r="C544" s="49"/>
      <c r="D544" s="46"/>
      <c r="E544" s="46"/>
      <c r="F544" s="46"/>
      <c r="G544" s="46"/>
      <c r="H544" s="46"/>
      <c r="I544" s="50"/>
      <c r="J544" s="50"/>
      <c r="K544" s="51" t="str">
        <f>IFERROR(__xludf.DUMMYFUNCTION("""COMPUTED_VALUE"""),"")</f>
        <v/>
      </c>
      <c r="L544" s="46" t="str">
        <f>IFERROR(__xludf.DUMMYFUNCTION("""COMPUTED_VALUE"""),"")</f>
        <v/>
      </c>
      <c r="M544" s="46" t="str">
        <f>IFERROR(__xludf.DUMMYFUNCTION("""COMPUTED_VALUE"""),"")</f>
        <v/>
      </c>
      <c r="N544" s="46" t="str">
        <f>IFERROR(__xludf.DUMMYFUNCTION("""COMPUTED_VALUE"""),"")</f>
        <v/>
      </c>
      <c r="O544" s="48"/>
      <c r="P544" s="52" t="str">
        <f>IFERROR(__xludf.DUMMYFUNCTION("""COMPUTED_VALUE"""),"")</f>
        <v/>
      </c>
    </row>
    <row r="545">
      <c r="A545" s="48" t="str">
        <f>IFERROR(__xludf.DUMMYFUNCTION("""COMPUTED_VALUE"""),"")</f>
        <v/>
      </c>
      <c r="B545" s="48"/>
      <c r="C545" s="49"/>
      <c r="D545" s="46"/>
      <c r="E545" s="46"/>
      <c r="F545" s="46"/>
      <c r="G545" s="46"/>
      <c r="H545" s="46"/>
      <c r="I545" s="50"/>
      <c r="J545" s="50"/>
      <c r="K545" s="51" t="str">
        <f>IFERROR(__xludf.DUMMYFUNCTION("""COMPUTED_VALUE"""),"")</f>
        <v/>
      </c>
      <c r="L545" s="46" t="str">
        <f>IFERROR(__xludf.DUMMYFUNCTION("""COMPUTED_VALUE"""),"")</f>
        <v/>
      </c>
      <c r="M545" s="46" t="str">
        <f>IFERROR(__xludf.DUMMYFUNCTION("""COMPUTED_VALUE"""),"")</f>
        <v/>
      </c>
      <c r="N545" s="46" t="str">
        <f>IFERROR(__xludf.DUMMYFUNCTION("""COMPUTED_VALUE"""),"")</f>
        <v/>
      </c>
      <c r="O545" s="48"/>
      <c r="P545" s="52" t="str">
        <f>IFERROR(__xludf.DUMMYFUNCTION("""COMPUTED_VALUE"""),"")</f>
        <v/>
      </c>
    </row>
    <row r="546">
      <c r="A546" s="48" t="str">
        <f>IFERROR(__xludf.DUMMYFUNCTION("""COMPUTED_VALUE"""),"")</f>
        <v/>
      </c>
      <c r="B546" s="48"/>
      <c r="C546" s="49"/>
      <c r="D546" s="46"/>
      <c r="E546" s="46"/>
      <c r="F546" s="46"/>
      <c r="G546" s="46"/>
      <c r="H546" s="46"/>
      <c r="I546" s="50"/>
      <c r="J546" s="50"/>
      <c r="K546" s="51" t="str">
        <f>IFERROR(__xludf.DUMMYFUNCTION("""COMPUTED_VALUE"""),"")</f>
        <v/>
      </c>
      <c r="L546" s="46" t="str">
        <f>IFERROR(__xludf.DUMMYFUNCTION("""COMPUTED_VALUE"""),"")</f>
        <v/>
      </c>
      <c r="M546" s="46" t="str">
        <f>IFERROR(__xludf.DUMMYFUNCTION("""COMPUTED_VALUE"""),"")</f>
        <v/>
      </c>
      <c r="N546" s="46" t="str">
        <f>IFERROR(__xludf.DUMMYFUNCTION("""COMPUTED_VALUE"""),"")</f>
        <v/>
      </c>
      <c r="O546" s="48"/>
      <c r="P546" s="52" t="str">
        <f>IFERROR(__xludf.DUMMYFUNCTION("""COMPUTED_VALUE"""),"")</f>
        <v/>
      </c>
    </row>
    <row r="547">
      <c r="A547" s="48" t="str">
        <f>IFERROR(__xludf.DUMMYFUNCTION("""COMPUTED_VALUE"""),"")</f>
        <v/>
      </c>
      <c r="B547" s="48"/>
      <c r="C547" s="49"/>
      <c r="D547" s="46"/>
      <c r="E547" s="46"/>
      <c r="F547" s="46"/>
      <c r="G547" s="46"/>
      <c r="H547" s="46"/>
      <c r="I547" s="50"/>
      <c r="J547" s="50"/>
      <c r="K547" s="51" t="str">
        <f>IFERROR(__xludf.DUMMYFUNCTION("""COMPUTED_VALUE"""),"")</f>
        <v/>
      </c>
      <c r="L547" s="46" t="str">
        <f>IFERROR(__xludf.DUMMYFUNCTION("""COMPUTED_VALUE"""),"")</f>
        <v/>
      </c>
      <c r="M547" s="46" t="str">
        <f>IFERROR(__xludf.DUMMYFUNCTION("""COMPUTED_VALUE"""),"")</f>
        <v/>
      </c>
      <c r="N547" s="46" t="str">
        <f>IFERROR(__xludf.DUMMYFUNCTION("""COMPUTED_VALUE"""),"")</f>
        <v/>
      </c>
      <c r="O547" s="48"/>
      <c r="P547" s="52" t="str">
        <f>IFERROR(__xludf.DUMMYFUNCTION("""COMPUTED_VALUE"""),"")</f>
        <v/>
      </c>
    </row>
    <row r="548">
      <c r="A548" s="48" t="str">
        <f>IFERROR(__xludf.DUMMYFUNCTION("""COMPUTED_VALUE"""),"")</f>
        <v/>
      </c>
      <c r="B548" s="48"/>
      <c r="C548" s="49"/>
      <c r="D548" s="46"/>
      <c r="E548" s="46"/>
      <c r="F548" s="46"/>
      <c r="G548" s="46"/>
      <c r="H548" s="46"/>
      <c r="I548" s="50"/>
      <c r="J548" s="50"/>
      <c r="K548" s="51" t="str">
        <f>IFERROR(__xludf.DUMMYFUNCTION("""COMPUTED_VALUE"""),"")</f>
        <v/>
      </c>
      <c r="L548" s="46" t="str">
        <f>IFERROR(__xludf.DUMMYFUNCTION("""COMPUTED_VALUE"""),"")</f>
        <v/>
      </c>
      <c r="M548" s="46" t="str">
        <f>IFERROR(__xludf.DUMMYFUNCTION("""COMPUTED_VALUE"""),"")</f>
        <v/>
      </c>
      <c r="N548" s="46" t="str">
        <f>IFERROR(__xludf.DUMMYFUNCTION("""COMPUTED_VALUE"""),"")</f>
        <v/>
      </c>
      <c r="O548" s="48"/>
      <c r="P548" s="52" t="str">
        <f>IFERROR(__xludf.DUMMYFUNCTION("""COMPUTED_VALUE"""),"")</f>
        <v/>
      </c>
    </row>
    <row r="549">
      <c r="A549" s="48" t="str">
        <f>IFERROR(__xludf.DUMMYFUNCTION("""COMPUTED_VALUE"""),"")</f>
        <v/>
      </c>
      <c r="B549" s="48"/>
      <c r="C549" s="49"/>
      <c r="D549" s="46"/>
      <c r="E549" s="46"/>
      <c r="F549" s="46"/>
      <c r="G549" s="46"/>
      <c r="H549" s="46"/>
      <c r="I549" s="50"/>
      <c r="J549" s="50"/>
      <c r="K549" s="51" t="str">
        <f>IFERROR(__xludf.DUMMYFUNCTION("""COMPUTED_VALUE"""),"")</f>
        <v/>
      </c>
      <c r="L549" s="46" t="str">
        <f>IFERROR(__xludf.DUMMYFUNCTION("""COMPUTED_VALUE"""),"")</f>
        <v/>
      </c>
      <c r="M549" s="46" t="str">
        <f>IFERROR(__xludf.DUMMYFUNCTION("""COMPUTED_VALUE"""),"")</f>
        <v/>
      </c>
      <c r="N549" s="46" t="str">
        <f>IFERROR(__xludf.DUMMYFUNCTION("""COMPUTED_VALUE"""),"")</f>
        <v/>
      </c>
      <c r="O549" s="48"/>
      <c r="P549" s="52" t="str">
        <f>IFERROR(__xludf.DUMMYFUNCTION("""COMPUTED_VALUE"""),"")</f>
        <v/>
      </c>
    </row>
    <row r="550">
      <c r="A550" s="48" t="str">
        <f>IFERROR(__xludf.DUMMYFUNCTION("""COMPUTED_VALUE"""),"")</f>
        <v/>
      </c>
      <c r="B550" s="48"/>
      <c r="C550" s="49"/>
      <c r="D550" s="46"/>
      <c r="E550" s="46"/>
      <c r="F550" s="46"/>
      <c r="G550" s="46"/>
      <c r="H550" s="46"/>
      <c r="I550" s="50"/>
      <c r="J550" s="50"/>
      <c r="K550" s="51" t="str">
        <f>IFERROR(__xludf.DUMMYFUNCTION("""COMPUTED_VALUE"""),"")</f>
        <v/>
      </c>
      <c r="L550" s="46" t="str">
        <f>IFERROR(__xludf.DUMMYFUNCTION("""COMPUTED_VALUE"""),"")</f>
        <v/>
      </c>
      <c r="M550" s="46" t="str">
        <f>IFERROR(__xludf.DUMMYFUNCTION("""COMPUTED_VALUE"""),"")</f>
        <v/>
      </c>
      <c r="N550" s="46" t="str">
        <f>IFERROR(__xludf.DUMMYFUNCTION("""COMPUTED_VALUE"""),"")</f>
        <v/>
      </c>
      <c r="O550" s="48"/>
      <c r="P550" s="52" t="str">
        <f>IFERROR(__xludf.DUMMYFUNCTION("""COMPUTED_VALUE"""),"")</f>
        <v/>
      </c>
    </row>
    <row r="551">
      <c r="A551" s="48" t="str">
        <f>IFERROR(__xludf.DUMMYFUNCTION("""COMPUTED_VALUE"""),"")</f>
        <v/>
      </c>
      <c r="B551" s="48"/>
      <c r="C551" s="49"/>
      <c r="D551" s="46"/>
      <c r="E551" s="46"/>
      <c r="F551" s="46"/>
      <c r="G551" s="46"/>
      <c r="H551" s="46"/>
      <c r="I551" s="50"/>
      <c r="J551" s="50"/>
      <c r="K551" s="51" t="str">
        <f>IFERROR(__xludf.DUMMYFUNCTION("""COMPUTED_VALUE"""),"")</f>
        <v/>
      </c>
      <c r="L551" s="46" t="str">
        <f>IFERROR(__xludf.DUMMYFUNCTION("""COMPUTED_VALUE"""),"")</f>
        <v/>
      </c>
      <c r="M551" s="46" t="str">
        <f>IFERROR(__xludf.DUMMYFUNCTION("""COMPUTED_VALUE"""),"")</f>
        <v/>
      </c>
      <c r="N551" s="46" t="str">
        <f>IFERROR(__xludf.DUMMYFUNCTION("""COMPUTED_VALUE"""),"")</f>
        <v/>
      </c>
      <c r="O551" s="48"/>
      <c r="P551" s="52" t="str">
        <f>IFERROR(__xludf.DUMMYFUNCTION("""COMPUTED_VALUE"""),"")</f>
        <v/>
      </c>
    </row>
    <row r="552">
      <c r="A552" s="48" t="str">
        <f>IFERROR(__xludf.DUMMYFUNCTION("""COMPUTED_VALUE"""),"")</f>
        <v/>
      </c>
      <c r="B552" s="48"/>
      <c r="C552" s="49"/>
      <c r="D552" s="46"/>
      <c r="E552" s="46"/>
      <c r="F552" s="46"/>
      <c r="G552" s="46"/>
      <c r="H552" s="46"/>
      <c r="I552" s="50"/>
      <c r="J552" s="50"/>
      <c r="K552" s="51" t="str">
        <f>IFERROR(__xludf.DUMMYFUNCTION("""COMPUTED_VALUE"""),"")</f>
        <v/>
      </c>
      <c r="L552" s="46" t="str">
        <f>IFERROR(__xludf.DUMMYFUNCTION("""COMPUTED_VALUE"""),"")</f>
        <v/>
      </c>
      <c r="M552" s="46" t="str">
        <f>IFERROR(__xludf.DUMMYFUNCTION("""COMPUTED_VALUE"""),"")</f>
        <v/>
      </c>
      <c r="N552" s="46" t="str">
        <f>IFERROR(__xludf.DUMMYFUNCTION("""COMPUTED_VALUE"""),"")</f>
        <v/>
      </c>
      <c r="O552" s="48"/>
      <c r="P552" s="52" t="str">
        <f>IFERROR(__xludf.DUMMYFUNCTION("""COMPUTED_VALUE"""),"")</f>
        <v/>
      </c>
    </row>
    <row r="553">
      <c r="A553" s="48" t="str">
        <f>IFERROR(__xludf.DUMMYFUNCTION("""COMPUTED_VALUE"""),"")</f>
        <v/>
      </c>
      <c r="B553" s="48"/>
      <c r="C553" s="49"/>
      <c r="D553" s="46"/>
      <c r="E553" s="46"/>
      <c r="F553" s="46"/>
      <c r="G553" s="46"/>
      <c r="H553" s="46"/>
      <c r="I553" s="50"/>
      <c r="J553" s="50"/>
      <c r="K553" s="51" t="str">
        <f>IFERROR(__xludf.DUMMYFUNCTION("""COMPUTED_VALUE"""),"")</f>
        <v/>
      </c>
      <c r="L553" s="46" t="str">
        <f>IFERROR(__xludf.DUMMYFUNCTION("""COMPUTED_VALUE"""),"")</f>
        <v/>
      </c>
      <c r="M553" s="46" t="str">
        <f>IFERROR(__xludf.DUMMYFUNCTION("""COMPUTED_VALUE"""),"")</f>
        <v/>
      </c>
      <c r="N553" s="46" t="str">
        <f>IFERROR(__xludf.DUMMYFUNCTION("""COMPUTED_VALUE"""),"")</f>
        <v/>
      </c>
      <c r="O553" s="48"/>
      <c r="P553" s="52" t="str">
        <f>IFERROR(__xludf.DUMMYFUNCTION("""COMPUTED_VALUE"""),"")</f>
        <v/>
      </c>
    </row>
    <row r="554">
      <c r="A554" s="48" t="str">
        <f>IFERROR(__xludf.DUMMYFUNCTION("""COMPUTED_VALUE"""),"")</f>
        <v/>
      </c>
      <c r="B554" s="48"/>
      <c r="C554" s="49"/>
      <c r="D554" s="46"/>
      <c r="E554" s="46"/>
      <c r="F554" s="46"/>
      <c r="G554" s="46"/>
      <c r="H554" s="46"/>
      <c r="I554" s="50"/>
      <c r="J554" s="50"/>
      <c r="K554" s="51" t="str">
        <f>IFERROR(__xludf.DUMMYFUNCTION("""COMPUTED_VALUE"""),"")</f>
        <v/>
      </c>
      <c r="L554" s="46" t="str">
        <f>IFERROR(__xludf.DUMMYFUNCTION("""COMPUTED_VALUE"""),"")</f>
        <v/>
      </c>
      <c r="M554" s="46" t="str">
        <f>IFERROR(__xludf.DUMMYFUNCTION("""COMPUTED_VALUE"""),"")</f>
        <v/>
      </c>
      <c r="N554" s="46" t="str">
        <f>IFERROR(__xludf.DUMMYFUNCTION("""COMPUTED_VALUE"""),"")</f>
        <v/>
      </c>
      <c r="O554" s="48"/>
      <c r="P554" s="52" t="str">
        <f>IFERROR(__xludf.DUMMYFUNCTION("""COMPUTED_VALUE"""),"")</f>
        <v/>
      </c>
    </row>
    <row r="555">
      <c r="A555" s="48" t="str">
        <f>IFERROR(__xludf.DUMMYFUNCTION("""COMPUTED_VALUE"""),"")</f>
        <v/>
      </c>
      <c r="B555" s="48"/>
      <c r="C555" s="49"/>
      <c r="D555" s="46"/>
      <c r="E555" s="46"/>
      <c r="F555" s="46"/>
      <c r="G555" s="46"/>
      <c r="H555" s="46"/>
      <c r="I555" s="50"/>
      <c r="J555" s="50"/>
      <c r="K555" s="51" t="str">
        <f>IFERROR(__xludf.DUMMYFUNCTION("""COMPUTED_VALUE"""),"")</f>
        <v/>
      </c>
      <c r="L555" s="46" t="str">
        <f>IFERROR(__xludf.DUMMYFUNCTION("""COMPUTED_VALUE"""),"")</f>
        <v/>
      </c>
      <c r="M555" s="46" t="str">
        <f>IFERROR(__xludf.DUMMYFUNCTION("""COMPUTED_VALUE"""),"")</f>
        <v/>
      </c>
      <c r="N555" s="46" t="str">
        <f>IFERROR(__xludf.DUMMYFUNCTION("""COMPUTED_VALUE"""),"")</f>
        <v/>
      </c>
      <c r="O555" s="48"/>
      <c r="P555" s="52" t="str">
        <f>IFERROR(__xludf.DUMMYFUNCTION("""COMPUTED_VALUE"""),"")</f>
        <v/>
      </c>
    </row>
    <row r="556">
      <c r="A556" s="48" t="str">
        <f>IFERROR(__xludf.DUMMYFUNCTION("""COMPUTED_VALUE"""),"")</f>
        <v/>
      </c>
      <c r="B556" s="48"/>
      <c r="C556" s="49"/>
      <c r="D556" s="46"/>
      <c r="E556" s="46"/>
      <c r="F556" s="46"/>
      <c r="G556" s="46"/>
      <c r="H556" s="46"/>
      <c r="I556" s="50"/>
      <c r="J556" s="50"/>
      <c r="K556" s="51" t="str">
        <f>IFERROR(__xludf.DUMMYFUNCTION("""COMPUTED_VALUE"""),"")</f>
        <v/>
      </c>
      <c r="L556" s="46" t="str">
        <f>IFERROR(__xludf.DUMMYFUNCTION("""COMPUTED_VALUE"""),"")</f>
        <v/>
      </c>
      <c r="M556" s="46" t="str">
        <f>IFERROR(__xludf.DUMMYFUNCTION("""COMPUTED_VALUE"""),"")</f>
        <v/>
      </c>
      <c r="N556" s="46" t="str">
        <f>IFERROR(__xludf.DUMMYFUNCTION("""COMPUTED_VALUE"""),"")</f>
        <v/>
      </c>
      <c r="O556" s="48"/>
      <c r="P556" s="52" t="str">
        <f>IFERROR(__xludf.DUMMYFUNCTION("""COMPUTED_VALUE"""),"")</f>
        <v/>
      </c>
    </row>
    <row r="557">
      <c r="A557" s="48" t="str">
        <f>IFERROR(__xludf.DUMMYFUNCTION("""COMPUTED_VALUE"""),"")</f>
        <v/>
      </c>
      <c r="B557" s="48"/>
      <c r="C557" s="49"/>
      <c r="D557" s="46"/>
      <c r="E557" s="46"/>
      <c r="F557" s="46"/>
      <c r="G557" s="46"/>
      <c r="H557" s="46"/>
      <c r="I557" s="50"/>
      <c r="J557" s="50"/>
      <c r="K557" s="51" t="str">
        <f>IFERROR(__xludf.DUMMYFUNCTION("""COMPUTED_VALUE"""),"")</f>
        <v/>
      </c>
      <c r="L557" s="46" t="str">
        <f>IFERROR(__xludf.DUMMYFUNCTION("""COMPUTED_VALUE"""),"")</f>
        <v/>
      </c>
      <c r="M557" s="46" t="str">
        <f>IFERROR(__xludf.DUMMYFUNCTION("""COMPUTED_VALUE"""),"")</f>
        <v/>
      </c>
      <c r="N557" s="46" t="str">
        <f>IFERROR(__xludf.DUMMYFUNCTION("""COMPUTED_VALUE"""),"")</f>
        <v/>
      </c>
      <c r="O557" s="48"/>
      <c r="P557" s="52" t="str">
        <f>IFERROR(__xludf.DUMMYFUNCTION("""COMPUTED_VALUE"""),"")</f>
        <v/>
      </c>
    </row>
    <row r="558">
      <c r="A558" s="48" t="str">
        <f>IFERROR(__xludf.DUMMYFUNCTION("""COMPUTED_VALUE"""),"")</f>
        <v/>
      </c>
      <c r="B558" s="48"/>
      <c r="C558" s="49"/>
      <c r="D558" s="46"/>
      <c r="E558" s="46"/>
      <c r="F558" s="46"/>
      <c r="G558" s="46"/>
      <c r="H558" s="46"/>
      <c r="I558" s="50"/>
      <c r="J558" s="50"/>
      <c r="K558" s="51" t="str">
        <f>IFERROR(__xludf.DUMMYFUNCTION("""COMPUTED_VALUE"""),"")</f>
        <v/>
      </c>
      <c r="L558" s="46" t="str">
        <f>IFERROR(__xludf.DUMMYFUNCTION("""COMPUTED_VALUE"""),"")</f>
        <v/>
      </c>
      <c r="M558" s="46" t="str">
        <f>IFERROR(__xludf.DUMMYFUNCTION("""COMPUTED_VALUE"""),"")</f>
        <v/>
      </c>
      <c r="N558" s="46" t="str">
        <f>IFERROR(__xludf.DUMMYFUNCTION("""COMPUTED_VALUE"""),"")</f>
        <v/>
      </c>
      <c r="O558" s="48"/>
      <c r="P558" s="52" t="str">
        <f>IFERROR(__xludf.DUMMYFUNCTION("""COMPUTED_VALUE"""),"")</f>
        <v/>
      </c>
    </row>
    <row r="559">
      <c r="A559" s="48" t="str">
        <f>IFERROR(__xludf.DUMMYFUNCTION("""COMPUTED_VALUE"""),"")</f>
        <v/>
      </c>
      <c r="B559" s="48"/>
      <c r="C559" s="49"/>
      <c r="D559" s="46"/>
      <c r="E559" s="46"/>
      <c r="F559" s="46"/>
      <c r="G559" s="46"/>
      <c r="H559" s="46"/>
      <c r="I559" s="50"/>
      <c r="J559" s="50"/>
      <c r="K559" s="51" t="str">
        <f>IFERROR(__xludf.DUMMYFUNCTION("""COMPUTED_VALUE"""),"")</f>
        <v/>
      </c>
      <c r="L559" s="46" t="str">
        <f>IFERROR(__xludf.DUMMYFUNCTION("""COMPUTED_VALUE"""),"")</f>
        <v/>
      </c>
      <c r="M559" s="46" t="str">
        <f>IFERROR(__xludf.DUMMYFUNCTION("""COMPUTED_VALUE"""),"")</f>
        <v/>
      </c>
      <c r="N559" s="46" t="str">
        <f>IFERROR(__xludf.DUMMYFUNCTION("""COMPUTED_VALUE"""),"")</f>
        <v/>
      </c>
      <c r="O559" s="48"/>
      <c r="P559" s="52" t="str">
        <f>IFERROR(__xludf.DUMMYFUNCTION("""COMPUTED_VALUE"""),"")</f>
        <v/>
      </c>
    </row>
    <row r="560">
      <c r="A560" s="48" t="str">
        <f>IFERROR(__xludf.DUMMYFUNCTION("""COMPUTED_VALUE"""),"")</f>
        <v/>
      </c>
      <c r="B560" s="48"/>
      <c r="C560" s="49"/>
      <c r="D560" s="46"/>
      <c r="E560" s="46"/>
      <c r="F560" s="46"/>
      <c r="G560" s="46"/>
      <c r="H560" s="46"/>
      <c r="I560" s="50"/>
      <c r="J560" s="50"/>
      <c r="K560" s="51" t="str">
        <f>IFERROR(__xludf.DUMMYFUNCTION("""COMPUTED_VALUE"""),"")</f>
        <v/>
      </c>
      <c r="L560" s="46" t="str">
        <f>IFERROR(__xludf.DUMMYFUNCTION("""COMPUTED_VALUE"""),"")</f>
        <v/>
      </c>
      <c r="M560" s="46" t="str">
        <f>IFERROR(__xludf.DUMMYFUNCTION("""COMPUTED_VALUE"""),"")</f>
        <v/>
      </c>
      <c r="N560" s="46" t="str">
        <f>IFERROR(__xludf.DUMMYFUNCTION("""COMPUTED_VALUE"""),"")</f>
        <v/>
      </c>
      <c r="O560" s="48"/>
      <c r="P560" s="52" t="str">
        <f>IFERROR(__xludf.DUMMYFUNCTION("""COMPUTED_VALUE"""),"")</f>
        <v/>
      </c>
    </row>
    <row r="561">
      <c r="A561" s="48" t="str">
        <f>IFERROR(__xludf.DUMMYFUNCTION("""COMPUTED_VALUE"""),"")</f>
        <v/>
      </c>
      <c r="B561" s="48"/>
      <c r="C561" s="49"/>
      <c r="D561" s="46"/>
      <c r="E561" s="46"/>
      <c r="F561" s="46"/>
      <c r="G561" s="46"/>
      <c r="H561" s="46"/>
      <c r="I561" s="50"/>
      <c r="J561" s="50"/>
      <c r="K561" s="51" t="str">
        <f>IFERROR(__xludf.DUMMYFUNCTION("""COMPUTED_VALUE"""),"")</f>
        <v/>
      </c>
      <c r="L561" s="46" t="str">
        <f>IFERROR(__xludf.DUMMYFUNCTION("""COMPUTED_VALUE"""),"")</f>
        <v/>
      </c>
      <c r="M561" s="46" t="str">
        <f>IFERROR(__xludf.DUMMYFUNCTION("""COMPUTED_VALUE"""),"")</f>
        <v/>
      </c>
      <c r="N561" s="46" t="str">
        <f>IFERROR(__xludf.DUMMYFUNCTION("""COMPUTED_VALUE"""),"")</f>
        <v/>
      </c>
      <c r="O561" s="48"/>
      <c r="P561" s="52" t="str">
        <f>IFERROR(__xludf.DUMMYFUNCTION("""COMPUTED_VALUE"""),"")</f>
        <v/>
      </c>
    </row>
    <row r="562">
      <c r="A562" s="48" t="str">
        <f>IFERROR(__xludf.DUMMYFUNCTION("""COMPUTED_VALUE"""),"")</f>
        <v/>
      </c>
      <c r="B562" s="48"/>
      <c r="C562" s="49"/>
      <c r="D562" s="46"/>
      <c r="E562" s="46"/>
      <c r="F562" s="46"/>
      <c r="G562" s="46"/>
      <c r="H562" s="46"/>
      <c r="I562" s="50"/>
      <c r="J562" s="50"/>
      <c r="K562" s="51" t="str">
        <f>IFERROR(__xludf.DUMMYFUNCTION("""COMPUTED_VALUE"""),"")</f>
        <v/>
      </c>
      <c r="L562" s="46" t="str">
        <f>IFERROR(__xludf.DUMMYFUNCTION("""COMPUTED_VALUE"""),"")</f>
        <v/>
      </c>
      <c r="M562" s="46" t="str">
        <f>IFERROR(__xludf.DUMMYFUNCTION("""COMPUTED_VALUE"""),"")</f>
        <v/>
      </c>
      <c r="N562" s="46" t="str">
        <f>IFERROR(__xludf.DUMMYFUNCTION("""COMPUTED_VALUE"""),"")</f>
        <v/>
      </c>
      <c r="O562" s="48"/>
      <c r="P562" s="52" t="str">
        <f>IFERROR(__xludf.DUMMYFUNCTION("""COMPUTED_VALUE"""),"")</f>
        <v/>
      </c>
    </row>
    <row r="563">
      <c r="A563" s="48" t="str">
        <f>IFERROR(__xludf.DUMMYFUNCTION("""COMPUTED_VALUE"""),"")</f>
        <v/>
      </c>
      <c r="B563" s="48"/>
      <c r="C563" s="49"/>
      <c r="D563" s="46"/>
      <c r="E563" s="46"/>
      <c r="F563" s="46"/>
      <c r="G563" s="46"/>
      <c r="H563" s="46"/>
      <c r="I563" s="50"/>
      <c r="J563" s="50"/>
      <c r="K563" s="51" t="str">
        <f>IFERROR(__xludf.DUMMYFUNCTION("""COMPUTED_VALUE"""),"")</f>
        <v/>
      </c>
      <c r="L563" s="46" t="str">
        <f>IFERROR(__xludf.DUMMYFUNCTION("""COMPUTED_VALUE"""),"")</f>
        <v/>
      </c>
      <c r="M563" s="46" t="str">
        <f>IFERROR(__xludf.DUMMYFUNCTION("""COMPUTED_VALUE"""),"")</f>
        <v/>
      </c>
      <c r="N563" s="46" t="str">
        <f>IFERROR(__xludf.DUMMYFUNCTION("""COMPUTED_VALUE"""),"")</f>
        <v/>
      </c>
      <c r="O563" s="48"/>
      <c r="P563" s="52" t="str">
        <f>IFERROR(__xludf.DUMMYFUNCTION("""COMPUTED_VALUE"""),"")</f>
        <v/>
      </c>
    </row>
    <row r="564">
      <c r="A564" s="48" t="str">
        <f>IFERROR(__xludf.DUMMYFUNCTION("""COMPUTED_VALUE"""),"")</f>
        <v/>
      </c>
      <c r="B564" s="48"/>
      <c r="C564" s="49"/>
      <c r="D564" s="46"/>
      <c r="E564" s="46"/>
      <c r="F564" s="46"/>
      <c r="G564" s="46"/>
      <c r="H564" s="46"/>
      <c r="I564" s="50"/>
      <c r="J564" s="50"/>
      <c r="K564" s="51" t="str">
        <f>IFERROR(__xludf.DUMMYFUNCTION("""COMPUTED_VALUE"""),"")</f>
        <v/>
      </c>
      <c r="L564" s="46" t="str">
        <f>IFERROR(__xludf.DUMMYFUNCTION("""COMPUTED_VALUE"""),"")</f>
        <v/>
      </c>
      <c r="M564" s="46" t="str">
        <f>IFERROR(__xludf.DUMMYFUNCTION("""COMPUTED_VALUE"""),"")</f>
        <v/>
      </c>
      <c r="N564" s="46" t="str">
        <f>IFERROR(__xludf.DUMMYFUNCTION("""COMPUTED_VALUE"""),"")</f>
        <v/>
      </c>
      <c r="O564" s="48"/>
      <c r="P564" s="52" t="str">
        <f>IFERROR(__xludf.DUMMYFUNCTION("""COMPUTED_VALUE"""),"")</f>
        <v/>
      </c>
    </row>
    <row r="565">
      <c r="A565" s="48" t="str">
        <f>IFERROR(__xludf.DUMMYFUNCTION("""COMPUTED_VALUE"""),"")</f>
        <v/>
      </c>
      <c r="B565" s="48"/>
      <c r="C565" s="49"/>
      <c r="D565" s="46"/>
      <c r="E565" s="46"/>
      <c r="F565" s="46"/>
      <c r="G565" s="46"/>
      <c r="H565" s="46"/>
      <c r="I565" s="50"/>
      <c r="J565" s="50"/>
      <c r="K565" s="51" t="str">
        <f>IFERROR(__xludf.DUMMYFUNCTION("""COMPUTED_VALUE"""),"")</f>
        <v/>
      </c>
      <c r="L565" s="46" t="str">
        <f>IFERROR(__xludf.DUMMYFUNCTION("""COMPUTED_VALUE"""),"")</f>
        <v/>
      </c>
      <c r="M565" s="46" t="str">
        <f>IFERROR(__xludf.DUMMYFUNCTION("""COMPUTED_VALUE"""),"")</f>
        <v/>
      </c>
      <c r="N565" s="46" t="str">
        <f>IFERROR(__xludf.DUMMYFUNCTION("""COMPUTED_VALUE"""),"")</f>
        <v/>
      </c>
      <c r="O565" s="48"/>
      <c r="P565" s="52" t="str">
        <f>IFERROR(__xludf.DUMMYFUNCTION("""COMPUTED_VALUE"""),"")</f>
        <v/>
      </c>
    </row>
    <row r="566">
      <c r="A566" s="48" t="str">
        <f>IFERROR(__xludf.DUMMYFUNCTION("""COMPUTED_VALUE"""),"")</f>
        <v/>
      </c>
      <c r="B566" s="48"/>
      <c r="C566" s="49"/>
      <c r="D566" s="46"/>
      <c r="E566" s="46"/>
      <c r="F566" s="46"/>
      <c r="G566" s="46"/>
      <c r="H566" s="46"/>
      <c r="I566" s="50"/>
      <c r="J566" s="50"/>
      <c r="K566" s="51" t="str">
        <f>IFERROR(__xludf.DUMMYFUNCTION("""COMPUTED_VALUE"""),"")</f>
        <v/>
      </c>
      <c r="L566" s="46" t="str">
        <f>IFERROR(__xludf.DUMMYFUNCTION("""COMPUTED_VALUE"""),"")</f>
        <v/>
      </c>
      <c r="M566" s="46" t="str">
        <f>IFERROR(__xludf.DUMMYFUNCTION("""COMPUTED_VALUE"""),"")</f>
        <v/>
      </c>
      <c r="N566" s="46" t="str">
        <f>IFERROR(__xludf.DUMMYFUNCTION("""COMPUTED_VALUE"""),"")</f>
        <v/>
      </c>
      <c r="O566" s="48"/>
      <c r="P566" s="52" t="str">
        <f>IFERROR(__xludf.DUMMYFUNCTION("""COMPUTED_VALUE"""),"")</f>
        <v/>
      </c>
    </row>
    <row r="567">
      <c r="A567" s="48" t="str">
        <f>IFERROR(__xludf.DUMMYFUNCTION("""COMPUTED_VALUE"""),"")</f>
        <v/>
      </c>
      <c r="B567" s="48"/>
      <c r="C567" s="49"/>
      <c r="D567" s="46"/>
      <c r="E567" s="46"/>
      <c r="F567" s="46"/>
      <c r="G567" s="46"/>
      <c r="H567" s="46"/>
      <c r="I567" s="50"/>
      <c r="J567" s="50"/>
      <c r="K567" s="51" t="str">
        <f>IFERROR(__xludf.DUMMYFUNCTION("""COMPUTED_VALUE"""),"")</f>
        <v/>
      </c>
      <c r="L567" s="46" t="str">
        <f>IFERROR(__xludf.DUMMYFUNCTION("""COMPUTED_VALUE"""),"")</f>
        <v/>
      </c>
      <c r="M567" s="46" t="str">
        <f>IFERROR(__xludf.DUMMYFUNCTION("""COMPUTED_VALUE"""),"")</f>
        <v/>
      </c>
      <c r="N567" s="46" t="str">
        <f>IFERROR(__xludf.DUMMYFUNCTION("""COMPUTED_VALUE"""),"")</f>
        <v/>
      </c>
      <c r="O567" s="48"/>
      <c r="P567" s="52" t="str">
        <f>IFERROR(__xludf.DUMMYFUNCTION("""COMPUTED_VALUE"""),"")</f>
        <v/>
      </c>
    </row>
    <row r="568">
      <c r="A568" s="48" t="str">
        <f>IFERROR(__xludf.DUMMYFUNCTION("""COMPUTED_VALUE"""),"")</f>
        <v/>
      </c>
      <c r="B568" s="48"/>
      <c r="C568" s="49"/>
      <c r="D568" s="46"/>
      <c r="E568" s="46"/>
      <c r="F568" s="46"/>
      <c r="G568" s="46"/>
      <c r="H568" s="46"/>
      <c r="I568" s="50"/>
      <c r="J568" s="50"/>
      <c r="K568" s="51" t="str">
        <f>IFERROR(__xludf.DUMMYFUNCTION("""COMPUTED_VALUE"""),"")</f>
        <v/>
      </c>
      <c r="L568" s="46" t="str">
        <f>IFERROR(__xludf.DUMMYFUNCTION("""COMPUTED_VALUE"""),"")</f>
        <v/>
      </c>
      <c r="M568" s="46" t="str">
        <f>IFERROR(__xludf.DUMMYFUNCTION("""COMPUTED_VALUE"""),"")</f>
        <v/>
      </c>
      <c r="N568" s="46" t="str">
        <f>IFERROR(__xludf.DUMMYFUNCTION("""COMPUTED_VALUE"""),"")</f>
        <v/>
      </c>
      <c r="O568" s="48"/>
      <c r="P568" s="52" t="str">
        <f>IFERROR(__xludf.DUMMYFUNCTION("""COMPUTED_VALUE"""),"")</f>
        <v/>
      </c>
    </row>
    <row r="569">
      <c r="A569" s="48" t="str">
        <f>IFERROR(__xludf.DUMMYFUNCTION("""COMPUTED_VALUE"""),"")</f>
        <v/>
      </c>
      <c r="B569" s="48"/>
      <c r="C569" s="49"/>
      <c r="D569" s="46"/>
      <c r="E569" s="46"/>
      <c r="F569" s="46"/>
      <c r="G569" s="46"/>
      <c r="H569" s="46"/>
      <c r="I569" s="50"/>
      <c r="J569" s="50"/>
      <c r="K569" s="51" t="str">
        <f>IFERROR(__xludf.DUMMYFUNCTION("""COMPUTED_VALUE"""),"")</f>
        <v/>
      </c>
      <c r="L569" s="46" t="str">
        <f>IFERROR(__xludf.DUMMYFUNCTION("""COMPUTED_VALUE"""),"")</f>
        <v/>
      </c>
      <c r="M569" s="46" t="str">
        <f>IFERROR(__xludf.DUMMYFUNCTION("""COMPUTED_VALUE"""),"")</f>
        <v/>
      </c>
      <c r="N569" s="46" t="str">
        <f>IFERROR(__xludf.DUMMYFUNCTION("""COMPUTED_VALUE"""),"")</f>
        <v/>
      </c>
      <c r="O569" s="48"/>
      <c r="P569" s="52" t="str">
        <f>IFERROR(__xludf.DUMMYFUNCTION("""COMPUTED_VALUE"""),"")</f>
        <v/>
      </c>
    </row>
    <row r="570">
      <c r="A570" s="48" t="str">
        <f>IFERROR(__xludf.DUMMYFUNCTION("""COMPUTED_VALUE"""),"")</f>
        <v/>
      </c>
      <c r="B570" s="48"/>
      <c r="C570" s="49"/>
      <c r="D570" s="46"/>
      <c r="E570" s="46"/>
      <c r="F570" s="46"/>
      <c r="G570" s="46"/>
      <c r="H570" s="46"/>
      <c r="I570" s="50"/>
      <c r="J570" s="50"/>
      <c r="K570" s="51" t="str">
        <f>IFERROR(__xludf.DUMMYFUNCTION("""COMPUTED_VALUE"""),"")</f>
        <v/>
      </c>
      <c r="L570" s="46" t="str">
        <f>IFERROR(__xludf.DUMMYFUNCTION("""COMPUTED_VALUE"""),"")</f>
        <v/>
      </c>
      <c r="M570" s="46" t="str">
        <f>IFERROR(__xludf.DUMMYFUNCTION("""COMPUTED_VALUE"""),"")</f>
        <v/>
      </c>
      <c r="N570" s="46" t="str">
        <f>IFERROR(__xludf.DUMMYFUNCTION("""COMPUTED_VALUE"""),"")</f>
        <v/>
      </c>
      <c r="O570" s="48"/>
      <c r="P570" s="52" t="str">
        <f>IFERROR(__xludf.DUMMYFUNCTION("""COMPUTED_VALUE"""),"")</f>
        <v/>
      </c>
    </row>
    <row r="571">
      <c r="A571" s="48" t="str">
        <f>IFERROR(__xludf.DUMMYFUNCTION("""COMPUTED_VALUE"""),"")</f>
        <v/>
      </c>
      <c r="B571" s="48"/>
      <c r="C571" s="49"/>
      <c r="D571" s="46"/>
      <c r="E571" s="46"/>
      <c r="F571" s="46"/>
      <c r="G571" s="46"/>
      <c r="H571" s="46"/>
      <c r="I571" s="50"/>
      <c r="J571" s="50"/>
      <c r="K571" s="51" t="str">
        <f>IFERROR(__xludf.DUMMYFUNCTION("""COMPUTED_VALUE"""),"")</f>
        <v/>
      </c>
      <c r="L571" s="46" t="str">
        <f>IFERROR(__xludf.DUMMYFUNCTION("""COMPUTED_VALUE"""),"")</f>
        <v/>
      </c>
      <c r="M571" s="46" t="str">
        <f>IFERROR(__xludf.DUMMYFUNCTION("""COMPUTED_VALUE"""),"")</f>
        <v/>
      </c>
      <c r="N571" s="46" t="str">
        <f>IFERROR(__xludf.DUMMYFUNCTION("""COMPUTED_VALUE"""),"")</f>
        <v/>
      </c>
      <c r="O571" s="48"/>
      <c r="P571" s="52" t="str">
        <f>IFERROR(__xludf.DUMMYFUNCTION("""COMPUTED_VALUE"""),"")</f>
        <v/>
      </c>
    </row>
    <row r="572">
      <c r="A572" s="48" t="str">
        <f>IFERROR(__xludf.DUMMYFUNCTION("""COMPUTED_VALUE"""),"")</f>
        <v/>
      </c>
      <c r="B572" s="48"/>
      <c r="C572" s="49"/>
      <c r="D572" s="46"/>
      <c r="E572" s="46"/>
      <c r="F572" s="46"/>
      <c r="G572" s="46"/>
      <c r="H572" s="46"/>
      <c r="I572" s="50"/>
      <c r="J572" s="50"/>
      <c r="K572" s="51" t="str">
        <f>IFERROR(__xludf.DUMMYFUNCTION("""COMPUTED_VALUE"""),"")</f>
        <v/>
      </c>
      <c r="L572" s="46" t="str">
        <f>IFERROR(__xludf.DUMMYFUNCTION("""COMPUTED_VALUE"""),"")</f>
        <v/>
      </c>
      <c r="M572" s="46" t="str">
        <f>IFERROR(__xludf.DUMMYFUNCTION("""COMPUTED_VALUE"""),"")</f>
        <v/>
      </c>
      <c r="N572" s="46" t="str">
        <f>IFERROR(__xludf.DUMMYFUNCTION("""COMPUTED_VALUE"""),"")</f>
        <v/>
      </c>
      <c r="O572" s="48"/>
      <c r="P572" s="52" t="str">
        <f>IFERROR(__xludf.DUMMYFUNCTION("""COMPUTED_VALUE"""),"")</f>
        <v/>
      </c>
    </row>
    <row r="573">
      <c r="A573" s="48" t="str">
        <f>IFERROR(__xludf.DUMMYFUNCTION("""COMPUTED_VALUE"""),"")</f>
        <v/>
      </c>
      <c r="B573" s="48"/>
      <c r="C573" s="49"/>
      <c r="D573" s="46"/>
      <c r="E573" s="46"/>
      <c r="F573" s="46"/>
      <c r="G573" s="46"/>
      <c r="H573" s="46"/>
      <c r="I573" s="50"/>
      <c r="J573" s="50"/>
      <c r="K573" s="51" t="str">
        <f>IFERROR(__xludf.DUMMYFUNCTION("""COMPUTED_VALUE"""),"")</f>
        <v/>
      </c>
      <c r="L573" s="46" t="str">
        <f>IFERROR(__xludf.DUMMYFUNCTION("""COMPUTED_VALUE"""),"")</f>
        <v/>
      </c>
      <c r="M573" s="46" t="str">
        <f>IFERROR(__xludf.DUMMYFUNCTION("""COMPUTED_VALUE"""),"")</f>
        <v/>
      </c>
      <c r="N573" s="46" t="str">
        <f>IFERROR(__xludf.DUMMYFUNCTION("""COMPUTED_VALUE"""),"")</f>
        <v/>
      </c>
      <c r="O573" s="48"/>
      <c r="P573" s="52" t="str">
        <f>IFERROR(__xludf.DUMMYFUNCTION("""COMPUTED_VALUE"""),"")</f>
        <v/>
      </c>
    </row>
    <row r="574">
      <c r="A574" s="48" t="str">
        <f>IFERROR(__xludf.DUMMYFUNCTION("""COMPUTED_VALUE"""),"")</f>
        <v/>
      </c>
      <c r="B574" s="48"/>
      <c r="C574" s="49"/>
      <c r="D574" s="46"/>
      <c r="E574" s="46"/>
      <c r="F574" s="46"/>
      <c r="G574" s="46"/>
      <c r="H574" s="46"/>
      <c r="I574" s="50"/>
      <c r="J574" s="50"/>
      <c r="K574" s="51" t="str">
        <f>IFERROR(__xludf.DUMMYFUNCTION("""COMPUTED_VALUE"""),"")</f>
        <v/>
      </c>
      <c r="L574" s="46" t="str">
        <f>IFERROR(__xludf.DUMMYFUNCTION("""COMPUTED_VALUE"""),"")</f>
        <v/>
      </c>
      <c r="M574" s="46" t="str">
        <f>IFERROR(__xludf.DUMMYFUNCTION("""COMPUTED_VALUE"""),"")</f>
        <v/>
      </c>
      <c r="N574" s="46" t="str">
        <f>IFERROR(__xludf.DUMMYFUNCTION("""COMPUTED_VALUE"""),"")</f>
        <v/>
      </c>
      <c r="O574" s="48"/>
      <c r="P574" s="52" t="str">
        <f>IFERROR(__xludf.DUMMYFUNCTION("""COMPUTED_VALUE"""),"")</f>
        <v/>
      </c>
    </row>
    <row r="575">
      <c r="A575" s="48" t="str">
        <f>IFERROR(__xludf.DUMMYFUNCTION("""COMPUTED_VALUE"""),"")</f>
        <v/>
      </c>
      <c r="B575" s="48"/>
      <c r="C575" s="49"/>
      <c r="D575" s="46"/>
      <c r="E575" s="46"/>
      <c r="F575" s="46"/>
      <c r="G575" s="46"/>
      <c r="H575" s="46"/>
      <c r="I575" s="50"/>
      <c r="J575" s="50"/>
      <c r="K575" s="51" t="str">
        <f>IFERROR(__xludf.DUMMYFUNCTION("""COMPUTED_VALUE"""),"")</f>
        <v/>
      </c>
      <c r="L575" s="46" t="str">
        <f>IFERROR(__xludf.DUMMYFUNCTION("""COMPUTED_VALUE"""),"")</f>
        <v/>
      </c>
      <c r="M575" s="46" t="str">
        <f>IFERROR(__xludf.DUMMYFUNCTION("""COMPUTED_VALUE"""),"")</f>
        <v/>
      </c>
      <c r="N575" s="46" t="str">
        <f>IFERROR(__xludf.DUMMYFUNCTION("""COMPUTED_VALUE"""),"")</f>
        <v/>
      </c>
      <c r="O575" s="48"/>
      <c r="P575" s="52" t="str">
        <f>IFERROR(__xludf.DUMMYFUNCTION("""COMPUTED_VALUE"""),"")</f>
        <v/>
      </c>
    </row>
    <row r="576">
      <c r="A576" s="48" t="str">
        <f>IFERROR(__xludf.DUMMYFUNCTION("""COMPUTED_VALUE"""),"")</f>
        <v/>
      </c>
      <c r="B576" s="48"/>
      <c r="C576" s="49"/>
      <c r="D576" s="46"/>
      <c r="E576" s="46"/>
      <c r="F576" s="46"/>
      <c r="G576" s="46"/>
      <c r="H576" s="46"/>
      <c r="I576" s="50"/>
      <c r="J576" s="50"/>
      <c r="K576" s="51" t="str">
        <f>IFERROR(__xludf.DUMMYFUNCTION("""COMPUTED_VALUE"""),"")</f>
        <v/>
      </c>
      <c r="L576" s="46" t="str">
        <f>IFERROR(__xludf.DUMMYFUNCTION("""COMPUTED_VALUE"""),"")</f>
        <v/>
      </c>
      <c r="M576" s="46" t="str">
        <f>IFERROR(__xludf.DUMMYFUNCTION("""COMPUTED_VALUE"""),"")</f>
        <v/>
      </c>
      <c r="N576" s="46" t="str">
        <f>IFERROR(__xludf.DUMMYFUNCTION("""COMPUTED_VALUE"""),"")</f>
        <v/>
      </c>
      <c r="O576" s="48"/>
      <c r="P576" s="52" t="str">
        <f>IFERROR(__xludf.DUMMYFUNCTION("""COMPUTED_VALUE"""),"")</f>
        <v/>
      </c>
    </row>
    <row r="577">
      <c r="A577" s="48" t="str">
        <f>IFERROR(__xludf.DUMMYFUNCTION("""COMPUTED_VALUE"""),"")</f>
        <v/>
      </c>
      <c r="B577" s="48"/>
      <c r="C577" s="49"/>
      <c r="D577" s="46"/>
      <c r="E577" s="46"/>
      <c r="F577" s="46"/>
      <c r="G577" s="46"/>
      <c r="H577" s="46"/>
      <c r="I577" s="50"/>
      <c r="J577" s="50"/>
      <c r="K577" s="51" t="str">
        <f>IFERROR(__xludf.DUMMYFUNCTION("""COMPUTED_VALUE"""),"")</f>
        <v/>
      </c>
      <c r="L577" s="46" t="str">
        <f>IFERROR(__xludf.DUMMYFUNCTION("""COMPUTED_VALUE"""),"")</f>
        <v/>
      </c>
      <c r="M577" s="46" t="str">
        <f>IFERROR(__xludf.DUMMYFUNCTION("""COMPUTED_VALUE"""),"")</f>
        <v/>
      </c>
      <c r="N577" s="46" t="str">
        <f>IFERROR(__xludf.DUMMYFUNCTION("""COMPUTED_VALUE"""),"")</f>
        <v/>
      </c>
      <c r="O577" s="48"/>
      <c r="P577" s="52" t="str">
        <f>IFERROR(__xludf.DUMMYFUNCTION("""COMPUTED_VALUE"""),"")</f>
        <v/>
      </c>
    </row>
    <row r="578">
      <c r="A578" s="48" t="str">
        <f>IFERROR(__xludf.DUMMYFUNCTION("""COMPUTED_VALUE"""),"")</f>
        <v/>
      </c>
      <c r="B578" s="48"/>
      <c r="C578" s="49"/>
      <c r="D578" s="46"/>
      <c r="E578" s="46"/>
      <c r="F578" s="46"/>
      <c r="G578" s="46"/>
      <c r="H578" s="46"/>
      <c r="I578" s="50"/>
      <c r="J578" s="50"/>
      <c r="K578" s="51" t="str">
        <f>IFERROR(__xludf.DUMMYFUNCTION("""COMPUTED_VALUE"""),"")</f>
        <v/>
      </c>
      <c r="L578" s="46" t="str">
        <f>IFERROR(__xludf.DUMMYFUNCTION("""COMPUTED_VALUE"""),"")</f>
        <v/>
      </c>
      <c r="M578" s="46" t="str">
        <f>IFERROR(__xludf.DUMMYFUNCTION("""COMPUTED_VALUE"""),"")</f>
        <v/>
      </c>
      <c r="N578" s="46" t="str">
        <f>IFERROR(__xludf.DUMMYFUNCTION("""COMPUTED_VALUE"""),"")</f>
        <v/>
      </c>
      <c r="O578" s="48"/>
      <c r="P578" s="52" t="str">
        <f>IFERROR(__xludf.DUMMYFUNCTION("""COMPUTED_VALUE"""),"")</f>
        <v/>
      </c>
    </row>
    <row r="579">
      <c r="A579" s="48" t="str">
        <f>IFERROR(__xludf.DUMMYFUNCTION("""COMPUTED_VALUE"""),"")</f>
        <v/>
      </c>
      <c r="B579" s="48"/>
      <c r="C579" s="49"/>
      <c r="D579" s="46"/>
      <c r="E579" s="46"/>
      <c r="F579" s="46"/>
      <c r="G579" s="46"/>
      <c r="H579" s="46"/>
      <c r="I579" s="50"/>
      <c r="J579" s="50"/>
      <c r="K579" s="51" t="str">
        <f>IFERROR(__xludf.DUMMYFUNCTION("""COMPUTED_VALUE"""),"")</f>
        <v/>
      </c>
      <c r="L579" s="46" t="str">
        <f>IFERROR(__xludf.DUMMYFUNCTION("""COMPUTED_VALUE"""),"")</f>
        <v/>
      </c>
      <c r="M579" s="46" t="str">
        <f>IFERROR(__xludf.DUMMYFUNCTION("""COMPUTED_VALUE"""),"")</f>
        <v/>
      </c>
      <c r="N579" s="46" t="str">
        <f>IFERROR(__xludf.DUMMYFUNCTION("""COMPUTED_VALUE"""),"")</f>
        <v/>
      </c>
      <c r="O579" s="48"/>
      <c r="P579" s="52" t="str">
        <f>IFERROR(__xludf.DUMMYFUNCTION("""COMPUTED_VALUE"""),"")</f>
        <v/>
      </c>
    </row>
    <row r="580">
      <c r="A580" s="48" t="str">
        <f>IFERROR(__xludf.DUMMYFUNCTION("""COMPUTED_VALUE"""),"")</f>
        <v/>
      </c>
      <c r="B580" s="48"/>
      <c r="C580" s="49"/>
      <c r="D580" s="46"/>
      <c r="E580" s="46"/>
      <c r="F580" s="46"/>
      <c r="G580" s="46"/>
      <c r="H580" s="46"/>
      <c r="I580" s="50"/>
      <c r="J580" s="50"/>
      <c r="K580" s="51" t="str">
        <f>IFERROR(__xludf.DUMMYFUNCTION("""COMPUTED_VALUE"""),"")</f>
        <v/>
      </c>
      <c r="L580" s="46" t="str">
        <f>IFERROR(__xludf.DUMMYFUNCTION("""COMPUTED_VALUE"""),"")</f>
        <v/>
      </c>
      <c r="M580" s="46" t="str">
        <f>IFERROR(__xludf.DUMMYFUNCTION("""COMPUTED_VALUE"""),"")</f>
        <v/>
      </c>
      <c r="N580" s="46" t="str">
        <f>IFERROR(__xludf.DUMMYFUNCTION("""COMPUTED_VALUE"""),"")</f>
        <v/>
      </c>
      <c r="O580" s="48"/>
      <c r="P580" s="52" t="str">
        <f>IFERROR(__xludf.DUMMYFUNCTION("""COMPUTED_VALUE"""),"")</f>
        <v/>
      </c>
    </row>
    <row r="581">
      <c r="A581" s="48" t="str">
        <f>IFERROR(__xludf.DUMMYFUNCTION("""COMPUTED_VALUE"""),"")</f>
        <v/>
      </c>
      <c r="B581" s="48"/>
      <c r="C581" s="49"/>
      <c r="D581" s="46"/>
      <c r="E581" s="46"/>
      <c r="F581" s="46"/>
      <c r="G581" s="46"/>
      <c r="H581" s="46"/>
      <c r="I581" s="50"/>
      <c r="J581" s="50"/>
      <c r="K581" s="51" t="str">
        <f>IFERROR(__xludf.DUMMYFUNCTION("""COMPUTED_VALUE"""),"")</f>
        <v/>
      </c>
      <c r="L581" s="46" t="str">
        <f>IFERROR(__xludf.DUMMYFUNCTION("""COMPUTED_VALUE"""),"")</f>
        <v/>
      </c>
      <c r="M581" s="46" t="str">
        <f>IFERROR(__xludf.DUMMYFUNCTION("""COMPUTED_VALUE"""),"")</f>
        <v/>
      </c>
      <c r="N581" s="46" t="str">
        <f>IFERROR(__xludf.DUMMYFUNCTION("""COMPUTED_VALUE"""),"")</f>
        <v/>
      </c>
      <c r="O581" s="48"/>
      <c r="P581" s="52" t="str">
        <f>IFERROR(__xludf.DUMMYFUNCTION("""COMPUTED_VALUE"""),"")</f>
        <v/>
      </c>
    </row>
    <row r="582">
      <c r="A582" s="48" t="str">
        <f>IFERROR(__xludf.DUMMYFUNCTION("""COMPUTED_VALUE"""),"")</f>
        <v/>
      </c>
      <c r="B582" s="48"/>
      <c r="C582" s="49"/>
      <c r="D582" s="46"/>
      <c r="E582" s="46"/>
      <c r="F582" s="46"/>
      <c r="G582" s="46"/>
      <c r="H582" s="46"/>
      <c r="I582" s="50"/>
      <c r="J582" s="50"/>
      <c r="K582" s="51" t="str">
        <f>IFERROR(__xludf.DUMMYFUNCTION("""COMPUTED_VALUE"""),"")</f>
        <v/>
      </c>
      <c r="L582" s="46" t="str">
        <f>IFERROR(__xludf.DUMMYFUNCTION("""COMPUTED_VALUE"""),"")</f>
        <v/>
      </c>
      <c r="M582" s="46" t="str">
        <f>IFERROR(__xludf.DUMMYFUNCTION("""COMPUTED_VALUE"""),"")</f>
        <v/>
      </c>
      <c r="N582" s="46" t="str">
        <f>IFERROR(__xludf.DUMMYFUNCTION("""COMPUTED_VALUE"""),"")</f>
        <v/>
      </c>
      <c r="O582" s="48"/>
      <c r="P582" s="52" t="str">
        <f>IFERROR(__xludf.DUMMYFUNCTION("""COMPUTED_VALUE"""),"")</f>
        <v/>
      </c>
    </row>
    <row r="583">
      <c r="A583" s="48" t="str">
        <f>IFERROR(__xludf.DUMMYFUNCTION("""COMPUTED_VALUE"""),"")</f>
        <v/>
      </c>
      <c r="B583" s="48"/>
      <c r="C583" s="49"/>
      <c r="D583" s="46"/>
      <c r="E583" s="46"/>
      <c r="F583" s="46"/>
      <c r="G583" s="46"/>
      <c r="H583" s="46"/>
      <c r="I583" s="50"/>
      <c r="J583" s="50"/>
      <c r="K583" s="51" t="str">
        <f>IFERROR(__xludf.DUMMYFUNCTION("""COMPUTED_VALUE"""),"")</f>
        <v/>
      </c>
      <c r="L583" s="46" t="str">
        <f>IFERROR(__xludf.DUMMYFUNCTION("""COMPUTED_VALUE"""),"")</f>
        <v/>
      </c>
      <c r="M583" s="46" t="str">
        <f>IFERROR(__xludf.DUMMYFUNCTION("""COMPUTED_VALUE"""),"")</f>
        <v/>
      </c>
      <c r="N583" s="46" t="str">
        <f>IFERROR(__xludf.DUMMYFUNCTION("""COMPUTED_VALUE"""),"")</f>
        <v/>
      </c>
      <c r="O583" s="48"/>
      <c r="P583" s="52" t="str">
        <f>IFERROR(__xludf.DUMMYFUNCTION("""COMPUTED_VALUE"""),"")</f>
        <v/>
      </c>
    </row>
    <row r="584">
      <c r="A584" s="48" t="str">
        <f>IFERROR(__xludf.DUMMYFUNCTION("""COMPUTED_VALUE"""),"")</f>
        <v/>
      </c>
      <c r="B584" s="48"/>
      <c r="C584" s="49"/>
      <c r="D584" s="46"/>
      <c r="E584" s="46"/>
      <c r="F584" s="46"/>
      <c r="G584" s="46"/>
      <c r="H584" s="46"/>
      <c r="I584" s="50"/>
      <c r="J584" s="50"/>
      <c r="K584" s="51" t="str">
        <f>IFERROR(__xludf.DUMMYFUNCTION("""COMPUTED_VALUE"""),"")</f>
        <v/>
      </c>
      <c r="L584" s="46" t="str">
        <f>IFERROR(__xludf.DUMMYFUNCTION("""COMPUTED_VALUE"""),"")</f>
        <v/>
      </c>
      <c r="M584" s="46" t="str">
        <f>IFERROR(__xludf.DUMMYFUNCTION("""COMPUTED_VALUE"""),"")</f>
        <v/>
      </c>
      <c r="N584" s="46" t="str">
        <f>IFERROR(__xludf.DUMMYFUNCTION("""COMPUTED_VALUE"""),"")</f>
        <v/>
      </c>
      <c r="O584" s="48"/>
      <c r="P584" s="52" t="str">
        <f>IFERROR(__xludf.DUMMYFUNCTION("""COMPUTED_VALUE"""),"")</f>
        <v/>
      </c>
    </row>
    <row r="585">
      <c r="A585" s="48" t="str">
        <f>IFERROR(__xludf.DUMMYFUNCTION("""COMPUTED_VALUE"""),"")</f>
        <v/>
      </c>
      <c r="B585" s="48"/>
      <c r="C585" s="49"/>
      <c r="D585" s="46"/>
      <c r="E585" s="46"/>
      <c r="F585" s="46"/>
      <c r="G585" s="46"/>
      <c r="H585" s="46"/>
      <c r="I585" s="50"/>
      <c r="J585" s="50"/>
      <c r="K585" s="51" t="str">
        <f>IFERROR(__xludf.DUMMYFUNCTION("""COMPUTED_VALUE"""),"")</f>
        <v/>
      </c>
      <c r="L585" s="46" t="str">
        <f>IFERROR(__xludf.DUMMYFUNCTION("""COMPUTED_VALUE"""),"")</f>
        <v/>
      </c>
      <c r="M585" s="46" t="str">
        <f>IFERROR(__xludf.DUMMYFUNCTION("""COMPUTED_VALUE"""),"")</f>
        <v/>
      </c>
      <c r="N585" s="46" t="str">
        <f>IFERROR(__xludf.DUMMYFUNCTION("""COMPUTED_VALUE"""),"")</f>
        <v/>
      </c>
      <c r="O585" s="48"/>
      <c r="P585" s="52" t="str">
        <f>IFERROR(__xludf.DUMMYFUNCTION("""COMPUTED_VALUE"""),"")</f>
        <v/>
      </c>
    </row>
    <row r="586">
      <c r="A586" s="48" t="str">
        <f>IFERROR(__xludf.DUMMYFUNCTION("""COMPUTED_VALUE"""),"")</f>
        <v/>
      </c>
      <c r="B586" s="48"/>
      <c r="C586" s="49"/>
      <c r="D586" s="46"/>
      <c r="E586" s="46"/>
      <c r="F586" s="46"/>
      <c r="G586" s="46"/>
      <c r="H586" s="46"/>
      <c r="I586" s="50"/>
      <c r="J586" s="50"/>
      <c r="K586" s="51" t="str">
        <f>IFERROR(__xludf.DUMMYFUNCTION("""COMPUTED_VALUE"""),"")</f>
        <v/>
      </c>
      <c r="L586" s="46" t="str">
        <f>IFERROR(__xludf.DUMMYFUNCTION("""COMPUTED_VALUE"""),"")</f>
        <v/>
      </c>
      <c r="M586" s="46" t="str">
        <f>IFERROR(__xludf.DUMMYFUNCTION("""COMPUTED_VALUE"""),"")</f>
        <v/>
      </c>
      <c r="N586" s="46" t="str">
        <f>IFERROR(__xludf.DUMMYFUNCTION("""COMPUTED_VALUE"""),"")</f>
        <v/>
      </c>
      <c r="O586" s="48"/>
      <c r="P586" s="52" t="str">
        <f>IFERROR(__xludf.DUMMYFUNCTION("""COMPUTED_VALUE"""),"")</f>
        <v/>
      </c>
    </row>
    <row r="587">
      <c r="A587" s="48" t="str">
        <f>IFERROR(__xludf.DUMMYFUNCTION("""COMPUTED_VALUE"""),"")</f>
        <v/>
      </c>
      <c r="B587" s="48"/>
      <c r="C587" s="49"/>
      <c r="D587" s="46"/>
      <c r="E587" s="46"/>
      <c r="F587" s="46"/>
      <c r="G587" s="46"/>
      <c r="H587" s="46"/>
      <c r="I587" s="50"/>
      <c r="J587" s="50"/>
      <c r="K587" s="51" t="str">
        <f>IFERROR(__xludf.DUMMYFUNCTION("""COMPUTED_VALUE"""),"")</f>
        <v/>
      </c>
      <c r="L587" s="46" t="str">
        <f>IFERROR(__xludf.DUMMYFUNCTION("""COMPUTED_VALUE"""),"")</f>
        <v/>
      </c>
      <c r="M587" s="46" t="str">
        <f>IFERROR(__xludf.DUMMYFUNCTION("""COMPUTED_VALUE"""),"")</f>
        <v/>
      </c>
      <c r="N587" s="46" t="str">
        <f>IFERROR(__xludf.DUMMYFUNCTION("""COMPUTED_VALUE"""),"")</f>
        <v/>
      </c>
      <c r="O587" s="48"/>
      <c r="P587" s="52" t="str">
        <f>IFERROR(__xludf.DUMMYFUNCTION("""COMPUTED_VALUE"""),"")</f>
        <v/>
      </c>
    </row>
    <row r="588">
      <c r="A588" s="48" t="str">
        <f>IFERROR(__xludf.DUMMYFUNCTION("""COMPUTED_VALUE"""),"")</f>
        <v/>
      </c>
      <c r="B588" s="48"/>
      <c r="C588" s="49"/>
      <c r="D588" s="46"/>
      <c r="E588" s="46"/>
      <c r="F588" s="46"/>
      <c r="G588" s="46"/>
      <c r="H588" s="46"/>
      <c r="I588" s="50"/>
      <c r="J588" s="50"/>
      <c r="K588" s="51" t="str">
        <f>IFERROR(__xludf.DUMMYFUNCTION("""COMPUTED_VALUE"""),"")</f>
        <v/>
      </c>
      <c r="L588" s="46" t="str">
        <f>IFERROR(__xludf.DUMMYFUNCTION("""COMPUTED_VALUE"""),"")</f>
        <v/>
      </c>
      <c r="M588" s="46" t="str">
        <f>IFERROR(__xludf.DUMMYFUNCTION("""COMPUTED_VALUE"""),"")</f>
        <v/>
      </c>
      <c r="N588" s="46" t="str">
        <f>IFERROR(__xludf.DUMMYFUNCTION("""COMPUTED_VALUE"""),"")</f>
        <v/>
      </c>
      <c r="O588" s="48"/>
      <c r="P588" s="52" t="str">
        <f>IFERROR(__xludf.DUMMYFUNCTION("""COMPUTED_VALUE"""),"")</f>
        <v/>
      </c>
    </row>
    <row r="589">
      <c r="A589" s="48" t="str">
        <f>IFERROR(__xludf.DUMMYFUNCTION("""COMPUTED_VALUE"""),"")</f>
        <v/>
      </c>
      <c r="B589" s="48"/>
      <c r="C589" s="49"/>
      <c r="D589" s="46"/>
      <c r="E589" s="46"/>
      <c r="F589" s="46"/>
      <c r="G589" s="46"/>
      <c r="H589" s="46"/>
      <c r="I589" s="50"/>
      <c r="J589" s="50"/>
      <c r="K589" s="51" t="str">
        <f>IFERROR(__xludf.DUMMYFUNCTION("""COMPUTED_VALUE"""),"")</f>
        <v/>
      </c>
      <c r="L589" s="46" t="str">
        <f>IFERROR(__xludf.DUMMYFUNCTION("""COMPUTED_VALUE"""),"")</f>
        <v/>
      </c>
      <c r="M589" s="46" t="str">
        <f>IFERROR(__xludf.DUMMYFUNCTION("""COMPUTED_VALUE"""),"")</f>
        <v/>
      </c>
      <c r="N589" s="46" t="str">
        <f>IFERROR(__xludf.DUMMYFUNCTION("""COMPUTED_VALUE"""),"")</f>
        <v/>
      </c>
      <c r="O589" s="48"/>
      <c r="P589" s="52" t="str">
        <f>IFERROR(__xludf.DUMMYFUNCTION("""COMPUTED_VALUE"""),"")</f>
        <v/>
      </c>
    </row>
    <row r="590">
      <c r="A590" s="48" t="str">
        <f>IFERROR(__xludf.DUMMYFUNCTION("""COMPUTED_VALUE"""),"")</f>
        <v/>
      </c>
      <c r="B590" s="48"/>
      <c r="C590" s="49"/>
      <c r="D590" s="46"/>
      <c r="E590" s="46"/>
      <c r="F590" s="46"/>
      <c r="G590" s="46"/>
      <c r="H590" s="46"/>
      <c r="I590" s="50"/>
      <c r="J590" s="50"/>
      <c r="K590" s="51" t="str">
        <f>IFERROR(__xludf.DUMMYFUNCTION("""COMPUTED_VALUE"""),"")</f>
        <v/>
      </c>
      <c r="L590" s="46" t="str">
        <f>IFERROR(__xludf.DUMMYFUNCTION("""COMPUTED_VALUE"""),"")</f>
        <v/>
      </c>
      <c r="M590" s="46" t="str">
        <f>IFERROR(__xludf.DUMMYFUNCTION("""COMPUTED_VALUE"""),"")</f>
        <v/>
      </c>
      <c r="N590" s="46" t="str">
        <f>IFERROR(__xludf.DUMMYFUNCTION("""COMPUTED_VALUE"""),"")</f>
        <v/>
      </c>
      <c r="O590" s="48"/>
      <c r="P590" s="52" t="str">
        <f>IFERROR(__xludf.DUMMYFUNCTION("""COMPUTED_VALUE"""),"")</f>
        <v/>
      </c>
    </row>
    <row r="591">
      <c r="A591" s="48" t="str">
        <f>IFERROR(__xludf.DUMMYFUNCTION("""COMPUTED_VALUE"""),"")</f>
        <v/>
      </c>
      <c r="B591" s="48"/>
      <c r="C591" s="49"/>
      <c r="D591" s="46"/>
      <c r="E591" s="46"/>
      <c r="F591" s="46"/>
      <c r="G591" s="46"/>
      <c r="H591" s="46"/>
      <c r="I591" s="50"/>
      <c r="J591" s="50"/>
      <c r="K591" s="51" t="str">
        <f>IFERROR(__xludf.DUMMYFUNCTION("""COMPUTED_VALUE"""),"")</f>
        <v/>
      </c>
      <c r="L591" s="46" t="str">
        <f>IFERROR(__xludf.DUMMYFUNCTION("""COMPUTED_VALUE"""),"")</f>
        <v/>
      </c>
      <c r="M591" s="46" t="str">
        <f>IFERROR(__xludf.DUMMYFUNCTION("""COMPUTED_VALUE"""),"")</f>
        <v/>
      </c>
      <c r="N591" s="46" t="str">
        <f>IFERROR(__xludf.DUMMYFUNCTION("""COMPUTED_VALUE"""),"")</f>
        <v/>
      </c>
      <c r="O591" s="48"/>
      <c r="P591" s="52" t="str">
        <f>IFERROR(__xludf.DUMMYFUNCTION("""COMPUTED_VALUE"""),"")</f>
        <v/>
      </c>
    </row>
    <row r="592">
      <c r="A592" s="48" t="str">
        <f>IFERROR(__xludf.DUMMYFUNCTION("""COMPUTED_VALUE"""),"")</f>
        <v/>
      </c>
      <c r="B592" s="48"/>
      <c r="C592" s="49"/>
      <c r="D592" s="46"/>
      <c r="E592" s="46"/>
      <c r="F592" s="46"/>
      <c r="G592" s="46"/>
      <c r="H592" s="46"/>
      <c r="I592" s="50"/>
      <c r="J592" s="50"/>
      <c r="K592" s="51" t="str">
        <f>IFERROR(__xludf.DUMMYFUNCTION("""COMPUTED_VALUE"""),"")</f>
        <v/>
      </c>
      <c r="L592" s="46" t="str">
        <f>IFERROR(__xludf.DUMMYFUNCTION("""COMPUTED_VALUE"""),"")</f>
        <v/>
      </c>
      <c r="M592" s="46" t="str">
        <f>IFERROR(__xludf.DUMMYFUNCTION("""COMPUTED_VALUE"""),"")</f>
        <v/>
      </c>
      <c r="N592" s="46" t="str">
        <f>IFERROR(__xludf.DUMMYFUNCTION("""COMPUTED_VALUE"""),"")</f>
        <v/>
      </c>
      <c r="O592" s="48"/>
      <c r="P592" s="52" t="str">
        <f>IFERROR(__xludf.DUMMYFUNCTION("""COMPUTED_VALUE"""),"")</f>
        <v/>
      </c>
    </row>
    <row r="593">
      <c r="A593" s="48" t="str">
        <f>IFERROR(__xludf.DUMMYFUNCTION("""COMPUTED_VALUE"""),"")</f>
        <v/>
      </c>
      <c r="B593" s="48"/>
      <c r="C593" s="49"/>
      <c r="D593" s="46"/>
      <c r="E593" s="46"/>
      <c r="F593" s="46"/>
      <c r="G593" s="46"/>
      <c r="H593" s="46"/>
      <c r="I593" s="50"/>
      <c r="J593" s="50"/>
      <c r="K593" s="51" t="str">
        <f>IFERROR(__xludf.DUMMYFUNCTION("""COMPUTED_VALUE"""),"")</f>
        <v/>
      </c>
      <c r="L593" s="46" t="str">
        <f>IFERROR(__xludf.DUMMYFUNCTION("""COMPUTED_VALUE"""),"")</f>
        <v/>
      </c>
      <c r="M593" s="46" t="str">
        <f>IFERROR(__xludf.DUMMYFUNCTION("""COMPUTED_VALUE"""),"")</f>
        <v/>
      </c>
      <c r="N593" s="46" t="str">
        <f>IFERROR(__xludf.DUMMYFUNCTION("""COMPUTED_VALUE"""),"")</f>
        <v/>
      </c>
      <c r="O593" s="48"/>
      <c r="P593" s="52" t="str">
        <f>IFERROR(__xludf.DUMMYFUNCTION("""COMPUTED_VALUE"""),"")</f>
        <v/>
      </c>
    </row>
    <row r="594">
      <c r="A594" s="48" t="str">
        <f>IFERROR(__xludf.DUMMYFUNCTION("""COMPUTED_VALUE"""),"")</f>
        <v/>
      </c>
      <c r="B594" s="48"/>
      <c r="C594" s="49"/>
      <c r="D594" s="46"/>
      <c r="E594" s="46"/>
      <c r="F594" s="46"/>
      <c r="G594" s="46"/>
      <c r="H594" s="46"/>
      <c r="I594" s="50"/>
      <c r="J594" s="50"/>
      <c r="K594" s="51" t="str">
        <f>IFERROR(__xludf.DUMMYFUNCTION("""COMPUTED_VALUE"""),"")</f>
        <v/>
      </c>
      <c r="L594" s="46" t="str">
        <f>IFERROR(__xludf.DUMMYFUNCTION("""COMPUTED_VALUE"""),"")</f>
        <v/>
      </c>
      <c r="M594" s="46" t="str">
        <f>IFERROR(__xludf.DUMMYFUNCTION("""COMPUTED_VALUE"""),"")</f>
        <v/>
      </c>
      <c r="N594" s="46" t="str">
        <f>IFERROR(__xludf.DUMMYFUNCTION("""COMPUTED_VALUE"""),"")</f>
        <v/>
      </c>
      <c r="O594" s="48"/>
      <c r="P594" s="52" t="str">
        <f>IFERROR(__xludf.DUMMYFUNCTION("""COMPUTED_VALUE"""),"")</f>
        <v/>
      </c>
    </row>
    <row r="595">
      <c r="A595" s="48" t="str">
        <f>IFERROR(__xludf.DUMMYFUNCTION("""COMPUTED_VALUE"""),"")</f>
        <v/>
      </c>
      <c r="B595" s="48"/>
      <c r="C595" s="49"/>
      <c r="D595" s="46"/>
      <c r="E595" s="46"/>
      <c r="F595" s="46"/>
      <c r="G595" s="46"/>
      <c r="H595" s="46"/>
      <c r="I595" s="50"/>
      <c r="J595" s="50"/>
      <c r="K595" s="51" t="str">
        <f>IFERROR(__xludf.DUMMYFUNCTION("""COMPUTED_VALUE"""),"")</f>
        <v/>
      </c>
      <c r="L595" s="46" t="str">
        <f>IFERROR(__xludf.DUMMYFUNCTION("""COMPUTED_VALUE"""),"")</f>
        <v/>
      </c>
      <c r="M595" s="46" t="str">
        <f>IFERROR(__xludf.DUMMYFUNCTION("""COMPUTED_VALUE"""),"")</f>
        <v/>
      </c>
      <c r="N595" s="46" t="str">
        <f>IFERROR(__xludf.DUMMYFUNCTION("""COMPUTED_VALUE"""),"")</f>
        <v/>
      </c>
      <c r="O595" s="48"/>
      <c r="P595" s="52" t="str">
        <f>IFERROR(__xludf.DUMMYFUNCTION("""COMPUTED_VALUE"""),"")</f>
        <v/>
      </c>
    </row>
    <row r="596">
      <c r="A596" s="48" t="str">
        <f>IFERROR(__xludf.DUMMYFUNCTION("""COMPUTED_VALUE"""),"")</f>
        <v/>
      </c>
      <c r="B596" s="48"/>
      <c r="C596" s="49"/>
      <c r="D596" s="46"/>
      <c r="E596" s="46"/>
      <c r="F596" s="46"/>
      <c r="G596" s="46"/>
      <c r="H596" s="46"/>
      <c r="I596" s="50"/>
      <c r="J596" s="50"/>
      <c r="K596" s="51" t="str">
        <f>IFERROR(__xludf.DUMMYFUNCTION("""COMPUTED_VALUE"""),"")</f>
        <v/>
      </c>
      <c r="L596" s="46" t="str">
        <f>IFERROR(__xludf.DUMMYFUNCTION("""COMPUTED_VALUE"""),"")</f>
        <v/>
      </c>
      <c r="M596" s="46" t="str">
        <f>IFERROR(__xludf.DUMMYFUNCTION("""COMPUTED_VALUE"""),"")</f>
        <v/>
      </c>
      <c r="N596" s="46" t="str">
        <f>IFERROR(__xludf.DUMMYFUNCTION("""COMPUTED_VALUE"""),"")</f>
        <v/>
      </c>
      <c r="O596" s="48"/>
      <c r="P596" s="52" t="str">
        <f>IFERROR(__xludf.DUMMYFUNCTION("""COMPUTED_VALUE"""),"")</f>
        <v/>
      </c>
    </row>
    <row r="597">
      <c r="A597" s="48" t="str">
        <f>IFERROR(__xludf.DUMMYFUNCTION("""COMPUTED_VALUE"""),"")</f>
        <v/>
      </c>
      <c r="B597" s="48"/>
      <c r="C597" s="49"/>
      <c r="D597" s="46"/>
      <c r="E597" s="46"/>
      <c r="F597" s="46"/>
      <c r="G597" s="46"/>
      <c r="H597" s="46"/>
      <c r="I597" s="50"/>
      <c r="J597" s="50"/>
      <c r="K597" s="51" t="str">
        <f>IFERROR(__xludf.DUMMYFUNCTION("""COMPUTED_VALUE"""),"")</f>
        <v/>
      </c>
      <c r="L597" s="46" t="str">
        <f>IFERROR(__xludf.DUMMYFUNCTION("""COMPUTED_VALUE"""),"")</f>
        <v/>
      </c>
      <c r="M597" s="46" t="str">
        <f>IFERROR(__xludf.DUMMYFUNCTION("""COMPUTED_VALUE"""),"")</f>
        <v/>
      </c>
      <c r="N597" s="46" t="str">
        <f>IFERROR(__xludf.DUMMYFUNCTION("""COMPUTED_VALUE"""),"")</f>
        <v/>
      </c>
      <c r="O597" s="48"/>
      <c r="P597" s="52" t="str">
        <f>IFERROR(__xludf.DUMMYFUNCTION("""COMPUTED_VALUE"""),"")</f>
        <v/>
      </c>
    </row>
    <row r="598">
      <c r="A598" s="48" t="str">
        <f>IFERROR(__xludf.DUMMYFUNCTION("""COMPUTED_VALUE"""),"")</f>
        <v/>
      </c>
      <c r="B598" s="48"/>
      <c r="C598" s="49"/>
      <c r="D598" s="46"/>
      <c r="E598" s="46"/>
      <c r="F598" s="46"/>
      <c r="G598" s="46"/>
      <c r="H598" s="46"/>
      <c r="I598" s="50"/>
      <c r="J598" s="50"/>
      <c r="K598" s="51" t="str">
        <f>IFERROR(__xludf.DUMMYFUNCTION("""COMPUTED_VALUE"""),"")</f>
        <v/>
      </c>
      <c r="L598" s="46" t="str">
        <f>IFERROR(__xludf.DUMMYFUNCTION("""COMPUTED_VALUE"""),"")</f>
        <v/>
      </c>
      <c r="M598" s="46" t="str">
        <f>IFERROR(__xludf.DUMMYFUNCTION("""COMPUTED_VALUE"""),"")</f>
        <v/>
      </c>
      <c r="N598" s="46" t="str">
        <f>IFERROR(__xludf.DUMMYFUNCTION("""COMPUTED_VALUE"""),"")</f>
        <v/>
      </c>
      <c r="O598" s="48"/>
      <c r="P598" s="52" t="str">
        <f>IFERROR(__xludf.DUMMYFUNCTION("""COMPUTED_VALUE"""),"")</f>
        <v/>
      </c>
    </row>
    <row r="599">
      <c r="A599" s="48" t="str">
        <f>IFERROR(__xludf.DUMMYFUNCTION("""COMPUTED_VALUE"""),"")</f>
        <v/>
      </c>
      <c r="B599" s="48"/>
      <c r="C599" s="49"/>
      <c r="D599" s="46"/>
      <c r="E599" s="46"/>
      <c r="F599" s="46"/>
      <c r="G599" s="46"/>
      <c r="H599" s="46"/>
      <c r="I599" s="50"/>
      <c r="J599" s="50"/>
      <c r="K599" s="51" t="str">
        <f>IFERROR(__xludf.DUMMYFUNCTION("""COMPUTED_VALUE"""),"")</f>
        <v/>
      </c>
      <c r="L599" s="46" t="str">
        <f>IFERROR(__xludf.DUMMYFUNCTION("""COMPUTED_VALUE"""),"")</f>
        <v/>
      </c>
      <c r="M599" s="46" t="str">
        <f>IFERROR(__xludf.DUMMYFUNCTION("""COMPUTED_VALUE"""),"")</f>
        <v/>
      </c>
      <c r="N599" s="46" t="str">
        <f>IFERROR(__xludf.DUMMYFUNCTION("""COMPUTED_VALUE"""),"")</f>
        <v/>
      </c>
      <c r="O599" s="48"/>
      <c r="P599" s="52" t="str">
        <f>IFERROR(__xludf.DUMMYFUNCTION("""COMPUTED_VALUE"""),"")</f>
        <v/>
      </c>
    </row>
    <row r="600">
      <c r="A600" s="48" t="str">
        <f>IFERROR(__xludf.DUMMYFUNCTION("""COMPUTED_VALUE"""),"")</f>
        <v/>
      </c>
      <c r="B600" s="48"/>
      <c r="C600" s="49"/>
      <c r="D600" s="46"/>
      <c r="E600" s="46"/>
      <c r="F600" s="46"/>
      <c r="G600" s="46"/>
      <c r="H600" s="46"/>
      <c r="I600" s="50"/>
      <c r="J600" s="50"/>
      <c r="K600" s="51" t="str">
        <f>IFERROR(__xludf.DUMMYFUNCTION("""COMPUTED_VALUE"""),"")</f>
        <v/>
      </c>
      <c r="L600" s="46" t="str">
        <f>IFERROR(__xludf.DUMMYFUNCTION("""COMPUTED_VALUE"""),"")</f>
        <v/>
      </c>
      <c r="M600" s="46" t="str">
        <f>IFERROR(__xludf.DUMMYFUNCTION("""COMPUTED_VALUE"""),"")</f>
        <v/>
      </c>
      <c r="N600" s="46" t="str">
        <f>IFERROR(__xludf.DUMMYFUNCTION("""COMPUTED_VALUE"""),"")</f>
        <v/>
      </c>
      <c r="O600" s="48"/>
      <c r="P600" s="52" t="str">
        <f>IFERROR(__xludf.DUMMYFUNCTION("""COMPUTED_VALUE"""),"")</f>
        <v/>
      </c>
    </row>
    <row r="601">
      <c r="A601" s="48" t="str">
        <f>IFERROR(__xludf.DUMMYFUNCTION("""COMPUTED_VALUE"""),"")</f>
        <v/>
      </c>
      <c r="B601" s="48"/>
      <c r="C601" s="49"/>
      <c r="D601" s="46"/>
      <c r="E601" s="46"/>
      <c r="F601" s="46"/>
      <c r="G601" s="46"/>
      <c r="H601" s="46"/>
      <c r="I601" s="50"/>
      <c r="J601" s="50"/>
      <c r="K601" s="51" t="str">
        <f>IFERROR(__xludf.DUMMYFUNCTION("""COMPUTED_VALUE"""),"")</f>
        <v/>
      </c>
      <c r="L601" s="46" t="str">
        <f>IFERROR(__xludf.DUMMYFUNCTION("""COMPUTED_VALUE"""),"")</f>
        <v/>
      </c>
      <c r="M601" s="46" t="str">
        <f>IFERROR(__xludf.DUMMYFUNCTION("""COMPUTED_VALUE"""),"")</f>
        <v/>
      </c>
      <c r="N601" s="46" t="str">
        <f>IFERROR(__xludf.DUMMYFUNCTION("""COMPUTED_VALUE"""),"")</f>
        <v/>
      </c>
      <c r="O601" s="48"/>
      <c r="P601" s="52" t="str">
        <f>IFERROR(__xludf.DUMMYFUNCTION("""COMPUTED_VALUE"""),"")</f>
        <v/>
      </c>
    </row>
    <row r="602">
      <c r="A602" s="48" t="str">
        <f>IFERROR(__xludf.DUMMYFUNCTION("""COMPUTED_VALUE"""),"")</f>
        <v/>
      </c>
      <c r="B602" s="48"/>
      <c r="C602" s="49"/>
      <c r="D602" s="46"/>
      <c r="E602" s="46"/>
      <c r="F602" s="46"/>
      <c r="G602" s="46"/>
      <c r="H602" s="46"/>
      <c r="I602" s="50"/>
      <c r="J602" s="50"/>
      <c r="K602" s="51" t="str">
        <f>IFERROR(__xludf.DUMMYFUNCTION("""COMPUTED_VALUE"""),"")</f>
        <v/>
      </c>
      <c r="L602" s="46" t="str">
        <f>IFERROR(__xludf.DUMMYFUNCTION("""COMPUTED_VALUE"""),"")</f>
        <v/>
      </c>
      <c r="M602" s="46" t="str">
        <f>IFERROR(__xludf.DUMMYFUNCTION("""COMPUTED_VALUE"""),"")</f>
        <v/>
      </c>
      <c r="N602" s="46" t="str">
        <f>IFERROR(__xludf.DUMMYFUNCTION("""COMPUTED_VALUE"""),"")</f>
        <v/>
      </c>
      <c r="O602" s="48"/>
      <c r="P602" s="52" t="str">
        <f>IFERROR(__xludf.DUMMYFUNCTION("""COMPUTED_VALUE"""),"")</f>
        <v/>
      </c>
    </row>
    <row r="603">
      <c r="A603" s="48" t="str">
        <f>IFERROR(__xludf.DUMMYFUNCTION("""COMPUTED_VALUE"""),"")</f>
        <v/>
      </c>
      <c r="B603" s="48"/>
      <c r="C603" s="49"/>
      <c r="D603" s="46"/>
      <c r="E603" s="46"/>
      <c r="F603" s="46"/>
      <c r="G603" s="46"/>
      <c r="H603" s="46"/>
      <c r="I603" s="50"/>
      <c r="J603" s="50"/>
      <c r="K603" s="51" t="str">
        <f>IFERROR(__xludf.DUMMYFUNCTION("""COMPUTED_VALUE"""),"")</f>
        <v/>
      </c>
      <c r="L603" s="46" t="str">
        <f>IFERROR(__xludf.DUMMYFUNCTION("""COMPUTED_VALUE"""),"")</f>
        <v/>
      </c>
      <c r="M603" s="46" t="str">
        <f>IFERROR(__xludf.DUMMYFUNCTION("""COMPUTED_VALUE"""),"")</f>
        <v/>
      </c>
      <c r="N603" s="46" t="str">
        <f>IFERROR(__xludf.DUMMYFUNCTION("""COMPUTED_VALUE"""),"")</f>
        <v/>
      </c>
      <c r="O603" s="48"/>
      <c r="P603" s="52" t="str">
        <f>IFERROR(__xludf.DUMMYFUNCTION("""COMPUTED_VALUE"""),"")</f>
        <v/>
      </c>
    </row>
    <row r="604">
      <c r="A604" s="48" t="str">
        <f>IFERROR(__xludf.DUMMYFUNCTION("""COMPUTED_VALUE"""),"")</f>
        <v/>
      </c>
      <c r="B604" s="48"/>
      <c r="C604" s="49"/>
      <c r="D604" s="46"/>
      <c r="E604" s="46"/>
      <c r="F604" s="46"/>
      <c r="G604" s="46"/>
      <c r="H604" s="46"/>
      <c r="I604" s="50"/>
      <c r="J604" s="50"/>
      <c r="K604" s="51" t="str">
        <f>IFERROR(__xludf.DUMMYFUNCTION("""COMPUTED_VALUE"""),"")</f>
        <v/>
      </c>
      <c r="L604" s="46" t="str">
        <f>IFERROR(__xludf.DUMMYFUNCTION("""COMPUTED_VALUE"""),"")</f>
        <v/>
      </c>
      <c r="M604" s="46" t="str">
        <f>IFERROR(__xludf.DUMMYFUNCTION("""COMPUTED_VALUE"""),"")</f>
        <v/>
      </c>
      <c r="N604" s="46" t="str">
        <f>IFERROR(__xludf.DUMMYFUNCTION("""COMPUTED_VALUE"""),"")</f>
        <v/>
      </c>
      <c r="O604" s="48"/>
      <c r="P604" s="52" t="str">
        <f>IFERROR(__xludf.DUMMYFUNCTION("""COMPUTED_VALUE"""),"")</f>
        <v/>
      </c>
    </row>
    <row r="605">
      <c r="A605" s="48" t="str">
        <f>IFERROR(__xludf.DUMMYFUNCTION("""COMPUTED_VALUE"""),"")</f>
        <v/>
      </c>
      <c r="B605" s="48"/>
      <c r="C605" s="49"/>
      <c r="D605" s="46"/>
      <c r="E605" s="46"/>
      <c r="F605" s="46"/>
      <c r="G605" s="46"/>
      <c r="H605" s="46"/>
      <c r="I605" s="50"/>
      <c r="J605" s="50"/>
      <c r="K605" s="51" t="str">
        <f>IFERROR(__xludf.DUMMYFUNCTION("""COMPUTED_VALUE"""),"")</f>
        <v/>
      </c>
      <c r="L605" s="46" t="str">
        <f>IFERROR(__xludf.DUMMYFUNCTION("""COMPUTED_VALUE"""),"")</f>
        <v/>
      </c>
      <c r="M605" s="46" t="str">
        <f>IFERROR(__xludf.DUMMYFUNCTION("""COMPUTED_VALUE"""),"")</f>
        <v/>
      </c>
      <c r="N605" s="46" t="str">
        <f>IFERROR(__xludf.DUMMYFUNCTION("""COMPUTED_VALUE"""),"")</f>
        <v/>
      </c>
      <c r="O605" s="48"/>
      <c r="P605" s="52" t="str">
        <f>IFERROR(__xludf.DUMMYFUNCTION("""COMPUTED_VALUE"""),"")</f>
        <v/>
      </c>
    </row>
    <row r="606">
      <c r="A606" s="48" t="str">
        <f>IFERROR(__xludf.DUMMYFUNCTION("""COMPUTED_VALUE"""),"")</f>
        <v/>
      </c>
      <c r="B606" s="48"/>
      <c r="C606" s="49"/>
      <c r="D606" s="46"/>
      <c r="E606" s="46"/>
      <c r="F606" s="46"/>
      <c r="G606" s="46"/>
      <c r="H606" s="46"/>
      <c r="I606" s="50"/>
      <c r="J606" s="50"/>
      <c r="K606" s="51" t="str">
        <f>IFERROR(__xludf.DUMMYFUNCTION("""COMPUTED_VALUE"""),"")</f>
        <v/>
      </c>
      <c r="L606" s="46" t="str">
        <f>IFERROR(__xludf.DUMMYFUNCTION("""COMPUTED_VALUE"""),"")</f>
        <v/>
      </c>
      <c r="M606" s="46" t="str">
        <f>IFERROR(__xludf.DUMMYFUNCTION("""COMPUTED_VALUE"""),"")</f>
        <v/>
      </c>
      <c r="N606" s="46" t="str">
        <f>IFERROR(__xludf.DUMMYFUNCTION("""COMPUTED_VALUE"""),"")</f>
        <v/>
      </c>
      <c r="O606" s="48"/>
      <c r="P606" s="52" t="str">
        <f>IFERROR(__xludf.DUMMYFUNCTION("""COMPUTED_VALUE"""),"")</f>
        <v/>
      </c>
    </row>
    <row r="607">
      <c r="A607" s="48" t="str">
        <f>IFERROR(__xludf.DUMMYFUNCTION("""COMPUTED_VALUE"""),"")</f>
        <v/>
      </c>
      <c r="B607" s="48"/>
      <c r="C607" s="49"/>
      <c r="D607" s="46"/>
      <c r="E607" s="46"/>
      <c r="F607" s="46"/>
      <c r="G607" s="46"/>
      <c r="H607" s="46"/>
      <c r="I607" s="50"/>
      <c r="J607" s="50"/>
      <c r="K607" s="51" t="str">
        <f>IFERROR(__xludf.DUMMYFUNCTION("""COMPUTED_VALUE"""),"")</f>
        <v/>
      </c>
      <c r="L607" s="46" t="str">
        <f>IFERROR(__xludf.DUMMYFUNCTION("""COMPUTED_VALUE"""),"")</f>
        <v/>
      </c>
      <c r="M607" s="46" t="str">
        <f>IFERROR(__xludf.DUMMYFUNCTION("""COMPUTED_VALUE"""),"")</f>
        <v/>
      </c>
      <c r="N607" s="46" t="str">
        <f>IFERROR(__xludf.DUMMYFUNCTION("""COMPUTED_VALUE"""),"")</f>
        <v/>
      </c>
      <c r="O607" s="48"/>
      <c r="P607" s="52" t="str">
        <f>IFERROR(__xludf.DUMMYFUNCTION("""COMPUTED_VALUE"""),"")</f>
        <v/>
      </c>
    </row>
    <row r="608">
      <c r="A608" s="48" t="str">
        <f>IFERROR(__xludf.DUMMYFUNCTION("""COMPUTED_VALUE"""),"")</f>
        <v/>
      </c>
      <c r="B608" s="48"/>
      <c r="C608" s="49"/>
      <c r="D608" s="46"/>
      <c r="E608" s="46"/>
      <c r="F608" s="46"/>
      <c r="G608" s="46"/>
      <c r="H608" s="46"/>
      <c r="I608" s="50"/>
      <c r="J608" s="50"/>
      <c r="K608" s="51" t="str">
        <f>IFERROR(__xludf.DUMMYFUNCTION("""COMPUTED_VALUE"""),"")</f>
        <v/>
      </c>
      <c r="L608" s="46" t="str">
        <f>IFERROR(__xludf.DUMMYFUNCTION("""COMPUTED_VALUE"""),"")</f>
        <v/>
      </c>
      <c r="M608" s="46" t="str">
        <f>IFERROR(__xludf.DUMMYFUNCTION("""COMPUTED_VALUE"""),"")</f>
        <v/>
      </c>
      <c r="N608" s="46" t="str">
        <f>IFERROR(__xludf.DUMMYFUNCTION("""COMPUTED_VALUE"""),"")</f>
        <v/>
      </c>
      <c r="O608" s="48"/>
      <c r="P608" s="52" t="str">
        <f>IFERROR(__xludf.DUMMYFUNCTION("""COMPUTED_VALUE"""),"")</f>
        <v/>
      </c>
    </row>
    <row r="609">
      <c r="A609" s="48" t="str">
        <f>IFERROR(__xludf.DUMMYFUNCTION("""COMPUTED_VALUE"""),"")</f>
        <v/>
      </c>
      <c r="B609" s="48"/>
      <c r="C609" s="49"/>
      <c r="D609" s="46"/>
      <c r="E609" s="46"/>
      <c r="F609" s="46"/>
      <c r="G609" s="46"/>
      <c r="H609" s="46"/>
      <c r="I609" s="50"/>
      <c r="J609" s="50"/>
      <c r="K609" s="51" t="str">
        <f>IFERROR(__xludf.DUMMYFUNCTION("""COMPUTED_VALUE"""),"")</f>
        <v/>
      </c>
      <c r="L609" s="46" t="str">
        <f>IFERROR(__xludf.DUMMYFUNCTION("""COMPUTED_VALUE"""),"")</f>
        <v/>
      </c>
      <c r="M609" s="46" t="str">
        <f>IFERROR(__xludf.DUMMYFUNCTION("""COMPUTED_VALUE"""),"")</f>
        <v/>
      </c>
      <c r="N609" s="46" t="str">
        <f>IFERROR(__xludf.DUMMYFUNCTION("""COMPUTED_VALUE"""),"")</f>
        <v/>
      </c>
      <c r="O609" s="48"/>
      <c r="P609" s="52" t="str">
        <f>IFERROR(__xludf.DUMMYFUNCTION("""COMPUTED_VALUE"""),"")</f>
        <v/>
      </c>
    </row>
    <row r="610">
      <c r="A610" s="48" t="str">
        <f>IFERROR(__xludf.DUMMYFUNCTION("""COMPUTED_VALUE"""),"")</f>
        <v/>
      </c>
      <c r="B610" s="48"/>
      <c r="C610" s="49"/>
      <c r="D610" s="46"/>
      <c r="E610" s="46"/>
      <c r="F610" s="46"/>
      <c r="G610" s="46"/>
      <c r="H610" s="46"/>
      <c r="I610" s="50"/>
      <c r="J610" s="50"/>
      <c r="K610" s="51" t="str">
        <f>IFERROR(__xludf.DUMMYFUNCTION("""COMPUTED_VALUE"""),"")</f>
        <v/>
      </c>
      <c r="L610" s="46" t="str">
        <f>IFERROR(__xludf.DUMMYFUNCTION("""COMPUTED_VALUE"""),"")</f>
        <v/>
      </c>
      <c r="M610" s="46" t="str">
        <f>IFERROR(__xludf.DUMMYFUNCTION("""COMPUTED_VALUE"""),"")</f>
        <v/>
      </c>
      <c r="N610" s="46" t="str">
        <f>IFERROR(__xludf.DUMMYFUNCTION("""COMPUTED_VALUE"""),"")</f>
        <v/>
      </c>
      <c r="O610" s="48"/>
      <c r="P610" s="52" t="str">
        <f>IFERROR(__xludf.DUMMYFUNCTION("""COMPUTED_VALUE"""),"")</f>
        <v/>
      </c>
    </row>
    <row r="611">
      <c r="A611" s="48" t="str">
        <f>IFERROR(__xludf.DUMMYFUNCTION("""COMPUTED_VALUE"""),"")</f>
        <v/>
      </c>
      <c r="B611" s="48"/>
      <c r="C611" s="49"/>
      <c r="D611" s="46"/>
      <c r="E611" s="46"/>
      <c r="F611" s="46"/>
      <c r="G611" s="46"/>
      <c r="H611" s="46"/>
      <c r="I611" s="50"/>
      <c r="J611" s="50"/>
      <c r="K611" s="51" t="str">
        <f>IFERROR(__xludf.DUMMYFUNCTION("""COMPUTED_VALUE"""),"")</f>
        <v/>
      </c>
      <c r="L611" s="46" t="str">
        <f>IFERROR(__xludf.DUMMYFUNCTION("""COMPUTED_VALUE"""),"")</f>
        <v/>
      </c>
      <c r="M611" s="46" t="str">
        <f>IFERROR(__xludf.DUMMYFUNCTION("""COMPUTED_VALUE"""),"")</f>
        <v/>
      </c>
      <c r="N611" s="46" t="str">
        <f>IFERROR(__xludf.DUMMYFUNCTION("""COMPUTED_VALUE"""),"")</f>
        <v/>
      </c>
      <c r="O611" s="48"/>
      <c r="P611" s="52" t="str">
        <f>IFERROR(__xludf.DUMMYFUNCTION("""COMPUTED_VALUE"""),"")</f>
        <v/>
      </c>
    </row>
    <row r="612">
      <c r="A612" s="48" t="str">
        <f>IFERROR(__xludf.DUMMYFUNCTION("""COMPUTED_VALUE"""),"")</f>
        <v/>
      </c>
      <c r="B612" s="48"/>
      <c r="C612" s="49"/>
      <c r="D612" s="46"/>
      <c r="E612" s="46"/>
      <c r="F612" s="46"/>
      <c r="G612" s="46"/>
      <c r="H612" s="46"/>
      <c r="I612" s="50"/>
      <c r="J612" s="50"/>
      <c r="K612" s="51" t="str">
        <f>IFERROR(__xludf.DUMMYFUNCTION("""COMPUTED_VALUE"""),"")</f>
        <v/>
      </c>
      <c r="L612" s="46" t="str">
        <f>IFERROR(__xludf.DUMMYFUNCTION("""COMPUTED_VALUE"""),"")</f>
        <v/>
      </c>
      <c r="M612" s="46" t="str">
        <f>IFERROR(__xludf.DUMMYFUNCTION("""COMPUTED_VALUE"""),"")</f>
        <v/>
      </c>
      <c r="N612" s="46" t="str">
        <f>IFERROR(__xludf.DUMMYFUNCTION("""COMPUTED_VALUE"""),"")</f>
        <v/>
      </c>
      <c r="O612" s="48"/>
      <c r="P612" s="52" t="str">
        <f>IFERROR(__xludf.DUMMYFUNCTION("""COMPUTED_VALUE"""),"")</f>
        <v/>
      </c>
    </row>
    <row r="613">
      <c r="A613" s="48" t="str">
        <f>IFERROR(__xludf.DUMMYFUNCTION("""COMPUTED_VALUE"""),"")</f>
        <v/>
      </c>
      <c r="B613" s="48"/>
      <c r="C613" s="49"/>
      <c r="D613" s="46"/>
      <c r="E613" s="46"/>
      <c r="F613" s="46"/>
      <c r="G613" s="46"/>
      <c r="H613" s="46"/>
      <c r="I613" s="50"/>
      <c r="J613" s="50"/>
      <c r="K613" s="51" t="str">
        <f>IFERROR(__xludf.DUMMYFUNCTION("""COMPUTED_VALUE"""),"")</f>
        <v/>
      </c>
      <c r="L613" s="46" t="str">
        <f>IFERROR(__xludf.DUMMYFUNCTION("""COMPUTED_VALUE"""),"")</f>
        <v/>
      </c>
      <c r="M613" s="46" t="str">
        <f>IFERROR(__xludf.DUMMYFUNCTION("""COMPUTED_VALUE"""),"")</f>
        <v/>
      </c>
      <c r="N613" s="46" t="str">
        <f>IFERROR(__xludf.DUMMYFUNCTION("""COMPUTED_VALUE"""),"")</f>
        <v/>
      </c>
      <c r="O613" s="48"/>
      <c r="P613" s="52" t="str">
        <f>IFERROR(__xludf.DUMMYFUNCTION("""COMPUTED_VALUE"""),"")</f>
        <v/>
      </c>
    </row>
    <row r="614">
      <c r="A614" s="48" t="str">
        <f>IFERROR(__xludf.DUMMYFUNCTION("""COMPUTED_VALUE"""),"")</f>
        <v/>
      </c>
      <c r="B614" s="48"/>
      <c r="C614" s="49"/>
      <c r="D614" s="46"/>
      <c r="E614" s="46"/>
      <c r="F614" s="46"/>
      <c r="G614" s="46"/>
      <c r="H614" s="46"/>
      <c r="I614" s="50"/>
      <c r="J614" s="50"/>
      <c r="K614" s="51" t="str">
        <f>IFERROR(__xludf.DUMMYFUNCTION("""COMPUTED_VALUE"""),"")</f>
        <v/>
      </c>
      <c r="L614" s="46" t="str">
        <f>IFERROR(__xludf.DUMMYFUNCTION("""COMPUTED_VALUE"""),"")</f>
        <v/>
      </c>
      <c r="M614" s="46" t="str">
        <f>IFERROR(__xludf.DUMMYFUNCTION("""COMPUTED_VALUE"""),"")</f>
        <v/>
      </c>
      <c r="N614" s="46" t="str">
        <f>IFERROR(__xludf.DUMMYFUNCTION("""COMPUTED_VALUE"""),"")</f>
        <v/>
      </c>
      <c r="O614" s="48"/>
      <c r="P614" s="52" t="str">
        <f>IFERROR(__xludf.DUMMYFUNCTION("""COMPUTED_VALUE"""),"")</f>
        <v/>
      </c>
    </row>
    <row r="615">
      <c r="A615" s="48" t="str">
        <f>IFERROR(__xludf.DUMMYFUNCTION("""COMPUTED_VALUE"""),"")</f>
        <v/>
      </c>
      <c r="B615" s="48"/>
      <c r="C615" s="49"/>
      <c r="D615" s="46"/>
      <c r="E615" s="46"/>
      <c r="F615" s="46"/>
      <c r="G615" s="46"/>
      <c r="H615" s="46"/>
      <c r="I615" s="50"/>
      <c r="J615" s="50"/>
      <c r="K615" s="51" t="str">
        <f>IFERROR(__xludf.DUMMYFUNCTION("""COMPUTED_VALUE"""),"")</f>
        <v/>
      </c>
      <c r="L615" s="46" t="str">
        <f>IFERROR(__xludf.DUMMYFUNCTION("""COMPUTED_VALUE"""),"")</f>
        <v/>
      </c>
      <c r="M615" s="46" t="str">
        <f>IFERROR(__xludf.DUMMYFUNCTION("""COMPUTED_VALUE"""),"")</f>
        <v/>
      </c>
      <c r="N615" s="46" t="str">
        <f>IFERROR(__xludf.DUMMYFUNCTION("""COMPUTED_VALUE"""),"")</f>
        <v/>
      </c>
      <c r="O615" s="48"/>
      <c r="P615" s="52" t="str">
        <f>IFERROR(__xludf.DUMMYFUNCTION("""COMPUTED_VALUE"""),"")</f>
        <v/>
      </c>
    </row>
    <row r="616">
      <c r="A616" s="48" t="str">
        <f>IFERROR(__xludf.DUMMYFUNCTION("""COMPUTED_VALUE"""),"")</f>
        <v/>
      </c>
      <c r="B616" s="48"/>
      <c r="C616" s="49"/>
      <c r="D616" s="46"/>
      <c r="E616" s="46"/>
      <c r="F616" s="46"/>
      <c r="G616" s="46"/>
      <c r="H616" s="46"/>
      <c r="I616" s="50"/>
      <c r="J616" s="50"/>
      <c r="K616" s="51" t="str">
        <f>IFERROR(__xludf.DUMMYFUNCTION("""COMPUTED_VALUE"""),"")</f>
        <v/>
      </c>
      <c r="L616" s="46" t="str">
        <f>IFERROR(__xludf.DUMMYFUNCTION("""COMPUTED_VALUE"""),"")</f>
        <v/>
      </c>
      <c r="M616" s="46" t="str">
        <f>IFERROR(__xludf.DUMMYFUNCTION("""COMPUTED_VALUE"""),"")</f>
        <v/>
      </c>
      <c r="N616" s="46" t="str">
        <f>IFERROR(__xludf.DUMMYFUNCTION("""COMPUTED_VALUE"""),"")</f>
        <v/>
      </c>
      <c r="O616" s="48"/>
      <c r="P616" s="52" t="str">
        <f>IFERROR(__xludf.DUMMYFUNCTION("""COMPUTED_VALUE"""),"")</f>
        <v/>
      </c>
    </row>
    <row r="617">
      <c r="A617" s="48" t="str">
        <f>IFERROR(__xludf.DUMMYFUNCTION("""COMPUTED_VALUE"""),"")</f>
        <v/>
      </c>
      <c r="B617" s="48"/>
      <c r="C617" s="49"/>
      <c r="D617" s="46"/>
      <c r="E617" s="46"/>
      <c r="F617" s="46"/>
      <c r="G617" s="46"/>
      <c r="H617" s="46"/>
      <c r="I617" s="50"/>
      <c r="J617" s="50"/>
      <c r="K617" s="51" t="str">
        <f>IFERROR(__xludf.DUMMYFUNCTION("""COMPUTED_VALUE"""),"")</f>
        <v/>
      </c>
      <c r="L617" s="46" t="str">
        <f>IFERROR(__xludf.DUMMYFUNCTION("""COMPUTED_VALUE"""),"")</f>
        <v/>
      </c>
      <c r="M617" s="46" t="str">
        <f>IFERROR(__xludf.DUMMYFUNCTION("""COMPUTED_VALUE"""),"")</f>
        <v/>
      </c>
      <c r="N617" s="46" t="str">
        <f>IFERROR(__xludf.DUMMYFUNCTION("""COMPUTED_VALUE"""),"")</f>
        <v/>
      </c>
      <c r="O617" s="48"/>
      <c r="P617" s="52" t="str">
        <f>IFERROR(__xludf.DUMMYFUNCTION("""COMPUTED_VALUE"""),"")</f>
        <v/>
      </c>
    </row>
    <row r="618">
      <c r="A618" s="48" t="str">
        <f>IFERROR(__xludf.DUMMYFUNCTION("""COMPUTED_VALUE"""),"")</f>
        <v/>
      </c>
      <c r="B618" s="48"/>
      <c r="C618" s="49"/>
      <c r="D618" s="46"/>
      <c r="E618" s="46"/>
      <c r="F618" s="46"/>
      <c r="G618" s="46"/>
      <c r="H618" s="46"/>
      <c r="I618" s="50"/>
      <c r="J618" s="50"/>
      <c r="K618" s="51" t="str">
        <f>IFERROR(__xludf.DUMMYFUNCTION("""COMPUTED_VALUE"""),"")</f>
        <v/>
      </c>
      <c r="L618" s="46" t="str">
        <f>IFERROR(__xludf.DUMMYFUNCTION("""COMPUTED_VALUE"""),"")</f>
        <v/>
      </c>
      <c r="M618" s="46" t="str">
        <f>IFERROR(__xludf.DUMMYFUNCTION("""COMPUTED_VALUE"""),"")</f>
        <v/>
      </c>
      <c r="N618" s="46" t="str">
        <f>IFERROR(__xludf.DUMMYFUNCTION("""COMPUTED_VALUE"""),"")</f>
        <v/>
      </c>
      <c r="O618" s="48"/>
      <c r="P618" s="52" t="str">
        <f>IFERROR(__xludf.DUMMYFUNCTION("""COMPUTED_VALUE"""),"")</f>
        <v/>
      </c>
    </row>
    <row r="619">
      <c r="A619" s="48" t="str">
        <f>IFERROR(__xludf.DUMMYFUNCTION("""COMPUTED_VALUE"""),"")</f>
        <v/>
      </c>
      <c r="B619" s="48"/>
      <c r="C619" s="49"/>
      <c r="D619" s="46"/>
      <c r="E619" s="46"/>
      <c r="F619" s="46"/>
      <c r="G619" s="46"/>
      <c r="H619" s="46"/>
      <c r="I619" s="50"/>
      <c r="J619" s="50"/>
      <c r="K619" s="51" t="str">
        <f>IFERROR(__xludf.DUMMYFUNCTION("""COMPUTED_VALUE"""),"")</f>
        <v/>
      </c>
      <c r="L619" s="46" t="str">
        <f>IFERROR(__xludf.DUMMYFUNCTION("""COMPUTED_VALUE"""),"")</f>
        <v/>
      </c>
      <c r="M619" s="46" t="str">
        <f>IFERROR(__xludf.DUMMYFUNCTION("""COMPUTED_VALUE"""),"")</f>
        <v/>
      </c>
      <c r="N619" s="46" t="str">
        <f>IFERROR(__xludf.DUMMYFUNCTION("""COMPUTED_VALUE"""),"")</f>
        <v/>
      </c>
      <c r="O619" s="48"/>
      <c r="P619" s="52" t="str">
        <f>IFERROR(__xludf.DUMMYFUNCTION("""COMPUTED_VALUE"""),"")</f>
        <v/>
      </c>
    </row>
    <row r="620">
      <c r="A620" s="48" t="str">
        <f>IFERROR(__xludf.DUMMYFUNCTION("""COMPUTED_VALUE"""),"")</f>
        <v/>
      </c>
      <c r="B620" s="48"/>
      <c r="C620" s="49"/>
      <c r="D620" s="46"/>
      <c r="E620" s="46"/>
      <c r="F620" s="46"/>
      <c r="G620" s="46"/>
      <c r="H620" s="46"/>
      <c r="I620" s="50"/>
      <c r="J620" s="50"/>
      <c r="K620" s="51" t="str">
        <f>IFERROR(__xludf.DUMMYFUNCTION("""COMPUTED_VALUE"""),"")</f>
        <v/>
      </c>
      <c r="L620" s="46" t="str">
        <f>IFERROR(__xludf.DUMMYFUNCTION("""COMPUTED_VALUE"""),"")</f>
        <v/>
      </c>
      <c r="M620" s="46" t="str">
        <f>IFERROR(__xludf.DUMMYFUNCTION("""COMPUTED_VALUE"""),"")</f>
        <v/>
      </c>
      <c r="N620" s="46" t="str">
        <f>IFERROR(__xludf.DUMMYFUNCTION("""COMPUTED_VALUE"""),"")</f>
        <v/>
      </c>
      <c r="O620" s="48"/>
      <c r="P620" s="52" t="str">
        <f>IFERROR(__xludf.DUMMYFUNCTION("""COMPUTED_VALUE"""),"")</f>
        <v/>
      </c>
    </row>
    <row r="621">
      <c r="A621" s="48" t="str">
        <f>IFERROR(__xludf.DUMMYFUNCTION("""COMPUTED_VALUE"""),"")</f>
        <v/>
      </c>
      <c r="B621" s="48"/>
      <c r="C621" s="49"/>
      <c r="D621" s="46"/>
      <c r="E621" s="46"/>
      <c r="F621" s="46"/>
      <c r="G621" s="46"/>
      <c r="H621" s="46"/>
      <c r="I621" s="50"/>
      <c r="J621" s="50"/>
      <c r="K621" s="51" t="str">
        <f>IFERROR(__xludf.DUMMYFUNCTION("""COMPUTED_VALUE"""),"")</f>
        <v/>
      </c>
      <c r="L621" s="46" t="str">
        <f>IFERROR(__xludf.DUMMYFUNCTION("""COMPUTED_VALUE"""),"")</f>
        <v/>
      </c>
      <c r="M621" s="46" t="str">
        <f>IFERROR(__xludf.DUMMYFUNCTION("""COMPUTED_VALUE"""),"")</f>
        <v/>
      </c>
      <c r="N621" s="46" t="str">
        <f>IFERROR(__xludf.DUMMYFUNCTION("""COMPUTED_VALUE"""),"")</f>
        <v/>
      </c>
      <c r="O621" s="48"/>
      <c r="P621" s="52" t="str">
        <f>IFERROR(__xludf.DUMMYFUNCTION("""COMPUTED_VALUE"""),"")</f>
        <v/>
      </c>
    </row>
    <row r="622">
      <c r="A622" s="48" t="str">
        <f>IFERROR(__xludf.DUMMYFUNCTION("""COMPUTED_VALUE"""),"")</f>
        <v/>
      </c>
      <c r="B622" s="48"/>
      <c r="C622" s="49"/>
      <c r="D622" s="46"/>
      <c r="E622" s="46"/>
      <c r="F622" s="46"/>
      <c r="G622" s="46"/>
      <c r="H622" s="46"/>
      <c r="I622" s="50"/>
      <c r="J622" s="50"/>
      <c r="K622" s="51" t="str">
        <f>IFERROR(__xludf.DUMMYFUNCTION("""COMPUTED_VALUE"""),"")</f>
        <v/>
      </c>
      <c r="L622" s="46" t="str">
        <f>IFERROR(__xludf.DUMMYFUNCTION("""COMPUTED_VALUE"""),"")</f>
        <v/>
      </c>
      <c r="M622" s="46" t="str">
        <f>IFERROR(__xludf.DUMMYFUNCTION("""COMPUTED_VALUE"""),"")</f>
        <v/>
      </c>
      <c r="N622" s="46" t="str">
        <f>IFERROR(__xludf.DUMMYFUNCTION("""COMPUTED_VALUE"""),"")</f>
        <v/>
      </c>
      <c r="O622" s="48"/>
      <c r="P622" s="52" t="str">
        <f>IFERROR(__xludf.DUMMYFUNCTION("""COMPUTED_VALUE"""),"")</f>
        <v/>
      </c>
    </row>
    <row r="623">
      <c r="A623" s="48" t="str">
        <f>IFERROR(__xludf.DUMMYFUNCTION("""COMPUTED_VALUE"""),"")</f>
        <v/>
      </c>
      <c r="B623" s="48"/>
      <c r="C623" s="49"/>
      <c r="D623" s="46"/>
      <c r="E623" s="46"/>
      <c r="F623" s="46"/>
      <c r="G623" s="46"/>
      <c r="H623" s="46"/>
      <c r="I623" s="50"/>
      <c r="J623" s="50"/>
      <c r="K623" s="51" t="str">
        <f>IFERROR(__xludf.DUMMYFUNCTION("""COMPUTED_VALUE"""),"")</f>
        <v/>
      </c>
      <c r="L623" s="46" t="str">
        <f>IFERROR(__xludf.DUMMYFUNCTION("""COMPUTED_VALUE"""),"")</f>
        <v/>
      </c>
      <c r="M623" s="46" t="str">
        <f>IFERROR(__xludf.DUMMYFUNCTION("""COMPUTED_VALUE"""),"")</f>
        <v/>
      </c>
      <c r="N623" s="46" t="str">
        <f>IFERROR(__xludf.DUMMYFUNCTION("""COMPUTED_VALUE"""),"")</f>
        <v/>
      </c>
      <c r="O623" s="48"/>
      <c r="P623" s="52" t="str">
        <f>IFERROR(__xludf.DUMMYFUNCTION("""COMPUTED_VALUE"""),"")</f>
        <v/>
      </c>
    </row>
    <row r="624">
      <c r="A624" s="48" t="str">
        <f>IFERROR(__xludf.DUMMYFUNCTION("""COMPUTED_VALUE"""),"")</f>
        <v/>
      </c>
      <c r="B624" s="48"/>
      <c r="C624" s="49"/>
      <c r="D624" s="46"/>
      <c r="E624" s="46"/>
      <c r="F624" s="46"/>
      <c r="G624" s="46"/>
      <c r="H624" s="46"/>
      <c r="I624" s="50"/>
      <c r="J624" s="50"/>
      <c r="K624" s="51" t="str">
        <f>IFERROR(__xludf.DUMMYFUNCTION("""COMPUTED_VALUE"""),"")</f>
        <v/>
      </c>
      <c r="L624" s="46" t="str">
        <f>IFERROR(__xludf.DUMMYFUNCTION("""COMPUTED_VALUE"""),"")</f>
        <v/>
      </c>
      <c r="M624" s="46" t="str">
        <f>IFERROR(__xludf.DUMMYFUNCTION("""COMPUTED_VALUE"""),"")</f>
        <v/>
      </c>
      <c r="N624" s="46" t="str">
        <f>IFERROR(__xludf.DUMMYFUNCTION("""COMPUTED_VALUE"""),"")</f>
        <v/>
      </c>
      <c r="O624" s="48"/>
      <c r="P624" s="52" t="str">
        <f>IFERROR(__xludf.DUMMYFUNCTION("""COMPUTED_VALUE"""),"")</f>
        <v/>
      </c>
    </row>
    <row r="625">
      <c r="A625" s="48" t="str">
        <f>IFERROR(__xludf.DUMMYFUNCTION("""COMPUTED_VALUE"""),"")</f>
        <v/>
      </c>
      <c r="B625" s="48"/>
      <c r="C625" s="49"/>
      <c r="D625" s="46"/>
      <c r="E625" s="46"/>
      <c r="F625" s="46"/>
      <c r="G625" s="46"/>
      <c r="H625" s="46"/>
      <c r="I625" s="50"/>
      <c r="J625" s="50"/>
      <c r="K625" s="51" t="str">
        <f>IFERROR(__xludf.DUMMYFUNCTION("""COMPUTED_VALUE"""),"")</f>
        <v/>
      </c>
      <c r="L625" s="46" t="str">
        <f>IFERROR(__xludf.DUMMYFUNCTION("""COMPUTED_VALUE"""),"")</f>
        <v/>
      </c>
      <c r="M625" s="46" t="str">
        <f>IFERROR(__xludf.DUMMYFUNCTION("""COMPUTED_VALUE"""),"")</f>
        <v/>
      </c>
      <c r="N625" s="46" t="str">
        <f>IFERROR(__xludf.DUMMYFUNCTION("""COMPUTED_VALUE"""),"")</f>
        <v/>
      </c>
      <c r="O625" s="48"/>
      <c r="P625" s="52" t="str">
        <f>IFERROR(__xludf.DUMMYFUNCTION("""COMPUTED_VALUE"""),"")</f>
        <v/>
      </c>
    </row>
    <row r="626">
      <c r="A626" s="48" t="str">
        <f>IFERROR(__xludf.DUMMYFUNCTION("""COMPUTED_VALUE"""),"")</f>
        <v/>
      </c>
      <c r="B626" s="48"/>
      <c r="C626" s="49"/>
      <c r="D626" s="46"/>
      <c r="E626" s="46"/>
      <c r="F626" s="46"/>
      <c r="G626" s="46"/>
      <c r="H626" s="46"/>
      <c r="I626" s="50"/>
      <c r="J626" s="50"/>
      <c r="K626" s="51" t="str">
        <f>IFERROR(__xludf.DUMMYFUNCTION("""COMPUTED_VALUE"""),"")</f>
        <v/>
      </c>
      <c r="L626" s="46" t="str">
        <f>IFERROR(__xludf.DUMMYFUNCTION("""COMPUTED_VALUE"""),"")</f>
        <v/>
      </c>
      <c r="M626" s="46" t="str">
        <f>IFERROR(__xludf.DUMMYFUNCTION("""COMPUTED_VALUE"""),"")</f>
        <v/>
      </c>
      <c r="N626" s="46" t="str">
        <f>IFERROR(__xludf.DUMMYFUNCTION("""COMPUTED_VALUE"""),"")</f>
        <v/>
      </c>
      <c r="O626" s="48"/>
      <c r="P626" s="52" t="str">
        <f>IFERROR(__xludf.DUMMYFUNCTION("""COMPUTED_VALUE"""),"")</f>
        <v/>
      </c>
    </row>
    <row r="627">
      <c r="A627" s="48" t="str">
        <f>IFERROR(__xludf.DUMMYFUNCTION("""COMPUTED_VALUE"""),"")</f>
        <v/>
      </c>
      <c r="B627" s="48"/>
      <c r="C627" s="49"/>
      <c r="D627" s="46"/>
      <c r="E627" s="46"/>
      <c r="F627" s="46"/>
      <c r="G627" s="46"/>
      <c r="H627" s="46"/>
      <c r="I627" s="50"/>
      <c r="J627" s="50"/>
      <c r="K627" s="51" t="str">
        <f>IFERROR(__xludf.DUMMYFUNCTION("""COMPUTED_VALUE"""),"")</f>
        <v/>
      </c>
      <c r="L627" s="46" t="str">
        <f>IFERROR(__xludf.DUMMYFUNCTION("""COMPUTED_VALUE"""),"")</f>
        <v/>
      </c>
      <c r="M627" s="46" t="str">
        <f>IFERROR(__xludf.DUMMYFUNCTION("""COMPUTED_VALUE"""),"")</f>
        <v/>
      </c>
      <c r="N627" s="46" t="str">
        <f>IFERROR(__xludf.DUMMYFUNCTION("""COMPUTED_VALUE"""),"")</f>
        <v/>
      </c>
      <c r="O627" s="48"/>
      <c r="P627" s="52" t="str">
        <f>IFERROR(__xludf.DUMMYFUNCTION("""COMPUTED_VALUE"""),"")</f>
        <v/>
      </c>
    </row>
    <row r="628">
      <c r="A628" s="48" t="str">
        <f>IFERROR(__xludf.DUMMYFUNCTION("""COMPUTED_VALUE"""),"")</f>
        <v/>
      </c>
      <c r="B628" s="48"/>
      <c r="C628" s="49"/>
      <c r="D628" s="46"/>
      <c r="E628" s="46"/>
      <c r="F628" s="46"/>
      <c r="G628" s="46"/>
      <c r="H628" s="46"/>
      <c r="I628" s="50"/>
      <c r="J628" s="50"/>
      <c r="K628" s="51" t="str">
        <f>IFERROR(__xludf.DUMMYFUNCTION("""COMPUTED_VALUE"""),"")</f>
        <v/>
      </c>
      <c r="L628" s="46" t="str">
        <f>IFERROR(__xludf.DUMMYFUNCTION("""COMPUTED_VALUE"""),"")</f>
        <v/>
      </c>
      <c r="M628" s="46" t="str">
        <f>IFERROR(__xludf.DUMMYFUNCTION("""COMPUTED_VALUE"""),"")</f>
        <v/>
      </c>
      <c r="N628" s="46" t="str">
        <f>IFERROR(__xludf.DUMMYFUNCTION("""COMPUTED_VALUE"""),"")</f>
        <v/>
      </c>
      <c r="O628" s="48"/>
      <c r="P628" s="52" t="str">
        <f>IFERROR(__xludf.DUMMYFUNCTION("""COMPUTED_VALUE"""),"")</f>
        <v/>
      </c>
    </row>
    <row r="629">
      <c r="A629" s="48" t="str">
        <f>IFERROR(__xludf.DUMMYFUNCTION("""COMPUTED_VALUE"""),"")</f>
        <v/>
      </c>
      <c r="B629" s="48"/>
      <c r="C629" s="49"/>
      <c r="D629" s="46"/>
      <c r="E629" s="46"/>
      <c r="F629" s="46"/>
      <c r="G629" s="46"/>
      <c r="H629" s="46"/>
      <c r="I629" s="50"/>
      <c r="J629" s="50"/>
      <c r="K629" s="51" t="str">
        <f>IFERROR(__xludf.DUMMYFUNCTION("""COMPUTED_VALUE"""),"")</f>
        <v/>
      </c>
      <c r="L629" s="46" t="str">
        <f>IFERROR(__xludf.DUMMYFUNCTION("""COMPUTED_VALUE"""),"")</f>
        <v/>
      </c>
      <c r="M629" s="46" t="str">
        <f>IFERROR(__xludf.DUMMYFUNCTION("""COMPUTED_VALUE"""),"")</f>
        <v/>
      </c>
      <c r="N629" s="46" t="str">
        <f>IFERROR(__xludf.DUMMYFUNCTION("""COMPUTED_VALUE"""),"")</f>
        <v/>
      </c>
      <c r="O629" s="48"/>
      <c r="P629" s="52" t="str">
        <f>IFERROR(__xludf.DUMMYFUNCTION("""COMPUTED_VALUE"""),"")</f>
        <v/>
      </c>
    </row>
    <row r="630">
      <c r="A630" s="48" t="str">
        <f>IFERROR(__xludf.DUMMYFUNCTION("""COMPUTED_VALUE"""),"")</f>
        <v/>
      </c>
      <c r="B630" s="48"/>
      <c r="C630" s="49"/>
      <c r="D630" s="46"/>
      <c r="E630" s="46"/>
      <c r="F630" s="46"/>
      <c r="G630" s="46"/>
      <c r="H630" s="46"/>
      <c r="I630" s="50"/>
      <c r="J630" s="50"/>
      <c r="K630" s="51" t="str">
        <f>IFERROR(__xludf.DUMMYFUNCTION("""COMPUTED_VALUE"""),"")</f>
        <v/>
      </c>
      <c r="L630" s="46" t="str">
        <f>IFERROR(__xludf.DUMMYFUNCTION("""COMPUTED_VALUE"""),"")</f>
        <v/>
      </c>
      <c r="M630" s="46" t="str">
        <f>IFERROR(__xludf.DUMMYFUNCTION("""COMPUTED_VALUE"""),"")</f>
        <v/>
      </c>
      <c r="N630" s="46" t="str">
        <f>IFERROR(__xludf.DUMMYFUNCTION("""COMPUTED_VALUE"""),"")</f>
        <v/>
      </c>
      <c r="O630" s="48"/>
      <c r="P630" s="52" t="str">
        <f>IFERROR(__xludf.DUMMYFUNCTION("""COMPUTED_VALUE"""),"")</f>
        <v/>
      </c>
    </row>
    <row r="631">
      <c r="A631" s="48" t="str">
        <f>IFERROR(__xludf.DUMMYFUNCTION("""COMPUTED_VALUE"""),"")</f>
        <v/>
      </c>
      <c r="B631" s="48"/>
      <c r="C631" s="49"/>
      <c r="D631" s="46"/>
      <c r="E631" s="46"/>
      <c r="F631" s="46"/>
      <c r="G631" s="46"/>
      <c r="H631" s="46"/>
      <c r="I631" s="50"/>
      <c r="J631" s="50"/>
      <c r="K631" s="51" t="str">
        <f>IFERROR(__xludf.DUMMYFUNCTION("""COMPUTED_VALUE"""),"")</f>
        <v/>
      </c>
      <c r="L631" s="46" t="str">
        <f>IFERROR(__xludf.DUMMYFUNCTION("""COMPUTED_VALUE"""),"")</f>
        <v/>
      </c>
      <c r="M631" s="46" t="str">
        <f>IFERROR(__xludf.DUMMYFUNCTION("""COMPUTED_VALUE"""),"")</f>
        <v/>
      </c>
      <c r="N631" s="46" t="str">
        <f>IFERROR(__xludf.DUMMYFUNCTION("""COMPUTED_VALUE"""),"")</f>
        <v/>
      </c>
      <c r="O631" s="48"/>
      <c r="P631" s="52" t="str">
        <f>IFERROR(__xludf.DUMMYFUNCTION("""COMPUTED_VALUE"""),"")</f>
        <v/>
      </c>
    </row>
    <row r="632">
      <c r="A632" s="48" t="str">
        <f>IFERROR(__xludf.DUMMYFUNCTION("""COMPUTED_VALUE"""),"")</f>
        <v/>
      </c>
      <c r="B632" s="48"/>
      <c r="C632" s="49"/>
      <c r="D632" s="46"/>
      <c r="E632" s="46"/>
      <c r="F632" s="46"/>
      <c r="G632" s="46"/>
      <c r="H632" s="46"/>
      <c r="I632" s="50"/>
      <c r="J632" s="50"/>
      <c r="K632" s="51" t="str">
        <f>IFERROR(__xludf.DUMMYFUNCTION("""COMPUTED_VALUE"""),"")</f>
        <v/>
      </c>
      <c r="L632" s="46" t="str">
        <f>IFERROR(__xludf.DUMMYFUNCTION("""COMPUTED_VALUE"""),"")</f>
        <v/>
      </c>
      <c r="M632" s="46" t="str">
        <f>IFERROR(__xludf.DUMMYFUNCTION("""COMPUTED_VALUE"""),"")</f>
        <v/>
      </c>
      <c r="N632" s="46" t="str">
        <f>IFERROR(__xludf.DUMMYFUNCTION("""COMPUTED_VALUE"""),"")</f>
        <v/>
      </c>
      <c r="O632" s="48"/>
      <c r="P632" s="52" t="str">
        <f>IFERROR(__xludf.DUMMYFUNCTION("""COMPUTED_VALUE"""),"")</f>
        <v/>
      </c>
    </row>
    <row r="633">
      <c r="A633" s="48" t="str">
        <f>IFERROR(__xludf.DUMMYFUNCTION("""COMPUTED_VALUE"""),"")</f>
        <v/>
      </c>
      <c r="B633" s="48"/>
      <c r="C633" s="49"/>
      <c r="D633" s="46"/>
      <c r="E633" s="46"/>
      <c r="F633" s="46"/>
      <c r="G633" s="46"/>
      <c r="H633" s="46"/>
      <c r="I633" s="50"/>
      <c r="J633" s="50"/>
      <c r="K633" s="51" t="str">
        <f>IFERROR(__xludf.DUMMYFUNCTION("""COMPUTED_VALUE"""),"")</f>
        <v/>
      </c>
      <c r="L633" s="46" t="str">
        <f>IFERROR(__xludf.DUMMYFUNCTION("""COMPUTED_VALUE"""),"")</f>
        <v/>
      </c>
      <c r="M633" s="46" t="str">
        <f>IFERROR(__xludf.DUMMYFUNCTION("""COMPUTED_VALUE"""),"")</f>
        <v/>
      </c>
      <c r="N633" s="46" t="str">
        <f>IFERROR(__xludf.DUMMYFUNCTION("""COMPUTED_VALUE"""),"")</f>
        <v/>
      </c>
      <c r="O633" s="48"/>
      <c r="P633" s="52" t="str">
        <f>IFERROR(__xludf.DUMMYFUNCTION("""COMPUTED_VALUE"""),"")</f>
        <v/>
      </c>
    </row>
    <row r="634">
      <c r="A634" s="48" t="str">
        <f>IFERROR(__xludf.DUMMYFUNCTION("""COMPUTED_VALUE"""),"")</f>
        <v/>
      </c>
      <c r="B634" s="48"/>
      <c r="C634" s="49"/>
      <c r="D634" s="46"/>
      <c r="E634" s="46"/>
      <c r="F634" s="46"/>
      <c r="G634" s="46"/>
      <c r="H634" s="46"/>
      <c r="I634" s="50"/>
      <c r="J634" s="50"/>
      <c r="K634" s="51" t="str">
        <f>IFERROR(__xludf.DUMMYFUNCTION("""COMPUTED_VALUE"""),"")</f>
        <v/>
      </c>
      <c r="L634" s="46" t="str">
        <f>IFERROR(__xludf.DUMMYFUNCTION("""COMPUTED_VALUE"""),"")</f>
        <v/>
      </c>
      <c r="M634" s="46" t="str">
        <f>IFERROR(__xludf.DUMMYFUNCTION("""COMPUTED_VALUE"""),"")</f>
        <v/>
      </c>
      <c r="N634" s="46" t="str">
        <f>IFERROR(__xludf.DUMMYFUNCTION("""COMPUTED_VALUE"""),"")</f>
        <v/>
      </c>
      <c r="O634" s="48"/>
      <c r="P634" s="52" t="str">
        <f>IFERROR(__xludf.DUMMYFUNCTION("""COMPUTED_VALUE"""),"")</f>
        <v/>
      </c>
    </row>
    <row r="635">
      <c r="A635" s="48" t="str">
        <f>IFERROR(__xludf.DUMMYFUNCTION("""COMPUTED_VALUE"""),"")</f>
        <v/>
      </c>
      <c r="B635" s="48"/>
      <c r="C635" s="49"/>
      <c r="D635" s="46"/>
      <c r="E635" s="46"/>
      <c r="F635" s="46"/>
      <c r="G635" s="46"/>
      <c r="H635" s="46"/>
      <c r="I635" s="50"/>
      <c r="J635" s="50"/>
      <c r="K635" s="51" t="str">
        <f>IFERROR(__xludf.DUMMYFUNCTION("""COMPUTED_VALUE"""),"")</f>
        <v/>
      </c>
      <c r="L635" s="46" t="str">
        <f>IFERROR(__xludf.DUMMYFUNCTION("""COMPUTED_VALUE"""),"")</f>
        <v/>
      </c>
      <c r="M635" s="46" t="str">
        <f>IFERROR(__xludf.DUMMYFUNCTION("""COMPUTED_VALUE"""),"")</f>
        <v/>
      </c>
      <c r="N635" s="46" t="str">
        <f>IFERROR(__xludf.DUMMYFUNCTION("""COMPUTED_VALUE"""),"")</f>
        <v/>
      </c>
      <c r="O635" s="48"/>
      <c r="P635" s="52" t="str">
        <f>IFERROR(__xludf.DUMMYFUNCTION("""COMPUTED_VALUE"""),"")</f>
        <v/>
      </c>
    </row>
    <row r="636">
      <c r="A636" s="48" t="str">
        <f>IFERROR(__xludf.DUMMYFUNCTION("""COMPUTED_VALUE"""),"")</f>
        <v/>
      </c>
      <c r="B636" s="48"/>
      <c r="C636" s="49"/>
      <c r="D636" s="46"/>
      <c r="E636" s="46"/>
      <c r="F636" s="46"/>
      <c r="G636" s="46"/>
      <c r="H636" s="46"/>
      <c r="I636" s="50"/>
      <c r="J636" s="50"/>
      <c r="K636" s="51" t="str">
        <f>IFERROR(__xludf.DUMMYFUNCTION("""COMPUTED_VALUE"""),"")</f>
        <v/>
      </c>
      <c r="L636" s="46" t="str">
        <f>IFERROR(__xludf.DUMMYFUNCTION("""COMPUTED_VALUE"""),"")</f>
        <v/>
      </c>
      <c r="M636" s="46" t="str">
        <f>IFERROR(__xludf.DUMMYFUNCTION("""COMPUTED_VALUE"""),"")</f>
        <v/>
      </c>
      <c r="N636" s="46" t="str">
        <f>IFERROR(__xludf.DUMMYFUNCTION("""COMPUTED_VALUE"""),"")</f>
        <v/>
      </c>
      <c r="O636" s="48"/>
      <c r="P636" s="52" t="str">
        <f>IFERROR(__xludf.DUMMYFUNCTION("""COMPUTED_VALUE"""),"")</f>
        <v/>
      </c>
    </row>
    <row r="637">
      <c r="A637" s="48" t="str">
        <f>IFERROR(__xludf.DUMMYFUNCTION("""COMPUTED_VALUE"""),"")</f>
        <v/>
      </c>
      <c r="B637" s="48"/>
      <c r="C637" s="49"/>
      <c r="D637" s="46"/>
      <c r="E637" s="46"/>
      <c r="F637" s="46"/>
      <c r="G637" s="46"/>
      <c r="H637" s="46"/>
      <c r="I637" s="50"/>
      <c r="J637" s="50"/>
      <c r="K637" s="51" t="str">
        <f>IFERROR(__xludf.DUMMYFUNCTION("""COMPUTED_VALUE"""),"")</f>
        <v/>
      </c>
      <c r="L637" s="46" t="str">
        <f>IFERROR(__xludf.DUMMYFUNCTION("""COMPUTED_VALUE"""),"")</f>
        <v/>
      </c>
      <c r="M637" s="46" t="str">
        <f>IFERROR(__xludf.DUMMYFUNCTION("""COMPUTED_VALUE"""),"")</f>
        <v/>
      </c>
      <c r="N637" s="46" t="str">
        <f>IFERROR(__xludf.DUMMYFUNCTION("""COMPUTED_VALUE"""),"")</f>
        <v/>
      </c>
      <c r="O637" s="48"/>
      <c r="P637" s="52" t="str">
        <f>IFERROR(__xludf.DUMMYFUNCTION("""COMPUTED_VALUE"""),"")</f>
        <v/>
      </c>
    </row>
    <row r="638">
      <c r="A638" s="48" t="str">
        <f>IFERROR(__xludf.DUMMYFUNCTION("""COMPUTED_VALUE"""),"")</f>
        <v/>
      </c>
      <c r="B638" s="48"/>
      <c r="C638" s="49"/>
      <c r="D638" s="46"/>
      <c r="E638" s="46"/>
      <c r="F638" s="46"/>
      <c r="G638" s="46"/>
      <c r="H638" s="46"/>
      <c r="I638" s="50"/>
      <c r="J638" s="50"/>
      <c r="K638" s="51" t="str">
        <f>IFERROR(__xludf.DUMMYFUNCTION("""COMPUTED_VALUE"""),"")</f>
        <v/>
      </c>
      <c r="L638" s="46" t="str">
        <f>IFERROR(__xludf.DUMMYFUNCTION("""COMPUTED_VALUE"""),"")</f>
        <v/>
      </c>
      <c r="M638" s="46" t="str">
        <f>IFERROR(__xludf.DUMMYFUNCTION("""COMPUTED_VALUE"""),"")</f>
        <v/>
      </c>
      <c r="N638" s="46" t="str">
        <f>IFERROR(__xludf.DUMMYFUNCTION("""COMPUTED_VALUE"""),"")</f>
        <v/>
      </c>
      <c r="O638" s="48"/>
      <c r="P638" s="52" t="str">
        <f>IFERROR(__xludf.DUMMYFUNCTION("""COMPUTED_VALUE"""),"")</f>
        <v/>
      </c>
    </row>
    <row r="639">
      <c r="A639" s="48" t="str">
        <f>IFERROR(__xludf.DUMMYFUNCTION("""COMPUTED_VALUE"""),"")</f>
        <v/>
      </c>
      <c r="B639" s="48"/>
      <c r="C639" s="49"/>
      <c r="D639" s="46"/>
      <c r="E639" s="46"/>
      <c r="F639" s="46"/>
      <c r="G639" s="46"/>
      <c r="H639" s="46"/>
      <c r="I639" s="50"/>
      <c r="J639" s="50"/>
      <c r="K639" s="51" t="str">
        <f>IFERROR(__xludf.DUMMYFUNCTION("""COMPUTED_VALUE"""),"")</f>
        <v/>
      </c>
      <c r="L639" s="46" t="str">
        <f>IFERROR(__xludf.DUMMYFUNCTION("""COMPUTED_VALUE"""),"")</f>
        <v/>
      </c>
      <c r="M639" s="46" t="str">
        <f>IFERROR(__xludf.DUMMYFUNCTION("""COMPUTED_VALUE"""),"")</f>
        <v/>
      </c>
      <c r="N639" s="46" t="str">
        <f>IFERROR(__xludf.DUMMYFUNCTION("""COMPUTED_VALUE"""),"")</f>
        <v/>
      </c>
      <c r="O639" s="48"/>
      <c r="P639" s="52" t="str">
        <f>IFERROR(__xludf.DUMMYFUNCTION("""COMPUTED_VALUE"""),"")</f>
        <v/>
      </c>
    </row>
    <row r="640">
      <c r="A640" s="48" t="str">
        <f>IFERROR(__xludf.DUMMYFUNCTION("""COMPUTED_VALUE"""),"")</f>
        <v/>
      </c>
      <c r="B640" s="48"/>
      <c r="C640" s="49"/>
      <c r="D640" s="46"/>
      <c r="E640" s="46"/>
      <c r="F640" s="46"/>
      <c r="G640" s="46"/>
      <c r="H640" s="46"/>
      <c r="I640" s="50"/>
      <c r="J640" s="50"/>
      <c r="K640" s="51" t="str">
        <f>IFERROR(__xludf.DUMMYFUNCTION("""COMPUTED_VALUE"""),"")</f>
        <v/>
      </c>
      <c r="L640" s="46" t="str">
        <f>IFERROR(__xludf.DUMMYFUNCTION("""COMPUTED_VALUE"""),"")</f>
        <v/>
      </c>
      <c r="M640" s="46" t="str">
        <f>IFERROR(__xludf.DUMMYFUNCTION("""COMPUTED_VALUE"""),"")</f>
        <v/>
      </c>
      <c r="N640" s="46" t="str">
        <f>IFERROR(__xludf.DUMMYFUNCTION("""COMPUTED_VALUE"""),"")</f>
        <v/>
      </c>
      <c r="O640" s="48"/>
      <c r="P640" s="52" t="str">
        <f>IFERROR(__xludf.DUMMYFUNCTION("""COMPUTED_VALUE"""),"")</f>
        <v/>
      </c>
    </row>
    <row r="641">
      <c r="A641" s="48" t="str">
        <f>IFERROR(__xludf.DUMMYFUNCTION("""COMPUTED_VALUE"""),"")</f>
        <v/>
      </c>
      <c r="B641" s="48"/>
      <c r="C641" s="49"/>
      <c r="D641" s="46"/>
      <c r="E641" s="46"/>
      <c r="F641" s="46"/>
      <c r="G641" s="46"/>
      <c r="H641" s="46"/>
      <c r="I641" s="50"/>
      <c r="J641" s="50"/>
      <c r="K641" s="51" t="str">
        <f>IFERROR(__xludf.DUMMYFUNCTION("""COMPUTED_VALUE"""),"")</f>
        <v/>
      </c>
      <c r="L641" s="46" t="str">
        <f>IFERROR(__xludf.DUMMYFUNCTION("""COMPUTED_VALUE"""),"")</f>
        <v/>
      </c>
      <c r="M641" s="46" t="str">
        <f>IFERROR(__xludf.DUMMYFUNCTION("""COMPUTED_VALUE"""),"")</f>
        <v/>
      </c>
      <c r="N641" s="46" t="str">
        <f>IFERROR(__xludf.DUMMYFUNCTION("""COMPUTED_VALUE"""),"")</f>
        <v/>
      </c>
      <c r="O641" s="48"/>
      <c r="P641" s="52" t="str">
        <f>IFERROR(__xludf.DUMMYFUNCTION("""COMPUTED_VALUE"""),"")</f>
        <v/>
      </c>
    </row>
    <row r="642">
      <c r="A642" s="48" t="str">
        <f>IFERROR(__xludf.DUMMYFUNCTION("""COMPUTED_VALUE"""),"")</f>
        <v/>
      </c>
      <c r="B642" s="48"/>
      <c r="C642" s="49"/>
      <c r="D642" s="46"/>
      <c r="E642" s="46"/>
      <c r="F642" s="46"/>
      <c r="G642" s="46"/>
      <c r="H642" s="46"/>
      <c r="I642" s="50"/>
      <c r="J642" s="50"/>
      <c r="K642" s="51" t="str">
        <f>IFERROR(__xludf.DUMMYFUNCTION("""COMPUTED_VALUE"""),"")</f>
        <v/>
      </c>
      <c r="L642" s="46" t="str">
        <f>IFERROR(__xludf.DUMMYFUNCTION("""COMPUTED_VALUE"""),"")</f>
        <v/>
      </c>
      <c r="M642" s="46" t="str">
        <f>IFERROR(__xludf.DUMMYFUNCTION("""COMPUTED_VALUE"""),"")</f>
        <v/>
      </c>
      <c r="N642" s="46" t="str">
        <f>IFERROR(__xludf.DUMMYFUNCTION("""COMPUTED_VALUE"""),"")</f>
        <v/>
      </c>
      <c r="O642" s="48"/>
      <c r="P642" s="52" t="str">
        <f>IFERROR(__xludf.DUMMYFUNCTION("""COMPUTED_VALUE"""),"")</f>
        <v/>
      </c>
    </row>
    <row r="643">
      <c r="A643" s="48" t="str">
        <f>IFERROR(__xludf.DUMMYFUNCTION("""COMPUTED_VALUE"""),"")</f>
        <v/>
      </c>
      <c r="B643" s="48"/>
      <c r="C643" s="49"/>
      <c r="D643" s="46"/>
      <c r="E643" s="46"/>
      <c r="F643" s="46"/>
      <c r="G643" s="46"/>
      <c r="H643" s="46"/>
      <c r="I643" s="50"/>
      <c r="J643" s="50"/>
      <c r="K643" s="51" t="str">
        <f>IFERROR(__xludf.DUMMYFUNCTION("""COMPUTED_VALUE"""),"")</f>
        <v/>
      </c>
      <c r="L643" s="46" t="str">
        <f>IFERROR(__xludf.DUMMYFUNCTION("""COMPUTED_VALUE"""),"")</f>
        <v/>
      </c>
      <c r="M643" s="46" t="str">
        <f>IFERROR(__xludf.DUMMYFUNCTION("""COMPUTED_VALUE"""),"")</f>
        <v/>
      </c>
      <c r="N643" s="46" t="str">
        <f>IFERROR(__xludf.DUMMYFUNCTION("""COMPUTED_VALUE"""),"")</f>
        <v/>
      </c>
      <c r="O643" s="48"/>
      <c r="P643" s="52" t="str">
        <f>IFERROR(__xludf.DUMMYFUNCTION("""COMPUTED_VALUE"""),"")</f>
        <v/>
      </c>
    </row>
    <row r="644">
      <c r="A644" s="48" t="str">
        <f>IFERROR(__xludf.DUMMYFUNCTION("""COMPUTED_VALUE"""),"")</f>
        <v/>
      </c>
      <c r="B644" s="48"/>
      <c r="C644" s="49"/>
      <c r="D644" s="46"/>
      <c r="E644" s="46"/>
      <c r="F644" s="46"/>
      <c r="G644" s="46"/>
      <c r="H644" s="46"/>
      <c r="I644" s="50"/>
      <c r="J644" s="50"/>
      <c r="K644" s="51" t="str">
        <f>IFERROR(__xludf.DUMMYFUNCTION("""COMPUTED_VALUE"""),"")</f>
        <v/>
      </c>
      <c r="L644" s="46" t="str">
        <f>IFERROR(__xludf.DUMMYFUNCTION("""COMPUTED_VALUE"""),"")</f>
        <v/>
      </c>
      <c r="M644" s="46" t="str">
        <f>IFERROR(__xludf.DUMMYFUNCTION("""COMPUTED_VALUE"""),"")</f>
        <v/>
      </c>
      <c r="N644" s="46" t="str">
        <f>IFERROR(__xludf.DUMMYFUNCTION("""COMPUTED_VALUE"""),"")</f>
        <v/>
      </c>
      <c r="O644" s="48"/>
      <c r="P644" s="52" t="str">
        <f>IFERROR(__xludf.DUMMYFUNCTION("""COMPUTED_VALUE"""),"")</f>
        <v/>
      </c>
    </row>
    <row r="645">
      <c r="A645" s="48" t="str">
        <f>IFERROR(__xludf.DUMMYFUNCTION("""COMPUTED_VALUE"""),"")</f>
        <v/>
      </c>
      <c r="B645" s="48"/>
      <c r="C645" s="49"/>
      <c r="D645" s="46"/>
      <c r="E645" s="46"/>
      <c r="F645" s="46"/>
      <c r="G645" s="46"/>
      <c r="H645" s="46"/>
      <c r="I645" s="50"/>
      <c r="J645" s="50"/>
      <c r="K645" s="51" t="str">
        <f>IFERROR(__xludf.DUMMYFUNCTION("""COMPUTED_VALUE"""),"")</f>
        <v/>
      </c>
      <c r="L645" s="46" t="str">
        <f>IFERROR(__xludf.DUMMYFUNCTION("""COMPUTED_VALUE"""),"")</f>
        <v/>
      </c>
      <c r="M645" s="46" t="str">
        <f>IFERROR(__xludf.DUMMYFUNCTION("""COMPUTED_VALUE"""),"")</f>
        <v/>
      </c>
      <c r="N645" s="46" t="str">
        <f>IFERROR(__xludf.DUMMYFUNCTION("""COMPUTED_VALUE"""),"")</f>
        <v/>
      </c>
      <c r="O645" s="48"/>
      <c r="P645" s="52" t="str">
        <f>IFERROR(__xludf.DUMMYFUNCTION("""COMPUTED_VALUE"""),"")</f>
        <v/>
      </c>
    </row>
    <row r="646">
      <c r="A646" s="48" t="str">
        <f>IFERROR(__xludf.DUMMYFUNCTION("""COMPUTED_VALUE"""),"")</f>
        <v/>
      </c>
      <c r="B646" s="48"/>
      <c r="C646" s="49"/>
      <c r="D646" s="46"/>
      <c r="E646" s="46"/>
      <c r="F646" s="46"/>
      <c r="G646" s="46"/>
      <c r="H646" s="46"/>
      <c r="I646" s="50"/>
      <c r="J646" s="50"/>
      <c r="K646" s="51" t="str">
        <f>IFERROR(__xludf.DUMMYFUNCTION("""COMPUTED_VALUE"""),"")</f>
        <v/>
      </c>
      <c r="L646" s="46" t="str">
        <f>IFERROR(__xludf.DUMMYFUNCTION("""COMPUTED_VALUE"""),"")</f>
        <v/>
      </c>
      <c r="M646" s="46" t="str">
        <f>IFERROR(__xludf.DUMMYFUNCTION("""COMPUTED_VALUE"""),"")</f>
        <v/>
      </c>
      <c r="N646" s="46" t="str">
        <f>IFERROR(__xludf.DUMMYFUNCTION("""COMPUTED_VALUE"""),"")</f>
        <v/>
      </c>
      <c r="O646" s="48"/>
      <c r="P646" s="52" t="str">
        <f>IFERROR(__xludf.DUMMYFUNCTION("""COMPUTED_VALUE"""),"")</f>
        <v/>
      </c>
    </row>
    <row r="647">
      <c r="A647" s="48" t="str">
        <f>IFERROR(__xludf.DUMMYFUNCTION("""COMPUTED_VALUE"""),"")</f>
        <v/>
      </c>
      <c r="B647" s="48"/>
      <c r="C647" s="49"/>
      <c r="D647" s="46"/>
      <c r="E647" s="46"/>
      <c r="F647" s="46"/>
      <c r="G647" s="46"/>
      <c r="H647" s="46"/>
      <c r="I647" s="50"/>
      <c r="J647" s="50"/>
      <c r="K647" s="51" t="str">
        <f>IFERROR(__xludf.DUMMYFUNCTION("""COMPUTED_VALUE"""),"")</f>
        <v/>
      </c>
      <c r="L647" s="46" t="str">
        <f>IFERROR(__xludf.DUMMYFUNCTION("""COMPUTED_VALUE"""),"")</f>
        <v/>
      </c>
      <c r="M647" s="46" t="str">
        <f>IFERROR(__xludf.DUMMYFUNCTION("""COMPUTED_VALUE"""),"")</f>
        <v/>
      </c>
      <c r="N647" s="46" t="str">
        <f>IFERROR(__xludf.DUMMYFUNCTION("""COMPUTED_VALUE"""),"")</f>
        <v/>
      </c>
      <c r="O647" s="48"/>
      <c r="P647" s="52" t="str">
        <f>IFERROR(__xludf.DUMMYFUNCTION("""COMPUTED_VALUE"""),"")</f>
        <v/>
      </c>
    </row>
    <row r="648">
      <c r="A648" s="48" t="str">
        <f>IFERROR(__xludf.DUMMYFUNCTION("""COMPUTED_VALUE"""),"")</f>
        <v/>
      </c>
      <c r="B648" s="48"/>
      <c r="C648" s="49"/>
      <c r="D648" s="46"/>
      <c r="E648" s="46"/>
      <c r="F648" s="46"/>
      <c r="G648" s="46"/>
      <c r="H648" s="46"/>
      <c r="I648" s="50"/>
      <c r="J648" s="50"/>
      <c r="K648" s="51" t="str">
        <f>IFERROR(__xludf.DUMMYFUNCTION("""COMPUTED_VALUE"""),"")</f>
        <v/>
      </c>
      <c r="L648" s="46" t="str">
        <f>IFERROR(__xludf.DUMMYFUNCTION("""COMPUTED_VALUE"""),"")</f>
        <v/>
      </c>
      <c r="M648" s="46" t="str">
        <f>IFERROR(__xludf.DUMMYFUNCTION("""COMPUTED_VALUE"""),"")</f>
        <v/>
      </c>
      <c r="N648" s="46" t="str">
        <f>IFERROR(__xludf.DUMMYFUNCTION("""COMPUTED_VALUE"""),"")</f>
        <v/>
      </c>
      <c r="O648" s="48"/>
      <c r="P648" s="52" t="str">
        <f>IFERROR(__xludf.DUMMYFUNCTION("""COMPUTED_VALUE"""),"")</f>
        <v/>
      </c>
    </row>
    <row r="649">
      <c r="A649" s="48" t="str">
        <f>IFERROR(__xludf.DUMMYFUNCTION("""COMPUTED_VALUE"""),"")</f>
        <v/>
      </c>
      <c r="B649" s="48"/>
      <c r="C649" s="49"/>
      <c r="D649" s="46"/>
      <c r="E649" s="46"/>
      <c r="F649" s="46"/>
      <c r="G649" s="46"/>
      <c r="H649" s="46"/>
      <c r="I649" s="50"/>
      <c r="J649" s="50"/>
      <c r="K649" s="51" t="str">
        <f>IFERROR(__xludf.DUMMYFUNCTION("""COMPUTED_VALUE"""),"")</f>
        <v/>
      </c>
      <c r="L649" s="46" t="str">
        <f>IFERROR(__xludf.DUMMYFUNCTION("""COMPUTED_VALUE"""),"")</f>
        <v/>
      </c>
      <c r="M649" s="46" t="str">
        <f>IFERROR(__xludf.DUMMYFUNCTION("""COMPUTED_VALUE"""),"")</f>
        <v/>
      </c>
      <c r="N649" s="46" t="str">
        <f>IFERROR(__xludf.DUMMYFUNCTION("""COMPUTED_VALUE"""),"")</f>
        <v/>
      </c>
      <c r="O649" s="48"/>
      <c r="P649" s="52" t="str">
        <f>IFERROR(__xludf.DUMMYFUNCTION("""COMPUTED_VALUE"""),"")</f>
        <v/>
      </c>
    </row>
    <row r="650">
      <c r="A650" s="48" t="str">
        <f>IFERROR(__xludf.DUMMYFUNCTION("""COMPUTED_VALUE"""),"")</f>
        <v/>
      </c>
      <c r="B650" s="48"/>
      <c r="C650" s="49"/>
      <c r="D650" s="46"/>
      <c r="E650" s="46"/>
      <c r="F650" s="46"/>
      <c r="G650" s="46"/>
      <c r="H650" s="46"/>
      <c r="I650" s="50"/>
      <c r="J650" s="50"/>
      <c r="K650" s="51" t="str">
        <f>IFERROR(__xludf.DUMMYFUNCTION("""COMPUTED_VALUE"""),"")</f>
        <v/>
      </c>
      <c r="L650" s="46" t="str">
        <f>IFERROR(__xludf.DUMMYFUNCTION("""COMPUTED_VALUE"""),"")</f>
        <v/>
      </c>
      <c r="M650" s="46" t="str">
        <f>IFERROR(__xludf.DUMMYFUNCTION("""COMPUTED_VALUE"""),"")</f>
        <v/>
      </c>
      <c r="N650" s="46" t="str">
        <f>IFERROR(__xludf.DUMMYFUNCTION("""COMPUTED_VALUE"""),"")</f>
        <v/>
      </c>
      <c r="O650" s="48"/>
      <c r="P650" s="52" t="str">
        <f>IFERROR(__xludf.DUMMYFUNCTION("""COMPUTED_VALUE"""),"")</f>
        <v/>
      </c>
    </row>
    <row r="651">
      <c r="A651" s="48" t="str">
        <f>IFERROR(__xludf.DUMMYFUNCTION("""COMPUTED_VALUE"""),"")</f>
        <v/>
      </c>
      <c r="B651" s="48"/>
      <c r="C651" s="49"/>
      <c r="D651" s="46"/>
      <c r="E651" s="46"/>
      <c r="F651" s="46"/>
      <c r="G651" s="46"/>
      <c r="H651" s="46"/>
      <c r="I651" s="50"/>
      <c r="J651" s="50"/>
      <c r="K651" s="51" t="str">
        <f>IFERROR(__xludf.DUMMYFUNCTION("""COMPUTED_VALUE"""),"")</f>
        <v/>
      </c>
      <c r="L651" s="46" t="str">
        <f>IFERROR(__xludf.DUMMYFUNCTION("""COMPUTED_VALUE"""),"")</f>
        <v/>
      </c>
      <c r="M651" s="46" t="str">
        <f>IFERROR(__xludf.DUMMYFUNCTION("""COMPUTED_VALUE"""),"")</f>
        <v/>
      </c>
      <c r="N651" s="46" t="str">
        <f>IFERROR(__xludf.DUMMYFUNCTION("""COMPUTED_VALUE"""),"")</f>
        <v/>
      </c>
      <c r="O651" s="48"/>
      <c r="P651" s="52" t="str">
        <f>IFERROR(__xludf.DUMMYFUNCTION("""COMPUTED_VALUE"""),"")</f>
        <v/>
      </c>
    </row>
    <row r="652">
      <c r="A652" s="48" t="str">
        <f>IFERROR(__xludf.DUMMYFUNCTION("""COMPUTED_VALUE"""),"")</f>
        <v/>
      </c>
      <c r="B652" s="48"/>
      <c r="C652" s="49"/>
      <c r="D652" s="46"/>
      <c r="E652" s="46"/>
      <c r="F652" s="46"/>
      <c r="G652" s="46"/>
      <c r="H652" s="46"/>
      <c r="I652" s="50"/>
      <c r="J652" s="50"/>
      <c r="K652" s="51" t="str">
        <f>IFERROR(__xludf.DUMMYFUNCTION("""COMPUTED_VALUE"""),"")</f>
        <v/>
      </c>
      <c r="L652" s="46" t="str">
        <f>IFERROR(__xludf.DUMMYFUNCTION("""COMPUTED_VALUE"""),"")</f>
        <v/>
      </c>
      <c r="M652" s="46" t="str">
        <f>IFERROR(__xludf.DUMMYFUNCTION("""COMPUTED_VALUE"""),"")</f>
        <v/>
      </c>
      <c r="N652" s="46" t="str">
        <f>IFERROR(__xludf.DUMMYFUNCTION("""COMPUTED_VALUE"""),"")</f>
        <v/>
      </c>
      <c r="O652" s="48"/>
      <c r="P652" s="52" t="str">
        <f>IFERROR(__xludf.DUMMYFUNCTION("""COMPUTED_VALUE"""),"")</f>
        <v/>
      </c>
    </row>
    <row r="653">
      <c r="A653" s="48" t="str">
        <f>IFERROR(__xludf.DUMMYFUNCTION("""COMPUTED_VALUE"""),"")</f>
        <v/>
      </c>
      <c r="B653" s="48"/>
      <c r="C653" s="49"/>
      <c r="D653" s="46"/>
      <c r="E653" s="46"/>
      <c r="F653" s="46"/>
      <c r="G653" s="46"/>
      <c r="H653" s="46"/>
      <c r="I653" s="50"/>
      <c r="J653" s="50"/>
      <c r="K653" s="51" t="str">
        <f>IFERROR(__xludf.DUMMYFUNCTION("""COMPUTED_VALUE"""),"")</f>
        <v/>
      </c>
      <c r="L653" s="46" t="str">
        <f>IFERROR(__xludf.DUMMYFUNCTION("""COMPUTED_VALUE"""),"")</f>
        <v/>
      </c>
      <c r="M653" s="46" t="str">
        <f>IFERROR(__xludf.DUMMYFUNCTION("""COMPUTED_VALUE"""),"")</f>
        <v/>
      </c>
      <c r="N653" s="46" t="str">
        <f>IFERROR(__xludf.DUMMYFUNCTION("""COMPUTED_VALUE"""),"")</f>
        <v/>
      </c>
      <c r="O653" s="48"/>
      <c r="P653" s="52" t="str">
        <f>IFERROR(__xludf.DUMMYFUNCTION("""COMPUTED_VALUE"""),"")</f>
        <v/>
      </c>
    </row>
    <row r="654">
      <c r="A654" s="48" t="str">
        <f>IFERROR(__xludf.DUMMYFUNCTION("""COMPUTED_VALUE"""),"")</f>
        <v/>
      </c>
      <c r="B654" s="48"/>
      <c r="C654" s="49"/>
      <c r="D654" s="46"/>
      <c r="E654" s="46"/>
      <c r="F654" s="46"/>
      <c r="G654" s="46"/>
      <c r="H654" s="46"/>
      <c r="I654" s="50"/>
      <c r="J654" s="50"/>
      <c r="K654" s="51" t="str">
        <f>IFERROR(__xludf.DUMMYFUNCTION("""COMPUTED_VALUE"""),"")</f>
        <v/>
      </c>
      <c r="L654" s="46" t="str">
        <f>IFERROR(__xludf.DUMMYFUNCTION("""COMPUTED_VALUE"""),"")</f>
        <v/>
      </c>
      <c r="M654" s="46" t="str">
        <f>IFERROR(__xludf.DUMMYFUNCTION("""COMPUTED_VALUE"""),"")</f>
        <v/>
      </c>
      <c r="N654" s="46" t="str">
        <f>IFERROR(__xludf.DUMMYFUNCTION("""COMPUTED_VALUE"""),"")</f>
        <v/>
      </c>
      <c r="O654" s="48"/>
      <c r="P654" s="52" t="str">
        <f>IFERROR(__xludf.DUMMYFUNCTION("""COMPUTED_VALUE"""),"")</f>
        <v/>
      </c>
    </row>
    <row r="655">
      <c r="A655" s="48" t="str">
        <f>IFERROR(__xludf.DUMMYFUNCTION("""COMPUTED_VALUE"""),"")</f>
        <v/>
      </c>
      <c r="B655" s="48"/>
      <c r="C655" s="49"/>
      <c r="D655" s="46"/>
      <c r="E655" s="46"/>
      <c r="F655" s="46"/>
      <c r="G655" s="46"/>
      <c r="H655" s="46"/>
      <c r="I655" s="50"/>
      <c r="J655" s="50"/>
      <c r="K655" s="51" t="str">
        <f>IFERROR(__xludf.DUMMYFUNCTION("""COMPUTED_VALUE"""),"")</f>
        <v/>
      </c>
      <c r="L655" s="46" t="str">
        <f>IFERROR(__xludf.DUMMYFUNCTION("""COMPUTED_VALUE"""),"")</f>
        <v/>
      </c>
      <c r="M655" s="46" t="str">
        <f>IFERROR(__xludf.DUMMYFUNCTION("""COMPUTED_VALUE"""),"")</f>
        <v/>
      </c>
      <c r="N655" s="46" t="str">
        <f>IFERROR(__xludf.DUMMYFUNCTION("""COMPUTED_VALUE"""),"")</f>
        <v/>
      </c>
      <c r="O655" s="48"/>
      <c r="P655" s="52" t="str">
        <f>IFERROR(__xludf.DUMMYFUNCTION("""COMPUTED_VALUE"""),"")</f>
        <v/>
      </c>
    </row>
    <row r="656">
      <c r="A656" s="48" t="str">
        <f>IFERROR(__xludf.DUMMYFUNCTION("""COMPUTED_VALUE"""),"")</f>
        <v/>
      </c>
      <c r="B656" s="48"/>
      <c r="C656" s="49"/>
      <c r="D656" s="46"/>
      <c r="E656" s="46"/>
      <c r="F656" s="46"/>
      <c r="G656" s="46"/>
      <c r="H656" s="46"/>
      <c r="I656" s="50"/>
      <c r="J656" s="50"/>
      <c r="K656" s="51" t="str">
        <f>IFERROR(__xludf.DUMMYFUNCTION("""COMPUTED_VALUE"""),"")</f>
        <v/>
      </c>
      <c r="L656" s="46" t="str">
        <f>IFERROR(__xludf.DUMMYFUNCTION("""COMPUTED_VALUE"""),"")</f>
        <v/>
      </c>
      <c r="M656" s="46" t="str">
        <f>IFERROR(__xludf.DUMMYFUNCTION("""COMPUTED_VALUE"""),"")</f>
        <v/>
      </c>
      <c r="N656" s="46" t="str">
        <f>IFERROR(__xludf.DUMMYFUNCTION("""COMPUTED_VALUE"""),"")</f>
        <v/>
      </c>
      <c r="O656" s="48"/>
      <c r="P656" s="52" t="str">
        <f>IFERROR(__xludf.DUMMYFUNCTION("""COMPUTED_VALUE"""),"")</f>
        <v/>
      </c>
    </row>
    <row r="657">
      <c r="A657" s="48" t="str">
        <f>IFERROR(__xludf.DUMMYFUNCTION("""COMPUTED_VALUE"""),"")</f>
        <v/>
      </c>
      <c r="B657" s="48"/>
      <c r="C657" s="49"/>
      <c r="D657" s="46"/>
      <c r="E657" s="46"/>
      <c r="F657" s="46"/>
      <c r="G657" s="46"/>
      <c r="H657" s="46"/>
      <c r="I657" s="50"/>
      <c r="J657" s="50"/>
      <c r="K657" s="51" t="str">
        <f>IFERROR(__xludf.DUMMYFUNCTION("""COMPUTED_VALUE"""),"")</f>
        <v/>
      </c>
      <c r="L657" s="46" t="str">
        <f>IFERROR(__xludf.DUMMYFUNCTION("""COMPUTED_VALUE"""),"")</f>
        <v/>
      </c>
      <c r="M657" s="46" t="str">
        <f>IFERROR(__xludf.DUMMYFUNCTION("""COMPUTED_VALUE"""),"")</f>
        <v/>
      </c>
      <c r="N657" s="46" t="str">
        <f>IFERROR(__xludf.DUMMYFUNCTION("""COMPUTED_VALUE"""),"")</f>
        <v/>
      </c>
      <c r="O657" s="48"/>
      <c r="P657" s="52" t="str">
        <f>IFERROR(__xludf.DUMMYFUNCTION("""COMPUTED_VALUE"""),"")</f>
        <v/>
      </c>
    </row>
    <row r="658">
      <c r="A658" s="48" t="str">
        <f>IFERROR(__xludf.DUMMYFUNCTION("""COMPUTED_VALUE"""),"")</f>
        <v/>
      </c>
      <c r="B658" s="48"/>
      <c r="C658" s="49"/>
      <c r="D658" s="46"/>
      <c r="E658" s="46"/>
      <c r="F658" s="46"/>
      <c r="G658" s="46"/>
      <c r="H658" s="46"/>
      <c r="I658" s="50"/>
      <c r="J658" s="50"/>
      <c r="K658" s="51" t="str">
        <f>IFERROR(__xludf.DUMMYFUNCTION("""COMPUTED_VALUE"""),"")</f>
        <v/>
      </c>
      <c r="L658" s="46" t="str">
        <f>IFERROR(__xludf.DUMMYFUNCTION("""COMPUTED_VALUE"""),"")</f>
        <v/>
      </c>
      <c r="M658" s="46" t="str">
        <f>IFERROR(__xludf.DUMMYFUNCTION("""COMPUTED_VALUE"""),"")</f>
        <v/>
      </c>
      <c r="N658" s="46" t="str">
        <f>IFERROR(__xludf.DUMMYFUNCTION("""COMPUTED_VALUE"""),"")</f>
        <v/>
      </c>
      <c r="O658" s="48"/>
      <c r="P658" s="52" t="str">
        <f>IFERROR(__xludf.DUMMYFUNCTION("""COMPUTED_VALUE"""),"")</f>
        <v/>
      </c>
    </row>
    <row r="659">
      <c r="A659" s="48" t="str">
        <f>IFERROR(__xludf.DUMMYFUNCTION("""COMPUTED_VALUE"""),"")</f>
        <v/>
      </c>
      <c r="B659" s="48"/>
      <c r="C659" s="49"/>
      <c r="D659" s="46"/>
      <c r="E659" s="46"/>
      <c r="F659" s="46"/>
      <c r="G659" s="46"/>
      <c r="H659" s="46"/>
      <c r="I659" s="50"/>
      <c r="J659" s="50"/>
      <c r="K659" s="51" t="str">
        <f>IFERROR(__xludf.DUMMYFUNCTION("""COMPUTED_VALUE"""),"")</f>
        <v/>
      </c>
      <c r="L659" s="46" t="str">
        <f>IFERROR(__xludf.DUMMYFUNCTION("""COMPUTED_VALUE"""),"")</f>
        <v/>
      </c>
      <c r="M659" s="46" t="str">
        <f>IFERROR(__xludf.DUMMYFUNCTION("""COMPUTED_VALUE"""),"")</f>
        <v/>
      </c>
      <c r="N659" s="46" t="str">
        <f>IFERROR(__xludf.DUMMYFUNCTION("""COMPUTED_VALUE"""),"")</f>
        <v/>
      </c>
      <c r="O659" s="48"/>
      <c r="P659" s="52" t="str">
        <f>IFERROR(__xludf.DUMMYFUNCTION("""COMPUTED_VALUE"""),"")</f>
        <v/>
      </c>
    </row>
    <row r="660">
      <c r="A660" s="48" t="str">
        <f>IFERROR(__xludf.DUMMYFUNCTION("""COMPUTED_VALUE"""),"")</f>
        <v/>
      </c>
      <c r="B660" s="48"/>
      <c r="C660" s="49"/>
      <c r="D660" s="46"/>
      <c r="E660" s="46"/>
      <c r="F660" s="46"/>
      <c r="G660" s="46"/>
      <c r="H660" s="46"/>
      <c r="I660" s="50"/>
      <c r="J660" s="50"/>
      <c r="K660" s="51" t="str">
        <f>IFERROR(__xludf.DUMMYFUNCTION("""COMPUTED_VALUE"""),"")</f>
        <v/>
      </c>
      <c r="L660" s="46" t="str">
        <f>IFERROR(__xludf.DUMMYFUNCTION("""COMPUTED_VALUE"""),"")</f>
        <v/>
      </c>
      <c r="M660" s="46" t="str">
        <f>IFERROR(__xludf.DUMMYFUNCTION("""COMPUTED_VALUE"""),"")</f>
        <v/>
      </c>
      <c r="N660" s="46" t="str">
        <f>IFERROR(__xludf.DUMMYFUNCTION("""COMPUTED_VALUE"""),"")</f>
        <v/>
      </c>
      <c r="O660" s="48"/>
      <c r="P660" s="52" t="str">
        <f>IFERROR(__xludf.DUMMYFUNCTION("""COMPUTED_VALUE"""),"")</f>
        <v/>
      </c>
    </row>
    <row r="661">
      <c r="A661" s="48" t="str">
        <f>IFERROR(__xludf.DUMMYFUNCTION("""COMPUTED_VALUE"""),"")</f>
        <v/>
      </c>
      <c r="B661" s="48"/>
      <c r="C661" s="49"/>
      <c r="D661" s="46"/>
      <c r="E661" s="46"/>
      <c r="F661" s="46"/>
      <c r="G661" s="46"/>
      <c r="H661" s="46"/>
      <c r="I661" s="50"/>
      <c r="J661" s="50"/>
      <c r="K661" s="51" t="str">
        <f>IFERROR(__xludf.DUMMYFUNCTION("""COMPUTED_VALUE"""),"")</f>
        <v/>
      </c>
      <c r="L661" s="46" t="str">
        <f>IFERROR(__xludf.DUMMYFUNCTION("""COMPUTED_VALUE"""),"")</f>
        <v/>
      </c>
      <c r="M661" s="46" t="str">
        <f>IFERROR(__xludf.DUMMYFUNCTION("""COMPUTED_VALUE"""),"")</f>
        <v/>
      </c>
      <c r="N661" s="46" t="str">
        <f>IFERROR(__xludf.DUMMYFUNCTION("""COMPUTED_VALUE"""),"")</f>
        <v/>
      </c>
      <c r="O661" s="48"/>
      <c r="P661" s="52" t="str">
        <f>IFERROR(__xludf.DUMMYFUNCTION("""COMPUTED_VALUE"""),"")</f>
        <v/>
      </c>
    </row>
    <row r="662">
      <c r="A662" s="48" t="str">
        <f>IFERROR(__xludf.DUMMYFUNCTION("""COMPUTED_VALUE"""),"")</f>
        <v/>
      </c>
      <c r="B662" s="48"/>
      <c r="C662" s="49"/>
      <c r="D662" s="46"/>
      <c r="E662" s="46"/>
      <c r="F662" s="46"/>
      <c r="G662" s="46"/>
      <c r="H662" s="46"/>
      <c r="I662" s="50"/>
      <c r="J662" s="50"/>
      <c r="K662" s="51" t="str">
        <f>IFERROR(__xludf.DUMMYFUNCTION("""COMPUTED_VALUE"""),"")</f>
        <v/>
      </c>
      <c r="L662" s="46" t="str">
        <f>IFERROR(__xludf.DUMMYFUNCTION("""COMPUTED_VALUE"""),"")</f>
        <v/>
      </c>
      <c r="M662" s="46" t="str">
        <f>IFERROR(__xludf.DUMMYFUNCTION("""COMPUTED_VALUE"""),"")</f>
        <v/>
      </c>
      <c r="N662" s="46" t="str">
        <f>IFERROR(__xludf.DUMMYFUNCTION("""COMPUTED_VALUE"""),"")</f>
        <v/>
      </c>
      <c r="O662" s="48"/>
      <c r="P662" s="52" t="str">
        <f>IFERROR(__xludf.DUMMYFUNCTION("""COMPUTED_VALUE"""),"")</f>
        <v/>
      </c>
    </row>
    <row r="663">
      <c r="A663" s="48" t="str">
        <f>IFERROR(__xludf.DUMMYFUNCTION("""COMPUTED_VALUE"""),"")</f>
        <v/>
      </c>
      <c r="B663" s="48"/>
      <c r="C663" s="49"/>
      <c r="D663" s="46"/>
      <c r="E663" s="46"/>
      <c r="F663" s="46"/>
      <c r="G663" s="46"/>
      <c r="H663" s="46"/>
      <c r="I663" s="50"/>
      <c r="J663" s="50"/>
      <c r="K663" s="51" t="str">
        <f>IFERROR(__xludf.DUMMYFUNCTION("""COMPUTED_VALUE"""),"")</f>
        <v/>
      </c>
      <c r="L663" s="46" t="str">
        <f>IFERROR(__xludf.DUMMYFUNCTION("""COMPUTED_VALUE"""),"")</f>
        <v/>
      </c>
      <c r="M663" s="46" t="str">
        <f>IFERROR(__xludf.DUMMYFUNCTION("""COMPUTED_VALUE"""),"")</f>
        <v/>
      </c>
      <c r="N663" s="46" t="str">
        <f>IFERROR(__xludf.DUMMYFUNCTION("""COMPUTED_VALUE"""),"")</f>
        <v/>
      </c>
      <c r="O663" s="48"/>
      <c r="P663" s="52" t="str">
        <f>IFERROR(__xludf.DUMMYFUNCTION("""COMPUTED_VALUE"""),"")</f>
        <v/>
      </c>
    </row>
    <row r="664">
      <c r="A664" s="48" t="str">
        <f>IFERROR(__xludf.DUMMYFUNCTION("""COMPUTED_VALUE"""),"")</f>
        <v/>
      </c>
      <c r="B664" s="48"/>
      <c r="C664" s="49"/>
      <c r="D664" s="46"/>
      <c r="E664" s="46"/>
      <c r="F664" s="46"/>
      <c r="G664" s="46"/>
      <c r="H664" s="46"/>
      <c r="I664" s="50"/>
      <c r="J664" s="50"/>
      <c r="K664" s="51" t="str">
        <f>IFERROR(__xludf.DUMMYFUNCTION("""COMPUTED_VALUE"""),"")</f>
        <v/>
      </c>
      <c r="L664" s="46" t="str">
        <f>IFERROR(__xludf.DUMMYFUNCTION("""COMPUTED_VALUE"""),"")</f>
        <v/>
      </c>
      <c r="M664" s="46" t="str">
        <f>IFERROR(__xludf.DUMMYFUNCTION("""COMPUTED_VALUE"""),"")</f>
        <v/>
      </c>
      <c r="N664" s="46" t="str">
        <f>IFERROR(__xludf.DUMMYFUNCTION("""COMPUTED_VALUE"""),"")</f>
        <v/>
      </c>
      <c r="O664" s="48"/>
      <c r="P664" s="52" t="str">
        <f>IFERROR(__xludf.DUMMYFUNCTION("""COMPUTED_VALUE"""),"")</f>
        <v/>
      </c>
    </row>
    <row r="665">
      <c r="A665" s="48" t="str">
        <f>IFERROR(__xludf.DUMMYFUNCTION("""COMPUTED_VALUE"""),"")</f>
        <v/>
      </c>
      <c r="B665" s="48"/>
      <c r="C665" s="49"/>
      <c r="D665" s="46"/>
      <c r="E665" s="46"/>
      <c r="F665" s="46"/>
      <c r="G665" s="46"/>
      <c r="H665" s="46"/>
      <c r="I665" s="50"/>
      <c r="J665" s="50"/>
      <c r="K665" s="51" t="str">
        <f>IFERROR(__xludf.DUMMYFUNCTION("""COMPUTED_VALUE"""),"")</f>
        <v/>
      </c>
      <c r="L665" s="46" t="str">
        <f>IFERROR(__xludf.DUMMYFUNCTION("""COMPUTED_VALUE"""),"")</f>
        <v/>
      </c>
      <c r="M665" s="46" t="str">
        <f>IFERROR(__xludf.DUMMYFUNCTION("""COMPUTED_VALUE"""),"")</f>
        <v/>
      </c>
      <c r="N665" s="46" t="str">
        <f>IFERROR(__xludf.DUMMYFUNCTION("""COMPUTED_VALUE"""),"")</f>
        <v/>
      </c>
      <c r="O665" s="48"/>
      <c r="P665" s="52" t="str">
        <f>IFERROR(__xludf.DUMMYFUNCTION("""COMPUTED_VALUE"""),"")</f>
        <v/>
      </c>
    </row>
    <row r="666">
      <c r="A666" s="48" t="str">
        <f>IFERROR(__xludf.DUMMYFUNCTION("""COMPUTED_VALUE"""),"")</f>
        <v/>
      </c>
      <c r="B666" s="48"/>
      <c r="C666" s="49"/>
      <c r="D666" s="46"/>
      <c r="E666" s="46"/>
      <c r="F666" s="46"/>
      <c r="G666" s="46"/>
      <c r="H666" s="46"/>
      <c r="I666" s="50"/>
      <c r="J666" s="50"/>
      <c r="K666" s="51" t="str">
        <f>IFERROR(__xludf.DUMMYFUNCTION("""COMPUTED_VALUE"""),"")</f>
        <v/>
      </c>
      <c r="L666" s="46" t="str">
        <f>IFERROR(__xludf.DUMMYFUNCTION("""COMPUTED_VALUE"""),"")</f>
        <v/>
      </c>
      <c r="M666" s="46" t="str">
        <f>IFERROR(__xludf.DUMMYFUNCTION("""COMPUTED_VALUE"""),"")</f>
        <v/>
      </c>
      <c r="N666" s="46" t="str">
        <f>IFERROR(__xludf.DUMMYFUNCTION("""COMPUTED_VALUE"""),"")</f>
        <v/>
      </c>
      <c r="O666" s="48"/>
      <c r="P666" s="52" t="str">
        <f>IFERROR(__xludf.DUMMYFUNCTION("""COMPUTED_VALUE"""),"")</f>
        <v/>
      </c>
    </row>
    <row r="667">
      <c r="A667" s="48" t="str">
        <f>IFERROR(__xludf.DUMMYFUNCTION("""COMPUTED_VALUE"""),"")</f>
        <v/>
      </c>
      <c r="B667" s="48"/>
      <c r="C667" s="49"/>
      <c r="D667" s="46"/>
      <c r="E667" s="46"/>
      <c r="F667" s="46"/>
      <c r="G667" s="46"/>
      <c r="H667" s="46"/>
      <c r="I667" s="50"/>
      <c r="J667" s="50"/>
      <c r="K667" s="51" t="str">
        <f>IFERROR(__xludf.DUMMYFUNCTION("""COMPUTED_VALUE"""),"")</f>
        <v/>
      </c>
      <c r="L667" s="46" t="str">
        <f>IFERROR(__xludf.DUMMYFUNCTION("""COMPUTED_VALUE"""),"")</f>
        <v/>
      </c>
      <c r="M667" s="46" t="str">
        <f>IFERROR(__xludf.DUMMYFUNCTION("""COMPUTED_VALUE"""),"")</f>
        <v/>
      </c>
      <c r="N667" s="46" t="str">
        <f>IFERROR(__xludf.DUMMYFUNCTION("""COMPUTED_VALUE"""),"")</f>
        <v/>
      </c>
      <c r="O667" s="48"/>
      <c r="P667" s="52" t="str">
        <f>IFERROR(__xludf.DUMMYFUNCTION("""COMPUTED_VALUE"""),"")</f>
        <v/>
      </c>
    </row>
    <row r="668">
      <c r="A668" s="48" t="str">
        <f>IFERROR(__xludf.DUMMYFUNCTION("""COMPUTED_VALUE"""),"")</f>
        <v/>
      </c>
      <c r="B668" s="48"/>
      <c r="C668" s="49"/>
      <c r="D668" s="46"/>
      <c r="E668" s="46"/>
      <c r="F668" s="46"/>
      <c r="G668" s="46"/>
      <c r="H668" s="46"/>
      <c r="I668" s="50"/>
      <c r="J668" s="50"/>
      <c r="K668" s="51" t="str">
        <f>IFERROR(__xludf.DUMMYFUNCTION("""COMPUTED_VALUE"""),"")</f>
        <v/>
      </c>
      <c r="L668" s="46" t="str">
        <f>IFERROR(__xludf.DUMMYFUNCTION("""COMPUTED_VALUE"""),"")</f>
        <v/>
      </c>
      <c r="M668" s="46" t="str">
        <f>IFERROR(__xludf.DUMMYFUNCTION("""COMPUTED_VALUE"""),"")</f>
        <v/>
      </c>
      <c r="N668" s="46" t="str">
        <f>IFERROR(__xludf.DUMMYFUNCTION("""COMPUTED_VALUE"""),"")</f>
        <v/>
      </c>
      <c r="O668" s="48"/>
      <c r="P668" s="52" t="str">
        <f>IFERROR(__xludf.DUMMYFUNCTION("""COMPUTED_VALUE"""),"")</f>
        <v/>
      </c>
    </row>
    <row r="669">
      <c r="A669" s="48" t="str">
        <f>IFERROR(__xludf.DUMMYFUNCTION("""COMPUTED_VALUE"""),"")</f>
        <v/>
      </c>
      <c r="B669" s="48"/>
      <c r="C669" s="49"/>
      <c r="D669" s="46"/>
      <c r="E669" s="46"/>
      <c r="F669" s="46"/>
      <c r="G669" s="46"/>
      <c r="H669" s="46"/>
      <c r="I669" s="50"/>
      <c r="J669" s="50"/>
      <c r="K669" s="51" t="str">
        <f>IFERROR(__xludf.DUMMYFUNCTION("""COMPUTED_VALUE"""),"")</f>
        <v/>
      </c>
      <c r="L669" s="46" t="str">
        <f>IFERROR(__xludf.DUMMYFUNCTION("""COMPUTED_VALUE"""),"")</f>
        <v/>
      </c>
      <c r="M669" s="46" t="str">
        <f>IFERROR(__xludf.DUMMYFUNCTION("""COMPUTED_VALUE"""),"")</f>
        <v/>
      </c>
      <c r="N669" s="46" t="str">
        <f>IFERROR(__xludf.DUMMYFUNCTION("""COMPUTED_VALUE"""),"")</f>
        <v/>
      </c>
      <c r="O669" s="48"/>
      <c r="P669" s="52" t="str">
        <f>IFERROR(__xludf.DUMMYFUNCTION("""COMPUTED_VALUE"""),"")</f>
        <v/>
      </c>
    </row>
    <row r="670">
      <c r="A670" s="48" t="str">
        <f>IFERROR(__xludf.DUMMYFUNCTION("""COMPUTED_VALUE"""),"")</f>
        <v/>
      </c>
      <c r="B670" s="48"/>
      <c r="C670" s="49"/>
      <c r="D670" s="46"/>
      <c r="E670" s="46"/>
      <c r="F670" s="46"/>
      <c r="G670" s="46"/>
      <c r="H670" s="46"/>
      <c r="I670" s="50"/>
      <c r="J670" s="50"/>
      <c r="K670" s="51" t="str">
        <f>IFERROR(__xludf.DUMMYFUNCTION("""COMPUTED_VALUE"""),"")</f>
        <v/>
      </c>
      <c r="L670" s="46" t="str">
        <f>IFERROR(__xludf.DUMMYFUNCTION("""COMPUTED_VALUE"""),"")</f>
        <v/>
      </c>
      <c r="M670" s="46" t="str">
        <f>IFERROR(__xludf.DUMMYFUNCTION("""COMPUTED_VALUE"""),"")</f>
        <v/>
      </c>
      <c r="N670" s="46" t="str">
        <f>IFERROR(__xludf.DUMMYFUNCTION("""COMPUTED_VALUE"""),"")</f>
        <v/>
      </c>
      <c r="O670" s="48"/>
      <c r="P670" s="52" t="str">
        <f>IFERROR(__xludf.DUMMYFUNCTION("""COMPUTED_VALUE"""),"")</f>
        <v/>
      </c>
    </row>
    <row r="671">
      <c r="A671" s="48" t="str">
        <f>IFERROR(__xludf.DUMMYFUNCTION("""COMPUTED_VALUE"""),"")</f>
        <v/>
      </c>
      <c r="B671" s="48"/>
      <c r="C671" s="49"/>
      <c r="D671" s="46"/>
      <c r="E671" s="46"/>
      <c r="F671" s="46"/>
      <c r="G671" s="46"/>
      <c r="H671" s="46"/>
      <c r="I671" s="50"/>
      <c r="J671" s="50"/>
      <c r="K671" s="51" t="str">
        <f>IFERROR(__xludf.DUMMYFUNCTION("""COMPUTED_VALUE"""),"")</f>
        <v/>
      </c>
      <c r="L671" s="46" t="str">
        <f>IFERROR(__xludf.DUMMYFUNCTION("""COMPUTED_VALUE"""),"")</f>
        <v/>
      </c>
      <c r="M671" s="46" t="str">
        <f>IFERROR(__xludf.DUMMYFUNCTION("""COMPUTED_VALUE"""),"")</f>
        <v/>
      </c>
      <c r="N671" s="46" t="str">
        <f>IFERROR(__xludf.DUMMYFUNCTION("""COMPUTED_VALUE"""),"")</f>
        <v/>
      </c>
      <c r="O671" s="48"/>
      <c r="P671" s="52" t="str">
        <f>IFERROR(__xludf.DUMMYFUNCTION("""COMPUTED_VALUE"""),"")</f>
        <v/>
      </c>
    </row>
    <row r="672">
      <c r="A672" s="48" t="str">
        <f>IFERROR(__xludf.DUMMYFUNCTION("""COMPUTED_VALUE"""),"")</f>
        <v/>
      </c>
      <c r="B672" s="48"/>
      <c r="C672" s="49"/>
      <c r="D672" s="46"/>
      <c r="E672" s="46"/>
      <c r="F672" s="46"/>
      <c r="G672" s="46"/>
      <c r="H672" s="46"/>
      <c r="I672" s="50"/>
      <c r="J672" s="50"/>
      <c r="K672" s="51" t="str">
        <f>IFERROR(__xludf.DUMMYFUNCTION("""COMPUTED_VALUE"""),"")</f>
        <v/>
      </c>
      <c r="L672" s="46" t="str">
        <f>IFERROR(__xludf.DUMMYFUNCTION("""COMPUTED_VALUE"""),"")</f>
        <v/>
      </c>
      <c r="M672" s="46" t="str">
        <f>IFERROR(__xludf.DUMMYFUNCTION("""COMPUTED_VALUE"""),"")</f>
        <v/>
      </c>
      <c r="N672" s="46" t="str">
        <f>IFERROR(__xludf.DUMMYFUNCTION("""COMPUTED_VALUE"""),"")</f>
        <v/>
      </c>
      <c r="O672" s="48"/>
      <c r="P672" s="52" t="str">
        <f>IFERROR(__xludf.DUMMYFUNCTION("""COMPUTED_VALUE"""),"")</f>
        <v/>
      </c>
    </row>
    <row r="673">
      <c r="A673" s="48" t="str">
        <f>IFERROR(__xludf.DUMMYFUNCTION("""COMPUTED_VALUE"""),"")</f>
        <v/>
      </c>
      <c r="B673" s="48"/>
      <c r="C673" s="49"/>
      <c r="D673" s="46"/>
      <c r="E673" s="46"/>
      <c r="F673" s="46"/>
      <c r="G673" s="46"/>
      <c r="H673" s="46"/>
      <c r="I673" s="50"/>
      <c r="J673" s="50"/>
      <c r="K673" s="51" t="str">
        <f>IFERROR(__xludf.DUMMYFUNCTION("""COMPUTED_VALUE"""),"")</f>
        <v/>
      </c>
      <c r="L673" s="46" t="str">
        <f>IFERROR(__xludf.DUMMYFUNCTION("""COMPUTED_VALUE"""),"")</f>
        <v/>
      </c>
      <c r="M673" s="46" t="str">
        <f>IFERROR(__xludf.DUMMYFUNCTION("""COMPUTED_VALUE"""),"")</f>
        <v/>
      </c>
      <c r="N673" s="46" t="str">
        <f>IFERROR(__xludf.DUMMYFUNCTION("""COMPUTED_VALUE"""),"")</f>
        <v/>
      </c>
      <c r="O673" s="48"/>
      <c r="P673" s="52" t="str">
        <f>IFERROR(__xludf.DUMMYFUNCTION("""COMPUTED_VALUE"""),"")</f>
        <v/>
      </c>
    </row>
    <row r="674">
      <c r="A674" s="48" t="str">
        <f>IFERROR(__xludf.DUMMYFUNCTION("""COMPUTED_VALUE"""),"")</f>
        <v/>
      </c>
      <c r="B674" s="48"/>
      <c r="C674" s="49"/>
      <c r="D674" s="46"/>
      <c r="E674" s="46"/>
      <c r="F674" s="46"/>
      <c r="G674" s="46"/>
      <c r="H674" s="46"/>
      <c r="I674" s="50"/>
      <c r="J674" s="50"/>
      <c r="K674" s="51" t="str">
        <f>IFERROR(__xludf.DUMMYFUNCTION("""COMPUTED_VALUE"""),"")</f>
        <v/>
      </c>
      <c r="L674" s="46" t="str">
        <f>IFERROR(__xludf.DUMMYFUNCTION("""COMPUTED_VALUE"""),"")</f>
        <v/>
      </c>
      <c r="M674" s="46" t="str">
        <f>IFERROR(__xludf.DUMMYFUNCTION("""COMPUTED_VALUE"""),"")</f>
        <v/>
      </c>
      <c r="N674" s="46" t="str">
        <f>IFERROR(__xludf.DUMMYFUNCTION("""COMPUTED_VALUE"""),"")</f>
        <v/>
      </c>
      <c r="O674" s="48"/>
      <c r="P674" s="52" t="str">
        <f>IFERROR(__xludf.DUMMYFUNCTION("""COMPUTED_VALUE"""),"")</f>
        <v/>
      </c>
    </row>
    <row r="675">
      <c r="A675" s="48" t="str">
        <f>IFERROR(__xludf.DUMMYFUNCTION("""COMPUTED_VALUE"""),"")</f>
        <v/>
      </c>
      <c r="B675" s="48"/>
      <c r="C675" s="49"/>
      <c r="D675" s="46"/>
      <c r="E675" s="46"/>
      <c r="F675" s="46"/>
      <c r="G675" s="46"/>
      <c r="H675" s="46"/>
      <c r="I675" s="50"/>
      <c r="J675" s="50"/>
      <c r="K675" s="51" t="str">
        <f>IFERROR(__xludf.DUMMYFUNCTION("""COMPUTED_VALUE"""),"")</f>
        <v/>
      </c>
      <c r="L675" s="46" t="str">
        <f>IFERROR(__xludf.DUMMYFUNCTION("""COMPUTED_VALUE"""),"")</f>
        <v/>
      </c>
      <c r="M675" s="46" t="str">
        <f>IFERROR(__xludf.DUMMYFUNCTION("""COMPUTED_VALUE"""),"")</f>
        <v/>
      </c>
      <c r="N675" s="46" t="str">
        <f>IFERROR(__xludf.DUMMYFUNCTION("""COMPUTED_VALUE"""),"")</f>
        <v/>
      </c>
      <c r="O675" s="48"/>
      <c r="P675" s="52" t="str">
        <f>IFERROR(__xludf.DUMMYFUNCTION("""COMPUTED_VALUE"""),"")</f>
        <v/>
      </c>
    </row>
    <row r="676">
      <c r="A676" s="48" t="str">
        <f>IFERROR(__xludf.DUMMYFUNCTION("""COMPUTED_VALUE"""),"")</f>
        <v/>
      </c>
      <c r="B676" s="48"/>
      <c r="C676" s="49"/>
      <c r="D676" s="46"/>
      <c r="E676" s="46"/>
      <c r="F676" s="46"/>
      <c r="G676" s="46"/>
      <c r="H676" s="46"/>
      <c r="I676" s="50"/>
      <c r="J676" s="50"/>
      <c r="K676" s="51" t="str">
        <f>IFERROR(__xludf.DUMMYFUNCTION("""COMPUTED_VALUE"""),"")</f>
        <v/>
      </c>
      <c r="L676" s="46" t="str">
        <f>IFERROR(__xludf.DUMMYFUNCTION("""COMPUTED_VALUE"""),"")</f>
        <v/>
      </c>
      <c r="M676" s="46" t="str">
        <f>IFERROR(__xludf.DUMMYFUNCTION("""COMPUTED_VALUE"""),"")</f>
        <v/>
      </c>
      <c r="N676" s="46" t="str">
        <f>IFERROR(__xludf.DUMMYFUNCTION("""COMPUTED_VALUE"""),"")</f>
        <v/>
      </c>
      <c r="O676" s="48"/>
      <c r="P676" s="52" t="str">
        <f>IFERROR(__xludf.DUMMYFUNCTION("""COMPUTED_VALUE"""),"")</f>
        <v/>
      </c>
    </row>
    <row r="677">
      <c r="A677" s="48" t="str">
        <f>IFERROR(__xludf.DUMMYFUNCTION("""COMPUTED_VALUE"""),"")</f>
        <v/>
      </c>
      <c r="B677" s="48"/>
      <c r="C677" s="49"/>
      <c r="D677" s="46"/>
      <c r="E677" s="46"/>
      <c r="F677" s="46"/>
      <c r="G677" s="46"/>
      <c r="H677" s="46"/>
      <c r="I677" s="50"/>
      <c r="J677" s="50"/>
      <c r="K677" s="51" t="str">
        <f>IFERROR(__xludf.DUMMYFUNCTION("""COMPUTED_VALUE"""),"")</f>
        <v/>
      </c>
      <c r="L677" s="46" t="str">
        <f>IFERROR(__xludf.DUMMYFUNCTION("""COMPUTED_VALUE"""),"")</f>
        <v/>
      </c>
      <c r="M677" s="46" t="str">
        <f>IFERROR(__xludf.DUMMYFUNCTION("""COMPUTED_VALUE"""),"")</f>
        <v/>
      </c>
      <c r="N677" s="46" t="str">
        <f>IFERROR(__xludf.DUMMYFUNCTION("""COMPUTED_VALUE"""),"")</f>
        <v/>
      </c>
      <c r="O677" s="48"/>
      <c r="P677" s="52" t="str">
        <f>IFERROR(__xludf.DUMMYFUNCTION("""COMPUTED_VALUE"""),"")</f>
        <v/>
      </c>
    </row>
    <row r="678">
      <c r="A678" s="48" t="str">
        <f>IFERROR(__xludf.DUMMYFUNCTION("""COMPUTED_VALUE"""),"")</f>
        <v/>
      </c>
      <c r="B678" s="48"/>
      <c r="C678" s="49"/>
      <c r="D678" s="46"/>
      <c r="E678" s="46"/>
      <c r="F678" s="46"/>
      <c r="G678" s="46"/>
      <c r="H678" s="46"/>
      <c r="I678" s="50"/>
      <c r="J678" s="50"/>
      <c r="K678" s="51" t="str">
        <f>IFERROR(__xludf.DUMMYFUNCTION("""COMPUTED_VALUE"""),"")</f>
        <v/>
      </c>
      <c r="L678" s="46" t="str">
        <f>IFERROR(__xludf.DUMMYFUNCTION("""COMPUTED_VALUE"""),"")</f>
        <v/>
      </c>
      <c r="M678" s="46" t="str">
        <f>IFERROR(__xludf.DUMMYFUNCTION("""COMPUTED_VALUE"""),"")</f>
        <v/>
      </c>
      <c r="N678" s="46" t="str">
        <f>IFERROR(__xludf.DUMMYFUNCTION("""COMPUTED_VALUE"""),"")</f>
        <v/>
      </c>
      <c r="O678" s="48"/>
      <c r="P678" s="52" t="str">
        <f>IFERROR(__xludf.DUMMYFUNCTION("""COMPUTED_VALUE"""),"")</f>
        <v/>
      </c>
    </row>
    <row r="679">
      <c r="A679" s="48" t="str">
        <f>IFERROR(__xludf.DUMMYFUNCTION("""COMPUTED_VALUE"""),"")</f>
        <v/>
      </c>
      <c r="B679" s="48"/>
      <c r="C679" s="49"/>
      <c r="D679" s="46"/>
      <c r="E679" s="46"/>
      <c r="F679" s="46"/>
      <c r="G679" s="46"/>
      <c r="H679" s="46"/>
      <c r="I679" s="50"/>
      <c r="J679" s="50"/>
      <c r="K679" s="51" t="str">
        <f>IFERROR(__xludf.DUMMYFUNCTION("""COMPUTED_VALUE"""),"")</f>
        <v/>
      </c>
      <c r="L679" s="46" t="str">
        <f>IFERROR(__xludf.DUMMYFUNCTION("""COMPUTED_VALUE"""),"")</f>
        <v/>
      </c>
      <c r="M679" s="46" t="str">
        <f>IFERROR(__xludf.DUMMYFUNCTION("""COMPUTED_VALUE"""),"")</f>
        <v/>
      </c>
      <c r="N679" s="46" t="str">
        <f>IFERROR(__xludf.DUMMYFUNCTION("""COMPUTED_VALUE"""),"")</f>
        <v/>
      </c>
      <c r="O679" s="48"/>
      <c r="P679" s="52" t="str">
        <f>IFERROR(__xludf.DUMMYFUNCTION("""COMPUTED_VALUE"""),"")</f>
        <v/>
      </c>
    </row>
    <row r="680">
      <c r="A680" s="48" t="str">
        <f>IFERROR(__xludf.DUMMYFUNCTION("""COMPUTED_VALUE"""),"")</f>
        <v/>
      </c>
      <c r="B680" s="48"/>
      <c r="C680" s="49"/>
      <c r="D680" s="46"/>
      <c r="E680" s="46"/>
      <c r="F680" s="46"/>
      <c r="G680" s="46"/>
      <c r="H680" s="46"/>
      <c r="I680" s="50"/>
      <c r="J680" s="50"/>
      <c r="K680" s="51" t="str">
        <f>IFERROR(__xludf.DUMMYFUNCTION("""COMPUTED_VALUE"""),"")</f>
        <v/>
      </c>
      <c r="L680" s="46" t="str">
        <f>IFERROR(__xludf.DUMMYFUNCTION("""COMPUTED_VALUE"""),"")</f>
        <v/>
      </c>
      <c r="M680" s="46" t="str">
        <f>IFERROR(__xludf.DUMMYFUNCTION("""COMPUTED_VALUE"""),"")</f>
        <v/>
      </c>
      <c r="N680" s="46" t="str">
        <f>IFERROR(__xludf.DUMMYFUNCTION("""COMPUTED_VALUE"""),"")</f>
        <v/>
      </c>
      <c r="O680" s="48"/>
      <c r="P680" s="52" t="str">
        <f>IFERROR(__xludf.DUMMYFUNCTION("""COMPUTED_VALUE"""),"")</f>
        <v/>
      </c>
    </row>
    <row r="681">
      <c r="A681" s="48" t="str">
        <f>IFERROR(__xludf.DUMMYFUNCTION("""COMPUTED_VALUE"""),"")</f>
        <v/>
      </c>
      <c r="B681" s="48"/>
      <c r="C681" s="49"/>
      <c r="D681" s="46"/>
      <c r="E681" s="46"/>
      <c r="F681" s="46"/>
      <c r="G681" s="46"/>
      <c r="H681" s="46"/>
      <c r="I681" s="50"/>
      <c r="J681" s="50"/>
      <c r="K681" s="51" t="str">
        <f>IFERROR(__xludf.DUMMYFUNCTION("""COMPUTED_VALUE"""),"")</f>
        <v/>
      </c>
      <c r="L681" s="46" t="str">
        <f>IFERROR(__xludf.DUMMYFUNCTION("""COMPUTED_VALUE"""),"")</f>
        <v/>
      </c>
      <c r="M681" s="46" t="str">
        <f>IFERROR(__xludf.DUMMYFUNCTION("""COMPUTED_VALUE"""),"")</f>
        <v/>
      </c>
      <c r="N681" s="46" t="str">
        <f>IFERROR(__xludf.DUMMYFUNCTION("""COMPUTED_VALUE"""),"")</f>
        <v/>
      </c>
      <c r="O681" s="48"/>
      <c r="P681" s="52" t="str">
        <f>IFERROR(__xludf.DUMMYFUNCTION("""COMPUTED_VALUE"""),"")</f>
        <v/>
      </c>
    </row>
    <row r="682">
      <c r="A682" s="48" t="str">
        <f>IFERROR(__xludf.DUMMYFUNCTION("""COMPUTED_VALUE"""),"")</f>
        <v/>
      </c>
      <c r="B682" s="48"/>
      <c r="C682" s="49"/>
      <c r="D682" s="46"/>
      <c r="E682" s="46"/>
      <c r="F682" s="46"/>
      <c r="G682" s="46"/>
      <c r="H682" s="46"/>
      <c r="I682" s="50"/>
      <c r="J682" s="50"/>
      <c r="K682" s="51" t="str">
        <f>IFERROR(__xludf.DUMMYFUNCTION("""COMPUTED_VALUE"""),"")</f>
        <v/>
      </c>
      <c r="L682" s="46" t="str">
        <f>IFERROR(__xludf.DUMMYFUNCTION("""COMPUTED_VALUE"""),"")</f>
        <v/>
      </c>
      <c r="M682" s="46" t="str">
        <f>IFERROR(__xludf.DUMMYFUNCTION("""COMPUTED_VALUE"""),"")</f>
        <v/>
      </c>
      <c r="N682" s="46" t="str">
        <f>IFERROR(__xludf.DUMMYFUNCTION("""COMPUTED_VALUE"""),"")</f>
        <v/>
      </c>
      <c r="O682" s="48"/>
      <c r="P682" s="52" t="str">
        <f>IFERROR(__xludf.DUMMYFUNCTION("""COMPUTED_VALUE"""),"")</f>
        <v/>
      </c>
    </row>
    <row r="683">
      <c r="A683" s="48" t="str">
        <f>IFERROR(__xludf.DUMMYFUNCTION("""COMPUTED_VALUE"""),"")</f>
        <v/>
      </c>
      <c r="B683" s="48"/>
      <c r="C683" s="49"/>
      <c r="D683" s="46"/>
      <c r="E683" s="46"/>
      <c r="F683" s="46"/>
      <c r="G683" s="46"/>
      <c r="H683" s="46"/>
      <c r="I683" s="50"/>
      <c r="J683" s="50"/>
      <c r="K683" s="51" t="str">
        <f>IFERROR(__xludf.DUMMYFUNCTION("""COMPUTED_VALUE"""),"")</f>
        <v/>
      </c>
      <c r="L683" s="46" t="str">
        <f>IFERROR(__xludf.DUMMYFUNCTION("""COMPUTED_VALUE"""),"")</f>
        <v/>
      </c>
      <c r="M683" s="46" t="str">
        <f>IFERROR(__xludf.DUMMYFUNCTION("""COMPUTED_VALUE"""),"")</f>
        <v/>
      </c>
      <c r="N683" s="46" t="str">
        <f>IFERROR(__xludf.DUMMYFUNCTION("""COMPUTED_VALUE"""),"")</f>
        <v/>
      </c>
      <c r="O683" s="48"/>
      <c r="P683" s="52" t="str">
        <f>IFERROR(__xludf.DUMMYFUNCTION("""COMPUTED_VALUE"""),"")</f>
        <v/>
      </c>
    </row>
    <row r="684">
      <c r="A684" s="48" t="str">
        <f>IFERROR(__xludf.DUMMYFUNCTION("""COMPUTED_VALUE"""),"")</f>
        <v/>
      </c>
      <c r="B684" s="48"/>
      <c r="C684" s="49"/>
      <c r="D684" s="46"/>
      <c r="E684" s="46"/>
      <c r="F684" s="46"/>
      <c r="G684" s="46"/>
      <c r="H684" s="46"/>
      <c r="I684" s="50"/>
      <c r="J684" s="50"/>
      <c r="K684" s="51" t="str">
        <f>IFERROR(__xludf.DUMMYFUNCTION("""COMPUTED_VALUE"""),"")</f>
        <v/>
      </c>
      <c r="L684" s="46" t="str">
        <f>IFERROR(__xludf.DUMMYFUNCTION("""COMPUTED_VALUE"""),"")</f>
        <v/>
      </c>
      <c r="M684" s="46" t="str">
        <f>IFERROR(__xludf.DUMMYFUNCTION("""COMPUTED_VALUE"""),"")</f>
        <v/>
      </c>
      <c r="N684" s="46" t="str">
        <f>IFERROR(__xludf.DUMMYFUNCTION("""COMPUTED_VALUE"""),"")</f>
        <v/>
      </c>
      <c r="O684" s="48"/>
      <c r="P684" s="52" t="str">
        <f>IFERROR(__xludf.DUMMYFUNCTION("""COMPUTED_VALUE"""),"")</f>
        <v/>
      </c>
    </row>
    <row r="685">
      <c r="A685" s="48" t="str">
        <f>IFERROR(__xludf.DUMMYFUNCTION("""COMPUTED_VALUE"""),"")</f>
        <v/>
      </c>
      <c r="B685" s="48"/>
      <c r="C685" s="49"/>
      <c r="D685" s="46"/>
      <c r="E685" s="46"/>
      <c r="F685" s="46"/>
      <c r="G685" s="46"/>
      <c r="H685" s="46"/>
      <c r="I685" s="50"/>
      <c r="J685" s="50"/>
      <c r="K685" s="51" t="str">
        <f>IFERROR(__xludf.DUMMYFUNCTION("""COMPUTED_VALUE"""),"")</f>
        <v/>
      </c>
      <c r="L685" s="46" t="str">
        <f>IFERROR(__xludf.DUMMYFUNCTION("""COMPUTED_VALUE"""),"")</f>
        <v/>
      </c>
      <c r="M685" s="46" t="str">
        <f>IFERROR(__xludf.DUMMYFUNCTION("""COMPUTED_VALUE"""),"")</f>
        <v/>
      </c>
      <c r="N685" s="46" t="str">
        <f>IFERROR(__xludf.DUMMYFUNCTION("""COMPUTED_VALUE"""),"")</f>
        <v/>
      </c>
      <c r="O685" s="48"/>
      <c r="P685" s="52" t="str">
        <f>IFERROR(__xludf.DUMMYFUNCTION("""COMPUTED_VALUE"""),"")</f>
        <v/>
      </c>
    </row>
    <row r="686">
      <c r="A686" s="48" t="str">
        <f>IFERROR(__xludf.DUMMYFUNCTION("""COMPUTED_VALUE"""),"")</f>
        <v/>
      </c>
      <c r="B686" s="48"/>
      <c r="C686" s="49"/>
      <c r="D686" s="46"/>
      <c r="E686" s="46"/>
      <c r="F686" s="46"/>
      <c r="G686" s="46"/>
      <c r="H686" s="46"/>
      <c r="I686" s="50"/>
      <c r="J686" s="50"/>
      <c r="K686" s="51" t="str">
        <f>IFERROR(__xludf.DUMMYFUNCTION("""COMPUTED_VALUE"""),"")</f>
        <v/>
      </c>
      <c r="L686" s="46" t="str">
        <f>IFERROR(__xludf.DUMMYFUNCTION("""COMPUTED_VALUE"""),"")</f>
        <v/>
      </c>
      <c r="M686" s="46" t="str">
        <f>IFERROR(__xludf.DUMMYFUNCTION("""COMPUTED_VALUE"""),"")</f>
        <v/>
      </c>
      <c r="N686" s="46" t="str">
        <f>IFERROR(__xludf.DUMMYFUNCTION("""COMPUTED_VALUE"""),"")</f>
        <v/>
      </c>
      <c r="O686" s="48"/>
      <c r="P686" s="52" t="str">
        <f>IFERROR(__xludf.DUMMYFUNCTION("""COMPUTED_VALUE"""),"")</f>
        <v/>
      </c>
    </row>
    <row r="687">
      <c r="A687" s="48" t="str">
        <f>IFERROR(__xludf.DUMMYFUNCTION("""COMPUTED_VALUE"""),"")</f>
        <v/>
      </c>
      <c r="B687" s="48"/>
      <c r="C687" s="49"/>
      <c r="D687" s="46"/>
      <c r="E687" s="46"/>
      <c r="F687" s="46"/>
      <c r="G687" s="46"/>
      <c r="H687" s="46"/>
      <c r="I687" s="50"/>
      <c r="J687" s="50"/>
      <c r="K687" s="51" t="str">
        <f>IFERROR(__xludf.DUMMYFUNCTION("""COMPUTED_VALUE"""),"")</f>
        <v/>
      </c>
      <c r="L687" s="46" t="str">
        <f>IFERROR(__xludf.DUMMYFUNCTION("""COMPUTED_VALUE"""),"")</f>
        <v/>
      </c>
      <c r="M687" s="46" t="str">
        <f>IFERROR(__xludf.DUMMYFUNCTION("""COMPUTED_VALUE"""),"")</f>
        <v/>
      </c>
      <c r="N687" s="46" t="str">
        <f>IFERROR(__xludf.DUMMYFUNCTION("""COMPUTED_VALUE"""),"")</f>
        <v/>
      </c>
      <c r="O687" s="48"/>
      <c r="P687" s="52" t="str">
        <f>IFERROR(__xludf.DUMMYFUNCTION("""COMPUTED_VALUE"""),"")</f>
        <v/>
      </c>
    </row>
    <row r="688">
      <c r="A688" s="48" t="str">
        <f>IFERROR(__xludf.DUMMYFUNCTION("""COMPUTED_VALUE"""),"")</f>
        <v/>
      </c>
      <c r="B688" s="48"/>
      <c r="C688" s="49"/>
      <c r="D688" s="46"/>
      <c r="E688" s="46"/>
      <c r="F688" s="46"/>
      <c r="G688" s="46"/>
      <c r="H688" s="46"/>
      <c r="I688" s="50"/>
      <c r="J688" s="50"/>
      <c r="K688" s="51" t="str">
        <f>IFERROR(__xludf.DUMMYFUNCTION("""COMPUTED_VALUE"""),"")</f>
        <v/>
      </c>
      <c r="L688" s="46" t="str">
        <f>IFERROR(__xludf.DUMMYFUNCTION("""COMPUTED_VALUE"""),"")</f>
        <v/>
      </c>
      <c r="M688" s="46" t="str">
        <f>IFERROR(__xludf.DUMMYFUNCTION("""COMPUTED_VALUE"""),"")</f>
        <v/>
      </c>
      <c r="N688" s="46" t="str">
        <f>IFERROR(__xludf.DUMMYFUNCTION("""COMPUTED_VALUE"""),"")</f>
        <v/>
      </c>
      <c r="O688" s="48"/>
      <c r="P688" s="52" t="str">
        <f>IFERROR(__xludf.DUMMYFUNCTION("""COMPUTED_VALUE"""),"")</f>
        <v/>
      </c>
    </row>
    <row r="689">
      <c r="A689" s="48" t="str">
        <f>IFERROR(__xludf.DUMMYFUNCTION("""COMPUTED_VALUE"""),"")</f>
        <v/>
      </c>
      <c r="B689" s="48"/>
      <c r="C689" s="49"/>
      <c r="D689" s="46"/>
      <c r="E689" s="46"/>
      <c r="F689" s="46"/>
      <c r="G689" s="46"/>
      <c r="H689" s="46"/>
      <c r="I689" s="50"/>
      <c r="J689" s="50"/>
      <c r="K689" s="51" t="str">
        <f>IFERROR(__xludf.DUMMYFUNCTION("""COMPUTED_VALUE"""),"")</f>
        <v/>
      </c>
      <c r="L689" s="46" t="str">
        <f>IFERROR(__xludf.DUMMYFUNCTION("""COMPUTED_VALUE"""),"")</f>
        <v/>
      </c>
      <c r="M689" s="46" t="str">
        <f>IFERROR(__xludf.DUMMYFUNCTION("""COMPUTED_VALUE"""),"")</f>
        <v/>
      </c>
      <c r="N689" s="46" t="str">
        <f>IFERROR(__xludf.DUMMYFUNCTION("""COMPUTED_VALUE"""),"")</f>
        <v/>
      </c>
      <c r="O689" s="48"/>
      <c r="P689" s="52" t="str">
        <f>IFERROR(__xludf.DUMMYFUNCTION("""COMPUTED_VALUE"""),"")</f>
        <v/>
      </c>
    </row>
    <row r="690">
      <c r="A690" s="48" t="str">
        <f>IFERROR(__xludf.DUMMYFUNCTION("""COMPUTED_VALUE"""),"")</f>
        <v/>
      </c>
      <c r="B690" s="48"/>
      <c r="C690" s="49"/>
      <c r="D690" s="46"/>
      <c r="E690" s="46"/>
      <c r="F690" s="46"/>
      <c r="G690" s="46"/>
      <c r="H690" s="46"/>
      <c r="I690" s="50"/>
      <c r="J690" s="50"/>
      <c r="K690" s="51" t="str">
        <f>IFERROR(__xludf.DUMMYFUNCTION("""COMPUTED_VALUE"""),"")</f>
        <v/>
      </c>
      <c r="L690" s="46" t="str">
        <f>IFERROR(__xludf.DUMMYFUNCTION("""COMPUTED_VALUE"""),"")</f>
        <v/>
      </c>
      <c r="M690" s="46" t="str">
        <f>IFERROR(__xludf.DUMMYFUNCTION("""COMPUTED_VALUE"""),"")</f>
        <v/>
      </c>
      <c r="N690" s="46" t="str">
        <f>IFERROR(__xludf.DUMMYFUNCTION("""COMPUTED_VALUE"""),"")</f>
        <v/>
      </c>
      <c r="O690" s="48"/>
      <c r="P690" s="52" t="str">
        <f>IFERROR(__xludf.DUMMYFUNCTION("""COMPUTED_VALUE"""),"")</f>
        <v/>
      </c>
    </row>
    <row r="691">
      <c r="A691" s="48" t="str">
        <f>IFERROR(__xludf.DUMMYFUNCTION("""COMPUTED_VALUE"""),"")</f>
        <v/>
      </c>
      <c r="B691" s="48"/>
      <c r="C691" s="49"/>
      <c r="D691" s="46"/>
      <c r="E691" s="46"/>
      <c r="F691" s="46"/>
      <c r="G691" s="46"/>
      <c r="H691" s="46"/>
      <c r="I691" s="50"/>
      <c r="J691" s="50"/>
      <c r="K691" s="51" t="str">
        <f>IFERROR(__xludf.DUMMYFUNCTION("""COMPUTED_VALUE"""),"")</f>
        <v/>
      </c>
      <c r="L691" s="46" t="str">
        <f>IFERROR(__xludf.DUMMYFUNCTION("""COMPUTED_VALUE"""),"")</f>
        <v/>
      </c>
      <c r="M691" s="46" t="str">
        <f>IFERROR(__xludf.DUMMYFUNCTION("""COMPUTED_VALUE"""),"")</f>
        <v/>
      </c>
      <c r="N691" s="46" t="str">
        <f>IFERROR(__xludf.DUMMYFUNCTION("""COMPUTED_VALUE"""),"")</f>
        <v/>
      </c>
      <c r="O691" s="48"/>
      <c r="P691" s="52" t="str">
        <f>IFERROR(__xludf.DUMMYFUNCTION("""COMPUTED_VALUE"""),"")</f>
        <v/>
      </c>
    </row>
    <row r="692">
      <c r="A692" s="48" t="str">
        <f>IFERROR(__xludf.DUMMYFUNCTION("""COMPUTED_VALUE"""),"")</f>
        <v/>
      </c>
      <c r="B692" s="48"/>
      <c r="C692" s="49"/>
      <c r="D692" s="46"/>
      <c r="E692" s="46"/>
      <c r="F692" s="46"/>
      <c r="G692" s="46"/>
      <c r="H692" s="46"/>
      <c r="I692" s="50"/>
      <c r="J692" s="50"/>
      <c r="K692" s="51" t="str">
        <f>IFERROR(__xludf.DUMMYFUNCTION("""COMPUTED_VALUE"""),"")</f>
        <v/>
      </c>
      <c r="L692" s="46" t="str">
        <f>IFERROR(__xludf.DUMMYFUNCTION("""COMPUTED_VALUE"""),"")</f>
        <v/>
      </c>
      <c r="M692" s="46" t="str">
        <f>IFERROR(__xludf.DUMMYFUNCTION("""COMPUTED_VALUE"""),"")</f>
        <v/>
      </c>
      <c r="N692" s="46" t="str">
        <f>IFERROR(__xludf.DUMMYFUNCTION("""COMPUTED_VALUE"""),"")</f>
        <v/>
      </c>
      <c r="O692" s="48"/>
      <c r="P692" s="52" t="str">
        <f>IFERROR(__xludf.DUMMYFUNCTION("""COMPUTED_VALUE"""),"")</f>
        <v/>
      </c>
    </row>
    <row r="693">
      <c r="A693" s="48" t="str">
        <f>IFERROR(__xludf.DUMMYFUNCTION("""COMPUTED_VALUE"""),"")</f>
        <v/>
      </c>
      <c r="B693" s="48"/>
      <c r="C693" s="49"/>
      <c r="D693" s="46"/>
      <c r="E693" s="46"/>
      <c r="F693" s="46"/>
      <c r="G693" s="46"/>
      <c r="H693" s="46"/>
      <c r="I693" s="50"/>
      <c r="J693" s="50"/>
      <c r="K693" s="51" t="str">
        <f>IFERROR(__xludf.DUMMYFUNCTION("""COMPUTED_VALUE"""),"")</f>
        <v/>
      </c>
      <c r="L693" s="46" t="str">
        <f>IFERROR(__xludf.DUMMYFUNCTION("""COMPUTED_VALUE"""),"")</f>
        <v/>
      </c>
      <c r="M693" s="46" t="str">
        <f>IFERROR(__xludf.DUMMYFUNCTION("""COMPUTED_VALUE"""),"")</f>
        <v/>
      </c>
      <c r="N693" s="46" t="str">
        <f>IFERROR(__xludf.DUMMYFUNCTION("""COMPUTED_VALUE"""),"")</f>
        <v/>
      </c>
      <c r="O693" s="48"/>
      <c r="P693" s="52" t="str">
        <f>IFERROR(__xludf.DUMMYFUNCTION("""COMPUTED_VALUE"""),"")</f>
        <v/>
      </c>
    </row>
    <row r="694">
      <c r="A694" s="48" t="str">
        <f>IFERROR(__xludf.DUMMYFUNCTION("""COMPUTED_VALUE"""),"")</f>
        <v/>
      </c>
      <c r="B694" s="48"/>
      <c r="C694" s="49"/>
      <c r="D694" s="46"/>
      <c r="E694" s="46"/>
      <c r="F694" s="46"/>
      <c r="G694" s="46"/>
      <c r="H694" s="46"/>
      <c r="I694" s="50"/>
      <c r="J694" s="50"/>
      <c r="K694" s="51" t="str">
        <f>IFERROR(__xludf.DUMMYFUNCTION("""COMPUTED_VALUE"""),"")</f>
        <v/>
      </c>
      <c r="L694" s="46" t="str">
        <f>IFERROR(__xludf.DUMMYFUNCTION("""COMPUTED_VALUE"""),"")</f>
        <v/>
      </c>
      <c r="M694" s="46" t="str">
        <f>IFERROR(__xludf.DUMMYFUNCTION("""COMPUTED_VALUE"""),"")</f>
        <v/>
      </c>
      <c r="N694" s="46" t="str">
        <f>IFERROR(__xludf.DUMMYFUNCTION("""COMPUTED_VALUE"""),"")</f>
        <v/>
      </c>
      <c r="O694" s="48"/>
      <c r="P694" s="52" t="str">
        <f>IFERROR(__xludf.DUMMYFUNCTION("""COMPUTED_VALUE"""),"")</f>
        <v/>
      </c>
    </row>
    <row r="695">
      <c r="A695" s="48" t="str">
        <f>IFERROR(__xludf.DUMMYFUNCTION("""COMPUTED_VALUE"""),"")</f>
        <v/>
      </c>
      <c r="B695" s="48"/>
      <c r="C695" s="49"/>
      <c r="D695" s="46"/>
      <c r="E695" s="46"/>
      <c r="F695" s="46"/>
      <c r="G695" s="46"/>
      <c r="H695" s="46"/>
      <c r="I695" s="50"/>
      <c r="J695" s="50"/>
      <c r="K695" s="51" t="str">
        <f>IFERROR(__xludf.DUMMYFUNCTION("""COMPUTED_VALUE"""),"")</f>
        <v/>
      </c>
      <c r="L695" s="46" t="str">
        <f>IFERROR(__xludf.DUMMYFUNCTION("""COMPUTED_VALUE"""),"")</f>
        <v/>
      </c>
      <c r="M695" s="46" t="str">
        <f>IFERROR(__xludf.DUMMYFUNCTION("""COMPUTED_VALUE"""),"")</f>
        <v/>
      </c>
      <c r="N695" s="46" t="str">
        <f>IFERROR(__xludf.DUMMYFUNCTION("""COMPUTED_VALUE"""),"")</f>
        <v/>
      </c>
      <c r="O695" s="48"/>
      <c r="P695" s="52" t="str">
        <f>IFERROR(__xludf.DUMMYFUNCTION("""COMPUTED_VALUE"""),"")</f>
        <v/>
      </c>
    </row>
    <row r="696">
      <c r="A696" s="48" t="str">
        <f>IFERROR(__xludf.DUMMYFUNCTION("""COMPUTED_VALUE"""),"")</f>
        <v/>
      </c>
      <c r="B696" s="48"/>
      <c r="C696" s="49"/>
      <c r="D696" s="46"/>
      <c r="E696" s="46"/>
      <c r="F696" s="46"/>
      <c r="G696" s="46"/>
      <c r="H696" s="46"/>
      <c r="I696" s="50"/>
      <c r="J696" s="50"/>
      <c r="K696" s="51" t="str">
        <f>IFERROR(__xludf.DUMMYFUNCTION("""COMPUTED_VALUE"""),"")</f>
        <v/>
      </c>
      <c r="L696" s="46" t="str">
        <f>IFERROR(__xludf.DUMMYFUNCTION("""COMPUTED_VALUE"""),"")</f>
        <v/>
      </c>
      <c r="M696" s="46" t="str">
        <f>IFERROR(__xludf.DUMMYFUNCTION("""COMPUTED_VALUE"""),"")</f>
        <v/>
      </c>
      <c r="N696" s="46" t="str">
        <f>IFERROR(__xludf.DUMMYFUNCTION("""COMPUTED_VALUE"""),"")</f>
        <v/>
      </c>
      <c r="O696" s="48"/>
      <c r="P696" s="52" t="str">
        <f>IFERROR(__xludf.DUMMYFUNCTION("""COMPUTED_VALUE"""),"")</f>
        <v/>
      </c>
    </row>
    <row r="697">
      <c r="A697" s="48" t="str">
        <f>IFERROR(__xludf.DUMMYFUNCTION("""COMPUTED_VALUE"""),"")</f>
        <v/>
      </c>
      <c r="B697" s="48"/>
      <c r="C697" s="49"/>
      <c r="D697" s="46"/>
      <c r="E697" s="46"/>
      <c r="F697" s="46"/>
      <c r="G697" s="46"/>
      <c r="H697" s="46"/>
      <c r="I697" s="50"/>
      <c r="J697" s="50"/>
      <c r="K697" s="51" t="str">
        <f>IFERROR(__xludf.DUMMYFUNCTION("""COMPUTED_VALUE"""),"")</f>
        <v/>
      </c>
      <c r="L697" s="46" t="str">
        <f>IFERROR(__xludf.DUMMYFUNCTION("""COMPUTED_VALUE"""),"")</f>
        <v/>
      </c>
      <c r="M697" s="46" t="str">
        <f>IFERROR(__xludf.DUMMYFUNCTION("""COMPUTED_VALUE"""),"")</f>
        <v/>
      </c>
      <c r="N697" s="46" t="str">
        <f>IFERROR(__xludf.DUMMYFUNCTION("""COMPUTED_VALUE"""),"")</f>
        <v/>
      </c>
      <c r="O697" s="48"/>
      <c r="P697" s="52" t="str">
        <f>IFERROR(__xludf.DUMMYFUNCTION("""COMPUTED_VALUE"""),"")</f>
        <v/>
      </c>
    </row>
    <row r="698">
      <c r="A698" s="48" t="str">
        <f>IFERROR(__xludf.DUMMYFUNCTION("""COMPUTED_VALUE"""),"")</f>
        <v/>
      </c>
      <c r="B698" s="48"/>
      <c r="C698" s="49"/>
      <c r="D698" s="46"/>
      <c r="E698" s="46"/>
      <c r="F698" s="46"/>
      <c r="G698" s="46"/>
      <c r="H698" s="46"/>
      <c r="I698" s="50"/>
      <c r="J698" s="50"/>
      <c r="K698" s="51" t="str">
        <f>IFERROR(__xludf.DUMMYFUNCTION("""COMPUTED_VALUE"""),"")</f>
        <v/>
      </c>
      <c r="L698" s="46" t="str">
        <f>IFERROR(__xludf.DUMMYFUNCTION("""COMPUTED_VALUE"""),"")</f>
        <v/>
      </c>
      <c r="M698" s="46" t="str">
        <f>IFERROR(__xludf.DUMMYFUNCTION("""COMPUTED_VALUE"""),"")</f>
        <v/>
      </c>
      <c r="N698" s="46" t="str">
        <f>IFERROR(__xludf.DUMMYFUNCTION("""COMPUTED_VALUE"""),"")</f>
        <v/>
      </c>
      <c r="O698" s="48"/>
      <c r="P698" s="52" t="str">
        <f>IFERROR(__xludf.DUMMYFUNCTION("""COMPUTED_VALUE"""),"")</f>
        <v/>
      </c>
    </row>
    <row r="699">
      <c r="A699" s="48" t="str">
        <f>IFERROR(__xludf.DUMMYFUNCTION("""COMPUTED_VALUE"""),"")</f>
        <v/>
      </c>
      <c r="B699" s="48"/>
      <c r="C699" s="49"/>
      <c r="D699" s="46"/>
      <c r="E699" s="46"/>
      <c r="F699" s="46"/>
      <c r="G699" s="46"/>
      <c r="H699" s="46"/>
      <c r="I699" s="50"/>
      <c r="J699" s="50"/>
      <c r="K699" s="51" t="str">
        <f>IFERROR(__xludf.DUMMYFUNCTION("""COMPUTED_VALUE"""),"")</f>
        <v/>
      </c>
      <c r="L699" s="46" t="str">
        <f>IFERROR(__xludf.DUMMYFUNCTION("""COMPUTED_VALUE"""),"")</f>
        <v/>
      </c>
      <c r="M699" s="46" t="str">
        <f>IFERROR(__xludf.DUMMYFUNCTION("""COMPUTED_VALUE"""),"")</f>
        <v/>
      </c>
      <c r="N699" s="46" t="str">
        <f>IFERROR(__xludf.DUMMYFUNCTION("""COMPUTED_VALUE"""),"")</f>
        <v/>
      </c>
      <c r="O699" s="48"/>
      <c r="P699" s="52" t="str">
        <f>IFERROR(__xludf.DUMMYFUNCTION("""COMPUTED_VALUE"""),"")</f>
        <v/>
      </c>
    </row>
    <row r="700">
      <c r="A700" s="48" t="str">
        <f>IFERROR(__xludf.DUMMYFUNCTION("""COMPUTED_VALUE"""),"")</f>
        <v/>
      </c>
      <c r="B700" s="48"/>
      <c r="C700" s="49"/>
      <c r="D700" s="46"/>
      <c r="E700" s="46"/>
      <c r="F700" s="46"/>
      <c r="G700" s="46"/>
      <c r="H700" s="46"/>
      <c r="I700" s="50"/>
      <c r="J700" s="50"/>
      <c r="K700" s="51" t="str">
        <f>IFERROR(__xludf.DUMMYFUNCTION("""COMPUTED_VALUE"""),"")</f>
        <v/>
      </c>
      <c r="L700" s="46" t="str">
        <f>IFERROR(__xludf.DUMMYFUNCTION("""COMPUTED_VALUE"""),"")</f>
        <v/>
      </c>
      <c r="M700" s="46" t="str">
        <f>IFERROR(__xludf.DUMMYFUNCTION("""COMPUTED_VALUE"""),"")</f>
        <v/>
      </c>
      <c r="N700" s="46" t="str">
        <f>IFERROR(__xludf.DUMMYFUNCTION("""COMPUTED_VALUE"""),"")</f>
        <v/>
      </c>
      <c r="O700" s="48"/>
      <c r="P700" s="52" t="str">
        <f>IFERROR(__xludf.DUMMYFUNCTION("""COMPUTED_VALUE"""),"")</f>
        <v/>
      </c>
    </row>
    <row r="701">
      <c r="A701" s="48" t="str">
        <f>IFERROR(__xludf.DUMMYFUNCTION("""COMPUTED_VALUE"""),"")</f>
        <v/>
      </c>
      <c r="B701" s="48"/>
      <c r="C701" s="49"/>
      <c r="D701" s="46"/>
      <c r="E701" s="46"/>
      <c r="F701" s="46"/>
      <c r="G701" s="46"/>
      <c r="H701" s="46"/>
      <c r="I701" s="50"/>
      <c r="J701" s="50"/>
      <c r="K701" s="51" t="str">
        <f>IFERROR(__xludf.DUMMYFUNCTION("""COMPUTED_VALUE"""),"")</f>
        <v/>
      </c>
      <c r="L701" s="46" t="str">
        <f>IFERROR(__xludf.DUMMYFUNCTION("""COMPUTED_VALUE"""),"")</f>
        <v/>
      </c>
      <c r="M701" s="46" t="str">
        <f>IFERROR(__xludf.DUMMYFUNCTION("""COMPUTED_VALUE"""),"")</f>
        <v/>
      </c>
      <c r="N701" s="46" t="str">
        <f>IFERROR(__xludf.DUMMYFUNCTION("""COMPUTED_VALUE"""),"")</f>
        <v/>
      </c>
      <c r="O701" s="48"/>
      <c r="P701" s="52" t="str">
        <f>IFERROR(__xludf.DUMMYFUNCTION("""COMPUTED_VALUE"""),"")</f>
        <v/>
      </c>
    </row>
    <row r="702">
      <c r="A702" s="48" t="str">
        <f>IFERROR(__xludf.DUMMYFUNCTION("""COMPUTED_VALUE"""),"")</f>
        <v/>
      </c>
      <c r="B702" s="48"/>
      <c r="C702" s="49"/>
      <c r="D702" s="46"/>
      <c r="E702" s="46"/>
      <c r="F702" s="46"/>
      <c r="G702" s="46"/>
      <c r="H702" s="46"/>
      <c r="I702" s="50"/>
      <c r="J702" s="50"/>
      <c r="K702" s="51" t="str">
        <f>IFERROR(__xludf.DUMMYFUNCTION("""COMPUTED_VALUE"""),"")</f>
        <v/>
      </c>
      <c r="L702" s="46" t="str">
        <f>IFERROR(__xludf.DUMMYFUNCTION("""COMPUTED_VALUE"""),"")</f>
        <v/>
      </c>
      <c r="M702" s="46" t="str">
        <f>IFERROR(__xludf.DUMMYFUNCTION("""COMPUTED_VALUE"""),"")</f>
        <v/>
      </c>
      <c r="N702" s="46" t="str">
        <f>IFERROR(__xludf.DUMMYFUNCTION("""COMPUTED_VALUE"""),"")</f>
        <v/>
      </c>
      <c r="O702" s="48"/>
      <c r="P702" s="52" t="str">
        <f>IFERROR(__xludf.DUMMYFUNCTION("""COMPUTED_VALUE"""),"")</f>
        <v/>
      </c>
    </row>
    <row r="703">
      <c r="A703" s="48" t="str">
        <f>IFERROR(__xludf.DUMMYFUNCTION("""COMPUTED_VALUE"""),"")</f>
        <v/>
      </c>
      <c r="B703" s="48"/>
      <c r="C703" s="49"/>
      <c r="D703" s="46"/>
      <c r="E703" s="46"/>
      <c r="F703" s="46"/>
      <c r="G703" s="46"/>
      <c r="H703" s="46"/>
      <c r="I703" s="50"/>
      <c r="J703" s="50"/>
      <c r="K703" s="51" t="str">
        <f>IFERROR(__xludf.DUMMYFUNCTION("""COMPUTED_VALUE"""),"")</f>
        <v/>
      </c>
      <c r="L703" s="46" t="str">
        <f>IFERROR(__xludf.DUMMYFUNCTION("""COMPUTED_VALUE"""),"")</f>
        <v/>
      </c>
      <c r="M703" s="46" t="str">
        <f>IFERROR(__xludf.DUMMYFUNCTION("""COMPUTED_VALUE"""),"")</f>
        <v/>
      </c>
      <c r="N703" s="46" t="str">
        <f>IFERROR(__xludf.DUMMYFUNCTION("""COMPUTED_VALUE"""),"")</f>
        <v/>
      </c>
      <c r="O703" s="48"/>
      <c r="P703" s="52" t="str">
        <f>IFERROR(__xludf.DUMMYFUNCTION("""COMPUTED_VALUE"""),"")</f>
        <v/>
      </c>
    </row>
    <row r="704">
      <c r="A704" s="48" t="str">
        <f>IFERROR(__xludf.DUMMYFUNCTION("""COMPUTED_VALUE"""),"")</f>
        <v/>
      </c>
      <c r="B704" s="48"/>
      <c r="C704" s="49"/>
      <c r="D704" s="46"/>
      <c r="E704" s="46"/>
      <c r="F704" s="46"/>
      <c r="G704" s="46"/>
      <c r="H704" s="46"/>
      <c r="I704" s="50"/>
      <c r="J704" s="50"/>
      <c r="K704" s="51" t="str">
        <f>IFERROR(__xludf.DUMMYFUNCTION("""COMPUTED_VALUE"""),"")</f>
        <v/>
      </c>
      <c r="L704" s="46" t="str">
        <f>IFERROR(__xludf.DUMMYFUNCTION("""COMPUTED_VALUE"""),"")</f>
        <v/>
      </c>
      <c r="M704" s="46" t="str">
        <f>IFERROR(__xludf.DUMMYFUNCTION("""COMPUTED_VALUE"""),"")</f>
        <v/>
      </c>
      <c r="N704" s="46" t="str">
        <f>IFERROR(__xludf.DUMMYFUNCTION("""COMPUTED_VALUE"""),"")</f>
        <v/>
      </c>
      <c r="O704" s="48"/>
      <c r="P704" s="52" t="str">
        <f>IFERROR(__xludf.DUMMYFUNCTION("""COMPUTED_VALUE"""),"")</f>
        <v/>
      </c>
    </row>
    <row r="705">
      <c r="A705" s="48" t="str">
        <f>IFERROR(__xludf.DUMMYFUNCTION("""COMPUTED_VALUE"""),"")</f>
        <v/>
      </c>
      <c r="B705" s="48"/>
      <c r="C705" s="49"/>
      <c r="D705" s="46"/>
      <c r="E705" s="46"/>
      <c r="F705" s="46"/>
      <c r="G705" s="46"/>
      <c r="H705" s="46"/>
      <c r="I705" s="50"/>
      <c r="J705" s="50"/>
      <c r="K705" s="51" t="str">
        <f>IFERROR(__xludf.DUMMYFUNCTION("""COMPUTED_VALUE"""),"")</f>
        <v/>
      </c>
      <c r="L705" s="46" t="str">
        <f>IFERROR(__xludf.DUMMYFUNCTION("""COMPUTED_VALUE"""),"")</f>
        <v/>
      </c>
      <c r="M705" s="46" t="str">
        <f>IFERROR(__xludf.DUMMYFUNCTION("""COMPUTED_VALUE"""),"")</f>
        <v/>
      </c>
      <c r="N705" s="46" t="str">
        <f>IFERROR(__xludf.DUMMYFUNCTION("""COMPUTED_VALUE"""),"")</f>
        <v/>
      </c>
      <c r="O705" s="48"/>
      <c r="P705" s="52" t="str">
        <f>IFERROR(__xludf.DUMMYFUNCTION("""COMPUTED_VALUE"""),"")</f>
        <v/>
      </c>
    </row>
    <row r="706">
      <c r="A706" s="48" t="str">
        <f>IFERROR(__xludf.DUMMYFUNCTION("""COMPUTED_VALUE"""),"")</f>
        <v/>
      </c>
      <c r="B706" s="48"/>
      <c r="C706" s="49"/>
      <c r="D706" s="46"/>
      <c r="E706" s="46"/>
      <c r="F706" s="46"/>
      <c r="G706" s="46"/>
      <c r="H706" s="46"/>
      <c r="I706" s="50"/>
      <c r="J706" s="50"/>
      <c r="K706" s="51" t="str">
        <f>IFERROR(__xludf.DUMMYFUNCTION("""COMPUTED_VALUE"""),"")</f>
        <v/>
      </c>
      <c r="L706" s="46" t="str">
        <f>IFERROR(__xludf.DUMMYFUNCTION("""COMPUTED_VALUE"""),"")</f>
        <v/>
      </c>
      <c r="M706" s="46" t="str">
        <f>IFERROR(__xludf.DUMMYFUNCTION("""COMPUTED_VALUE"""),"")</f>
        <v/>
      </c>
      <c r="N706" s="46" t="str">
        <f>IFERROR(__xludf.DUMMYFUNCTION("""COMPUTED_VALUE"""),"")</f>
        <v/>
      </c>
      <c r="O706" s="48"/>
      <c r="P706" s="52" t="str">
        <f>IFERROR(__xludf.DUMMYFUNCTION("""COMPUTED_VALUE"""),"")</f>
        <v/>
      </c>
    </row>
    <row r="707">
      <c r="A707" s="48" t="str">
        <f>IFERROR(__xludf.DUMMYFUNCTION("""COMPUTED_VALUE"""),"")</f>
        <v/>
      </c>
      <c r="B707" s="48"/>
      <c r="C707" s="49"/>
      <c r="D707" s="46"/>
      <c r="E707" s="46"/>
      <c r="F707" s="46"/>
      <c r="G707" s="46"/>
      <c r="H707" s="46"/>
      <c r="I707" s="50"/>
      <c r="J707" s="50"/>
      <c r="K707" s="51" t="str">
        <f>IFERROR(__xludf.DUMMYFUNCTION("""COMPUTED_VALUE"""),"")</f>
        <v/>
      </c>
      <c r="L707" s="46" t="str">
        <f>IFERROR(__xludf.DUMMYFUNCTION("""COMPUTED_VALUE"""),"")</f>
        <v/>
      </c>
      <c r="M707" s="46" t="str">
        <f>IFERROR(__xludf.DUMMYFUNCTION("""COMPUTED_VALUE"""),"")</f>
        <v/>
      </c>
      <c r="N707" s="46" t="str">
        <f>IFERROR(__xludf.DUMMYFUNCTION("""COMPUTED_VALUE"""),"")</f>
        <v/>
      </c>
      <c r="O707" s="48"/>
      <c r="P707" s="52" t="str">
        <f>IFERROR(__xludf.DUMMYFUNCTION("""COMPUTED_VALUE"""),"")</f>
        <v/>
      </c>
    </row>
    <row r="708">
      <c r="A708" s="48" t="str">
        <f>IFERROR(__xludf.DUMMYFUNCTION("""COMPUTED_VALUE"""),"")</f>
        <v/>
      </c>
      <c r="B708" s="48"/>
      <c r="C708" s="49"/>
      <c r="D708" s="46"/>
      <c r="E708" s="46"/>
      <c r="F708" s="46"/>
      <c r="G708" s="46"/>
      <c r="H708" s="46"/>
      <c r="I708" s="50"/>
      <c r="J708" s="50"/>
      <c r="K708" s="51" t="str">
        <f>IFERROR(__xludf.DUMMYFUNCTION("""COMPUTED_VALUE"""),"")</f>
        <v/>
      </c>
      <c r="L708" s="46" t="str">
        <f>IFERROR(__xludf.DUMMYFUNCTION("""COMPUTED_VALUE"""),"")</f>
        <v/>
      </c>
      <c r="M708" s="46" t="str">
        <f>IFERROR(__xludf.DUMMYFUNCTION("""COMPUTED_VALUE"""),"")</f>
        <v/>
      </c>
      <c r="N708" s="46" t="str">
        <f>IFERROR(__xludf.DUMMYFUNCTION("""COMPUTED_VALUE"""),"")</f>
        <v/>
      </c>
      <c r="O708" s="48"/>
      <c r="P708" s="52" t="str">
        <f>IFERROR(__xludf.DUMMYFUNCTION("""COMPUTED_VALUE"""),"")</f>
        <v/>
      </c>
    </row>
    <row r="709">
      <c r="A709" s="48" t="str">
        <f>IFERROR(__xludf.DUMMYFUNCTION("""COMPUTED_VALUE"""),"")</f>
        <v/>
      </c>
      <c r="B709" s="48"/>
      <c r="C709" s="49"/>
      <c r="D709" s="46"/>
      <c r="E709" s="46"/>
      <c r="F709" s="46"/>
      <c r="G709" s="46"/>
      <c r="H709" s="46"/>
      <c r="I709" s="50"/>
      <c r="J709" s="50"/>
      <c r="K709" s="51" t="str">
        <f>IFERROR(__xludf.DUMMYFUNCTION("""COMPUTED_VALUE"""),"")</f>
        <v/>
      </c>
      <c r="L709" s="46" t="str">
        <f>IFERROR(__xludf.DUMMYFUNCTION("""COMPUTED_VALUE"""),"")</f>
        <v/>
      </c>
      <c r="M709" s="46" t="str">
        <f>IFERROR(__xludf.DUMMYFUNCTION("""COMPUTED_VALUE"""),"")</f>
        <v/>
      </c>
      <c r="N709" s="46" t="str">
        <f>IFERROR(__xludf.DUMMYFUNCTION("""COMPUTED_VALUE"""),"")</f>
        <v/>
      </c>
      <c r="O709" s="48"/>
      <c r="P709" s="52" t="str">
        <f>IFERROR(__xludf.DUMMYFUNCTION("""COMPUTED_VALUE"""),"")</f>
        <v/>
      </c>
    </row>
    <row r="710">
      <c r="A710" s="48" t="str">
        <f>IFERROR(__xludf.DUMMYFUNCTION("""COMPUTED_VALUE"""),"")</f>
        <v/>
      </c>
      <c r="B710" s="48"/>
      <c r="C710" s="49"/>
      <c r="D710" s="46"/>
      <c r="E710" s="46"/>
      <c r="F710" s="46"/>
      <c r="G710" s="46"/>
      <c r="H710" s="46"/>
      <c r="I710" s="50"/>
      <c r="J710" s="50"/>
      <c r="K710" s="51" t="str">
        <f>IFERROR(__xludf.DUMMYFUNCTION("""COMPUTED_VALUE"""),"")</f>
        <v/>
      </c>
      <c r="L710" s="46" t="str">
        <f>IFERROR(__xludf.DUMMYFUNCTION("""COMPUTED_VALUE"""),"")</f>
        <v/>
      </c>
      <c r="M710" s="46" t="str">
        <f>IFERROR(__xludf.DUMMYFUNCTION("""COMPUTED_VALUE"""),"")</f>
        <v/>
      </c>
      <c r="N710" s="46" t="str">
        <f>IFERROR(__xludf.DUMMYFUNCTION("""COMPUTED_VALUE"""),"")</f>
        <v/>
      </c>
      <c r="O710" s="48"/>
      <c r="P710" s="52" t="str">
        <f>IFERROR(__xludf.DUMMYFUNCTION("""COMPUTED_VALUE"""),"")</f>
        <v/>
      </c>
    </row>
    <row r="711">
      <c r="A711" s="48" t="str">
        <f>IFERROR(__xludf.DUMMYFUNCTION("""COMPUTED_VALUE"""),"")</f>
        <v/>
      </c>
      <c r="B711" s="48"/>
      <c r="C711" s="49"/>
      <c r="D711" s="46"/>
      <c r="E711" s="46"/>
      <c r="F711" s="46"/>
      <c r="G711" s="46"/>
      <c r="H711" s="46"/>
      <c r="I711" s="50"/>
      <c r="J711" s="50"/>
      <c r="K711" s="51" t="str">
        <f>IFERROR(__xludf.DUMMYFUNCTION("""COMPUTED_VALUE"""),"")</f>
        <v/>
      </c>
      <c r="L711" s="46" t="str">
        <f>IFERROR(__xludf.DUMMYFUNCTION("""COMPUTED_VALUE"""),"")</f>
        <v/>
      </c>
      <c r="M711" s="46" t="str">
        <f>IFERROR(__xludf.DUMMYFUNCTION("""COMPUTED_VALUE"""),"")</f>
        <v/>
      </c>
      <c r="N711" s="46" t="str">
        <f>IFERROR(__xludf.DUMMYFUNCTION("""COMPUTED_VALUE"""),"")</f>
        <v/>
      </c>
      <c r="O711" s="48"/>
      <c r="P711" s="52" t="str">
        <f>IFERROR(__xludf.DUMMYFUNCTION("""COMPUTED_VALUE"""),"")</f>
        <v/>
      </c>
    </row>
    <row r="712">
      <c r="A712" s="48" t="str">
        <f>IFERROR(__xludf.DUMMYFUNCTION("""COMPUTED_VALUE"""),"")</f>
        <v/>
      </c>
      <c r="B712" s="48"/>
      <c r="C712" s="49"/>
      <c r="D712" s="46"/>
      <c r="E712" s="46"/>
      <c r="F712" s="46"/>
      <c r="G712" s="46"/>
      <c r="H712" s="46"/>
      <c r="I712" s="50"/>
      <c r="J712" s="50"/>
      <c r="K712" s="51" t="str">
        <f>IFERROR(__xludf.DUMMYFUNCTION("""COMPUTED_VALUE"""),"")</f>
        <v/>
      </c>
      <c r="L712" s="46" t="str">
        <f>IFERROR(__xludf.DUMMYFUNCTION("""COMPUTED_VALUE"""),"")</f>
        <v/>
      </c>
      <c r="M712" s="46" t="str">
        <f>IFERROR(__xludf.DUMMYFUNCTION("""COMPUTED_VALUE"""),"")</f>
        <v/>
      </c>
      <c r="N712" s="46" t="str">
        <f>IFERROR(__xludf.DUMMYFUNCTION("""COMPUTED_VALUE"""),"")</f>
        <v/>
      </c>
      <c r="O712" s="48"/>
      <c r="P712" s="52" t="str">
        <f>IFERROR(__xludf.DUMMYFUNCTION("""COMPUTED_VALUE"""),"")</f>
        <v/>
      </c>
    </row>
    <row r="713">
      <c r="A713" s="48" t="str">
        <f>IFERROR(__xludf.DUMMYFUNCTION("""COMPUTED_VALUE"""),"")</f>
        <v/>
      </c>
      <c r="B713" s="48"/>
      <c r="C713" s="49"/>
      <c r="D713" s="46"/>
      <c r="E713" s="46"/>
      <c r="F713" s="46"/>
      <c r="G713" s="46"/>
      <c r="H713" s="46"/>
      <c r="I713" s="50"/>
      <c r="J713" s="50"/>
      <c r="K713" s="51" t="str">
        <f>IFERROR(__xludf.DUMMYFUNCTION("""COMPUTED_VALUE"""),"")</f>
        <v/>
      </c>
      <c r="L713" s="46" t="str">
        <f>IFERROR(__xludf.DUMMYFUNCTION("""COMPUTED_VALUE"""),"")</f>
        <v/>
      </c>
      <c r="M713" s="46" t="str">
        <f>IFERROR(__xludf.DUMMYFUNCTION("""COMPUTED_VALUE"""),"")</f>
        <v/>
      </c>
      <c r="N713" s="46" t="str">
        <f>IFERROR(__xludf.DUMMYFUNCTION("""COMPUTED_VALUE"""),"")</f>
        <v/>
      </c>
      <c r="O713" s="48"/>
      <c r="P713" s="52" t="str">
        <f>IFERROR(__xludf.DUMMYFUNCTION("""COMPUTED_VALUE"""),"")</f>
        <v/>
      </c>
    </row>
    <row r="714">
      <c r="A714" s="48" t="str">
        <f>IFERROR(__xludf.DUMMYFUNCTION("""COMPUTED_VALUE"""),"")</f>
        <v/>
      </c>
      <c r="B714" s="48"/>
      <c r="C714" s="49"/>
      <c r="D714" s="46"/>
      <c r="E714" s="46"/>
      <c r="F714" s="46"/>
      <c r="G714" s="46"/>
      <c r="H714" s="46"/>
      <c r="I714" s="50"/>
      <c r="J714" s="50"/>
      <c r="K714" s="51" t="str">
        <f>IFERROR(__xludf.DUMMYFUNCTION("""COMPUTED_VALUE"""),"")</f>
        <v/>
      </c>
      <c r="L714" s="46" t="str">
        <f>IFERROR(__xludf.DUMMYFUNCTION("""COMPUTED_VALUE"""),"")</f>
        <v/>
      </c>
      <c r="M714" s="46" t="str">
        <f>IFERROR(__xludf.DUMMYFUNCTION("""COMPUTED_VALUE"""),"")</f>
        <v/>
      </c>
      <c r="N714" s="46" t="str">
        <f>IFERROR(__xludf.DUMMYFUNCTION("""COMPUTED_VALUE"""),"")</f>
        <v/>
      </c>
      <c r="O714" s="48"/>
      <c r="P714" s="52" t="str">
        <f>IFERROR(__xludf.DUMMYFUNCTION("""COMPUTED_VALUE"""),"")</f>
        <v/>
      </c>
    </row>
    <row r="715">
      <c r="A715" s="48" t="str">
        <f>IFERROR(__xludf.DUMMYFUNCTION("""COMPUTED_VALUE"""),"")</f>
        <v/>
      </c>
      <c r="B715" s="48"/>
      <c r="C715" s="49"/>
      <c r="D715" s="46"/>
      <c r="E715" s="46"/>
      <c r="F715" s="46"/>
      <c r="G715" s="46"/>
      <c r="H715" s="46"/>
      <c r="I715" s="50"/>
      <c r="J715" s="50"/>
      <c r="K715" s="51" t="str">
        <f>IFERROR(__xludf.DUMMYFUNCTION("""COMPUTED_VALUE"""),"")</f>
        <v/>
      </c>
      <c r="L715" s="46" t="str">
        <f>IFERROR(__xludf.DUMMYFUNCTION("""COMPUTED_VALUE"""),"")</f>
        <v/>
      </c>
      <c r="M715" s="46" t="str">
        <f>IFERROR(__xludf.DUMMYFUNCTION("""COMPUTED_VALUE"""),"")</f>
        <v/>
      </c>
      <c r="N715" s="46" t="str">
        <f>IFERROR(__xludf.DUMMYFUNCTION("""COMPUTED_VALUE"""),"")</f>
        <v/>
      </c>
      <c r="O715" s="48"/>
      <c r="P715" s="52" t="str">
        <f>IFERROR(__xludf.DUMMYFUNCTION("""COMPUTED_VALUE"""),"")</f>
        <v/>
      </c>
    </row>
    <row r="716">
      <c r="A716" s="48" t="str">
        <f>IFERROR(__xludf.DUMMYFUNCTION("""COMPUTED_VALUE"""),"")</f>
        <v/>
      </c>
      <c r="B716" s="48"/>
      <c r="C716" s="49"/>
      <c r="D716" s="46"/>
      <c r="E716" s="46"/>
      <c r="F716" s="46"/>
      <c r="G716" s="46"/>
      <c r="H716" s="46"/>
      <c r="I716" s="50"/>
      <c r="J716" s="50"/>
      <c r="K716" s="51" t="str">
        <f>IFERROR(__xludf.DUMMYFUNCTION("""COMPUTED_VALUE"""),"")</f>
        <v/>
      </c>
      <c r="L716" s="46" t="str">
        <f>IFERROR(__xludf.DUMMYFUNCTION("""COMPUTED_VALUE"""),"")</f>
        <v/>
      </c>
      <c r="M716" s="46" t="str">
        <f>IFERROR(__xludf.DUMMYFUNCTION("""COMPUTED_VALUE"""),"")</f>
        <v/>
      </c>
      <c r="N716" s="46" t="str">
        <f>IFERROR(__xludf.DUMMYFUNCTION("""COMPUTED_VALUE"""),"")</f>
        <v/>
      </c>
      <c r="O716" s="48"/>
      <c r="P716" s="52" t="str">
        <f>IFERROR(__xludf.DUMMYFUNCTION("""COMPUTED_VALUE"""),"")</f>
        <v/>
      </c>
    </row>
    <row r="717">
      <c r="A717" s="48" t="str">
        <f>IFERROR(__xludf.DUMMYFUNCTION("""COMPUTED_VALUE"""),"")</f>
        <v/>
      </c>
      <c r="B717" s="48"/>
      <c r="C717" s="49"/>
      <c r="D717" s="46"/>
      <c r="E717" s="46"/>
      <c r="F717" s="46"/>
      <c r="G717" s="46"/>
      <c r="H717" s="46"/>
      <c r="I717" s="50"/>
      <c r="J717" s="50"/>
      <c r="K717" s="51" t="str">
        <f>IFERROR(__xludf.DUMMYFUNCTION("""COMPUTED_VALUE"""),"")</f>
        <v/>
      </c>
      <c r="L717" s="46" t="str">
        <f>IFERROR(__xludf.DUMMYFUNCTION("""COMPUTED_VALUE"""),"")</f>
        <v/>
      </c>
      <c r="M717" s="46" t="str">
        <f>IFERROR(__xludf.DUMMYFUNCTION("""COMPUTED_VALUE"""),"")</f>
        <v/>
      </c>
      <c r="N717" s="46" t="str">
        <f>IFERROR(__xludf.DUMMYFUNCTION("""COMPUTED_VALUE"""),"")</f>
        <v/>
      </c>
      <c r="O717" s="48"/>
      <c r="P717" s="52" t="str">
        <f>IFERROR(__xludf.DUMMYFUNCTION("""COMPUTED_VALUE"""),"")</f>
        <v/>
      </c>
    </row>
    <row r="718">
      <c r="A718" s="48" t="str">
        <f>IFERROR(__xludf.DUMMYFUNCTION("""COMPUTED_VALUE"""),"")</f>
        <v/>
      </c>
      <c r="B718" s="48"/>
      <c r="C718" s="49"/>
      <c r="D718" s="46"/>
      <c r="E718" s="46"/>
      <c r="F718" s="46"/>
      <c r="G718" s="46"/>
      <c r="H718" s="46"/>
      <c r="I718" s="50"/>
      <c r="J718" s="50"/>
      <c r="K718" s="51" t="str">
        <f>IFERROR(__xludf.DUMMYFUNCTION("""COMPUTED_VALUE"""),"")</f>
        <v/>
      </c>
      <c r="L718" s="46" t="str">
        <f>IFERROR(__xludf.DUMMYFUNCTION("""COMPUTED_VALUE"""),"")</f>
        <v/>
      </c>
      <c r="M718" s="46" t="str">
        <f>IFERROR(__xludf.DUMMYFUNCTION("""COMPUTED_VALUE"""),"")</f>
        <v/>
      </c>
      <c r="N718" s="46" t="str">
        <f>IFERROR(__xludf.DUMMYFUNCTION("""COMPUTED_VALUE"""),"")</f>
        <v/>
      </c>
      <c r="O718" s="48"/>
      <c r="P718" s="52" t="str">
        <f>IFERROR(__xludf.DUMMYFUNCTION("""COMPUTED_VALUE"""),"")</f>
        <v/>
      </c>
    </row>
    <row r="719">
      <c r="A719" s="48" t="str">
        <f>IFERROR(__xludf.DUMMYFUNCTION("""COMPUTED_VALUE"""),"")</f>
        <v/>
      </c>
      <c r="B719" s="48"/>
      <c r="C719" s="49"/>
      <c r="D719" s="46"/>
      <c r="E719" s="46"/>
      <c r="F719" s="46"/>
      <c r="G719" s="46"/>
      <c r="H719" s="46"/>
      <c r="I719" s="50"/>
      <c r="J719" s="50"/>
      <c r="K719" s="51" t="str">
        <f>IFERROR(__xludf.DUMMYFUNCTION("""COMPUTED_VALUE"""),"")</f>
        <v/>
      </c>
      <c r="L719" s="46" t="str">
        <f>IFERROR(__xludf.DUMMYFUNCTION("""COMPUTED_VALUE"""),"")</f>
        <v/>
      </c>
      <c r="M719" s="46" t="str">
        <f>IFERROR(__xludf.DUMMYFUNCTION("""COMPUTED_VALUE"""),"")</f>
        <v/>
      </c>
      <c r="N719" s="46" t="str">
        <f>IFERROR(__xludf.DUMMYFUNCTION("""COMPUTED_VALUE"""),"")</f>
        <v/>
      </c>
      <c r="O719" s="48"/>
      <c r="P719" s="52" t="str">
        <f>IFERROR(__xludf.DUMMYFUNCTION("""COMPUTED_VALUE"""),"")</f>
        <v/>
      </c>
    </row>
    <row r="720">
      <c r="A720" s="48" t="str">
        <f>IFERROR(__xludf.DUMMYFUNCTION("""COMPUTED_VALUE"""),"")</f>
        <v/>
      </c>
      <c r="B720" s="48"/>
      <c r="C720" s="49"/>
      <c r="D720" s="46"/>
      <c r="E720" s="46"/>
      <c r="F720" s="46"/>
      <c r="G720" s="46"/>
      <c r="H720" s="46"/>
      <c r="I720" s="50"/>
      <c r="J720" s="50"/>
      <c r="K720" s="51" t="str">
        <f>IFERROR(__xludf.DUMMYFUNCTION("""COMPUTED_VALUE"""),"")</f>
        <v/>
      </c>
      <c r="L720" s="46" t="str">
        <f>IFERROR(__xludf.DUMMYFUNCTION("""COMPUTED_VALUE"""),"")</f>
        <v/>
      </c>
      <c r="M720" s="46" t="str">
        <f>IFERROR(__xludf.DUMMYFUNCTION("""COMPUTED_VALUE"""),"")</f>
        <v/>
      </c>
      <c r="N720" s="46" t="str">
        <f>IFERROR(__xludf.DUMMYFUNCTION("""COMPUTED_VALUE"""),"")</f>
        <v/>
      </c>
      <c r="O720" s="48"/>
      <c r="P720" s="52" t="str">
        <f>IFERROR(__xludf.DUMMYFUNCTION("""COMPUTED_VALUE"""),"")</f>
        <v/>
      </c>
    </row>
    <row r="721">
      <c r="A721" s="48" t="str">
        <f>IFERROR(__xludf.DUMMYFUNCTION("""COMPUTED_VALUE"""),"")</f>
        <v/>
      </c>
      <c r="B721" s="48"/>
      <c r="C721" s="49"/>
      <c r="D721" s="46"/>
      <c r="E721" s="46"/>
      <c r="F721" s="46"/>
      <c r="G721" s="46"/>
      <c r="H721" s="46"/>
      <c r="I721" s="50"/>
      <c r="J721" s="50"/>
      <c r="K721" s="51" t="str">
        <f>IFERROR(__xludf.DUMMYFUNCTION("""COMPUTED_VALUE"""),"")</f>
        <v/>
      </c>
      <c r="L721" s="46" t="str">
        <f>IFERROR(__xludf.DUMMYFUNCTION("""COMPUTED_VALUE"""),"")</f>
        <v/>
      </c>
      <c r="M721" s="46" t="str">
        <f>IFERROR(__xludf.DUMMYFUNCTION("""COMPUTED_VALUE"""),"")</f>
        <v/>
      </c>
      <c r="N721" s="46" t="str">
        <f>IFERROR(__xludf.DUMMYFUNCTION("""COMPUTED_VALUE"""),"")</f>
        <v/>
      </c>
      <c r="O721" s="48"/>
      <c r="P721" s="52" t="str">
        <f>IFERROR(__xludf.DUMMYFUNCTION("""COMPUTED_VALUE"""),"")</f>
        <v/>
      </c>
    </row>
    <row r="722">
      <c r="A722" s="48" t="str">
        <f>IFERROR(__xludf.DUMMYFUNCTION("""COMPUTED_VALUE"""),"")</f>
        <v/>
      </c>
      <c r="B722" s="48"/>
      <c r="C722" s="49"/>
      <c r="D722" s="46"/>
      <c r="E722" s="46"/>
      <c r="F722" s="46"/>
      <c r="G722" s="46"/>
      <c r="H722" s="46"/>
      <c r="I722" s="50"/>
      <c r="J722" s="50"/>
      <c r="K722" s="51" t="str">
        <f>IFERROR(__xludf.DUMMYFUNCTION("""COMPUTED_VALUE"""),"")</f>
        <v/>
      </c>
      <c r="L722" s="46" t="str">
        <f>IFERROR(__xludf.DUMMYFUNCTION("""COMPUTED_VALUE"""),"")</f>
        <v/>
      </c>
      <c r="M722" s="46" t="str">
        <f>IFERROR(__xludf.DUMMYFUNCTION("""COMPUTED_VALUE"""),"")</f>
        <v/>
      </c>
      <c r="N722" s="46" t="str">
        <f>IFERROR(__xludf.DUMMYFUNCTION("""COMPUTED_VALUE"""),"")</f>
        <v/>
      </c>
      <c r="O722" s="48"/>
      <c r="P722" s="52" t="str">
        <f>IFERROR(__xludf.DUMMYFUNCTION("""COMPUTED_VALUE"""),"")</f>
        <v/>
      </c>
    </row>
    <row r="723">
      <c r="A723" s="48" t="str">
        <f>IFERROR(__xludf.DUMMYFUNCTION("""COMPUTED_VALUE"""),"")</f>
        <v/>
      </c>
      <c r="B723" s="48"/>
      <c r="C723" s="49"/>
      <c r="D723" s="46"/>
      <c r="E723" s="46"/>
      <c r="F723" s="46"/>
      <c r="G723" s="46"/>
      <c r="H723" s="46"/>
      <c r="I723" s="50"/>
      <c r="J723" s="50"/>
      <c r="K723" s="51" t="str">
        <f>IFERROR(__xludf.DUMMYFUNCTION("""COMPUTED_VALUE"""),"")</f>
        <v/>
      </c>
      <c r="L723" s="46" t="str">
        <f>IFERROR(__xludf.DUMMYFUNCTION("""COMPUTED_VALUE"""),"")</f>
        <v/>
      </c>
      <c r="M723" s="46" t="str">
        <f>IFERROR(__xludf.DUMMYFUNCTION("""COMPUTED_VALUE"""),"")</f>
        <v/>
      </c>
      <c r="N723" s="46" t="str">
        <f>IFERROR(__xludf.DUMMYFUNCTION("""COMPUTED_VALUE"""),"")</f>
        <v/>
      </c>
      <c r="O723" s="48"/>
      <c r="P723" s="52" t="str">
        <f>IFERROR(__xludf.DUMMYFUNCTION("""COMPUTED_VALUE"""),"")</f>
        <v/>
      </c>
    </row>
    <row r="724">
      <c r="A724" s="48" t="str">
        <f>IFERROR(__xludf.DUMMYFUNCTION("""COMPUTED_VALUE"""),"")</f>
        <v/>
      </c>
      <c r="B724" s="48"/>
      <c r="C724" s="49"/>
      <c r="D724" s="46"/>
      <c r="E724" s="46"/>
      <c r="F724" s="46"/>
      <c r="G724" s="46"/>
      <c r="H724" s="46"/>
      <c r="I724" s="50"/>
      <c r="J724" s="50"/>
      <c r="K724" s="51" t="str">
        <f>IFERROR(__xludf.DUMMYFUNCTION("""COMPUTED_VALUE"""),"")</f>
        <v/>
      </c>
      <c r="L724" s="46" t="str">
        <f>IFERROR(__xludf.DUMMYFUNCTION("""COMPUTED_VALUE"""),"")</f>
        <v/>
      </c>
      <c r="M724" s="46" t="str">
        <f>IFERROR(__xludf.DUMMYFUNCTION("""COMPUTED_VALUE"""),"")</f>
        <v/>
      </c>
      <c r="N724" s="46" t="str">
        <f>IFERROR(__xludf.DUMMYFUNCTION("""COMPUTED_VALUE"""),"")</f>
        <v/>
      </c>
      <c r="O724" s="48"/>
      <c r="P724" s="52" t="str">
        <f>IFERROR(__xludf.DUMMYFUNCTION("""COMPUTED_VALUE"""),"")</f>
        <v/>
      </c>
    </row>
    <row r="725">
      <c r="A725" s="48" t="str">
        <f>IFERROR(__xludf.DUMMYFUNCTION("""COMPUTED_VALUE"""),"")</f>
        <v/>
      </c>
      <c r="B725" s="48"/>
      <c r="C725" s="49"/>
      <c r="D725" s="46"/>
      <c r="E725" s="46"/>
      <c r="F725" s="46"/>
      <c r="G725" s="46"/>
      <c r="H725" s="46"/>
      <c r="I725" s="50"/>
      <c r="J725" s="50"/>
      <c r="K725" s="51" t="str">
        <f>IFERROR(__xludf.DUMMYFUNCTION("""COMPUTED_VALUE"""),"")</f>
        <v/>
      </c>
      <c r="L725" s="46" t="str">
        <f>IFERROR(__xludf.DUMMYFUNCTION("""COMPUTED_VALUE"""),"")</f>
        <v/>
      </c>
      <c r="M725" s="46" t="str">
        <f>IFERROR(__xludf.DUMMYFUNCTION("""COMPUTED_VALUE"""),"")</f>
        <v/>
      </c>
      <c r="N725" s="46" t="str">
        <f>IFERROR(__xludf.DUMMYFUNCTION("""COMPUTED_VALUE"""),"")</f>
        <v/>
      </c>
      <c r="O725" s="48"/>
      <c r="P725" s="52" t="str">
        <f>IFERROR(__xludf.DUMMYFUNCTION("""COMPUTED_VALUE"""),"")</f>
        <v/>
      </c>
    </row>
    <row r="726">
      <c r="A726" s="48" t="str">
        <f>IFERROR(__xludf.DUMMYFUNCTION("""COMPUTED_VALUE"""),"")</f>
        <v/>
      </c>
      <c r="B726" s="48"/>
      <c r="C726" s="49"/>
      <c r="D726" s="46"/>
      <c r="E726" s="46"/>
      <c r="F726" s="46"/>
      <c r="G726" s="46"/>
      <c r="H726" s="46"/>
      <c r="I726" s="50"/>
      <c r="J726" s="50"/>
      <c r="K726" s="51" t="str">
        <f>IFERROR(__xludf.DUMMYFUNCTION("""COMPUTED_VALUE"""),"")</f>
        <v/>
      </c>
      <c r="L726" s="46" t="str">
        <f>IFERROR(__xludf.DUMMYFUNCTION("""COMPUTED_VALUE"""),"")</f>
        <v/>
      </c>
      <c r="M726" s="46" t="str">
        <f>IFERROR(__xludf.DUMMYFUNCTION("""COMPUTED_VALUE"""),"")</f>
        <v/>
      </c>
      <c r="N726" s="46" t="str">
        <f>IFERROR(__xludf.DUMMYFUNCTION("""COMPUTED_VALUE"""),"")</f>
        <v/>
      </c>
      <c r="O726" s="48"/>
      <c r="P726" s="52" t="str">
        <f>IFERROR(__xludf.DUMMYFUNCTION("""COMPUTED_VALUE"""),"")</f>
        <v/>
      </c>
    </row>
    <row r="727">
      <c r="A727" s="48" t="str">
        <f>IFERROR(__xludf.DUMMYFUNCTION("""COMPUTED_VALUE"""),"")</f>
        <v/>
      </c>
      <c r="B727" s="48"/>
      <c r="C727" s="49"/>
      <c r="D727" s="46"/>
      <c r="E727" s="46"/>
      <c r="F727" s="46"/>
      <c r="G727" s="46"/>
      <c r="H727" s="46"/>
      <c r="I727" s="50"/>
      <c r="J727" s="50"/>
      <c r="K727" s="51" t="str">
        <f>IFERROR(__xludf.DUMMYFUNCTION("""COMPUTED_VALUE"""),"")</f>
        <v/>
      </c>
      <c r="L727" s="46" t="str">
        <f>IFERROR(__xludf.DUMMYFUNCTION("""COMPUTED_VALUE"""),"")</f>
        <v/>
      </c>
      <c r="M727" s="46" t="str">
        <f>IFERROR(__xludf.DUMMYFUNCTION("""COMPUTED_VALUE"""),"")</f>
        <v/>
      </c>
      <c r="N727" s="46" t="str">
        <f>IFERROR(__xludf.DUMMYFUNCTION("""COMPUTED_VALUE"""),"")</f>
        <v/>
      </c>
      <c r="O727" s="48"/>
      <c r="P727" s="52" t="str">
        <f>IFERROR(__xludf.DUMMYFUNCTION("""COMPUTED_VALUE"""),"")</f>
        <v/>
      </c>
    </row>
    <row r="728">
      <c r="A728" s="48" t="str">
        <f>IFERROR(__xludf.DUMMYFUNCTION("""COMPUTED_VALUE"""),"")</f>
        <v/>
      </c>
      <c r="B728" s="48"/>
      <c r="C728" s="49"/>
      <c r="D728" s="46"/>
      <c r="E728" s="46"/>
      <c r="F728" s="46"/>
      <c r="G728" s="46"/>
      <c r="H728" s="46"/>
      <c r="I728" s="50"/>
      <c r="J728" s="50"/>
      <c r="K728" s="51" t="str">
        <f>IFERROR(__xludf.DUMMYFUNCTION("""COMPUTED_VALUE"""),"")</f>
        <v/>
      </c>
      <c r="L728" s="46" t="str">
        <f>IFERROR(__xludf.DUMMYFUNCTION("""COMPUTED_VALUE"""),"")</f>
        <v/>
      </c>
      <c r="M728" s="46" t="str">
        <f>IFERROR(__xludf.DUMMYFUNCTION("""COMPUTED_VALUE"""),"")</f>
        <v/>
      </c>
      <c r="N728" s="46" t="str">
        <f>IFERROR(__xludf.DUMMYFUNCTION("""COMPUTED_VALUE"""),"")</f>
        <v/>
      </c>
      <c r="O728" s="48"/>
      <c r="P728" s="52" t="str">
        <f>IFERROR(__xludf.DUMMYFUNCTION("""COMPUTED_VALUE"""),"")</f>
        <v/>
      </c>
    </row>
    <row r="729">
      <c r="A729" s="48" t="str">
        <f>IFERROR(__xludf.DUMMYFUNCTION("""COMPUTED_VALUE"""),"")</f>
        <v/>
      </c>
      <c r="B729" s="48"/>
      <c r="C729" s="49"/>
      <c r="D729" s="46"/>
      <c r="E729" s="46"/>
      <c r="F729" s="46"/>
      <c r="G729" s="46"/>
      <c r="H729" s="46"/>
      <c r="I729" s="50"/>
      <c r="J729" s="50"/>
      <c r="K729" s="51" t="str">
        <f>IFERROR(__xludf.DUMMYFUNCTION("""COMPUTED_VALUE"""),"")</f>
        <v/>
      </c>
      <c r="L729" s="46" t="str">
        <f>IFERROR(__xludf.DUMMYFUNCTION("""COMPUTED_VALUE"""),"")</f>
        <v/>
      </c>
      <c r="M729" s="46" t="str">
        <f>IFERROR(__xludf.DUMMYFUNCTION("""COMPUTED_VALUE"""),"")</f>
        <v/>
      </c>
      <c r="N729" s="46" t="str">
        <f>IFERROR(__xludf.DUMMYFUNCTION("""COMPUTED_VALUE"""),"")</f>
        <v/>
      </c>
      <c r="O729" s="48"/>
      <c r="P729" s="52" t="str">
        <f>IFERROR(__xludf.DUMMYFUNCTION("""COMPUTED_VALUE"""),"")</f>
        <v/>
      </c>
    </row>
    <row r="730">
      <c r="A730" s="48" t="str">
        <f>IFERROR(__xludf.DUMMYFUNCTION("""COMPUTED_VALUE"""),"")</f>
        <v/>
      </c>
      <c r="B730" s="48"/>
      <c r="C730" s="49"/>
      <c r="D730" s="46"/>
      <c r="E730" s="46"/>
      <c r="F730" s="46"/>
      <c r="G730" s="46"/>
      <c r="H730" s="46"/>
      <c r="I730" s="50"/>
      <c r="J730" s="50"/>
      <c r="K730" s="51" t="str">
        <f>IFERROR(__xludf.DUMMYFUNCTION("""COMPUTED_VALUE"""),"")</f>
        <v/>
      </c>
      <c r="L730" s="46" t="str">
        <f>IFERROR(__xludf.DUMMYFUNCTION("""COMPUTED_VALUE"""),"")</f>
        <v/>
      </c>
      <c r="M730" s="46" t="str">
        <f>IFERROR(__xludf.DUMMYFUNCTION("""COMPUTED_VALUE"""),"")</f>
        <v/>
      </c>
      <c r="N730" s="46" t="str">
        <f>IFERROR(__xludf.DUMMYFUNCTION("""COMPUTED_VALUE"""),"")</f>
        <v/>
      </c>
      <c r="O730" s="48"/>
      <c r="P730" s="52" t="str">
        <f>IFERROR(__xludf.DUMMYFUNCTION("""COMPUTED_VALUE"""),"")</f>
        <v/>
      </c>
    </row>
    <row r="731">
      <c r="A731" s="48" t="str">
        <f>IFERROR(__xludf.DUMMYFUNCTION("""COMPUTED_VALUE"""),"")</f>
        <v/>
      </c>
      <c r="B731" s="48"/>
      <c r="C731" s="49"/>
      <c r="D731" s="46"/>
      <c r="E731" s="46"/>
      <c r="F731" s="46"/>
      <c r="G731" s="46"/>
      <c r="H731" s="46"/>
      <c r="I731" s="50"/>
      <c r="J731" s="50"/>
      <c r="K731" s="51" t="str">
        <f>IFERROR(__xludf.DUMMYFUNCTION("""COMPUTED_VALUE"""),"")</f>
        <v/>
      </c>
      <c r="L731" s="46" t="str">
        <f>IFERROR(__xludf.DUMMYFUNCTION("""COMPUTED_VALUE"""),"")</f>
        <v/>
      </c>
      <c r="M731" s="46" t="str">
        <f>IFERROR(__xludf.DUMMYFUNCTION("""COMPUTED_VALUE"""),"")</f>
        <v/>
      </c>
      <c r="N731" s="46" t="str">
        <f>IFERROR(__xludf.DUMMYFUNCTION("""COMPUTED_VALUE"""),"")</f>
        <v/>
      </c>
      <c r="O731" s="48"/>
      <c r="P731" s="52" t="str">
        <f>IFERROR(__xludf.DUMMYFUNCTION("""COMPUTED_VALUE"""),"")</f>
        <v/>
      </c>
    </row>
    <row r="732">
      <c r="A732" s="48" t="str">
        <f>IFERROR(__xludf.DUMMYFUNCTION("""COMPUTED_VALUE"""),"")</f>
        <v/>
      </c>
      <c r="B732" s="48"/>
      <c r="C732" s="49"/>
      <c r="D732" s="46"/>
      <c r="E732" s="46"/>
      <c r="F732" s="46"/>
      <c r="G732" s="46"/>
      <c r="H732" s="46"/>
      <c r="I732" s="50"/>
      <c r="J732" s="50"/>
      <c r="K732" s="51" t="str">
        <f>IFERROR(__xludf.DUMMYFUNCTION("""COMPUTED_VALUE"""),"")</f>
        <v/>
      </c>
      <c r="L732" s="46" t="str">
        <f>IFERROR(__xludf.DUMMYFUNCTION("""COMPUTED_VALUE"""),"")</f>
        <v/>
      </c>
      <c r="M732" s="46" t="str">
        <f>IFERROR(__xludf.DUMMYFUNCTION("""COMPUTED_VALUE"""),"")</f>
        <v/>
      </c>
      <c r="N732" s="46" t="str">
        <f>IFERROR(__xludf.DUMMYFUNCTION("""COMPUTED_VALUE"""),"")</f>
        <v/>
      </c>
      <c r="O732" s="48"/>
      <c r="P732" s="52" t="str">
        <f>IFERROR(__xludf.DUMMYFUNCTION("""COMPUTED_VALUE"""),"")</f>
        <v/>
      </c>
    </row>
    <row r="733">
      <c r="A733" s="48" t="str">
        <f>IFERROR(__xludf.DUMMYFUNCTION("""COMPUTED_VALUE"""),"")</f>
        <v/>
      </c>
      <c r="B733" s="48"/>
      <c r="C733" s="49"/>
      <c r="D733" s="46"/>
      <c r="E733" s="46"/>
      <c r="F733" s="46"/>
      <c r="G733" s="46"/>
      <c r="H733" s="46"/>
      <c r="I733" s="50"/>
      <c r="J733" s="50"/>
      <c r="K733" s="51" t="str">
        <f>IFERROR(__xludf.DUMMYFUNCTION("""COMPUTED_VALUE"""),"")</f>
        <v/>
      </c>
      <c r="L733" s="46" t="str">
        <f>IFERROR(__xludf.DUMMYFUNCTION("""COMPUTED_VALUE"""),"")</f>
        <v/>
      </c>
      <c r="M733" s="46" t="str">
        <f>IFERROR(__xludf.DUMMYFUNCTION("""COMPUTED_VALUE"""),"")</f>
        <v/>
      </c>
      <c r="N733" s="46" t="str">
        <f>IFERROR(__xludf.DUMMYFUNCTION("""COMPUTED_VALUE"""),"")</f>
        <v/>
      </c>
      <c r="O733" s="48"/>
      <c r="P733" s="52" t="str">
        <f>IFERROR(__xludf.DUMMYFUNCTION("""COMPUTED_VALUE"""),"")</f>
        <v/>
      </c>
    </row>
    <row r="734">
      <c r="A734" s="48" t="str">
        <f>IFERROR(__xludf.DUMMYFUNCTION("""COMPUTED_VALUE"""),"")</f>
        <v/>
      </c>
      <c r="B734" s="48"/>
      <c r="C734" s="49"/>
      <c r="D734" s="46"/>
      <c r="E734" s="46"/>
      <c r="F734" s="46"/>
      <c r="G734" s="46"/>
      <c r="H734" s="46"/>
      <c r="I734" s="50"/>
      <c r="J734" s="50"/>
      <c r="K734" s="51" t="str">
        <f>IFERROR(__xludf.DUMMYFUNCTION("""COMPUTED_VALUE"""),"")</f>
        <v/>
      </c>
      <c r="L734" s="46" t="str">
        <f>IFERROR(__xludf.DUMMYFUNCTION("""COMPUTED_VALUE"""),"")</f>
        <v/>
      </c>
      <c r="M734" s="46" t="str">
        <f>IFERROR(__xludf.DUMMYFUNCTION("""COMPUTED_VALUE"""),"")</f>
        <v/>
      </c>
      <c r="N734" s="46" t="str">
        <f>IFERROR(__xludf.DUMMYFUNCTION("""COMPUTED_VALUE"""),"")</f>
        <v/>
      </c>
      <c r="O734" s="48"/>
      <c r="P734" s="52" t="str">
        <f>IFERROR(__xludf.DUMMYFUNCTION("""COMPUTED_VALUE"""),"")</f>
        <v/>
      </c>
    </row>
    <row r="735">
      <c r="A735" s="48" t="str">
        <f>IFERROR(__xludf.DUMMYFUNCTION("""COMPUTED_VALUE"""),"")</f>
        <v/>
      </c>
      <c r="B735" s="48"/>
      <c r="C735" s="49"/>
      <c r="D735" s="46"/>
      <c r="E735" s="46"/>
      <c r="F735" s="46"/>
      <c r="G735" s="46"/>
      <c r="H735" s="46"/>
      <c r="I735" s="50"/>
      <c r="J735" s="50"/>
      <c r="K735" s="51" t="str">
        <f>IFERROR(__xludf.DUMMYFUNCTION("""COMPUTED_VALUE"""),"")</f>
        <v/>
      </c>
      <c r="L735" s="46" t="str">
        <f>IFERROR(__xludf.DUMMYFUNCTION("""COMPUTED_VALUE"""),"")</f>
        <v/>
      </c>
      <c r="M735" s="46" t="str">
        <f>IFERROR(__xludf.DUMMYFUNCTION("""COMPUTED_VALUE"""),"")</f>
        <v/>
      </c>
      <c r="N735" s="46" t="str">
        <f>IFERROR(__xludf.DUMMYFUNCTION("""COMPUTED_VALUE"""),"")</f>
        <v/>
      </c>
      <c r="O735" s="48"/>
      <c r="P735" s="52" t="str">
        <f>IFERROR(__xludf.DUMMYFUNCTION("""COMPUTED_VALUE"""),"")</f>
        <v/>
      </c>
    </row>
    <row r="736">
      <c r="A736" s="48" t="str">
        <f>IFERROR(__xludf.DUMMYFUNCTION("""COMPUTED_VALUE"""),"")</f>
        <v/>
      </c>
      <c r="B736" s="48"/>
      <c r="C736" s="49"/>
      <c r="D736" s="46"/>
      <c r="E736" s="46"/>
      <c r="F736" s="46"/>
      <c r="G736" s="46"/>
      <c r="H736" s="46"/>
      <c r="I736" s="50"/>
      <c r="J736" s="50"/>
      <c r="K736" s="51" t="str">
        <f>IFERROR(__xludf.DUMMYFUNCTION("""COMPUTED_VALUE"""),"")</f>
        <v/>
      </c>
      <c r="L736" s="46" t="str">
        <f>IFERROR(__xludf.DUMMYFUNCTION("""COMPUTED_VALUE"""),"")</f>
        <v/>
      </c>
      <c r="M736" s="46" t="str">
        <f>IFERROR(__xludf.DUMMYFUNCTION("""COMPUTED_VALUE"""),"")</f>
        <v/>
      </c>
      <c r="N736" s="46" t="str">
        <f>IFERROR(__xludf.DUMMYFUNCTION("""COMPUTED_VALUE"""),"")</f>
        <v/>
      </c>
      <c r="O736" s="48"/>
      <c r="P736" s="52" t="str">
        <f>IFERROR(__xludf.DUMMYFUNCTION("""COMPUTED_VALUE"""),"")</f>
        <v/>
      </c>
    </row>
    <row r="737">
      <c r="A737" s="48" t="str">
        <f>IFERROR(__xludf.DUMMYFUNCTION("""COMPUTED_VALUE"""),"")</f>
        <v/>
      </c>
      <c r="B737" s="48"/>
      <c r="C737" s="49"/>
      <c r="D737" s="46"/>
      <c r="E737" s="46"/>
      <c r="F737" s="46"/>
      <c r="G737" s="46"/>
      <c r="H737" s="46"/>
      <c r="I737" s="50"/>
      <c r="J737" s="50"/>
      <c r="K737" s="51" t="str">
        <f>IFERROR(__xludf.DUMMYFUNCTION("""COMPUTED_VALUE"""),"")</f>
        <v/>
      </c>
      <c r="L737" s="46" t="str">
        <f>IFERROR(__xludf.DUMMYFUNCTION("""COMPUTED_VALUE"""),"")</f>
        <v/>
      </c>
      <c r="M737" s="46" t="str">
        <f>IFERROR(__xludf.DUMMYFUNCTION("""COMPUTED_VALUE"""),"")</f>
        <v/>
      </c>
      <c r="N737" s="46" t="str">
        <f>IFERROR(__xludf.DUMMYFUNCTION("""COMPUTED_VALUE"""),"")</f>
        <v/>
      </c>
      <c r="O737" s="48"/>
      <c r="P737" s="52" t="str">
        <f>IFERROR(__xludf.DUMMYFUNCTION("""COMPUTED_VALUE"""),"")</f>
        <v/>
      </c>
    </row>
    <row r="738">
      <c r="A738" s="48" t="str">
        <f>IFERROR(__xludf.DUMMYFUNCTION("""COMPUTED_VALUE"""),"")</f>
        <v/>
      </c>
      <c r="B738" s="48"/>
      <c r="C738" s="49"/>
      <c r="D738" s="46"/>
      <c r="E738" s="46"/>
      <c r="F738" s="46"/>
      <c r="G738" s="46"/>
      <c r="H738" s="46"/>
      <c r="I738" s="50"/>
      <c r="J738" s="50"/>
      <c r="K738" s="51" t="str">
        <f>IFERROR(__xludf.DUMMYFUNCTION("""COMPUTED_VALUE"""),"")</f>
        <v/>
      </c>
      <c r="L738" s="46" t="str">
        <f>IFERROR(__xludf.DUMMYFUNCTION("""COMPUTED_VALUE"""),"")</f>
        <v/>
      </c>
      <c r="M738" s="46" t="str">
        <f>IFERROR(__xludf.DUMMYFUNCTION("""COMPUTED_VALUE"""),"")</f>
        <v/>
      </c>
      <c r="N738" s="46" t="str">
        <f>IFERROR(__xludf.DUMMYFUNCTION("""COMPUTED_VALUE"""),"")</f>
        <v/>
      </c>
      <c r="O738" s="48"/>
      <c r="P738" s="52" t="str">
        <f>IFERROR(__xludf.DUMMYFUNCTION("""COMPUTED_VALUE"""),"")</f>
        <v/>
      </c>
    </row>
    <row r="739">
      <c r="A739" s="48" t="str">
        <f>IFERROR(__xludf.DUMMYFUNCTION("""COMPUTED_VALUE"""),"")</f>
        <v/>
      </c>
      <c r="B739" s="48"/>
      <c r="C739" s="49"/>
      <c r="D739" s="46"/>
      <c r="E739" s="46"/>
      <c r="F739" s="46"/>
      <c r="G739" s="46"/>
      <c r="H739" s="46"/>
      <c r="I739" s="50"/>
      <c r="J739" s="50"/>
      <c r="K739" s="51" t="str">
        <f>IFERROR(__xludf.DUMMYFUNCTION("""COMPUTED_VALUE"""),"")</f>
        <v/>
      </c>
      <c r="L739" s="46" t="str">
        <f>IFERROR(__xludf.DUMMYFUNCTION("""COMPUTED_VALUE"""),"")</f>
        <v/>
      </c>
      <c r="M739" s="46" t="str">
        <f>IFERROR(__xludf.DUMMYFUNCTION("""COMPUTED_VALUE"""),"")</f>
        <v/>
      </c>
      <c r="N739" s="46" t="str">
        <f>IFERROR(__xludf.DUMMYFUNCTION("""COMPUTED_VALUE"""),"")</f>
        <v/>
      </c>
      <c r="O739" s="48"/>
      <c r="P739" s="52" t="str">
        <f>IFERROR(__xludf.DUMMYFUNCTION("""COMPUTED_VALUE"""),"")</f>
        <v/>
      </c>
    </row>
    <row r="740">
      <c r="A740" s="48" t="str">
        <f>IFERROR(__xludf.DUMMYFUNCTION("""COMPUTED_VALUE"""),"")</f>
        <v/>
      </c>
      <c r="B740" s="48"/>
      <c r="C740" s="49"/>
      <c r="D740" s="46"/>
      <c r="E740" s="46"/>
      <c r="F740" s="46"/>
      <c r="G740" s="46"/>
      <c r="H740" s="46"/>
      <c r="I740" s="50"/>
      <c r="J740" s="50"/>
      <c r="K740" s="51" t="str">
        <f>IFERROR(__xludf.DUMMYFUNCTION("""COMPUTED_VALUE"""),"")</f>
        <v/>
      </c>
      <c r="L740" s="46" t="str">
        <f>IFERROR(__xludf.DUMMYFUNCTION("""COMPUTED_VALUE"""),"")</f>
        <v/>
      </c>
      <c r="M740" s="46" t="str">
        <f>IFERROR(__xludf.DUMMYFUNCTION("""COMPUTED_VALUE"""),"")</f>
        <v/>
      </c>
      <c r="N740" s="46" t="str">
        <f>IFERROR(__xludf.DUMMYFUNCTION("""COMPUTED_VALUE"""),"")</f>
        <v/>
      </c>
      <c r="O740" s="48"/>
      <c r="P740" s="52" t="str">
        <f>IFERROR(__xludf.DUMMYFUNCTION("""COMPUTED_VALUE"""),"")</f>
        <v/>
      </c>
    </row>
    <row r="741">
      <c r="A741" s="48" t="str">
        <f>IFERROR(__xludf.DUMMYFUNCTION("""COMPUTED_VALUE"""),"")</f>
        <v/>
      </c>
      <c r="B741" s="48"/>
      <c r="C741" s="49"/>
      <c r="D741" s="46"/>
      <c r="E741" s="46"/>
      <c r="F741" s="46"/>
      <c r="G741" s="46"/>
      <c r="H741" s="46"/>
      <c r="I741" s="50"/>
      <c r="J741" s="50"/>
      <c r="K741" s="51" t="str">
        <f>IFERROR(__xludf.DUMMYFUNCTION("""COMPUTED_VALUE"""),"")</f>
        <v/>
      </c>
      <c r="L741" s="46" t="str">
        <f>IFERROR(__xludf.DUMMYFUNCTION("""COMPUTED_VALUE"""),"")</f>
        <v/>
      </c>
      <c r="M741" s="46" t="str">
        <f>IFERROR(__xludf.DUMMYFUNCTION("""COMPUTED_VALUE"""),"")</f>
        <v/>
      </c>
      <c r="N741" s="46" t="str">
        <f>IFERROR(__xludf.DUMMYFUNCTION("""COMPUTED_VALUE"""),"")</f>
        <v/>
      </c>
      <c r="O741" s="48"/>
      <c r="P741" s="52" t="str">
        <f>IFERROR(__xludf.DUMMYFUNCTION("""COMPUTED_VALUE"""),"")</f>
        <v/>
      </c>
    </row>
    <row r="742">
      <c r="A742" s="48" t="str">
        <f>IFERROR(__xludf.DUMMYFUNCTION("""COMPUTED_VALUE"""),"")</f>
        <v/>
      </c>
      <c r="B742" s="48"/>
      <c r="C742" s="49"/>
      <c r="D742" s="46"/>
      <c r="E742" s="46"/>
      <c r="F742" s="46"/>
      <c r="G742" s="46"/>
      <c r="H742" s="46"/>
      <c r="I742" s="50"/>
      <c r="J742" s="50"/>
      <c r="K742" s="51" t="str">
        <f>IFERROR(__xludf.DUMMYFUNCTION("""COMPUTED_VALUE"""),"")</f>
        <v/>
      </c>
      <c r="L742" s="46" t="str">
        <f>IFERROR(__xludf.DUMMYFUNCTION("""COMPUTED_VALUE"""),"")</f>
        <v/>
      </c>
      <c r="M742" s="46" t="str">
        <f>IFERROR(__xludf.DUMMYFUNCTION("""COMPUTED_VALUE"""),"")</f>
        <v/>
      </c>
      <c r="N742" s="46" t="str">
        <f>IFERROR(__xludf.DUMMYFUNCTION("""COMPUTED_VALUE"""),"")</f>
        <v/>
      </c>
      <c r="O742" s="48"/>
      <c r="P742" s="52" t="str">
        <f>IFERROR(__xludf.DUMMYFUNCTION("""COMPUTED_VALUE"""),"")</f>
        <v/>
      </c>
    </row>
    <row r="743">
      <c r="A743" s="48" t="str">
        <f>IFERROR(__xludf.DUMMYFUNCTION("""COMPUTED_VALUE"""),"")</f>
        <v/>
      </c>
      <c r="B743" s="48"/>
      <c r="C743" s="49"/>
      <c r="D743" s="46"/>
      <c r="E743" s="46"/>
      <c r="F743" s="46"/>
      <c r="G743" s="46"/>
      <c r="H743" s="46"/>
      <c r="I743" s="50"/>
      <c r="J743" s="50"/>
      <c r="K743" s="51" t="str">
        <f>IFERROR(__xludf.DUMMYFUNCTION("""COMPUTED_VALUE"""),"")</f>
        <v/>
      </c>
      <c r="L743" s="46" t="str">
        <f>IFERROR(__xludf.DUMMYFUNCTION("""COMPUTED_VALUE"""),"")</f>
        <v/>
      </c>
      <c r="M743" s="46" t="str">
        <f>IFERROR(__xludf.DUMMYFUNCTION("""COMPUTED_VALUE"""),"")</f>
        <v/>
      </c>
      <c r="N743" s="46" t="str">
        <f>IFERROR(__xludf.DUMMYFUNCTION("""COMPUTED_VALUE"""),"")</f>
        <v/>
      </c>
      <c r="O743" s="48"/>
      <c r="P743" s="52" t="str">
        <f>IFERROR(__xludf.DUMMYFUNCTION("""COMPUTED_VALUE"""),"")</f>
        <v/>
      </c>
    </row>
    <row r="744">
      <c r="A744" s="48" t="str">
        <f>IFERROR(__xludf.DUMMYFUNCTION("""COMPUTED_VALUE"""),"")</f>
        <v/>
      </c>
      <c r="B744" s="48"/>
      <c r="C744" s="49"/>
      <c r="D744" s="46"/>
      <c r="E744" s="46"/>
      <c r="F744" s="46"/>
      <c r="G744" s="46"/>
      <c r="H744" s="46"/>
      <c r="I744" s="50"/>
      <c r="J744" s="50"/>
      <c r="K744" s="51" t="str">
        <f>IFERROR(__xludf.DUMMYFUNCTION("""COMPUTED_VALUE"""),"")</f>
        <v/>
      </c>
      <c r="L744" s="46" t="str">
        <f>IFERROR(__xludf.DUMMYFUNCTION("""COMPUTED_VALUE"""),"")</f>
        <v/>
      </c>
      <c r="M744" s="46" t="str">
        <f>IFERROR(__xludf.DUMMYFUNCTION("""COMPUTED_VALUE"""),"")</f>
        <v/>
      </c>
      <c r="N744" s="46" t="str">
        <f>IFERROR(__xludf.DUMMYFUNCTION("""COMPUTED_VALUE"""),"")</f>
        <v/>
      </c>
      <c r="O744" s="48"/>
      <c r="P744" s="52" t="str">
        <f>IFERROR(__xludf.DUMMYFUNCTION("""COMPUTED_VALUE"""),"")</f>
        <v/>
      </c>
    </row>
    <row r="745">
      <c r="A745" s="48" t="str">
        <f>IFERROR(__xludf.DUMMYFUNCTION("""COMPUTED_VALUE"""),"")</f>
        <v/>
      </c>
      <c r="B745" s="48"/>
      <c r="C745" s="49"/>
      <c r="D745" s="46"/>
      <c r="E745" s="46"/>
      <c r="F745" s="46"/>
      <c r="G745" s="46"/>
      <c r="H745" s="46"/>
      <c r="I745" s="50"/>
      <c r="J745" s="50"/>
      <c r="K745" s="51" t="str">
        <f>IFERROR(__xludf.DUMMYFUNCTION("""COMPUTED_VALUE"""),"")</f>
        <v/>
      </c>
      <c r="L745" s="46" t="str">
        <f>IFERROR(__xludf.DUMMYFUNCTION("""COMPUTED_VALUE"""),"")</f>
        <v/>
      </c>
      <c r="M745" s="46" t="str">
        <f>IFERROR(__xludf.DUMMYFUNCTION("""COMPUTED_VALUE"""),"")</f>
        <v/>
      </c>
      <c r="N745" s="46" t="str">
        <f>IFERROR(__xludf.DUMMYFUNCTION("""COMPUTED_VALUE"""),"")</f>
        <v/>
      </c>
      <c r="O745" s="48"/>
      <c r="P745" s="52" t="str">
        <f>IFERROR(__xludf.DUMMYFUNCTION("""COMPUTED_VALUE"""),"")</f>
        <v/>
      </c>
    </row>
    <row r="746">
      <c r="A746" s="48" t="str">
        <f>IFERROR(__xludf.DUMMYFUNCTION("""COMPUTED_VALUE"""),"")</f>
        <v/>
      </c>
      <c r="B746" s="48"/>
      <c r="C746" s="49"/>
      <c r="D746" s="46"/>
      <c r="E746" s="46"/>
      <c r="F746" s="46"/>
      <c r="G746" s="46"/>
      <c r="H746" s="46"/>
      <c r="I746" s="50"/>
      <c r="J746" s="50"/>
      <c r="K746" s="51" t="str">
        <f>IFERROR(__xludf.DUMMYFUNCTION("""COMPUTED_VALUE"""),"")</f>
        <v/>
      </c>
      <c r="L746" s="46" t="str">
        <f>IFERROR(__xludf.DUMMYFUNCTION("""COMPUTED_VALUE"""),"")</f>
        <v/>
      </c>
      <c r="M746" s="46" t="str">
        <f>IFERROR(__xludf.DUMMYFUNCTION("""COMPUTED_VALUE"""),"")</f>
        <v/>
      </c>
      <c r="N746" s="46" t="str">
        <f>IFERROR(__xludf.DUMMYFUNCTION("""COMPUTED_VALUE"""),"")</f>
        <v/>
      </c>
      <c r="O746" s="48"/>
      <c r="P746" s="52" t="str">
        <f>IFERROR(__xludf.DUMMYFUNCTION("""COMPUTED_VALUE"""),"")</f>
        <v/>
      </c>
    </row>
    <row r="747">
      <c r="A747" s="48" t="str">
        <f>IFERROR(__xludf.DUMMYFUNCTION("""COMPUTED_VALUE"""),"")</f>
        <v/>
      </c>
      <c r="B747" s="48"/>
      <c r="C747" s="49"/>
      <c r="D747" s="46"/>
      <c r="E747" s="46"/>
      <c r="F747" s="46"/>
      <c r="G747" s="46"/>
      <c r="H747" s="46"/>
      <c r="I747" s="50"/>
      <c r="J747" s="50"/>
      <c r="K747" s="51" t="str">
        <f>IFERROR(__xludf.DUMMYFUNCTION("""COMPUTED_VALUE"""),"")</f>
        <v/>
      </c>
      <c r="L747" s="46" t="str">
        <f>IFERROR(__xludf.DUMMYFUNCTION("""COMPUTED_VALUE"""),"")</f>
        <v/>
      </c>
      <c r="M747" s="46" t="str">
        <f>IFERROR(__xludf.DUMMYFUNCTION("""COMPUTED_VALUE"""),"")</f>
        <v/>
      </c>
      <c r="N747" s="46" t="str">
        <f>IFERROR(__xludf.DUMMYFUNCTION("""COMPUTED_VALUE"""),"")</f>
        <v/>
      </c>
      <c r="O747" s="48"/>
      <c r="P747" s="52" t="str">
        <f>IFERROR(__xludf.DUMMYFUNCTION("""COMPUTED_VALUE"""),"")</f>
        <v/>
      </c>
    </row>
    <row r="748">
      <c r="A748" s="48" t="str">
        <f>IFERROR(__xludf.DUMMYFUNCTION("""COMPUTED_VALUE"""),"")</f>
        <v/>
      </c>
      <c r="B748" s="48"/>
      <c r="C748" s="49"/>
      <c r="D748" s="46"/>
      <c r="E748" s="46"/>
      <c r="F748" s="46"/>
      <c r="G748" s="46"/>
      <c r="H748" s="46"/>
      <c r="I748" s="50"/>
      <c r="J748" s="50"/>
      <c r="K748" s="51" t="str">
        <f>IFERROR(__xludf.DUMMYFUNCTION("""COMPUTED_VALUE"""),"")</f>
        <v/>
      </c>
      <c r="L748" s="46" t="str">
        <f>IFERROR(__xludf.DUMMYFUNCTION("""COMPUTED_VALUE"""),"")</f>
        <v/>
      </c>
      <c r="M748" s="46" t="str">
        <f>IFERROR(__xludf.DUMMYFUNCTION("""COMPUTED_VALUE"""),"")</f>
        <v/>
      </c>
      <c r="N748" s="46" t="str">
        <f>IFERROR(__xludf.DUMMYFUNCTION("""COMPUTED_VALUE"""),"")</f>
        <v/>
      </c>
      <c r="O748" s="48"/>
      <c r="P748" s="52" t="str">
        <f>IFERROR(__xludf.DUMMYFUNCTION("""COMPUTED_VALUE"""),"")</f>
        <v/>
      </c>
    </row>
    <row r="749">
      <c r="A749" s="48" t="str">
        <f>IFERROR(__xludf.DUMMYFUNCTION("""COMPUTED_VALUE"""),"")</f>
        <v/>
      </c>
      <c r="B749" s="48"/>
      <c r="C749" s="49"/>
      <c r="D749" s="46"/>
      <c r="E749" s="46"/>
      <c r="F749" s="46"/>
      <c r="G749" s="46"/>
      <c r="H749" s="46"/>
      <c r="I749" s="50"/>
      <c r="J749" s="50"/>
      <c r="K749" s="51" t="str">
        <f>IFERROR(__xludf.DUMMYFUNCTION("""COMPUTED_VALUE"""),"")</f>
        <v/>
      </c>
      <c r="L749" s="46" t="str">
        <f>IFERROR(__xludf.DUMMYFUNCTION("""COMPUTED_VALUE"""),"")</f>
        <v/>
      </c>
      <c r="M749" s="46" t="str">
        <f>IFERROR(__xludf.DUMMYFUNCTION("""COMPUTED_VALUE"""),"")</f>
        <v/>
      </c>
      <c r="N749" s="46" t="str">
        <f>IFERROR(__xludf.DUMMYFUNCTION("""COMPUTED_VALUE"""),"")</f>
        <v/>
      </c>
      <c r="O749" s="48"/>
      <c r="P749" s="52" t="str">
        <f>IFERROR(__xludf.DUMMYFUNCTION("""COMPUTED_VALUE"""),"")</f>
        <v/>
      </c>
    </row>
    <row r="750">
      <c r="A750" s="48" t="str">
        <f>IFERROR(__xludf.DUMMYFUNCTION("""COMPUTED_VALUE"""),"")</f>
        <v/>
      </c>
      <c r="B750" s="48"/>
      <c r="C750" s="49"/>
      <c r="D750" s="46"/>
      <c r="E750" s="46"/>
      <c r="F750" s="46"/>
      <c r="G750" s="46"/>
      <c r="H750" s="46"/>
      <c r="I750" s="50"/>
      <c r="J750" s="50"/>
      <c r="K750" s="51" t="str">
        <f>IFERROR(__xludf.DUMMYFUNCTION("""COMPUTED_VALUE"""),"")</f>
        <v/>
      </c>
      <c r="L750" s="46" t="str">
        <f>IFERROR(__xludf.DUMMYFUNCTION("""COMPUTED_VALUE"""),"")</f>
        <v/>
      </c>
      <c r="M750" s="46" t="str">
        <f>IFERROR(__xludf.DUMMYFUNCTION("""COMPUTED_VALUE"""),"")</f>
        <v/>
      </c>
      <c r="N750" s="46" t="str">
        <f>IFERROR(__xludf.DUMMYFUNCTION("""COMPUTED_VALUE"""),"")</f>
        <v/>
      </c>
      <c r="O750" s="48"/>
      <c r="P750" s="52" t="str">
        <f>IFERROR(__xludf.DUMMYFUNCTION("""COMPUTED_VALUE"""),"")</f>
        <v/>
      </c>
    </row>
    <row r="751">
      <c r="A751" s="48" t="str">
        <f>IFERROR(__xludf.DUMMYFUNCTION("""COMPUTED_VALUE"""),"")</f>
        <v/>
      </c>
      <c r="B751" s="48"/>
      <c r="C751" s="49"/>
      <c r="D751" s="46"/>
      <c r="E751" s="46"/>
      <c r="F751" s="46"/>
      <c r="G751" s="46"/>
      <c r="H751" s="46"/>
      <c r="I751" s="50"/>
      <c r="J751" s="50"/>
      <c r="K751" s="51" t="str">
        <f>IFERROR(__xludf.DUMMYFUNCTION("""COMPUTED_VALUE"""),"")</f>
        <v/>
      </c>
      <c r="L751" s="46" t="str">
        <f>IFERROR(__xludf.DUMMYFUNCTION("""COMPUTED_VALUE"""),"")</f>
        <v/>
      </c>
      <c r="M751" s="46" t="str">
        <f>IFERROR(__xludf.DUMMYFUNCTION("""COMPUTED_VALUE"""),"")</f>
        <v/>
      </c>
      <c r="N751" s="46" t="str">
        <f>IFERROR(__xludf.DUMMYFUNCTION("""COMPUTED_VALUE"""),"")</f>
        <v/>
      </c>
      <c r="O751" s="48"/>
      <c r="P751" s="52" t="str">
        <f>IFERROR(__xludf.DUMMYFUNCTION("""COMPUTED_VALUE"""),"")</f>
        <v/>
      </c>
    </row>
    <row r="752">
      <c r="A752" s="48" t="str">
        <f>IFERROR(__xludf.DUMMYFUNCTION("""COMPUTED_VALUE"""),"")</f>
        <v/>
      </c>
      <c r="B752" s="48"/>
      <c r="C752" s="49"/>
      <c r="D752" s="46"/>
      <c r="E752" s="46"/>
      <c r="F752" s="46"/>
      <c r="G752" s="46"/>
      <c r="H752" s="46"/>
      <c r="I752" s="50"/>
      <c r="J752" s="50"/>
      <c r="K752" s="51" t="str">
        <f>IFERROR(__xludf.DUMMYFUNCTION("""COMPUTED_VALUE"""),"")</f>
        <v/>
      </c>
      <c r="L752" s="46" t="str">
        <f>IFERROR(__xludf.DUMMYFUNCTION("""COMPUTED_VALUE"""),"")</f>
        <v/>
      </c>
      <c r="M752" s="46" t="str">
        <f>IFERROR(__xludf.DUMMYFUNCTION("""COMPUTED_VALUE"""),"")</f>
        <v/>
      </c>
      <c r="N752" s="46" t="str">
        <f>IFERROR(__xludf.DUMMYFUNCTION("""COMPUTED_VALUE"""),"")</f>
        <v/>
      </c>
      <c r="O752" s="48"/>
      <c r="P752" s="52" t="str">
        <f>IFERROR(__xludf.DUMMYFUNCTION("""COMPUTED_VALUE"""),"")</f>
        <v/>
      </c>
    </row>
    <row r="753">
      <c r="A753" s="48" t="str">
        <f>IFERROR(__xludf.DUMMYFUNCTION("""COMPUTED_VALUE"""),"")</f>
        <v/>
      </c>
      <c r="B753" s="48"/>
      <c r="C753" s="49"/>
      <c r="D753" s="46"/>
      <c r="E753" s="46"/>
      <c r="F753" s="46"/>
      <c r="G753" s="46"/>
      <c r="H753" s="46"/>
      <c r="I753" s="50"/>
      <c r="J753" s="50"/>
      <c r="K753" s="51" t="str">
        <f>IFERROR(__xludf.DUMMYFUNCTION("""COMPUTED_VALUE"""),"")</f>
        <v/>
      </c>
      <c r="L753" s="46" t="str">
        <f>IFERROR(__xludf.DUMMYFUNCTION("""COMPUTED_VALUE"""),"")</f>
        <v/>
      </c>
      <c r="M753" s="46" t="str">
        <f>IFERROR(__xludf.DUMMYFUNCTION("""COMPUTED_VALUE"""),"")</f>
        <v/>
      </c>
      <c r="N753" s="46" t="str">
        <f>IFERROR(__xludf.DUMMYFUNCTION("""COMPUTED_VALUE"""),"")</f>
        <v/>
      </c>
      <c r="O753" s="48"/>
      <c r="P753" s="52" t="str">
        <f>IFERROR(__xludf.DUMMYFUNCTION("""COMPUTED_VALUE"""),"")</f>
        <v/>
      </c>
    </row>
    <row r="754">
      <c r="A754" s="48" t="str">
        <f>IFERROR(__xludf.DUMMYFUNCTION("""COMPUTED_VALUE"""),"")</f>
        <v/>
      </c>
      <c r="B754" s="48"/>
      <c r="C754" s="49"/>
      <c r="D754" s="46"/>
      <c r="E754" s="46"/>
      <c r="F754" s="46"/>
      <c r="G754" s="46"/>
      <c r="H754" s="46"/>
      <c r="I754" s="50"/>
      <c r="J754" s="50"/>
      <c r="K754" s="51" t="str">
        <f>IFERROR(__xludf.DUMMYFUNCTION("""COMPUTED_VALUE"""),"")</f>
        <v/>
      </c>
      <c r="L754" s="46" t="str">
        <f>IFERROR(__xludf.DUMMYFUNCTION("""COMPUTED_VALUE"""),"")</f>
        <v/>
      </c>
      <c r="M754" s="46" t="str">
        <f>IFERROR(__xludf.DUMMYFUNCTION("""COMPUTED_VALUE"""),"")</f>
        <v/>
      </c>
      <c r="N754" s="46" t="str">
        <f>IFERROR(__xludf.DUMMYFUNCTION("""COMPUTED_VALUE"""),"")</f>
        <v/>
      </c>
      <c r="O754" s="48"/>
      <c r="P754" s="52" t="str">
        <f>IFERROR(__xludf.DUMMYFUNCTION("""COMPUTED_VALUE"""),"")</f>
        <v/>
      </c>
    </row>
    <row r="755">
      <c r="A755" s="48" t="str">
        <f>IFERROR(__xludf.DUMMYFUNCTION("""COMPUTED_VALUE"""),"")</f>
        <v/>
      </c>
      <c r="B755" s="48"/>
      <c r="C755" s="49"/>
      <c r="D755" s="46"/>
      <c r="E755" s="46"/>
      <c r="F755" s="46"/>
      <c r="G755" s="46"/>
      <c r="H755" s="46"/>
      <c r="I755" s="50"/>
      <c r="J755" s="50"/>
      <c r="K755" s="51" t="str">
        <f>IFERROR(__xludf.DUMMYFUNCTION("""COMPUTED_VALUE"""),"")</f>
        <v/>
      </c>
      <c r="L755" s="46" t="str">
        <f>IFERROR(__xludf.DUMMYFUNCTION("""COMPUTED_VALUE"""),"")</f>
        <v/>
      </c>
      <c r="M755" s="46" t="str">
        <f>IFERROR(__xludf.DUMMYFUNCTION("""COMPUTED_VALUE"""),"")</f>
        <v/>
      </c>
      <c r="N755" s="46" t="str">
        <f>IFERROR(__xludf.DUMMYFUNCTION("""COMPUTED_VALUE"""),"")</f>
        <v/>
      </c>
      <c r="O755" s="48"/>
      <c r="P755" s="52" t="str">
        <f>IFERROR(__xludf.DUMMYFUNCTION("""COMPUTED_VALUE"""),"")</f>
        <v/>
      </c>
    </row>
    <row r="756">
      <c r="A756" s="48" t="str">
        <f>IFERROR(__xludf.DUMMYFUNCTION("""COMPUTED_VALUE"""),"")</f>
        <v/>
      </c>
      <c r="B756" s="48"/>
      <c r="C756" s="49"/>
      <c r="D756" s="46"/>
      <c r="E756" s="46"/>
      <c r="F756" s="46"/>
      <c r="G756" s="46"/>
      <c r="H756" s="46"/>
      <c r="I756" s="50"/>
      <c r="J756" s="50"/>
      <c r="K756" s="51" t="str">
        <f>IFERROR(__xludf.DUMMYFUNCTION("""COMPUTED_VALUE"""),"")</f>
        <v/>
      </c>
      <c r="L756" s="46" t="str">
        <f>IFERROR(__xludf.DUMMYFUNCTION("""COMPUTED_VALUE"""),"")</f>
        <v/>
      </c>
      <c r="M756" s="46" t="str">
        <f>IFERROR(__xludf.DUMMYFUNCTION("""COMPUTED_VALUE"""),"")</f>
        <v/>
      </c>
      <c r="N756" s="46" t="str">
        <f>IFERROR(__xludf.DUMMYFUNCTION("""COMPUTED_VALUE"""),"")</f>
        <v/>
      </c>
      <c r="O756" s="48"/>
      <c r="P756" s="52" t="str">
        <f>IFERROR(__xludf.DUMMYFUNCTION("""COMPUTED_VALUE"""),"")</f>
        <v/>
      </c>
    </row>
    <row r="757">
      <c r="A757" s="48" t="str">
        <f>IFERROR(__xludf.DUMMYFUNCTION("""COMPUTED_VALUE"""),"")</f>
        <v/>
      </c>
      <c r="B757" s="48"/>
      <c r="C757" s="49"/>
      <c r="D757" s="46"/>
      <c r="E757" s="46"/>
      <c r="F757" s="46"/>
      <c r="G757" s="46"/>
      <c r="H757" s="46"/>
      <c r="I757" s="50"/>
      <c r="J757" s="50"/>
      <c r="K757" s="51" t="str">
        <f>IFERROR(__xludf.DUMMYFUNCTION("""COMPUTED_VALUE"""),"")</f>
        <v/>
      </c>
      <c r="L757" s="46" t="str">
        <f>IFERROR(__xludf.DUMMYFUNCTION("""COMPUTED_VALUE"""),"")</f>
        <v/>
      </c>
      <c r="M757" s="46" t="str">
        <f>IFERROR(__xludf.DUMMYFUNCTION("""COMPUTED_VALUE"""),"")</f>
        <v/>
      </c>
      <c r="N757" s="46" t="str">
        <f>IFERROR(__xludf.DUMMYFUNCTION("""COMPUTED_VALUE"""),"")</f>
        <v/>
      </c>
      <c r="O757" s="48"/>
      <c r="P757" s="52" t="str">
        <f>IFERROR(__xludf.DUMMYFUNCTION("""COMPUTED_VALUE"""),"")</f>
        <v/>
      </c>
    </row>
    <row r="758">
      <c r="A758" s="48" t="str">
        <f>IFERROR(__xludf.DUMMYFUNCTION("""COMPUTED_VALUE"""),"")</f>
        <v/>
      </c>
      <c r="B758" s="48"/>
      <c r="C758" s="49"/>
      <c r="D758" s="46"/>
      <c r="E758" s="46"/>
      <c r="F758" s="46"/>
      <c r="G758" s="46"/>
      <c r="H758" s="46"/>
      <c r="I758" s="50"/>
      <c r="J758" s="50"/>
      <c r="K758" s="51" t="str">
        <f>IFERROR(__xludf.DUMMYFUNCTION("""COMPUTED_VALUE"""),"")</f>
        <v/>
      </c>
      <c r="L758" s="46" t="str">
        <f>IFERROR(__xludf.DUMMYFUNCTION("""COMPUTED_VALUE"""),"")</f>
        <v/>
      </c>
      <c r="M758" s="46" t="str">
        <f>IFERROR(__xludf.DUMMYFUNCTION("""COMPUTED_VALUE"""),"")</f>
        <v/>
      </c>
      <c r="N758" s="46" t="str">
        <f>IFERROR(__xludf.DUMMYFUNCTION("""COMPUTED_VALUE"""),"")</f>
        <v/>
      </c>
      <c r="O758" s="48"/>
      <c r="P758" s="52" t="str">
        <f>IFERROR(__xludf.DUMMYFUNCTION("""COMPUTED_VALUE"""),"")</f>
        <v/>
      </c>
    </row>
    <row r="759">
      <c r="A759" s="48" t="str">
        <f>IFERROR(__xludf.DUMMYFUNCTION("""COMPUTED_VALUE"""),"")</f>
        <v/>
      </c>
      <c r="B759" s="48"/>
      <c r="C759" s="49"/>
      <c r="D759" s="46"/>
      <c r="E759" s="46"/>
      <c r="F759" s="46"/>
      <c r="G759" s="46"/>
      <c r="H759" s="46"/>
      <c r="I759" s="50"/>
      <c r="J759" s="50"/>
      <c r="K759" s="51" t="str">
        <f>IFERROR(__xludf.DUMMYFUNCTION("""COMPUTED_VALUE"""),"")</f>
        <v/>
      </c>
      <c r="L759" s="46" t="str">
        <f>IFERROR(__xludf.DUMMYFUNCTION("""COMPUTED_VALUE"""),"")</f>
        <v/>
      </c>
      <c r="M759" s="46" t="str">
        <f>IFERROR(__xludf.DUMMYFUNCTION("""COMPUTED_VALUE"""),"")</f>
        <v/>
      </c>
      <c r="N759" s="46" t="str">
        <f>IFERROR(__xludf.DUMMYFUNCTION("""COMPUTED_VALUE"""),"")</f>
        <v/>
      </c>
      <c r="O759" s="48"/>
      <c r="P759" s="52" t="str">
        <f>IFERROR(__xludf.DUMMYFUNCTION("""COMPUTED_VALUE"""),"")</f>
        <v/>
      </c>
    </row>
    <row r="760">
      <c r="A760" s="48" t="str">
        <f>IFERROR(__xludf.DUMMYFUNCTION("""COMPUTED_VALUE"""),"")</f>
        <v/>
      </c>
      <c r="B760" s="48"/>
      <c r="C760" s="49"/>
      <c r="D760" s="46"/>
      <c r="E760" s="46"/>
      <c r="F760" s="46"/>
      <c r="G760" s="46"/>
      <c r="H760" s="46"/>
      <c r="I760" s="50"/>
      <c r="J760" s="50"/>
      <c r="K760" s="51" t="str">
        <f>IFERROR(__xludf.DUMMYFUNCTION("""COMPUTED_VALUE"""),"")</f>
        <v/>
      </c>
      <c r="L760" s="46" t="str">
        <f>IFERROR(__xludf.DUMMYFUNCTION("""COMPUTED_VALUE"""),"")</f>
        <v/>
      </c>
      <c r="M760" s="46" t="str">
        <f>IFERROR(__xludf.DUMMYFUNCTION("""COMPUTED_VALUE"""),"")</f>
        <v/>
      </c>
      <c r="N760" s="46" t="str">
        <f>IFERROR(__xludf.DUMMYFUNCTION("""COMPUTED_VALUE"""),"")</f>
        <v/>
      </c>
      <c r="O760" s="48"/>
      <c r="P760" s="52" t="str">
        <f>IFERROR(__xludf.DUMMYFUNCTION("""COMPUTED_VALUE"""),"")</f>
        <v/>
      </c>
    </row>
    <row r="761">
      <c r="A761" s="48" t="str">
        <f>IFERROR(__xludf.DUMMYFUNCTION("""COMPUTED_VALUE"""),"")</f>
        <v/>
      </c>
      <c r="B761" s="48"/>
      <c r="C761" s="49"/>
      <c r="D761" s="46"/>
      <c r="E761" s="46"/>
      <c r="F761" s="46"/>
      <c r="G761" s="46"/>
      <c r="H761" s="46"/>
      <c r="I761" s="50"/>
      <c r="J761" s="50"/>
      <c r="K761" s="51" t="str">
        <f>IFERROR(__xludf.DUMMYFUNCTION("""COMPUTED_VALUE"""),"")</f>
        <v/>
      </c>
      <c r="L761" s="46" t="str">
        <f>IFERROR(__xludf.DUMMYFUNCTION("""COMPUTED_VALUE"""),"")</f>
        <v/>
      </c>
      <c r="M761" s="46" t="str">
        <f>IFERROR(__xludf.DUMMYFUNCTION("""COMPUTED_VALUE"""),"")</f>
        <v/>
      </c>
      <c r="N761" s="46" t="str">
        <f>IFERROR(__xludf.DUMMYFUNCTION("""COMPUTED_VALUE"""),"")</f>
        <v/>
      </c>
      <c r="O761" s="48"/>
      <c r="P761" s="52" t="str">
        <f>IFERROR(__xludf.DUMMYFUNCTION("""COMPUTED_VALUE"""),"")</f>
        <v/>
      </c>
    </row>
    <row r="762">
      <c r="A762" s="48" t="str">
        <f>IFERROR(__xludf.DUMMYFUNCTION("""COMPUTED_VALUE"""),"")</f>
        <v/>
      </c>
      <c r="B762" s="48"/>
      <c r="C762" s="49"/>
      <c r="D762" s="46"/>
      <c r="E762" s="46"/>
      <c r="F762" s="46"/>
      <c r="G762" s="46"/>
      <c r="H762" s="46"/>
      <c r="I762" s="50"/>
      <c r="J762" s="50"/>
      <c r="K762" s="51" t="str">
        <f>IFERROR(__xludf.DUMMYFUNCTION("""COMPUTED_VALUE"""),"")</f>
        <v/>
      </c>
      <c r="L762" s="46" t="str">
        <f>IFERROR(__xludf.DUMMYFUNCTION("""COMPUTED_VALUE"""),"")</f>
        <v/>
      </c>
      <c r="M762" s="46" t="str">
        <f>IFERROR(__xludf.DUMMYFUNCTION("""COMPUTED_VALUE"""),"")</f>
        <v/>
      </c>
      <c r="N762" s="46" t="str">
        <f>IFERROR(__xludf.DUMMYFUNCTION("""COMPUTED_VALUE"""),"")</f>
        <v/>
      </c>
      <c r="O762" s="48"/>
      <c r="P762" s="52" t="str">
        <f>IFERROR(__xludf.DUMMYFUNCTION("""COMPUTED_VALUE"""),"")</f>
        <v/>
      </c>
    </row>
    <row r="763">
      <c r="A763" s="48" t="str">
        <f>IFERROR(__xludf.DUMMYFUNCTION("""COMPUTED_VALUE"""),"")</f>
        <v/>
      </c>
      <c r="B763" s="48"/>
      <c r="C763" s="49"/>
      <c r="D763" s="46"/>
      <c r="E763" s="46"/>
      <c r="F763" s="46"/>
      <c r="G763" s="46"/>
      <c r="H763" s="46"/>
      <c r="I763" s="50"/>
      <c r="J763" s="50"/>
      <c r="K763" s="51" t="str">
        <f>IFERROR(__xludf.DUMMYFUNCTION("""COMPUTED_VALUE"""),"")</f>
        <v/>
      </c>
      <c r="L763" s="46" t="str">
        <f>IFERROR(__xludf.DUMMYFUNCTION("""COMPUTED_VALUE"""),"")</f>
        <v/>
      </c>
      <c r="M763" s="46" t="str">
        <f>IFERROR(__xludf.DUMMYFUNCTION("""COMPUTED_VALUE"""),"")</f>
        <v/>
      </c>
      <c r="N763" s="46" t="str">
        <f>IFERROR(__xludf.DUMMYFUNCTION("""COMPUTED_VALUE"""),"")</f>
        <v/>
      </c>
      <c r="O763" s="48"/>
      <c r="P763" s="52" t="str">
        <f>IFERROR(__xludf.DUMMYFUNCTION("""COMPUTED_VALUE"""),"")</f>
        <v/>
      </c>
    </row>
    <row r="764">
      <c r="A764" s="48" t="str">
        <f>IFERROR(__xludf.DUMMYFUNCTION("""COMPUTED_VALUE"""),"")</f>
        <v/>
      </c>
      <c r="B764" s="48"/>
      <c r="C764" s="49"/>
      <c r="D764" s="46"/>
      <c r="E764" s="46"/>
      <c r="F764" s="46"/>
      <c r="G764" s="46"/>
      <c r="H764" s="46"/>
      <c r="I764" s="50"/>
      <c r="J764" s="50"/>
      <c r="K764" s="51" t="str">
        <f>IFERROR(__xludf.DUMMYFUNCTION("""COMPUTED_VALUE"""),"")</f>
        <v/>
      </c>
      <c r="L764" s="46" t="str">
        <f>IFERROR(__xludf.DUMMYFUNCTION("""COMPUTED_VALUE"""),"")</f>
        <v/>
      </c>
      <c r="M764" s="46" t="str">
        <f>IFERROR(__xludf.DUMMYFUNCTION("""COMPUTED_VALUE"""),"")</f>
        <v/>
      </c>
      <c r="N764" s="46" t="str">
        <f>IFERROR(__xludf.DUMMYFUNCTION("""COMPUTED_VALUE"""),"")</f>
        <v/>
      </c>
      <c r="O764" s="48"/>
      <c r="P764" s="52" t="str">
        <f>IFERROR(__xludf.DUMMYFUNCTION("""COMPUTED_VALUE"""),"")</f>
        <v/>
      </c>
    </row>
    <row r="765">
      <c r="A765" s="48" t="str">
        <f>IFERROR(__xludf.DUMMYFUNCTION("""COMPUTED_VALUE"""),"")</f>
        <v/>
      </c>
      <c r="B765" s="48"/>
      <c r="C765" s="49"/>
      <c r="D765" s="46"/>
      <c r="E765" s="46"/>
      <c r="F765" s="46"/>
      <c r="G765" s="46"/>
      <c r="H765" s="46"/>
      <c r="I765" s="50"/>
      <c r="J765" s="50"/>
      <c r="K765" s="51" t="str">
        <f>IFERROR(__xludf.DUMMYFUNCTION("""COMPUTED_VALUE"""),"")</f>
        <v/>
      </c>
      <c r="L765" s="46" t="str">
        <f>IFERROR(__xludf.DUMMYFUNCTION("""COMPUTED_VALUE"""),"")</f>
        <v/>
      </c>
      <c r="M765" s="46" t="str">
        <f>IFERROR(__xludf.DUMMYFUNCTION("""COMPUTED_VALUE"""),"")</f>
        <v/>
      </c>
      <c r="N765" s="46" t="str">
        <f>IFERROR(__xludf.DUMMYFUNCTION("""COMPUTED_VALUE"""),"")</f>
        <v/>
      </c>
      <c r="O765" s="48"/>
      <c r="P765" s="52" t="str">
        <f>IFERROR(__xludf.DUMMYFUNCTION("""COMPUTED_VALUE"""),"")</f>
        <v/>
      </c>
    </row>
    <row r="766">
      <c r="A766" s="48" t="str">
        <f>IFERROR(__xludf.DUMMYFUNCTION("""COMPUTED_VALUE"""),"")</f>
        <v/>
      </c>
      <c r="B766" s="48"/>
      <c r="C766" s="49"/>
      <c r="D766" s="46"/>
      <c r="E766" s="46"/>
      <c r="F766" s="46"/>
      <c r="G766" s="46"/>
      <c r="H766" s="46"/>
      <c r="I766" s="50"/>
      <c r="J766" s="50"/>
      <c r="K766" s="51" t="str">
        <f>IFERROR(__xludf.DUMMYFUNCTION("""COMPUTED_VALUE"""),"")</f>
        <v/>
      </c>
      <c r="L766" s="46" t="str">
        <f>IFERROR(__xludf.DUMMYFUNCTION("""COMPUTED_VALUE"""),"")</f>
        <v/>
      </c>
      <c r="M766" s="46" t="str">
        <f>IFERROR(__xludf.DUMMYFUNCTION("""COMPUTED_VALUE"""),"")</f>
        <v/>
      </c>
      <c r="N766" s="46" t="str">
        <f>IFERROR(__xludf.DUMMYFUNCTION("""COMPUTED_VALUE"""),"")</f>
        <v/>
      </c>
      <c r="O766" s="48"/>
      <c r="P766" s="52" t="str">
        <f>IFERROR(__xludf.DUMMYFUNCTION("""COMPUTED_VALUE"""),"")</f>
        <v/>
      </c>
    </row>
    <row r="767">
      <c r="A767" s="48" t="str">
        <f>IFERROR(__xludf.DUMMYFUNCTION("""COMPUTED_VALUE"""),"")</f>
        <v/>
      </c>
      <c r="B767" s="48"/>
      <c r="C767" s="49"/>
      <c r="D767" s="46"/>
      <c r="E767" s="46"/>
      <c r="F767" s="46"/>
      <c r="G767" s="46"/>
      <c r="H767" s="46"/>
      <c r="I767" s="50"/>
      <c r="J767" s="50"/>
      <c r="K767" s="51" t="str">
        <f>IFERROR(__xludf.DUMMYFUNCTION("""COMPUTED_VALUE"""),"")</f>
        <v/>
      </c>
      <c r="L767" s="46" t="str">
        <f>IFERROR(__xludf.DUMMYFUNCTION("""COMPUTED_VALUE"""),"")</f>
        <v/>
      </c>
      <c r="M767" s="46" t="str">
        <f>IFERROR(__xludf.DUMMYFUNCTION("""COMPUTED_VALUE"""),"")</f>
        <v/>
      </c>
      <c r="N767" s="46" t="str">
        <f>IFERROR(__xludf.DUMMYFUNCTION("""COMPUTED_VALUE"""),"")</f>
        <v/>
      </c>
      <c r="O767" s="48"/>
      <c r="P767" s="52" t="str">
        <f>IFERROR(__xludf.DUMMYFUNCTION("""COMPUTED_VALUE"""),"")</f>
        <v/>
      </c>
    </row>
    <row r="768">
      <c r="A768" s="48" t="str">
        <f>IFERROR(__xludf.DUMMYFUNCTION("""COMPUTED_VALUE"""),"")</f>
        <v/>
      </c>
      <c r="B768" s="48"/>
      <c r="C768" s="49"/>
      <c r="D768" s="46"/>
      <c r="E768" s="46"/>
      <c r="F768" s="46"/>
      <c r="G768" s="46"/>
      <c r="H768" s="46"/>
      <c r="I768" s="50"/>
      <c r="J768" s="50"/>
      <c r="K768" s="51" t="str">
        <f>IFERROR(__xludf.DUMMYFUNCTION("""COMPUTED_VALUE"""),"")</f>
        <v/>
      </c>
      <c r="L768" s="46" t="str">
        <f>IFERROR(__xludf.DUMMYFUNCTION("""COMPUTED_VALUE"""),"")</f>
        <v/>
      </c>
      <c r="M768" s="46" t="str">
        <f>IFERROR(__xludf.DUMMYFUNCTION("""COMPUTED_VALUE"""),"")</f>
        <v/>
      </c>
      <c r="N768" s="46" t="str">
        <f>IFERROR(__xludf.DUMMYFUNCTION("""COMPUTED_VALUE"""),"")</f>
        <v/>
      </c>
      <c r="O768" s="48"/>
      <c r="P768" s="52" t="str">
        <f>IFERROR(__xludf.DUMMYFUNCTION("""COMPUTED_VALUE"""),"")</f>
        <v/>
      </c>
    </row>
    <row r="769">
      <c r="A769" s="48" t="str">
        <f>IFERROR(__xludf.DUMMYFUNCTION("""COMPUTED_VALUE"""),"")</f>
        <v/>
      </c>
      <c r="B769" s="48"/>
      <c r="C769" s="49"/>
      <c r="D769" s="46"/>
      <c r="E769" s="46"/>
      <c r="F769" s="46"/>
      <c r="G769" s="46"/>
      <c r="H769" s="46"/>
      <c r="I769" s="50"/>
      <c r="J769" s="50"/>
      <c r="K769" s="51" t="str">
        <f>IFERROR(__xludf.DUMMYFUNCTION("""COMPUTED_VALUE"""),"")</f>
        <v/>
      </c>
      <c r="L769" s="46" t="str">
        <f>IFERROR(__xludf.DUMMYFUNCTION("""COMPUTED_VALUE"""),"")</f>
        <v/>
      </c>
      <c r="M769" s="46" t="str">
        <f>IFERROR(__xludf.DUMMYFUNCTION("""COMPUTED_VALUE"""),"")</f>
        <v/>
      </c>
      <c r="N769" s="46" t="str">
        <f>IFERROR(__xludf.DUMMYFUNCTION("""COMPUTED_VALUE"""),"")</f>
        <v/>
      </c>
      <c r="O769" s="48"/>
      <c r="P769" s="52" t="str">
        <f>IFERROR(__xludf.DUMMYFUNCTION("""COMPUTED_VALUE"""),"")</f>
        <v/>
      </c>
    </row>
    <row r="770">
      <c r="A770" s="48" t="str">
        <f>IFERROR(__xludf.DUMMYFUNCTION("""COMPUTED_VALUE"""),"")</f>
        <v/>
      </c>
      <c r="B770" s="48"/>
      <c r="C770" s="49"/>
      <c r="D770" s="46"/>
      <c r="E770" s="46"/>
      <c r="F770" s="46"/>
      <c r="G770" s="46"/>
      <c r="H770" s="46"/>
      <c r="I770" s="50"/>
      <c r="J770" s="50"/>
      <c r="K770" s="51" t="str">
        <f>IFERROR(__xludf.DUMMYFUNCTION("""COMPUTED_VALUE"""),"")</f>
        <v/>
      </c>
      <c r="L770" s="46" t="str">
        <f>IFERROR(__xludf.DUMMYFUNCTION("""COMPUTED_VALUE"""),"")</f>
        <v/>
      </c>
      <c r="M770" s="46" t="str">
        <f>IFERROR(__xludf.DUMMYFUNCTION("""COMPUTED_VALUE"""),"")</f>
        <v/>
      </c>
      <c r="N770" s="46" t="str">
        <f>IFERROR(__xludf.DUMMYFUNCTION("""COMPUTED_VALUE"""),"")</f>
        <v/>
      </c>
      <c r="O770" s="48"/>
      <c r="P770" s="52" t="str">
        <f>IFERROR(__xludf.DUMMYFUNCTION("""COMPUTED_VALUE"""),"")</f>
        <v/>
      </c>
    </row>
    <row r="771">
      <c r="A771" s="48" t="str">
        <f>IFERROR(__xludf.DUMMYFUNCTION("""COMPUTED_VALUE"""),"")</f>
        <v/>
      </c>
      <c r="B771" s="48"/>
      <c r="C771" s="49"/>
      <c r="D771" s="46"/>
      <c r="E771" s="46"/>
      <c r="F771" s="46"/>
      <c r="G771" s="46"/>
      <c r="H771" s="46"/>
      <c r="I771" s="50"/>
      <c r="J771" s="50"/>
      <c r="K771" s="51" t="str">
        <f>IFERROR(__xludf.DUMMYFUNCTION("""COMPUTED_VALUE"""),"")</f>
        <v/>
      </c>
      <c r="L771" s="46" t="str">
        <f>IFERROR(__xludf.DUMMYFUNCTION("""COMPUTED_VALUE"""),"")</f>
        <v/>
      </c>
      <c r="M771" s="46" t="str">
        <f>IFERROR(__xludf.DUMMYFUNCTION("""COMPUTED_VALUE"""),"")</f>
        <v/>
      </c>
      <c r="N771" s="46" t="str">
        <f>IFERROR(__xludf.DUMMYFUNCTION("""COMPUTED_VALUE"""),"")</f>
        <v/>
      </c>
      <c r="O771" s="48"/>
      <c r="P771" s="52" t="str">
        <f>IFERROR(__xludf.DUMMYFUNCTION("""COMPUTED_VALUE"""),"")</f>
        <v/>
      </c>
    </row>
    <row r="772">
      <c r="A772" s="48" t="str">
        <f>IFERROR(__xludf.DUMMYFUNCTION("""COMPUTED_VALUE"""),"")</f>
        <v/>
      </c>
      <c r="B772" s="48"/>
      <c r="C772" s="49"/>
      <c r="D772" s="46"/>
      <c r="E772" s="46"/>
      <c r="F772" s="46"/>
      <c r="G772" s="46"/>
      <c r="H772" s="46"/>
      <c r="I772" s="50"/>
      <c r="J772" s="50"/>
      <c r="K772" s="51" t="str">
        <f>IFERROR(__xludf.DUMMYFUNCTION("""COMPUTED_VALUE"""),"")</f>
        <v/>
      </c>
      <c r="L772" s="46" t="str">
        <f>IFERROR(__xludf.DUMMYFUNCTION("""COMPUTED_VALUE"""),"")</f>
        <v/>
      </c>
      <c r="M772" s="46" t="str">
        <f>IFERROR(__xludf.DUMMYFUNCTION("""COMPUTED_VALUE"""),"")</f>
        <v/>
      </c>
      <c r="N772" s="46" t="str">
        <f>IFERROR(__xludf.DUMMYFUNCTION("""COMPUTED_VALUE"""),"")</f>
        <v/>
      </c>
      <c r="O772" s="48"/>
      <c r="P772" s="52" t="str">
        <f>IFERROR(__xludf.DUMMYFUNCTION("""COMPUTED_VALUE"""),"")</f>
        <v/>
      </c>
    </row>
    <row r="773">
      <c r="A773" s="48" t="str">
        <f>IFERROR(__xludf.DUMMYFUNCTION("""COMPUTED_VALUE"""),"")</f>
        <v/>
      </c>
      <c r="B773" s="48"/>
      <c r="C773" s="49"/>
      <c r="D773" s="46"/>
      <c r="E773" s="46"/>
      <c r="F773" s="46"/>
      <c r="G773" s="46"/>
      <c r="H773" s="46"/>
      <c r="I773" s="50"/>
      <c r="J773" s="50"/>
      <c r="K773" s="51" t="str">
        <f>IFERROR(__xludf.DUMMYFUNCTION("""COMPUTED_VALUE"""),"")</f>
        <v/>
      </c>
      <c r="L773" s="46" t="str">
        <f>IFERROR(__xludf.DUMMYFUNCTION("""COMPUTED_VALUE"""),"")</f>
        <v/>
      </c>
      <c r="M773" s="46" t="str">
        <f>IFERROR(__xludf.DUMMYFUNCTION("""COMPUTED_VALUE"""),"")</f>
        <v/>
      </c>
      <c r="N773" s="46" t="str">
        <f>IFERROR(__xludf.DUMMYFUNCTION("""COMPUTED_VALUE"""),"")</f>
        <v/>
      </c>
      <c r="O773" s="48"/>
      <c r="P773" s="52" t="str">
        <f>IFERROR(__xludf.DUMMYFUNCTION("""COMPUTED_VALUE"""),"")</f>
        <v/>
      </c>
    </row>
    <row r="774">
      <c r="A774" s="48" t="str">
        <f>IFERROR(__xludf.DUMMYFUNCTION("""COMPUTED_VALUE"""),"")</f>
        <v/>
      </c>
      <c r="B774" s="48"/>
      <c r="C774" s="49"/>
      <c r="D774" s="46"/>
      <c r="E774" s="46"/>
      <c r="F774" s="46"/>
      <c r="G774" s="46"/>
      <c r="H774" s="46"/>
      <c r="I774" s="50"/>
      <c r="J774" s="50"/>
      <c r="K774" s="51" t="str">
        <f>IFERROR(__xludf.DUMMYFUNCTION("""COMPUTED_VALUE"""),"")</f>
        <v/>
      </c>
      <c r="L774" s="46" t="str">
        <f>IFERROR(__xludf.DUMMYFUNCTION("""COMPUTED_VALUE"""),"")</f>
        <v/>
      </c>
      <c r="M774" s="46" t="str">
        <f>IFERROR(__xludf.DUMMYFUNCTION("""COMPUTED_VALUE"""),"")</f>
        <v/>
      </c>
      <c r="N774" s="46" t="str">
        <f>IFERROR(__xludf.DUMMYFUNCTION("""COMPUTED_VALUE"""),"")</f>
        <v/>
      </c>
      <c r="O774" s="48"/>
      <c r="P774" s="52" t="str">
        <f>IFERROR(__xludf.DUMMYFUNCTION("""COMPUTED_VALUE"""),"")</f>
        <v/>
      </c>
    </row>
    <row r="775">
      <c r="A775" s="48" t="str">
        <f>IFERROR(__xludf.DUMMYFUNCTION("""COMPUTED_VALUE"""),"")</f>
        <v/>
      </c>
      <c r="B775" s="48"/>
      <c r="C775" s="49"/>
      <c r="D775" s="46"/>
      <c r="E775" s="46"/>
      <c r="F775" s="46"/>
      <c r="G775" s="46"/>
      <c r="H775" s="46"/>
      <c r="I775" s="50"/>
      <c r="J775" s="50"/>
      <c r="K775" s="51" t="str">
        <f>IFERROR(__xludf.DUMMYFUNCTION("""COMPUTED_VALUE"""),"")</f>
        <v/>
      </c>
      <c r="L775" s="46" t="str">
        <f>IFERROR(__xludf.DUMMYFUNCTION("""COMPUTED_VALUE"""),"")</f>
        <v/>
      </c>
      <c r="M775" s="46" t="str">
        <f>IFERROR(__xludf.DUMMYFUNCTION("""COMPUTED_VALUE"""),"")</f>
        <v/>
      </c>
      <c r="N775" s="46" t="str">
        <f>IFERROR(__xludf.DUMMYFUNCTION("""COMPUTED_VALUE"""),"")</f>
        <v/>
      </c>
      <c r="O775" s="48"/>
      <c r="P775" s="52" t="str">
        <f>IFERROR(__xludf.DUMMYFUNCTION("""COMPUTED_VALUE"""),"")</f>
        <v/>
      </c>
    </row>
    <row r="776">
      <c r="A776" s="48" t="str">
        <f>IFERROR(__xludf.DUMMYFUNCTION("""COMPUTED_VALUE"""),"")</f>
        <v/>
      </c>
      <c r="B776" s="48"/>
      <c r="C776" s="49"/>
      <c r="D776" s="46"/>
      <c r="E776" s="46"/>
      <c r="F776" s="46"/>
      <c r="G776" s="46"/>
      <c r="H776" s="46"/>
      <c r="I776" s="50"/>
      <c r="J776" s="50"/>
      <c r="K776" s="51" t="str">
        <f>IFERROR(__xludf.DUMMYFUNCTION("""COMPUTED_VALUE"""),"")</f>
        <v/>
      </c>
      <c r="L776" s="46" t="str">
        <f>IFERROR(__xludf.DUMMYFUNCTION("""COMPUTED_VALUE"""),"")</f>
        <v/>
      </c>
      <c r="M776" s="46" t="str">
        <f>IFERROR(__xludf.DUMMYFUNCTION("""COMPUTED_VALUE"""),"")</f>
        <v/>
      </c>
      <c r="N776" s="46" t="str">
        <f>IFERROR(__xludf.DUMMYFUNCTION("""COMPUTED_VALUE"""),"")</f>
        <v/>
      </c>
      <c r="O776" s="48"/>
      <c r="P776" s="52" t="str">
        <f>IFERROR(__xludf.DUMMYFUNCTION("""COMPUTED_VALUE"""),"")</f>
        <v/>
      </c>
    </row>
    <row r="777">
      <c r="A777" s="48" t="str">
        <f>IFERROR(__xludf.DUMMYFUNCTION("""COMPUTED_VALUE"""),"")</f>
        <v/>
      </c>
      <c r="B777" s="48"/>
      <c r="C777" s="49"/>
      <c r="D777" s="46"/>
      <c r="E777" s="46"/>
      <c r="F777" s="46"/>
      <c r="G777" s="46"/>
      <c r="H777" s="46"/>
      <c r="I777" s="50"/>
      <c r="J777" s="50"/>
      <c r="K777" s="51" t="str">
        <f>IFERROR(__xludf.DUMMYFUNCTION("""COMPUTED_VALUE"""),"")</f>
        <v/>
      </c>
      <c r="L777" s="46" t="str">
        <f>IFERROR(__xludf.DUMMYFUNCTION("""COMPUTED_VALUE"""),"")</f>
        <v/>
      </c>
      <c r="M777" s="46" t="str">
        <f>IFERROR(__xludf.DUMMYFUNCTION("""COMPUTED_VALUE"""),"")</f>
        <v/>
      </c>
      <c r="N777" s="46" t="str">
        <f>IFERROR(__xludf.DUMMYFUNCTION("""COMPUTED_VALUE"""),"")</f>
        <v/>
      </c>
      <c r="O777" s="48"/>
      <c r="P777" s="52" t="str">
        <f>IFERROR(__xludf.DUMMYFUNCTION("""COMPUTED_VALUE"""),"")</f>
        <v/>
      </c>
    </row>
    <row r="778">
      <c r="A778" s="48" t="str">
        <f>IFERROR(__xludf.DUMMYFUNCTION("""COMPUTED_VALUE"""),"")</f>
        <v/>
      </c>
      <c r="B778" s="48"/>
      <c r="C778" s="49"/>
      <c r="D778" s="46"/>
      <c r="E778" s="46"/>
      <c r="F778" s="46"/>
      <c r="G778" s="46"/>
      <c r="H778" s="46"/>
      <c r="I778" s="50"/>
      <c r="J778" s="50"/>
      <c r="K778" s="51" t="str">
        <f>IFERROR(__xludf.DUMMYFUNCTION("""COMPUTED_VALUE"""),"")</f>
        <v/>
      </c>
      <c r="L778" s="46" t="str">
        <f>IFERROR(__xludf.DUMMYFUNCTION("""COMPUTED_VALUE"""),"")</f>
        <v/>
      </c>
      <c r="M778" s="46" t="str">
        <f>IFERROR(__xludf.DUMMYFUNCTION("""COMPUTED_VALUE"""),"")</f>
        <v/>
      </c>
      <c r="N778" s="46" t="str">
        <f>IFERROR(__xludf.DUMMYFUNCTION("""COMPUTED_VALUE"""),"")</f>
        <v/>
      </c>
      <c r="O778" s="48"/>
      <c r="P778" s="52" t="str">
        <f>IFERROR(__xludf.DUMMYFUNCTION("""COMPUTED_VALUE"""),"")</f>
        <v/>
      </c>
    </row>
    <row r="779">
      <c r="A779" s="48" t="str">
        <f>IFERROR(__xludf.DUMMYFUNCTION("""COMPUTED_VALUE"""),"")</f>
        <v/>
      </c>
      <c r="B779" s="48"/>
      <c r="C779" s="49"/>
      <c r="D779" s="46"/>
      <c r="E779" s="46"/>
      <c r="F779" s="46"/>
      <c r="G779" s="46"/>
      <c r="H779" s="46"/>
      <c r="I779" s="50"/>
      <c r="J779" s="50"/>
      <c r="K779" s="51" t="str">
        <f>IFERROR(__xludf.DUMMYFUNCTION("""COMPUTED_VALUE"""),"")</f>
        <v/>
      </c>
      <c r="L779" s="46" t="str">
        <f>IFERROR(__xludf.DUMMYFUNCTION("""COMPUTED_VALUE"""),"")</f>
        <v/>
      </c>
      <c r="M779" s="46" t="str">
        <f>IFERROR(__xludf.DUMMYFUNCTION("""COMPUTED_VALUE"""),"")</f>
        <v/>
      </c>
      <c r="N779" s="46" t="str">
        <f>IFERROR(__xludf.DUMMYFUNCTION("""COMPUTED_VALUE"""),"")</f>
        <v/>
      </c>
      <c r="O779" s="48"/>
      <c r="P779" s="52" t="str">
        <f>IFERROR(__xludf.DUMMYFUNCTION("""COMPUTED_VALUE"""),"")</f>
        <v/>
      </c>
    </row>
    <row r="780">
      <c r="A780" s="48" t="str">
        <f>IFERROR(__xludf.DUMMYFUNCTION("""COMPUTED_VALUE"""),"")</f>
        <v/>
      </c>
      <c r="B780" s="48"/>
      <c r="C780" s="49"/>
      <c r="D780" s="46"/>
      <c r="E780" s="46"/>
      <c r="F780" s="46"/>
      <c r="G780" s="46"/>
      <c r="H780" s="46"/>
      <c r="I780" s="50"/>
      <c r="J780" s="50"/>
      <c r="K780" s="51" t="str">
        <f>IFERROR(__xludf.DUMMYFUNCTION("""COMPUTED_VALUE"""),"")</f>
        <v/>
      </c>
      <c r="L780" s="46" t="str">
        <f>IFERROR(__xludf.DUMMYFUNCTION("""COMPUTED_VALUE"""),"")</f>
        <v/>
      </c>
      <c r="M780" s="46" t="str">
        <f>IFERROR(__xludf.DUMMYFUNCTION("""COMPUTED_VALUE"""),"")</f>
        <v/>
      </c>
      <c r="N780" s="46" t="str">
        <f>IFERROR(__xludf.DUMMYFUNCTION("""COMPUTED_VALUE"""),"")</f>
        <v/>
      </c>
      <c r="O780" s="48"/>
      <c r="P780" s="52" t="str">
        <f>IFERROR(__xludf.DUMMYFUNCTION("""COMPUTED_VALUE"""),"")</f>
        <v/>
      </c>
    </row>
    <row r="781">
      <c r="A781" s="48" t="str">
        <f>IFERROR(__xludf.DUMMYFUNCTION("""COMPUTED_VALUE"""),"")</f>
        <v/>
      </c>
      <c r="B781" s="48"/>
      <c r="C781" s="49"/>
      <c r="D781" s="46"/>
      <c r="E781" s="46"/>
      <c r="F781" s="46"/>
      <c r="G781" s="46"/>
      <c r="H781" s="46"/>
      <c r="I781" s="50"/>
      <c r="J781" s="50"/>
      <c r="K781" s="51" t="str">
        <f>IFERROR(__xludf.DUMMYFUNCTION("""COMPUTED_VALUE"""),"")</f>
        <v/>
      </c>
      <c r="L781" s="46" t="str">
        <f>IFERROR(__xludf.DUMMYFUNCTION("""COMPUTED_VALUE"""),"")</f>
        <v/>
      </c>
      <c r="M781" s="46" t="str">
        <f>IFERROR(__xludf.DUMMYFUNCTION("""COMPUTED_VALUE"""),"")</f>
        <v/>
      </c>
      <c r="N781" s="46" t="str">
        <f>IFERROR(__xludf.DUMMYFUNCTION("""COMPUTED_VALUE"""),"")</f>
        <v/>
      </c>
      <c r="O781" s="48"/>
      <c r="P781" s="52" t="str">
        <f>IFERROR(__xludf.DUMMYFUNCTION("""COMPUTED_VALUE"""),"")</f>
        <v/>
      </c>
    </row>
    <row r="782">
      <c r="A782" s="48" t="str">
        <f>IFERROR(__xludf.DUMMYFUNCTION("""COMPUTED_VALUE"""),"")</f>
        <v/>
      </c>
      <c r="B782" s="48"/>
      <c r="C782" s="49"/>
      <c r="D782" s="46"/>
      <c r="E782" s="46"/>
      <c r="F782" s="46"/>
      <c r="G782" s="46"/>
      <c r="H782" s="46"/>
      <c r="I782" s="50"/>
      <c r="J782" s="50"/>
      <c r="K782" s="51" t="str">
        <f>IFERROR(__xludf.DUMMYFUNCTION("""COMPUTED_VALUE"""),"")</f>
        <v/>
      </c>
      <c r="L782" s="46" t="str">
        <f>IFERROR(__xludf.DUMMYFUNCTION("""COMPUTED_VALUE"""),"")</f>
        <v/>
      </c>
      <c r="M782" s="46" t="str">
        <f>IFERROR(__xludf.DUMMYFUNCTION("""COMPUTED_VALUE"""),"")</f>
        <v/>
      </c>
      <c r="N782" s="46" t="str">
        <f>IFERROR(__xludf.DUMMYFUNCTION("""COMPUTED_VALUE"""),"")</f>
        <v/>
      </c>
      <c r="O782" s="48"/>
      <c r="P782" s="52" t="str">
        <f>IFERROR(__xludf.DUMMYFUNCTION("""COMPUTED_VALUE"""),"")</f>
        <v/>
      </c>
    </row>
    <row r="783">
      <c r="A783" s="48" t="str">
        <f>IFERROR(__xludf.DUMMYFUNCTION("""COMPUTED_VALUE"""),"")</f>
        <v/>
      </c>
      <c r="B783" s="48"/>
      <c r="C783" s="49"/>
      <c r="D783" s="46"/>
      <c r="E783" s="46"/>
      <c r="F783" s="46"/>
      <c r="G783" s="46"/>
      <c r="H783" s="46"/>
      <c r="I783" s="50"/>
      <c r="J783" s="50"/>
      <c r="K783" s="51" t="str">
        <f>IFERROR(__xludf.DUMMYFUNCTION("""COMPUTED_VALUE"""),"")</f>
        <v/>
      </c>
      <c r="L783" s="46" t="str">
        <f>IFERROR(__xludf.DUMMYFUNCTION("""COMPUTED_VALUE"""),"")</f>
        <v/>
      </c>
      <c r="M783" s="46" t="str">
        <f>IFERROR(__xludf.DUMMYFUNCTION("""COMPUTED_VALUE"""),"")</f>
        <v/>
      </c>
      <c r="N783" s="46" t="str">
        <f>IFERROR(__xludf.DUMMYFUNCTION("""COMPUTED_VALUE"""),"")</f>
        <v/>
      </c>
      <c r="O783" s="48"/>
      <c r="P783" s="52" t="str">
        <f>IFERROR(__xludf.DUMMYFUNCTION("""COMPUTED_VALUE"""),"")</f>
        <v/>
      </c>
    </row>
    <row r="784">
      <c r="A784" s="48" t="str">
        <f>IFERROR(__xludf.DUMMYFUNCTION("""COMPUTED_VALUE"""),"")</f>
        <v/>
      </c>
      <c r="B784" s="48"/>
      <c r="C784" s="49"/>
      <c r="D784" s="46"/>
      <c r="E784" s="46"/>
      <c r="F784" s="46"/>
      <c r="G784" s="46"/>
      <c r="H784" s="46"/>
      <c r="I784" s="50"/>
      <c r="J784" s="50"/>
      <c r="K784" s="51" t="str">
        <f>IFERROR(__xludf.DUMMYFUNCTION("""COMPUTED_VALUE"""),"")</f>
        <v/>
      </c>
      <c r="L784" s="46" t="str">
        <f>IFERROR(__xludf.DUMMYFUNCTION("""COMPUTED_VALUE"""),"")</f>
        <v/>
      </c>
      <c r="M784" s="46" t="str">
        <f>IFERROR(__xludf.DUMMYFUNCTION("""COMPUTED_VALUE"""),"")</f>
        <v/>
      </c>
      <c r="N784" s="46" t="str">
        <f>IFERROR(__xludf.DUMMYFUNCTION("""COMPUTED_VALUE"""),"")</f>
        <v/>
      </c>
      <c r="O784" s="48"/>
      <c r="P784" s="52" t="str">
        <f>IFERROR(__xludf.DUMMYFUNCTION("""COMPUTED_VALUE"""),"")</f>
        <v/>
      </c>
    </row>
    <row r="785">
      <c r="A785" s="48" t="str">
        <f>IFERROR(__xludf.DUMMYFUNCTION("""COMPUTED_VALUE"""),"")</f>
        <v/>
      </c>
      <c r="B785" s="48"/>
      <c r="C785" s="49"/>
      <c r="D785" s="46"/>
      <c r="E785" s="46"/>
      <c r="F785" s="46"/>
      <c r="G785" s="46"/>
      <c r="H785" s="46"/>
      <c r="I785" s="50"/>
      <c r="J785" s="50"/>
      <c r="K785" s="51" t="str">
        <f>IFERROR(__xludf.DUMMYFUNCTION("""COMPUTED_VALUE"""),"")</f>
        <v/>
      </c>
      <c r="L785" s="46" t="str">
        <f>IFERROR(__xludf.DUMMYFUNCTION("""COMPUTED_VALUE"""),"")</f>
        <v/>
      </c>
      <c r="M785" s="46" t="str">
        <f>IFERROR(__xludf.DUMMYFUNCTION("""COMPUTED_VALUE"""),"")</f>
        <v/>
      </c>
      <c r="N785" s="46" t="str">
        <f>IFERROR(__xludf.DUMMYFUNCTION("""COMPUTED_VALUE"""),"")</f>
        <v/>
      </c>
      <c r="O785" s="48"/>
      <c r="P785" s="52" t="str">
        <f>IFERROR(__xludf.DUMMYFUNCTION("""COMPUTED_VALUE"""),"")</f>
        <v/>
      </c>
    </row>
    <row r="786">
      <c r="A786" s="48" t="str">
        <f>IFERROR(__xludf.DUMMYFUNCTION("""COMPUTED_VALUE"""),"")</f>
        <v/>
      </c>
      <c r="B786" s="48"/>
      <c r="C786" s="49"/>
      <c r="D786" s="46"/>
      <c r="E786" s="46"/>
      <c r="F786" s="46"/>
      <c r="G786" s="46"/>
      <c r="H786" s="46"/>
      <c r="I786" s="50"/>
      <c r="J786" s="50"/>
      <c r="K786" s="51" t="str">
        <f>IFERROR(__xludf.DUMMYFUNCTION("""COMPUTED_VALUE"""),"")</f>
        <v/>
      </c>
      <c r="L786" s="46" t="str">
        <f>IFERROR(__xludf.DUMMYFUNCTION("""COMPUTED_VALUE"""),"")</f>
        <v/>
      </c>
      <c r="M786" s="46" t="str">
        <f>IFERROR(__xludf.DUMMYFUNCTION("""COMPUTED_VALUE"""),"")</f>
        <v/>
      </c>
      <c r="N786" s="46" t="str">
        <f>IFERROR(__xludf.DUMMYFUNCTION("""COMPUTED_VALUE"""),"")</f>
        <v/>
      </c>
      <c r="O786" s="48"/>
      <c r="P786" s="52" t="str">
        <f>IFERROR(__xludf.DUMMYFUNCTION("""COMPUTED_VALUE"""),"")</f>
        <v/>
      </c>
    </row>
    <row r="787">
      <c r="A787" s="48" t="str">
        <f>IFERROR(__xludf.DUMMYFUNCTION("""COMPUTED_VALUE"""),"")</f>
        <v/>
      </c>
      <c r="B787" s="48"/>
      <c r="C787" s="49"/>
      <c r="D787" s="46"/>
      <c r="E787" s="46"/>
      <c r="F787" s="46"/>
      <c r="G787" s="46"/>
      <c r="H787" s="46"/>
      <c r="I787" s="50"/>
      <c r="J787" s="50"/>
      <c r="K787" s="51" t="str">
        <f>IFERROR(__xludf.DUMMYFUNCTION("""COMPUTED_VALUE"""),"")</f>
        <v/>
      </c>
      <c r="L787" s="46" t="str">
        <f>IFERROR(__xludf.DUMMYFUNCTION("""COMPUTED_VALUE"""),"")</f>
        <v/>
      </c>
      <c r="M787" s="46" t="str">
        <f>IFERROR(__xludf.DUMMYFUNCTION("""COMPUTED_VALUE"""),"")</f>
        <v/>
      </c>
      <c r="N787" s="46" t="str">
        <f>IFERROR(__xludf.DUMMYFUNCTION("""COMPUTED_VALUE"""),"")</f>
        <v/>
      </c>
      <c r="O787" s="48"/>
      <c r="P787" s="52" t="str">
        <f>IFERROR(__xludf.DUMMYFUNCTION("""COMPUTED_VALUE"""),"")</f>
        <v/>
      </c>
    </row>
    <row r="788">
      <c r="A788" s="48" t="str">
        <f>IFERROR(__xludf.DUMMYFUNCTION("""COMPUTED_VALUE"""),"")</f>
        <v/>
      </c>
      <c r="B788" s="48"/>
      <c r="C788" s="49"/>
      <c r="D788" s="46"/>
      <c r="E788" s="46"/>
      <c r="F788" s="46"/>
      <c r="G788" s="46"/>
      <c r="H788" s="46"/>
      <c r="I788" s="50"/>
      <c r="J788" s="50"/>
      <c r="K788" s="51" t="str">
        <f>IFERROR(__xludf.DUMMYFUNCTION("""COMPUTED_VALUE"""),"")</f>
        <v/>
      </c>
      <c r="L788" s="46" t="str">
        <f>IFERROR(__xludf.DUMMYFUNCTION("""COMPUTED_VALUE"""),"")</f>
        <v/>
      </c>
      <c r="M788" s="46" t="str">
        <f>IFERROR(__xludf.DUMMYFUNCTION("""COMPUTED_VALUE"""),"")</f>
        <v/>
      </c>
      <c r="N788" s="46" t="str">
        <f>IFERROR(__xludf.DUMMYFUNCTION("""COMPUTED_VALUE"""),"")</f>
        <v/>
      </c>
      <c r="O788" s="48"/>
      <c r="P788" s="52" t="str">
        <f>IFERROR(__xludf.DUMMYFUNCTION("""COMPUTED_VALUE"""),"")</f>
        <v/>
      </c>
    </row>
    <row r="789">
      <c r="A789" s="48" t="str">
        <f>IFERROR(__xludf.DUMMYFUNCTION("""COMPUTED_VALUE"""),"")</f>
        <v/>
      </c>
      <c r="B789" s="48"/>
      <c r="C789" s="49"/>
      <c r="D789" s="46"/>
      <c r="E789" s="46"/>
      <c r="F789" s="46"/>
      <c r="G789" s="46"/>
      <c r="H789" s="46"/>
      <c r="I789" s="50"/>
      <c r="J789" s="50"/>
      <c r="K789" s="51" t="str">
        <f>IFERROR(__xludf.DUMMYFUNCTION("""COMPUTED_VALUE"""),"")</f>
        <v/>
      </c>
      <c r="L789" s="46" t="str">
        <f>IFERROR(__xludf.DUMMYFUNCTION("""COMPUTED_VALUE"""),"")</f>
        <v/>
      </c>
      <c r="M789" s="46" t="str">
        <f>IFERROR(__xludf.DUMMYFUNCTION("""COMPUTED_VALUE"""),"")</f>
        <v/>
      </c>
      <c r="N789" s="46" t="str">
        <f>IFERROR(__xludf.DUMMYFUNCTION("""COMPUTED_VALUE"""),"")</f>
        <v/>
      </c>
      <c r="O789" s="48"/>
      <c r="P789" s="52" t="str">
        <f>IFERROR(__xludf.DUMMYFUNCTION("""COMPUTED_VALUE"""),"")</f>
        <v/>
      </c>
    </row>
    <row r="790">
      <c r="A790" s="48" t="str">
        <f>IFERROR(__xludf.DUMMYFUNCTION("""COMPUTED_VALUE"""),"")</f>
        <v/>
      </c>
      <c r="B790" s="48"/>
      <c r="C790" s="49"/>
      <c r="D790" s="46"/>
      <c r="E790" s="46"/>
      <c r="F790" s="46"/>
      <c r="G790" s="46"/>
      <c r="H790" s="46"/>
      <c r="I790" s="50"/>
      <c r="J790" s="50"/>
      <c r="K790" s="51" t="str">
        <f>IFERROR(__xludf.DUMMYFUNCTION("""COMPUTED_VALUE"""),"")</f>
        <v/>
      </c>
      <c r="L790" s="46" t="str">
        <f>IFERROR(__xludf.DUMMYFUNCTION("""COMPUTED_VALUE"""),"")</f>
        <v/>
      </c>
      <c r="M790" s="46" t="str">
        <f>IFERROR(__xludf.DUMMYFUNCTION("""COMPUTED_VALUE"""),"")</f>
        <v/>
      </c>
      <c r="N790" s="46" t="str">
        <f>IFERROR(__xludf.DUMMYFUNCTION("""COMPUTED_VALUE"""),"")</f>
        <v/>
      </c>
      <c r="O790" s="48"/>
      <c r="P790" s="52" t="str">
        <f>IFERROR(__xludf.DUMMYFUNCTION("""COMPUTED_VALUE"""),"")</f>
        <v/>
      </c>
    </row>
    <row r="791">
      <c r="A791" s="48" t="str">
        <f>IFERROR(__xludf.DUMMYFUNCTION("""COMPUTED_VALUE"""),"")</f>
        <v/>
      </c>
      <c r="B791" s="48"/>
      <c r="C791" s="49"/>
      <c r="D791" s="46"/>
      <c r="E791" s="46"/>
      <c r="F791" s="46"/>
      <c r="G791" s="46"/>
      <c r="H791" s="46"/>
      <c r="I791" s="50"/>
      <c r="J791" s="50"/>
      <c r="K791" s="51" t="str">
        <f>IFERROR(__xludf.DUMMYFUNCTION("""COMPUTED_VALUE"""),"")</f>
        <v/>
      </c>
      <c r="L791" s="46" t="str">
        <f>IFERROR(__xludf.DUMMYFUNCTION("""COMPUTED_VALUE"""),"")</f>
        <v/>
      </c>
      <c r="M791" s="46" t="str">
        <f>IFERROR(__xludf.DUMMYFUNCTION("""COMPUTED_VALUE"""),"")</f>
        <v/>
      </c>
      <c r="N791" s="46" t="str">
        <f>IFERROR(__xludf.DUMMYFUNCTION("""COMPUTED_VALUE"""),"")</f>
        <v/>
      </c>
      <c r="O791" s="48"/>
      <c r="P791" s="52" t="str">
        <f>IFERROR(__xludf.DUMMYFUNCTION("""COMPUTED_VALUE"""),"")</f>
        <v/>
      </c>
    </row>
    <row r="792">
      <c r="A792" s="48" t="str">
        <f>IFERROR(__xludf.DUMMYFUNCTION("""COMPUTED_VALUE"""),"")</f>
        <v/>
      </c>
      <c r="B792" s="48"/>
      <c r="C792" s="49"/>
      <c r="D792" s="46"/>
      <c r="E792" s="46"/>
      <c r="F792" s="46"/>
      <c r="G792" s="46"/>
      <c r="H792" s="46"/>
      <c r="I792" s="50"/>
      <c r="J792" s="50"/>
      <c r="K792" s="51" t="str">
        <f>IFERROR(__xludf.DUMMYFUNCTION("""COMPUTED_VALUE"""),"")</f>
        <v/>
      </c>
      <c r="L792" s="46" t="str">
        <f>IFERROR(__xludf.DUMMYFUNCTION("""COMPUTED_VALUE"""),"")</f>
        <v/>
      </c>
      <c r="M792" s="46" t="str">
        <f>IFERROR(__xludf.DUMMYFUNCTION("""COMPUTED_VALUE"""),"")</f>
        <v/>
      </c>
      <c r="N792" s="46" t="str">
        <f>IFERROR(__xludf.DUMMYFUNCTION("""COMPUTED_VALUE"""),"")</f>
        <v/>
      </c>
      <c r="O792" s="48"/>
      <c r="P792" s="52" t="str">
        <f>IFERROR(__xludf.DUMMYFUNCTION("""COMPUTED_VALUE"""),"")</f>
        <v/>
      </c>
    </row>
    <row r="793">
      <c r="A793" s="48" t="str">
        <f>IFERROR(__xludf.DUMMYFUNCTION("""COMPUTED_VALUE"""),"")</f>
        <v/>
      </c>
      <c r="B793" s="48"/>
      <c r="C793" s="49"/>
      <c r="D793" s="46"/>
      <c r="E793" s="46"/>
      <c r="F793" s="46"/>
      <c r="G793" s="46"/>
      <c r="H793" s="46"/>
      <c r="I793" s="50"/>
      <c r="J793" s="50"/>
      <c r="K793" s="51" t="str">
        <f>IFERROR(__xludf.DUMMYFUNCTION("""COMPUTED_VALUE"""),"")</f>
        <v/>
      </c>
      <c r="L793" s="46" t="str">
        <f>IFERROR(__xludf.DUMMYFUNCTION("""COMPUTED_VALUE"""),"")</f>
        <v/>
      </c>
      <c r="M793" s="46" t="str">
        <f>IFERROR(__xludf.DUMMYFUNCTION("""COMPUTED_VALUE"""),"")</f>
        <v/>
      </c>
      <c r="N793" s="46" t="str">
        <f>IFERROR(__xludf.DUMMYFUNCTION("""COMPUTED_VALUE"""),"")</f>
        <v/>
      </c>
      <c r="O793" s="48"/>
      <c r="P793" s="52" t="str">
        <f>IFERROR(__xludf.DUMMYFUNCTION("""COMPUTED_VALUE"""),"")</f>
        <v/>
      </c>
    </row>
    <row r="794">
      <c r="A794" s="48" t="str">
        <f>IFERROR(__xludf.DUMMYFUNCTION("""COMPUTED_VALUE"""),"")</f>
        <v/>
      </c>
      <c r="B794" s="48"/>
      <c r="C794" s="49"/>
      <c r="D794" s="46"/>
      <c r="E794" s="46"/>
      <c r="F794" s="46"/>
      <c r="G794" s="46"/>
      <c r="H794" s="46"/>
      <c r="I794" s="50"/>
      <c r="J794" s="50"/>
      <c r="K794" s="51" t="str">
        <f>IFERROR(__xludf.DUMMYFUNCTION("""COMPUTED_VALUE"""),"")</f>
        <v/>
      </c>
      <c r="L794" s="46" t="str">
        <f>IFERROR(__xludf.DUMMYFUNCTION("""COMPUTED_VALUE"""),"")</f>
        <v/>
      </c>
      <c r="M794" s="46" t="str">
        <f>IFERROR(__xludf.DUMMYFUNCTION("""COMPUTED_VALUE"""),"")</f>
        <v/>
      </c>
      <c r="N794" s="46" t="str">
        <f>IFERROR(__xludf.DUMMYFUNCTION("""COMPUTED_VALUE"""),"")</f>
        <v/>
      </c>
      <c r="O794" s="48"/>
      <c r="P794" s="52" t="str">
        <f>IFERROR(__xludf.DUMMYFUNCTION("""COMPUTED_VALUE"""),"")</f>
        <v/>
      </c>
    </row>
    <row r="795">
      <c r="A795" s="48" t="str">
        <f>IFERROR(__xludf.DUMMYFUNCTION("""COMPUTED_VALUE"""),"")</f>
        <v/>
      </c>
      <c r="B795" s="48"/>
      <c r="C795" s="49"/>
      <c r="D795" s="46"/>
      <c r="E795" s="46"/>
      <c r="F795" s="46"/>
      <c r="G795" s="46"/>
      <c r="H795" s="46"/>
      <c r="I795" s="50"/>
      <c r="J795" s="50"/>
      <c r="K795" s="51" t="str">
        <f>IFERROR(__xludf.DUMMYFUNCTION("""COMPUTED_VALUE"""),"")</f>
        <v/>
      </c>
      <c r="L795" s="46" t="str">
        <f>IFERROR(__xludf.DUMMYFUNCTION("""COMPUTED_VALUE"""),"")</f>
        <v/>
      </c>
      <c r="M795" s="46" t="str">
        <f>IFERROR(__xludf.DUMMYFUNCTION("""COMPUTED_VALUE"""),"")</f>
        <v/>
      </c>
      <c r="N795" s="46" t="str">
        <f>IFERROR(__xludf.DUMMYFUNCTION("""COMPUTED_VALUE"""),"")</f>
        <v/>
      </c>
      <c r="O795" s="48"/>
      <c r="P795" s="52" t="str">
        <f>IFERROR(__xludf.DUMMYFUNCTION("""COMPUTED_VALUE"""),"")</f>
        <v/>
      </c>
    </row>
    <row r="796">
      <c r="A796" s="48" t="str">
        <f>IFERROR(__xludf.DUMMYFUNCTION("""COMPUTED_VALUE"""),"")</f>
        <v/>
      </c>
      <c r="B796" s="48"/>
      <c r="C796" s="49"/>
      <c r="D796" s="46"/>
      <c r="E796" s="46"/>
      <c r="F796" s="46"/>
      <c r="G796" s="46"/>
      <c r="H796" s="46"/>
      <c r="I796" s="50"/>
      <c r="J796" s="50"/>
      <c r="K796" s="51" t="str">
        <f>IFERROR(__xludf.DUMMYFUNCTION("""COMPUTED_VALUE"""),"")</f>
        <v/>
      </c>
      <c r="L796" s="46" t="str">
        <f>IFERROR(__xludf.DUMMYFUNCTION("""COMPUTED_VALUE"""),"")</f>
        <v/>
      </c>
      <c r="M796" s="46" t="str">
        <f>IFERROR(__xludf.DUMMYFUNCTION("""COMPUTED_VALUE"""),"")</f>
        <v/>
      </c>
      <c r="N796" s="46" t="str">
        <f>IFERROR(__xludf.DUMMYFUNCTION("""COMPUTED_VALUE"""),"")</f>
        <v/>
      </c>
      <c r="O796" s="48"/>
      <c r="P796" s="52" t="str">
        <f>IFERROR(__xludf.DUMMYFUNCTION("""COMPUTED_VALUE"""),"")</f>
        <v/>
      </c>
    </row>
    <row r="797">
      <c r="A797" s="48" t="str">
        <f>IFERROR(__xludf.DUMMYFUNCTION("""COMPUTED_VALUE"""),"")</f>
        <v/>
      </c>
      <c r="B797" s="48"/>
      <c r="C797" s="49"/>
      <c r="D797" s="46"/>
      <c r="E797" s="46"/>
      <c r="F797" s="46"/>
      <c r="G797" s="46"/>
      <c r="H797" s="46"/>
      <c r="I797" s="50"/>
      <c r="J797" s="50"/>
      <c r="K797" s="51" t="str">
        <f>IFERROR(__xludf.DUMMYFUNCTION("""COMPUTED_VALUE"""),"")</f>
        <v/>
      </c>
      <c r="L797" s="46" t="str">
        <f>IFERROR(__xludf.DUMMYFUNCTION("""COMPUTED_VALUE"""),"")</f>
        <v/>
      </c>
      <c r="M797" s="46" t="str">
        <f>IFERROR(__xludf.DUMMYFUNCTION("""COMPUTED_VALUE"""),"")</f>
        <v/>
      </c>
      <c r="N797" s="46" t="str">
        <f>IFERROR(__xludf.DUMMYFUNCTION("""COMPUTED_VALUE"""),"")</f>
        <v/>
      </c>
      <c r="O797" s="48"/>
      <c r="P797" s="52" t="str">
        <f>IFERROR(__xludf.DUMMYFUNCTION("""COMPUTED_VALUE"""),"")</f>
        <v/>
      </c>
    </row>
    <row r="798">
      <c r="A798" s="48" t="str">
        <f>IFERROR(__xludf.DUMMYFUNCTION("""COMPUTED_VALUE"""),"")</f>
        <v/>
      </c>
      <c r="B798" s="48"/>
      <c r="C798" s="49"/>
      <c r="D798" s="46"/>
      <c r="E798" s="46"/>
      <c r="F798" s="46"/>
      <c r="G798" s="46"/>
      <c r="H798" s="46"/>
      <c r="I798" s="50"/>
      <c r="J798" s="50"/>
      <c r="K798" s="51" t="str">
        <f>IFERROR(__xludf.DUMMYFUNCTION("""COMPUTED_VALUE"""),"")</f>
        <v/>
      </c>
      <c r="L798" s="46" t="str">
        <f>IFERROR(__xludf.DUMMYFUNCTION("""COMPUTED_VALUE"""),"")</f>
        <v/>
      </c>
      <c r="M798" s="46" t="str">
        <f>IFERROR(__xludf.DUMMYFUNCTION("""COMPUTED_VALUE"""),"")</f>
        <v/>
      </c>
      <c r="N798" s="46" t="str">
        <f>IFERROR(__xludf.DUMMYFUNCTION("""COMPUTED_VALUE"""),"")</f>
        <v/>
      </c>
      <c r="O798" s="48"/>
      <c r="P798" s="52" t="str">
        <f>IFERROR(__xludf.DUMMYFUNCTION("""COMPUTED_VALUE"""),"")</f>
        <v/>
      </c>
    </row>
    <row r="799">
      <c r="A799" s="48" t="str">
        <f>IFERROR(__xludf.DUMMYFUNCTION("""COMPUTED_VALUE"""),"")</f>
        <v/>
      </c>
      <c r="B799" s="48"/>
      <c r="C799" s="49"/>
      <c r="D799" s="46"/>
      <c r="E799" s="46"/>
      <c r="F799" s="46"/>
      <c r="G799" s="46"/>
      <c r="H799" s="46"/>
      <c r="I799" s="50"/>
      <c r="J799" s="50"/>
      <c r="K799" s="51" t="str">
        <f>IFERROR(__xludf.DUMMYFUNCTION("""COMPUTED_VALUE"""),"")</f>
        <v/>
      </c>
      <c r="L799" s="46" t="str">
        <f>IFERROR(__xludf.DUMMYFUNCTION("""COMPUTED_VALUE"""),"")</f>
        <v/>
      </c>
      <c r="M799" s="46" t="str">
        <f>IFERROR(__xludf.DUMMYFUNCTION("""COMPUTED_VALUE"""),"")</f>
        <v/>
      </c>
      <c r="N799" s="46" t="str">
        <f>IFERROR(__xludf.DUMMYFUNCTION("""COMPUTED_VALUE"""),"")</f>
        <v/>
      </c>
      <c r="O799" s="48"/>
      <c r="P799" s="52" t="str">
        <f>IFERROR(__xludf.DUMMYFUNCTION("""COMPUTED_VALUE"""),"")</f>
        <v/>
      </c>
    </row>
    <row r="800">
      <c r="A800" s="48" t="str">
        <f>IFERROR(__xludf.DUMMYFUNCTION("""COMPUTED_VALUE"""),"")</f>
        <v/>
      </c>
      <c r="B800" s="48"/>
      <c r="C800" s="49"/>
      <c r="D800" s="46"/>
      <c r="E800" s="46"/>
      <c r="F800" s="46"/>
      <c r="G800" s="46"/>
      <c r="H800" s="46"/>
      <c r="I800" s="50"/>
      <c r="J800" s="50"/>
      <c r="K800" s="51" t="str">
        <f>IFERROR(__xludf.DUMMYFUNCTION("""COMPUTED_VALUE"""),"")</f>
        <v/>
      </c>
      <c r="L800" s="46" t="str">
        <f>IFERROR(__xludf.DUMMYFUNCTION("""COMPUTED_VALUE"""),"")</f>
        <v/>
      </c>
      <c r="M800" s="46" t="str">
        <f>IFERROR(__xludf.DUMMYFUNCTION("""COMPUTED_VALUE"""),"")</f>
        <v/>
      </c>
      <c r="N800" s="46" t="str">
        <f>IFERROR(__xludf.DUMMYFUNCTION("""COMPUTED_VALUE"""),"")</f>
        <v/>
      </c>
      <c r="O800" s="48"/>
      <c r="P800" s="52" t="str">
        <f>IFERROR(__xludf.DUMMYFUNCTION("""COMPUTED_VALUE"""),"")</f>
        <v/>
      </c>
    </row>
    <row r="801">
      <c r="A801" s="48" t="str">
        <f>IFERROR(__xludf.DUMMYFUNCTION("""COMPUTED_VALUE"""),"")</f>
        <v/>
      </c>
      <c r="B801" s="48"/>
      <c r="C801" s="49"/>
      <c r="D801" s="46"/>
      <c r="E801" s="46"/>
      <c r="F801" s="46"/>
      <c r="G801" s="46"/>
      <c r="H801" s="46"/>
      <c r="I801" s="50"/>
      <c r="J801" s="50"/>
      <c r="K801" s="51" t="str">
        <f>IFERROR(__xludf.DUMMYFUNCTION("""COMPUTED_VALUE"""),"")</f>
        <v/>
      </c>
      <c r="L801" s="46" t="str">
        <f>IFERROR(__xludf.DUMMYFUNCTION("""COMPUTED_VALUE"""),"")</f>
        <v/>
      </c>
      <c r="M801" s="46" t="str">
        <f>IFERROR(__xludf.DUMMYFUNCTION("""COMPUTED_VALUE"""),"")</f>
        <v/>
      </c>
      <c r="N801" s="46" t="str">
        <f>IFERROR(__xludf.DUMMYFUNCTION("""COMPUTED_VALUE"""),"")</f>
        <v/>
      </c>
      <c r="O801" s="48"/>
      <c r="P801" s="52" t="str">
        <f>IFERROR(__xludf.DUMMYFUNCTION("""COMPUTED_VALUE"""),"")</f>
        <v/>
      </c>
    </row>
    <row r="802">
      <c r="A802" s="48" t="str">
        <f>IFERROR(__xludf.DUMMYFUNCTION("""COMPUTED_VALUE"""),"")</f>
        <v/>
      </c>
      <c r="B802" s="48"/>
      <c r="C802" s="49"/>
      <c r="D802" s="46"/>
      <c r="E802" s="46"/>
      <c r="F802" s="46"/>
      <c r="G802" s="46"/>
      <c r="H802" s="46"/>
      <c r="I802" s="50"/>
      <c r="J802" s="50"/>
      <c r="K802" s="51" t="str">
        <f>IFERROR(__xludf.DUMMYFUNCTION("""COMPUTED_VALUE"""),"")</f>
        <v/>
      </c>
      <c r="L802" s="46" t="str">
        <f>IFERROR(__xludf.DUMMYFUNCTION("""COMPUTED_VALUE"""),"")</f>
        <v/>
      </c>
      <c r="M802" s="46" t="str">
        <f>IFERROR(__xludf.DUMMYFUNCTION("""COMPUTED_VALUE"""),"")</f>
        <v/>
      </c>
      <c r="N802" s="46" t="str">
        <f>IFERROR(__xludf.DUMMYFUNCTION("""COMPUTED_VALUE"""),"")</f>
        <v/>
      </c>
      <c r="O802" s="48"/>
      <c r="P802" s="52" t="str">
        <f>IFERROR(__xludf.DUMMYFUNCTION("""COMPUTED_VALUE"""),"")</f>
        <v/>
      </c>
    </row>
    <row r="803">
      <c r="A803" s="48" t="str">
        <f>IFERROR(__xludf.DUMMYFUNCTION("""COMPUTED_VALUE"""),"")</f>
        <v/>
      </c>
      <c r="B803" s="48"/>
      <c r="C803" s="49"/>
      <c r="D803" s="46"/>
      <c r="E803" s="46"/>
      <c r="F803" s="46"/>
      <c r="G803" s="46"/>
      <c r="H803" s="46"/>
      <c r="I803" s="50"/>
      <c r="J803" s="50"/>
      <c r="K803" s="51" t="str">
        <f>IFERROR(__xludf.DUMMYFUNCTION("""COMPUTED_VALUE"""),"")</f>
        <v/>
      </c>
      <c r="L803" s="46" t="str">
        <f>IFERROR(__xludf.DUMMYFUNCTION("""COMPUTED_VALUE"""),"")</f>
        <v/>
      </c>
      <c r="M803" s="46" t="str">
        <f>IFERROR(__xludf.DUMMYFUNCTION("""COMPUTED_VALUE"""),"")</f>
        <v/>
      </c>
      <c r="N803" s="46" t="str">
        <f>IFERROR(__xludf.DUMMYFUNCTION("""COMPUTED_VALUE"""),"")</f>
        <v/>
      </c>
      <c r="O803" s="48"/>
      <c r="P803" s="52" t="str">
        <f>IFERROR(__xludf.DUMMYFUNCTION("""COMPUTED_VALUE"""),"")</f>
        <v/>
      </c>
    </row>
    <row r="804">
      <c r="A804" s="48" t="str">
        <f>IFERROR(__xludf.DUMMYFUNCTION("""COMPUTED_VALUE"""),"")</f>
        <v/>
      </c>
      <c r="B804" s="48"/>
      <c r="C804" s="49"/>
      <c r="D804" s="46"/>
      <c r="E804" s="46"/>
      <c r="F804" s="46"/>
      <c r="G804" s="46"/>
      <c r="H804" s="46"/>
      <c r="I804" s="50"/>
      <c r="J804" s="50"/>
      <c r="K804" s="51" t="str">
        <f>IFERROR(__xludf.DUMMYFUNCTION("""COMPUTED_VALUE"""),"")</f>
        <v/>
      </c>
      <c r="L804" s="46" t="str">
        <f>IFERROR(__xludf.DUMMYFUNCTION("""COMPUTED_VALUE"""),"")</f>
        <v/>
      </c>
      <c r="M804" s="46" t="str">
        <f>IFERROR(__xludf.DUMMYFUNCTION("""COMPUTED_VALUE"""),"")</f>
        <v/>
      </c>
      <c r="N804" s="46" t="str">
        <f>IFERROR(__xludf.DUMMYFUNCTION("""COMPUTED_VALUE"""),"")</f>
        <v/>
      </c>
      <c r="O804" s="48"/>
      <c r="P804" s="52" t="str">
        <f>IFERROR(__xludf.DUMMYFUNCTION("""COMPUTED_VALUE"""),"")</f>
        <v/>
      </c>
    </row>
    <row r="805">
      <c r="A805" s="48" t="str">
        <f>IFERROR(__xludf.DUMMYFUNCTION("""COMPUTED_VALUE"""),"")</f>
        <v/>
      </c>
      <c r="B805" s="48"/>
      <c r="C805" s="49"/>
      <c r="D805" s="46"/>
      <c r="E805" s="46"/>
      <c r="F805" s="46"/>
      <c r="G805" s="46"/>
      <c r="H805" s="46"/>
      <c r="I805" s="50"/>
      <c r="J805" s="50"/>
      <c r="K805" s="51" t="str">
        <f>IFERROR(__xludf.DUMMYFUNCTION("""COMPUTED_VALUE"""),"")</f>
        <v/>
      </c>
      <c r="L805" s="46" t="str">
        <f>IFERROR(__xludf.DUMMYFUNCTION("""COMPUTED_VALUE"""),"")</f>
        <v/>
      </c>
      <c r="M805" s="46" t="str">
        <f>IFERROR(__xludf.DUMMYFUNCTION("""COMPUTED_VALUE"""),"")</f>
        <v/>
      </c>
      <c r="N805" s="46" t="str">
        <f>IFERROR(__xludf.DUMMYFUNCTION("""COMPUTED_VALUE"""),"")</f>
        <v/>
      </c>
      <c r="O805" s="48"/>
      <c r="P805" s="52" t="str">
        <f>IFERROR(__xludf.DUMMYFUNCTION("""COMPUTED_VALUE"""),"")</f>
        <v/>
      </c>
    </row>
    <row r="806">
      <c r="A806" s="48" t="str">
        <f>IFERROR(__xludf.DUMMYFUNCTION("""COMPUTED_VALUE"""),"")</f>
        <v/>
      </c>
      <c r="B806" s="48"/>
      <c r="C806" s="49"/>
      <c r="D806" s="46"/>
      <c r="E806" s="46"/>
      <c r="F806" s="46"/>
      <c r="G806" s="46"/>
      <c r="H806" s="46"/>
      <c r="I806" s="50"/>
      <c r="J806" s="50"/>
      <c r="K806" s="51" t="str">
        <f>IFERROR(__xludf.DUMMYFUNCTION("""COMPUTED_VALUE"""),"")</f>
        <v/>
      </c>
      <c r="L806" s="46" t="str">
        <f>IFERROR(__xludf.DUMMYFUNCTION("""COMPUTED_VALUE"""),"")</f>
        <v/>
      </c>
      <c r="M806" s="46" t="str">
        <f>IFERROR(__xludf.DUMMYFUNCTION("""COMPUTED_VALUE"""),"")</f>
        <v/>
      </c>
      <c r="N806" s="46" t="str">
        <f>IFERROR(__xludf.DUMMYFUNCTION("""COMPUTED_VALUE"""),"")</f>
        <v/>
      </c>
      <c r="O806" s="48"/>
      <c r="P806" s="52" t="str">
        <f>IFERROR(__xludf.DUMMYFUNCTION("""COMPUTED_VALUE"""),"")</f>
        <v/>
      </c>
    </row>
    <row r="807">
      <c r="A807" s="48" t="str">
        <f>IFERROR(__xludf.DUMMYFUNCTION("""COMPUTED_VALUE"""),"")</f>
        <v/>
      </c>
      <c r="B807" s="48"/>
      <c r="C807" s="49"/>
      <c r="D807" s="46"/>
      <c r="E807" s="46"/>
      <c r="F807" s="46"/>
      <c r="G807" s="46"/>
      <c r="H807" s="46"/>
      <c r="I807" s="50"/>
      <c r="J807" s="50"/>
      <c r="K807" s="51" t="str">
        <f>IFERROR(__xludf.DUMMYFUNCTION("""COMPUTED_VALUE"""),"")</f>
        <v/>
      </c>
      <c r="L807" s="46" t="str">
        <f>IFERROR(__xludf.DUMMYFUNCTION("""COMPUTED_VALUE"""),"")</f>
        <v/>
      </c>
      <c r="M807" s="46" t="str">
        <f>IFERROR(__xludf.DUMMYFUNCTION("""COMPUTED_VALUE"""),"")</f>
        <v/>
      </c>
      <c r="N807" s="46" t="str">
        <f>IFERROR(__xludf.DUMMYFUNCTION("""COMPUTED_VALUE"""),"")</f>
        <v/>
      </c>
      <c r="O807" s="48"/>
      <c r="P807" s="52" t="str">
        <f>IFERROR(__xludf.DUMMYFUNCTION("""COMPUTED_VALUE"""),"")</f>
        <v/>
      </c>
    </row>
    <row r="808">
      <c r="A808" s="48" t="str">
        <f>IFERROR(__xludf.DUMMYFUNCTION("""COMPUTED_VALUE"""),"")</f>
        <v/>
      </c>
      <c r="B808" s="48"/>
      <c r="C808" s="49"/>
      <c r="D808" s="46"/>
      <c r="E808" s="46"/>
      <c r="F808" s="46"/>
      <c r="G808" s="46"/>
      <c r="H808" s="46"/>
      <c r="I808" s="50"/>
      <c r="J808" s="50"/>
      <c r="K808" s="51" t="str">
        <f>IFERROR(__xludf.DUMMYFUNCTION("""COMPUTED_VALUE"""),"")</f>
        <v/>
      </c>
      <c r="L808" s="46" t="str">
        <f>IFERROR(__xludf.DUMMYFUNCTION("""COMPUTED_VALUE"""),"")</f>
        <v/>
      </c>
      <c r="M808" s="46" t="str">
        <f>IFERROR(__xludf.DUMMYFUNCTION("""COMPUTED_VALUE"""),"")</f>
        <v/>
      </c>
      <c r="N808" s="46" t="str">
        <f>IFERROR(__xludf.DUMMYFUNCTION("""COMPUTED_VALUE"""),"")</f>
        <v/>
      </c>
      <c r="O808" s="48"/>
      <c r="P808" s="52" t="str">
        <f>IFERROR(__xludf.DUMMYFUNCTION("""COMPUTED_VALUE"""),"")</f>
        <v/>
      </c>
    </row>
    <row r="809">
      <c r="A809" s="48" t="str">
        <f>IFERROR(__xludf.DUMMYFUNCTION("""COMPUTED_VALUE"""),"")</f>
        <v/>
      </c>
      <c r="B809" s="48"/>
      <c r="C809" s="49"/>
      <c r="D809" s="46"/>
      <c r="E809" s="46"/>
      <c r="F809" s="46"/>
      <c r="G809" s="46"/>
      <c r="H809" s="46"/>
      <c r="I809" s="50"/>
      <c r="J809" s="50"/>
      <c r="K809" s="51" t="str">
        <f>IFERROR(__xludf.DUMMYFUNCTION("""COMPUTED_VALUE"""),"")</f>
        <v/>
      </c>
      <c r="L809" s="46" t="str">
        <f>IFERROR(__xludf.DUMMYFUNCTION("""COMPUTED_VALUE"""),"")</f>
        <v/>
      </c>
      <c r="M809" s="46" t="str">
        <f>IFERROR(__xludf.DUMMYFUNCTION("""COMPUTED_VALUE"""),"")</f>
        <v/>
      </c>
      <c r="N809" s="46" t="str">
        <f>IFERROR(__xludf.DUMMYFUNCTION("""COMPUTED_VALUE"""),"")</f>
        <v/>
      </c>
      <c r="O809" s="48"/>
      <c r="P809" s="52" t="str">
        <f>IFERROR(__xludf.DUMMYFUNCTION("""COMPUTED_VALUE"""),"")</f>
        <v/>
      </c>
    </row>
    <row r="810">
      <c r="A810" s="48" t="str">
        <f>IFERROR(__xludf.DUMMYFUNCTION("""COMPUTED_VALUE"""),"")</f>
        <v/>
      </c>
      <c r="B810" s="48"/>
      <c r="C810" s="49"/>
      <c r="D810" s="46"/>
      <c r="E810" s="46"/>
      <c r="F810" s="46"/>
      <c r="G810" s="46"/>
      <c r="H810" s="46"/>
      <c r="I810" s="50"/>
      <c r="J810" s="50"/>
      <c r="K810" s="51" t="str">
        <f>IFERROR(__xludf.DUMMYFUNCTION("""COMPUTED_VALUE"""),"")</f>
        <v/>
      </c>
      <c r="L810" s="46" t="str">
        <f>IFERROR(__xludf.DUMMYFUNCTION("""COMPUTED_VALUE"""),"")</f>
        <v/>
      </c>
      <c r="M810" s="46" t="str">
        <f>IFERROR(__xludf.DUMMYFUNCTION("""COMPUTED_VALUE"""),"")</f>
        <v/>
      </c>
      <c r="N810" s="46" t="str">
        <f>IFERROR(__xludf.DUMMYFUNCTION("""COMPUTED_VALUE"""),"")</f>
        <v/>
      </c>
      <c r="O810" s="48"/>
      <c r="P810" s="52" t="str">
        <f>IFERROR(__xludf.DUMMYFUNCTION("""COMPUTED_VALUE"""),"")</f>
        <v/>
      </c>
    </row>
    <row r="811">
      <c r="A811" s="48" t="str">
        <f>IFERROR(__xludf.DUMMYFUNCTION("""COMPUTED_VALUE"""),"")</f>
        <v/>
      </c>
      <c r="B811" s="48"/>
      <c r="C811" s="49"/>
      <c r="D811" s="46"/>
      <c r="E811" s="46"/>
      <c r="F811" s="46"/>
      <c r="G811" s="46"/>
      <c r="H811" s="46"/>
      <c r="I811" s="50"/>
      <c r="J811" s="50"/>
      <c r="K811" s="51" t="str">
        <f>IFERROR(__xludf.DUMMYFUNCTION("""COMPUTED_VALUE"""),"")</f>
        <v/>
      </c>
      <c r="L811" s="46" t="str">
        <f>IFERROR(__xludf.DUMMYFUNCTION("""COMPUTED_VALUE"""),"")</f>
        <v/>
      </c>
      <c r="M811" s="46" t="str">
        <f>IFERROR(__xludf.DUMMYFUNCTION("""COMPUTED_VALUE"""),"")</f>
        <v/>
      </c>
      <c r="N811" s="46" t="str">
        <f>IFERROR(__xludf.DUMMYFUNCTION("""COMPUTED_VALUE"""),"")</f>
        <v/>
      </c>
      <c r="O811" s="48"/>
      <c r="P811" s="52" t="str">
        <f>IFERROR(__xludf.DUMMYFUNCTION("""COMPUTED_VALUE"""),"")</f>
        <v/>
      </c>
    </row>
    <row r="812">
      <c r="A812" s="48" t="str">
        <f>IFERROR(__xludf.DUMMYFUNCTION("""COMPUTED_VALUE"""),"")</f>
        <v/>
      </c>
      <c r="B812" s="48"/>
      <c r="C812" s="49"/>
      <c r="D812" s="46"/>
      <c r="E812" s="46"/>
      <c r="F812" s="46"/>
      <c r="G812" s="46"/>
      <c r="H812" s="46"/>
      <c r="I812" s="50"/>
      <c r="J812" s="50"/>
      <c r="K812" s="51" t="str">
        <f>IFERROR(__xludf.DUMMYFUNCTION("""COMPUTED_VALUE"""),"")</f>
        <v/>
      </c>
      <c r="L812" s="46" t="str">
        <f>IFERROR(__xludf.DUMMYFUNCTION("""COMPUTED_VALUE"""),"")</f>
        <v/>
      </c>
      <c r="M812" s="46" t="str">
        <f>IFERROR(__xludf.DUMMYFUNCTION("""COMPUTED_VALUE"""),"")</f>
        <v/>
      </c>
      <c r="N812" s="46" t="str">
        <f>IFERROR(__xludf.DUMMYFUNCTION("""COMPUTED_VALUE"""),"")</f>
        <v/>
      </c>
      <c r="O812" s="48"/>
      <c r="P812" s="52" t="str">
        <f>IFERROR(__xludf.DUMMYFUNCTION("""COMPUTED_VALUE"""),"")</f>
        <v/>
      </c>
    </row>
    <row r="813">
      <c r="A813" s="48" t="str">
        <f>IFERROR(__xludf.DUMMYFUNCTION("""COMPUTED_VALUE"""),"")</f>
        <v/>
      </c>
      <c r="B813" s="48"/>
      <c r="C813" s="49"/>
      <c r="D813" s="46"/>
      <c r="E813" s="46"/>
      <c r="F813" s="46"/>
      <c r="G813" s="46"/>
      <c r="H813" s="46"/>
      <c r="I813" s="50"/>
      <c r="J813" s="50"/>
      <c r="K813" s="51" t="str">
        <f>IFERROR(__xludf.DUMMYFUNCTION("""COMPUTED_VALUE"""),"")</f>
        <v/>
      </c>
      <c r="L813" s="46" t="str">
        <f>IFERROR(__xludf.DUMMYFUNCTION("""COMPUTED_VALUE"""),"")</f>
        <v/>
      </c>
      <c r="M813" s="46" t="str">
        <f>IFERROR(__xludf.DUMMYFUNCTION("""COMPUTED_VALUE"""),"")</f>
        <v/>
      </c>
      <c r="N813" s="46" t="str">
        <f>IFERROR(__xludf.DUMMYFUNCTION("""COMPUTED_VALUE"""),"")</f>
        <v/>
      </c>
      <c r="O813" s="48"/>
      <c r="P813" s="52" t="str">
        <f>IFERROR(__xludf.DUMMYFUNCTION("""COMPUTED_VALUE"""),"")</f>
        <v/>
      </c>
    </row>
    <row r="814">
      <c r="A814" s="48" t="str">
        <f>IFERROR(__xludf.DUMMYFUNCTION("""COMPUTED_VALUE"""),"")</f>
        <v/>
      </c>
      <c r="B814" s="48"/>
      <c r="C814" s="49"/>
      <c r="D814" s="46"/>
      <c r="E814" s="46"/>
      <c r="F814" s="46"/>
      <c r="G814" s="46"/>
      <c r="H814" s="46"/>
      <c r="I814" s="50"/>
      <c r="J814" s="50"/>
      <c r="K814" s="51" t="str">
        <f>IFERROR(__xludf.DUMMYFUNCTION("""COMPUTED_VALUE"""),"")</f>
        <v/>
      </c>
      <c r="L814" s="46" t="str">
        <f>IFERROR(__xludf.DUMMYFUNCTION("""COMPUTED_VALUE"""),"")</f>
        <v/>
      </c>
      <c r="M814" s="46" t="str">
        <f>IFERROR(__xludf.DUMMYFUNCTION("""COMPUTED_VALUE"""),"")</f>
        <v/>
      </c>
      <c r="N814" s="46" t="str">
        <f>IFERROR(__xludf.DUMMYFUNCTION("""COMPUTED_VALUE"""),"")</f>
        <v/>
      </c>
      <c r="O814" s="48"/>
      <c r="P814" s="52" t="str">
        <f>IFERROR(__xludf.DUMMYFUNCTION("""COMPUTED_VALUE"""),"")</f>
        <v/>
      </c>
    </row>
    <row r="815">
      <c r="A815" s="48" t="str">
        <f>IFERROR(__xludf.DUMMYFUNCTION("""COMPUTED_VALUE"""),"")</f>
        <v/>
      </c>
      <c r="B815" s="48"/>
      <c r="C815" s="49"/>
      <c r="D815" s="46"/>
      <c r="E815" s="46"/>
      <c r="F815" s="46"/>
      <c r="G815" s="46"/>
      <c r="H815" s="46"/>
      <c r="I815" s="50"/>
      <c r="J815" s="50"/>
      <c r="K815" s="51" t="str">
        <f>IFERROR(__xludf.DUMMYFUNCTION("""COMPUTED_VALUE"""),"")</f>
        <v/>
      </c>
      <c r="L815" s="46" t="str">
        <f>IFERROR(__xludf.DUMMYFUNCTION("""COMPUTED_VALUE"""),"")</f>
        <v/>
      </c>
      <c r="M815" s="46" t="str">
        <f>IFERROR(__xludf.DUMMYFUNCTION("""COMPUTED_VALUE"""),"")</f>
        <v/>
      </c>
      <c r="N815" s="46" t="str">
        <f>IFERROR(__xludf.DUMMYFUNCTION("""COMPUTED_VALUE"""),"")</f>
        <v/>
      </c>
      <c r="O815" s="48"/>
      <c r="P815" s="52" t="str">
        <f>IFERROR(__xludf.DUMMYFUNCTION("""COMPUTED_VALUE"""),"")</f>
        <v/>
      </c>
    </row>
    <row r="816">
      <c r="A816" s="48" t="str">
        <f>IFERROR(__xludf.DUMMYFUNCTION("""COMPUTED_VALUE"""),"")</f>
        <v/>
      </c>
      <c r="B816" s="48"/>
      <c r="C816" s="49"/>
      <c r="D816" s="46"/>
      <c r="E816" s="46"/>
      <c r="F816" s="46"/>
      <c r="G816" s="46"/>
      <c r="H816" s="46"/>
      <c r="I816" s="50"/>
      <c r="J816" s="50"/>
      <c r="K816" s="51" t="str">
        <f>IFERROR(__xludf.DUMMYFUNCTION("""COMPUTED_VALUE"""),"")</f>
        <v/>
      </c>
      <c r="L816" s="46" t="str">
        <f>IFERROR(__xludf.DUMMYFUNCTION("""COMPUTED_VALUE"""),"")</f>
        <v/>
      </c>
      <c r="M816" s="46" t="str">
        <f>IFERROR(__xludf.DUMMYFUNCTION("""COMPUTED_VALUE"""),"")</f>
        <v/>
      </c>
      <c r="N816" s="46" t="str">
        <f>IFERROR(__xludf.DUMMYFUNCTION("""COMPUTED_VALUE"""),"")</f>
        <v/>
      </c>
      <c r="O816" s="48"/>
      <c r="P816" s="52" t="str">
        <f>IFERROR(__xludf.DUMMYFUNCTION("""COMPUTED_VALUE"""),"")</f>
        <v/>
      </c>
    </row>
    <row r="817">
      <c r="A817" s="48" t="str">
        <f>IFERROR(__xludf.DUMMYFUNCTION("""COMPUTED_VALUE"""),"")</f>
        <v/>
      </c>
      <c r="B817" s="48"/>
      <c r="C817" s="49"/>
      <c r="D817" s="46"/>
      <c r="E817" s="46"/>
      <c r="F817" s="46"/>
      <c r="G817" s="46"/>
      <c r="H817" s="46"/>
      <c r="I817" s="50"/>
      <c r="J817" s="50"/>
      <c r="K817" s="51" t="str">
        <f>IFERROR(__xludf.DUMMYFUNCTION("""COMPUTED_VALUE"""),"")</f>
        <v/>
      </c>
      <c r="L817" s="46" t="str">
        <f>IFERROR(__xludf.DUMMYFUNCTION("""COMPUTED_VALUE"""),"")</f>
        <v/>
      </c>
      <c r="M817" s="46" t="str">
        <f>IFERROR(__xludf.DUMMYFUNCTION("""COMPUTED_VALUE"""),"")</f>
        <v/>
      </c>
      <c r="N817" s="46" t="str">
        <f>IFERROR(__xludf.DUMMYFUNCTION("""COMPUTED_VALUE"""),"")</f>
        <v/>
      </c>
      <c r="O817" s="48"/>
      <c r="P817" s="52" t="str">
        <f>IFERROR(__xludf.DUMMYFUNCTION("""COMPUTED_VALUE"""),"")</f>
        <v/>
      </c>
    </row>
    <row r="818">
      <c r="A818" s="48" t="str">
        <f>IFERROR(__xludf.DUMMYFUNCTION("""COMPUTED_VALUE"""),"")</f>
        <v/>
      </c>
      <c r="B818" s="48"/>
      <c r="C818" s="49"/>
      <c r="D818" s="46"/>
      <c r="E818" s="46"/>
      <c r="F818" s="46"/>
      <c r="G818" s="46"/>
      <c r="H818" s="46"/>
      <c r="I818" s="50"/>
      <c r="J818" s="50"/>
      <c r="K818" s="51" t="str">
        <f>IFERROR(__xludf.DUMMYFUNCTION("""COMPUTED_VALUE"""),"")</f>
        <v/>
      </c>
      <c r="L818" s="46" t="str">
        <f>IFERROR(__xludf.DUMMYFUNCTION("""COMPUTED_VALUE"""),"")</f>
        <v/>
      </c>
      <c r="M818" s="46" t="str">
        <f>IFERROR(__xludf.DUMMYFUNCTION("""COMPUTED_VALUE"""),"")</f>
        <v/>
      </c>
      <c r="N818" s="46" t="str">
        <f>IFERROR(__xludf.DUMMYFUNCTION("""COMPUTED_VALUE"""),"")</f>
        <v/>
      </c>
      <c r="O818" s="48"/>
      <c r="P818" s="52" t="str">
        <f>IFERROR(__xludf.DUMMYFUNCTION("""COMPUTED_VALUE"""),"")</f>
        <v/>
      </c>
    </row>
    <row r="819">
      <c r="A819" s="48" t="str">
        <f>IFERROR(__xludf.DUMMYFUNCTION("""COMPUTED_VALUE"""),"")</f>
        <v/>
      </c>
      <c r="B819" s="48"/>
      <c r="C819" s="49"/>
      <c r="D819" s="46"/>
      <c r="E819" s="46"/>
      <c r="F819" s="46"/>
      <c r="G819" s="46"/>
      <c r="H819" s="46"/>
      <c r="I819" s="50"/>
      <c r="J819" s="50"/>
      <c r="K819" s="51" t="str">
        <f>IFERROR(__xludf.DUMMYFUNCTION("""COMPUTED_VALUE"""),"")</f>
        <v/>
      </c>
      <c r="L819" s="46" t="str">
        <f>IFERROR(__xludf.DUMMYFUNCTION("""COMPUTED_VALUE"""),"")</f>
        <v/>
      </c>
      <c r="M819" s="46" t="str">
        <f>IFERROR(__xludf.DUMMYFUNCTION("""COMPUTED_VALUE"""),"")</f>
        <v/>
      </c>
      <c r="N819" s="46" t="str">
        <f>IFERROR(__xludf.DUMMYFUNCTION("""COMPUTED_VALUE"""),"")</f>
        <v/>
      </c>
      <c r="O819" s="48"/>
      <c r="P819" s="52" t="str">
        <f>IFERROR(__xludf.DUMMYFUNCTION("""COMPUTED_VALUE"""),"")</f>
        <v/>
      </c>
    </row>
    <row r="820">
      <c r="A820" s="48" t="str">
        <f>IFERROR(__xludf.DUMMYFUNCTION("""COMPUTED_VALUE"""),"")</f>
        <v/>
      </c>
      <c r="B820" s="48"/>
      <c r="C820" s="49"/>
      <c r="D820" s="46"/>
      <c r="E820" s="46"/>
      <c r="F820" s="46"/>
      <c r="G820" s="46"/>
      <c r="H820" s="46"/>
      <c r="I820" s="50"/>
      <c r="J820" s="50"/>
      <c r="K820" s="51" t="str">
        <f>IFERROR(__xludf.DUMMYFUNCTION("""COMPUTED_VALUE"""),"")</f>
        <v/>
      </c>
      <c r="L820" s="46" t="str">
        <f>IFERROR(__xludf.DUMMYFUNCTION("""COMPUTED_VALUE"""),"")</f>
        <v/>
      </c>
      <c r="M820" s="46" t="str">
        <f>IFERROR(__xludf.DUMMYFUNCTION("""COMPUTED_VALUE"""),"")</f>
        <v/>
      </c>
      <c r="N820" s="46" t="str">
        <f>IFERROR(__xludf.DUMMYFUNCTION("""COMPUTED_VALUE"""),"")</f>
        <v/>
      </c>
      <c r="O820" s="48"/>
      <c r="P820" s="52" t="str">
        <f>IFERROR(__xludf.DUMMYFUNCTION("""COMPUTED_VALUE"""),"")</f>
        <v/>
      </c>
    </row>
    <row r="821">
      <c r="A821" s="48" t="str">
        <f>IFERROR(__xludf.DUMMYFUNCTION("""COMPUTED_VALUE"""),"")</f>
        <v/>
      </c>
      <c r="B821" s="48"/>
      <c r="C821" s="49"/>
      <c r="D821" s="46"/>
      <c r="E821" s="46"/>
      <c r="F821" s="46"/>
      <c r="G821" s="46"/>
      <c r="H821" s="46"/>
      <c r="I821" s="50"/>
      <c r="J821" s="50"/>
      <c r="K821" s="51" t="str">
        <f>IFERROR(__xludf.DUMMYFUNCTION("""COMPUTED_VALUE"""),"")</f>
        <v/>
      </c>
      <c r="L821" s="46" t="str">
        <f>IFERROR(__xludf.DUMMYFUNCTION("""COMPUTED_VALUE"""),"")</f>
        <v/>
      </c>
      <c r="M821" s="46" t="str">
        <f>IFERROR(__xludf.DUMMYFUNCTION("""COMPUTED_VALUE"""),"")</f>
        <v/>
      </c>
      <c r="N821" s="46" t="str">
        <f>IFERROR(__xludf.DUMMYFUNCTION("""COMPUTED_VALUE"""),"")</f>
        <v/>
      </c>
      <c r="O821" s="48"/>
      <c r="P821" s="52" t="str">
        <f>IFERROR(__xludf.DUMMYFUNCTION("""COMPUTED_VALUE"""),"")</f>
        <v/>
      </c>
    </row>
    <row r="822">
      <c r="A822" s="48" t="str">
        <f>IFERROR(__xludf.DUMMYFUNCTION("""COMPUTED_VALUE"""),"")</f>
        <v/>
      </c>
      <c r="B822" s="48"/>
      <c r="C822" s="49"/>
      <c r="D822" s="46"/>
      <c r="E822" s="46"/>
      <c r="F822" s="46"/>
      <c r="G822" s="46"/>
      <c r="H822" s="46"/>
      <c r="I822" s="50"/>
      <c r="J822" s="50"/>
      <c r="K822" s="51" t="str">
        <f>IFERROR(__xludf.DUMMYFUNCTION("""COMPUTED_VALUE"""),"")</f>
        <v/>
      </c>
      <c r="L822" s="46" t="str">
        <f>IFERROR(__xludf.DUMMYFUNCTION("""COMPUTED_VALUE"""),"")</f>
        <v/>
      </c>
      <c r="M822" s="46" t="str">
        <f>IFERROR(__xludf.DUMMYFUNCTION("""COMPUTED_VALUE"""),"")</f>
        <v/>
      </c>
      <c r="N822" s="46" t="str">
        <f>IFERROR(__xludf.DUMMYFUNCTION("""COMPUTED_VALUE"""),"")</f>
        <v/>
      </c>
      <c r="O822" s="48"/>
      <c r="P822" s="52" t="str">
        <f>IFERROR(__xludf.DUMMYFUNCTION("""COMPUTED_VALUE"""),"")</f>
        <v/>
      </c>
    </row>
    <row r="823">
      <c r="A823" s="48" t="str">
        <f>IFERROR(__xludf.DUMMYFUNCTION("""COMPUTED_VALUE"""),"")</f>
        <v/>
      </c>
      <c r="B823" s="48"/>
      <c r="C823" s="49"/>
      <c r="D823" s="46"/>
      <c r="E823" s="46"/>
      <c r="F823" s="46"/>
      <c r="G823" s="46"/>
      <c r="H823" s="46"/>
      <c r="I823" s="50"/>
      <c r="J823" s="50"/>
      <c r="K823" s="51" t="str">
        <f>IFERROR(__xludf.DUMMYFUNCTION("""COMPUTED_VALUE"""),"")</f>
        <v/>
      </c>
      <c r="L823" s="46" t="str">
        <f>IFERROR(__xludf.DUMMYFUNCTION("""COMPUTED_VALUE"""),"")</f>
        <v/>
      </c>
      <c r="M823" s="46" t="str">
        <f>IFERROR(__xludf.DUMMYFUNCTION("""COMPUTED_VALUE"""),"")</f>
        <v/>
      </c>
      <c r="N823" s="46" t="str">
        <f>IFERROR(__xludf.DUMMYFUNCTION("""COMPUTED_VALUE"""),"")</f>
        <v/>
      </c>
      <c r="O823" s="48"/>
      <c r="P823" s="52" t="str">
        <f>IFERROR(__xludf.DUMMYFUNCTION("""COMPUTED_VALUE"""),"")</f>
        <v/>
      </c>
    </row>
    <row r="824">
      <c r="A824" s="48" t="str">
        <f>IFERROR(__xludf.DUMMYFUNCTION("""COMPUTED_VALUE"""),"")</f>
        <v/>
      </c>
      <c r="B824" s="48"/>
      <c r="C824" s="49"/>
      <c r="D824" s="46"/>
      <c r="E824" s="46"/>
      <c r="F824" s="46"/>
      <c r="G824" s="46"/>
      <c r="H824" s="46"/>
      <c r="I824" s="50"/>
      <c r="J824" s="50"/>
      <c r="K824" s="51" t="str">
        <f>IFERROR(__xludf.DUMMYFUNCTION("""COMPUTED_VALUE"""),"")</f>
        <v/>
      </c>
      <c r="L824" s="46" t="str">
        <f>IFERROR(__xludf.DUMMYFUNCTION("""COMPUTED_VALUE"""),"")</f>
        <v/>
      </c>
      <c r="M824" s="46" t="str">
        <f>IFERROR(__xludf.DUMMYFUNCTION("""COMPUTED_VALUE"""),"")</f>
        <v/>
      </c>
      <c r="N824" s="46" t="str">
        <f>IFERROR(__xludf.DUMMYFUNCTION("""COMPUTED_VALUE"""),"")</f>
        <v/>
      </c>
      <c r="O824" s="48"/>
      <c r="P824" s="52" t="str">
        <f>IFERROR(__xludf.DUMMYFUNCTION("""COMPUTED_VALUE"""),"")</f>
        <v/>
      </c>
    </row>
    <row r="825">
      <c r="A825" s="48" t="str">
        <f>IFERROR(__xludf.DUMMYFUNCTION("""COMPUTED_VALUE"""),"")</f>
        <v/>
      </c>
      <c r="B825" s="48"/>
      <c r="C825" s="49"/>
      <c r="D825" s="46"/>
      <c r="E825" s="46"/>
      <c r="F825" s="46"/>
      <c r="G825" s="46"/>
      <c r="H825" s="46"/>
      <c r="I825" s="50"/>
      <c r="J825" s="50"/>
      <c r="K825" s="51" t="str">
        <f>IFERROR(__xludf.DUMMYFUNCTION("""COMPUTED_VALUE"""),"")</f>
        <v/>
      </c>
      <c r="L825" s="46" t="str">
        <f>IFERROR(__xludf.DUMMYFUNCTION("""COMPUTED_VALUE"""),"")</f>
        <v/>
      </c>
      <c r="M825" s="46" t="str">
        <f>IFERROR(__xludf.DUMMYFUNCTION("""COMPUTED_VALUE"""),"")</f>
        <v/>
      </c>
      <c r="N825" s="46" t="str">
        <f>IFERROR(__xludf.DUMMYFUNCTION("""COMPUTED_VALUE"""),"")</f>
        <v/>
      </c>
      <c r="O825" s="48"/>
      <c r="P825" s="52" t="str">
        <f>IFERROR(__xludf.DUMMYFUNCTION("""COMPUTED_VALUE"""),"")</f>
        <v/>
      </c>
    </row>
    <row r="826">
      <c r="A826" s="48" t="str">
        <f>IFERROR(__xludf.DUMMYFUNCTION("""COMPUTED_VALUE"""),"")</f>
        <v/>
      </c>
      <c r="B826" s="48"/>
      <c r="C826" s="49"/>
      <c r="D826" s="46"/>
      <c r="E826" s="46"/>
      <c r="F826" s="46"/>
      <c r="G826" s="46"/>
      <c r="H826" s="46"/>
      <c r="I826" s="50"/>
      <c r="J826" s="50"/>
      <c r="K826" s="51" t="str">
        <f>IFERROR(__xludf.DUMMYFUNCTION("""COMPUTED_VALUE"""),"")</f>
        <v/>
      </c>
      <c r="L826" s="46" t="str">
        <f>IFERROR(__xludf.DUMMYFUNCTION("""COMPUTED_VALUE"""),"")</f>
        <v/>
      </c>
      <c r="M826" s="46" t="str">
        <f>IFERROR(__xludf.DUMMYFUNCTION("""COMPUTED_VALUE"""),"")</f>
        <v/>
      </c>
      <c r="N826" s="46" t="str">
        <f>IFERROR(__xludf.DUMMYFUNCTION("""COMPUTED_VALUE"""),"")</f>
        <v/>
      </c>
      <c r="O826" s="48"/>
      <c r="P826" s="52" t="str">
        <f>IFERROR(__xludf.DUMMYFUNCTION("""COMPUTED_VALUE"""),"")</f>
        <v/>
      </c>
    </row>
    <row r="827">
      <c r="A827" s="48" t="str">
        <f>IFERROR(__xludf.DUMMYFUNCTION("""COMPUTED_VALUE"""),"")</f>
        <v/>
      </c>
      <c r="B827" s="48"/>
      <c r="C827" s="49"/>
      <c r="D827" s="46"/>
      <c r="E827" s="46"/>
      <c r="F827" s="46"/>
      <c r="G827" s="46"/>
      <c r="H827" s="46"/>
      <c r="I827" s="50"/>
      <c r="J827" s="50"/>
      <c r="K827" s="51" t="str">
        <f>IFERROR(__xludf.DUMMYFUNCTION("""COMPUTED_VALUE"""),"")</f>
        <v/>
      </c>
      <c r="L827" s="46" t="str">
        <f>IFERROR(__xludf.DUMMYFUNCTION("""COMPUTED_VALUE"""),"")</f>
        <v/>
      </c>
      <c r="M827" s="46" t="str">
        <f>IFERROR(__xludf.DUMMYFUNCTION("""COMPUTED_VALUE"""),"")</f>
        <v/>
      </c>
      <c r="N827" s="46" t="str">
        <f>IFERROR(__xludf.DUMMYFUNCTION("""COMPUTED_VALUE"""),"")</f>
        <v/>
      </c>
      <c r="O827" s="48"/>
      <c r="P827" s="52" t="str">
        <f>IFERROR(__xludf.DUMMYFUNCTION("""COMPUTED_VALUE"""),"")</f>
        <v/>
      </c>
    </row>
    <row r="828">
      <c r="A828" s="48" t="str">
        <f>IFERROR(__xludf.DUMMYFUNCTION("""COMPUTED_VALUE"""),"")</f>
        <v/>
      </c>
      <c r="B828" s="48"/>
      <c r="C828" s="49"/>
      <c r="D828" s="46"/>
      <c r="E828" s="46"/>
      <c r="F828" s="46"/>
      <c r="G828" s="46"/>
      <c r="H828" s="46"/>
      <c r="I828" s="50"/>
      <c r="J828" s="50"/>
      <c r="K828" s="51" t="str">
        <f>IFERROR(__xludf.DUMMYFUNCTION("""COMPUTED_VALUE"""),"")</f>
        <v/>
      </c>
      <c r="L828" s="46" t="str">
        <f>IFERROR(__xludf.DUMMYFUNCTION("""COMPUTED_VALUE"""),"")</f>
        <v/>
      </c>
      <c r="M828" s="46" t="str">
        <f>IFERROR(__xludf.DUMMYFUNCTION("""COMPUTED_VALUE"""),"")</f>
        <v/>
      </c>
      <c r="N828" s="46" t="str">
        <f>IFERROR(__xludf.DUMMYFUNCTION("""COMPUTED_VALUE"""),"")</f>
        <v/>
      </c>
      <c r="O828" s="48"/>
      <c r="P828" s="52" t="str">
        <f>IFERROR(__xludf.DUMMYFUNCTION("""COMPUTED_VALUE"""),"")</f>
        <v/>
      </c>
    </row>
    <row r="829">
      <c r="A829" s="48" t="str">
        <f>IFERROR(__xludf.DUMMYFUNCTION("""COMPUTED_VALUE"""),"")</f>
        <v/>
      </c>
      <c r="B829" s="48"/>
      <c r="C829" s="49"/>
      <c r="D829" s="46"/>
      <c r="E829" s="46"/>
      <c r="F829" s="46"/>
      <c r="G829" s="46"/>
      <c r="H829" s="46"/>
      <c r="I829" s="50"/>
      <c r="J829" s="50"/>
      <c r="K829" s="51" t="str">
        <f>IFERROR(__xludf.DUMMYFUNCTION("""COMPUTED_VALUE"""),"")</f>
        <v/>
      </c>
      <c r="L829" s="46" t="str">
        <f>IFERROR(__xludf.DUMMYFUNCTION("""COMPUTED_VALUE"""),"")</f>
        <v/>
      </c>
      <c r="M829" s="46" t="str">
        <f>IFERROR(__xludf.DUMMYFUNCTION("""COMPUTED_VALUE"""),"")</f>
        <v/>
      </c>
      <c r="N829" s="46" t="str">
        <f>IFERROR(__xludf.DUMMYFUNCTION("""COMPUTED_VALUE"""),"")</f>
        <v/>
      </c>
      <c r="O829" s="48"/>
      <c r="P829" s="52" t="str">
        <f>IFERROR(__xludf.DUMMYFUNCTION("""COMPUTED_VALUE"""),"")</f>
        <v/>
      </c>
    </row>
    <row r="830">
      <c r="A830" s="48" t="str">
        <f>IFERROR(__xludf.DUMMYFUNCTION("""COMPUTED_VALUE"""),"")</f>
        <v/>
      </c>
      <c r="B830" s="48"/>
      <c r="C830" s="49"/>
      <c r="D830" s="46"/>
      <c r="E830" s="46"/>
      <c r="F830" s="46"/>
      <c r="G830" s="46"/>
      <c r="H830" s="46"/>
      <c r="I830" s="50"/>
      <c r="J830" s="50"/>
      <c r="K830" s="51" t="str">
        <f>IFERROR(__xludf.DUMMYFUNCTION("""COMPUTED_VALUE"""),"")</f>
        <v/>
      </c>
      <c r="L830" s="46" t="str">
        <f>IFERROR(__xludf.DUMMYFUNCTION("""COMPUTED_VALUE"""),"")</f>
        <v/>
      </c>
      <c r="M830" s="46" t="str">
        <f>IFERROR(__xludf.DUMMYFUNCTION("""COMPUTED_VALUE"""),"")</f>
        <v/>
      </c>
      <c r="N830" s="46" t="str">
        <f>IFERROR(__xludf.DUMMYFUNCTION("""COMPUTED_VALUE"""),"")</f>
        <v/>
      </c>
      <c r="O830" s="48"/>
      <c r="P830" s="52" t="str">
        <f>IFERROR(__xludf.DUMMYFUNCTION("""COMPUTED_VALUE"""),"")</f>
        <v/>
      </c>
    </row>
    <row r="831">
      <c r="A831" s="48" t="str">
        <f>IFERROR(__xludf.DUMMYFUNCTION("""COMPUTED_VALUE"""),"")</f>
        <v/>
      </c>
      <c r="B831" s="48"/>
      <c r="C831" s="49"/>
      <c r="D831" s="46"/>
      <c r="E831" s="46"/>
      <c r="F831" s="46"/>
      <c r="G831" s="46"/>
      <c r="H831" s="46"/>
      <c r="I831" s="50"/>
      <c r="J831" s="50"/>
      <c r="K831" s="51" t="str">
        <f>IFERROR(__xludf.DUMMYFUNCTION("""COMPUTED_VALUE"""),"")</f>
        <v/>
      </c>
      <c r="L831" s="46" t="str">
        <f>IFERROR(__xludf.DUMMYFUNCTION("""COMPUTED_VALUE"""),"")</f>
        <v/>
      </c>
      <c r="M831" s="46" t="str">
        <f>IFERROR(__xludf.DUMMYFUNCTION("""COMPUTED_VALUE"""),"")</f>
        <v/>
      </c>
      <c r="N831" s="46" t="str">
        <f>IFERROR(__xludf.DUMMYFUNCTION("""COMPUTED_VALUE"""),"")</f>
        <v/>
      </c>
      <c r="O831" s="48"/>
      <c r="P831" s="52" t="str">
        <f>IFERROR(__xludf.DUMMYFUNCTION("""COMPUTED_VALUE"""),"")</f>
        <v/>
      </c>
    </row>
    <row r="832">
      <c r="A832" s="48" t="str">
        <f>IFERROR(__xludf.DUMMYFUNCTION("""COMPUTED_VALUE"""),"")</f>
        <v/>
      </c>
      <c r="B832" s="48"/>
      <c r="C832" s="49"/>
      <c r="D832" s="46"/>
      <c r="E832" s="46"/>
      <c r="F832" s="46"/>
      <c r="G832" s="46"/>
      <c r="H832" s="46"/>
      <c r="I832" s="50"/>
      <c r="J832" s="50"/>
      <c r="K832" s="51" t="str">
        <f>IFERROR(__xludf.DUMMYFUNCTION("""COMPUTED_VALUE"""),"")</f>
        <v/>
      </c>
      <c r="L832" s="46" t="str">
        <f>IFERROR(__xludf.DUMMYFUNCTION("""COMPUTED_VALUE"""),"")</f>
        <v/>
      </c>
      <c r="M832" s="46" t="str">
        <f>IFERROR(__xludf.DUMMYFUNCTION("""COMPUTED_VALUE"""),"")</f>
        <v/>
      </c>
      <c r="N832" s="46" t="str">
        <f>IFERROR(__xludf.DUMMYFUNCTION("""COMPUTED_VALUE"""),"")</f>
        <v/>
      </c>
      <c r="O832" s="48"/>
      <c r="P832" s="52" t="str">
        <f>IFERROR(__xludf.DUMMYFUNCTION("""COMPUTED_VALUE"""),"")</f>
        <v/>
      </c>
    </row>
    <row r="833">
      <c r="A833" s="48" t="str">
        <f>IFERROR(__xludf.DUMMYFUNCTION("""COMPUTED_VALUE"""),"")</f>
        <v/>
      </c>
      <c r="B833" s="48"/>
      <c r="C833" s="49"/>
      <c r="D833" s="46"/>
      <c r="E833" s="46"/>
      <c r="F833" s="46"/>
      <c r="G833" s="46"/>
      <c r="H833" s="46"/>
      <c r="I833" s="50"/>
      <c r="J833" s="50"/>
      <c r="K833" s="51" t="str">
        <f>IFERROR(__xludf.DUMMYFUNCTION("""COMPUTED_VALUE"""),"")</f>
        <v/>
      </c>
      <c r="L833" s="46" t="str">
        <f>IFERROR(__xludf.DUMMYFUNCTION("""COMPUTED_VALUE"""),"")</f>
        <v/>
      </c>
      <c r="M833" s="46" t="str">
        <f>IFERROR(__xludf.DUMMYFUNCTION("""COMPUTED_VALUE"""),"")</f>
        <v/>
      </c>
      <c r="N833" s="46" t="str">
        <f>IFERROR(__xludf.DUMMYFUNCTION("""COMPUTED_VALUE"""),"")</f>
        <v/>
      </c>
      <c r="O833" s="48"/>
      <c r="P833" s="52" t="str">
        <f>IFERROR(__xludf.DUMMYFUNCTION("""COMPUTED_VALUE"""),"")</f>
        <v/>
      </c>
    </row>
    <row r="834">
      <c r="A834" s="48" t="str">
        <f>IFERROR(__xludf.DUMMYFUNCTION("""COMPUTED_VALUE"""),"")</f>
        <v/>
      </c>
      <c r="B834" s="48"/>
      <c r="C834" s="49"/>
      <c r="D834" s="46"/>
      <c r="E834" s="46"/>
      <c r="F834" s="46"/>
      <c r="G834" s="46"/>
      <c r="H834" s="46"/>
      <c r="I834" s="50"/>
      <c r="J834" s="50"/>
      <c r="K834" s="51" t="str">
        <f>IFERROR(__xludf.DUMMYFUNCTION("""COMPUTED_VALUE"""),"")</f>
        <v/>
      </c>
      <c r="L834" s="46" t="str">
        <f>IFERROR(__xludf.DUMMYFUNCTION("""COMPUTED_VALUE"""),"")</f>
        <v/>
      </c>
      <c r="M834" s="46" t="str">
        <f>IFERROR(__xludf.DUMMYFUNCTION("""COMPUTED_VALUE"""),"")</f>
        <v/>
      </c>
      <c r="N834" s="46" t="str">
        <f>IFERROR(__xludf.DUMMYFUNCTION("""COMPUTED_VALUE"""),"")</f>
        <v/>
      </c>
      <c r="O834" s="48"/>
      <c r="P834" s="52" t="str">
        <f>IFERROR(__xludf.DUMMYFUNCTION("""COMPUTED_VALUE"""),"")</f>
        <v/>
      </c>
    </row>
    <row r="835">
      <c r="A835" s="48" t="str">
        <f>IFERROR(__xludf.DUMMYFUNCTION("""COMPUTED_VALUE"""),"")</f>
        <v/>
      </c>
      <c r="B835" s="48"/>
      <c r="C835" s="49"/>
      <c r="D835" s="46"/>
      <c r="E835" s="46"/>
      <c r="F835" s="46"/>
      <c r="G835" s="46"/>
      <c r="H835" s="46"/>
      <c r="I835" s="50"/>
      <c r="J835" s="50"/>
      <c r="K835" s="51" t="str">
        <f>IFERROR(__xludf.DUMMYFUNCTION("""COMPUTED_VALUE"""),"")</f>
        <v/>
      </c>
      <c r="L835" s="46" t="str">
        <f>IFERROR(__xludf.DUMMYFUNCTION("""COMPUTED_VALUE"""),"")</f>
        <v/>
      </c>
      <c r="M835" s="46" t="str">
        <f>IFERROR(__xludf.DUMMYFUNCTION("""COMPUTED_VALUE"""),"")</f>
        <v/>
      </c>
      <c r="N835" s="46" t="str">
        <f>IFERROR(__xludf.DUMMYFUNCTION("""COMPUTED_VALUE"""),"")</f>
        <v/>
      </c>
      <c r="O835" s="48"/>
      <c r="P835" s="52" t="str">
        <f>IFERROR(__xludf.DUMMYFUNCTION("""COMPUTED_VALUE"""),"")</f>
        <v/>
      </c>
    </row>
    <row r="836">
      <c r="A836" s="48" t="str">
        <f>IFERROR(__xludf.DUMMYFUNCTION("""COMPUTED_VALUE"""),"")</f>
        <v/>
      </c>
      <c r="B836" s="48"/>
      <c r="C836" s="49"/>
      <c r="D836" s="46"/>
      <c r="E836" s="46"/>
      <c r="F836" s="46"/>
      <c r="G836" s="46"/>
      <c r="H836" s="46"/>
      <c r="I836" s="50"/>
      <c r="J836" s="50"/>
      <c r="K836" s="51" t="str">
        <f>IFERROR(__xludf.DUMMYFUNCTION("""COMPUTED_VALUE"""),"")</f>
        <v/>
      </c>
      <c r="L836" s="46" t="str">
        <f>IFERROR(__xludf.DUMMYFUNCTION("""COMPUTED_VALUE"""),"")</f>
        <v/>
      </c>
      <c r="M836" s="46" t="str">
        <f>IFERROR(__xludf.DUMMYFUNCTION("""COMPUTED_VALUE"""),"")</f>
        <v/>
      </c>
      <c r="N836" s="46" t="str">
        <f>IFERROR(__xludf.DUMMYFUNCTION("""COMPUTED_VALUE"""),"")</f>
        <v/>
      </c>
      <c r="O836" s="48"/>
      <c r="P836" s="52" t="str">
        <f>IFERROR(__xludf.DUMMYFUNCTION("""COMPUTED_VALUE"""),"")</f>
        <v/>
      </c>
    </row>
    <row r="837">
      <c r="A837" s="48" t="str">
        <f>IFERROR(__xludf.DUMMYFUNCTION("""COMPUTED_VALUE"""),"")</f>
        <v/>
      </c>
      <c r="B837" s="48"/>
      <c r="C837" s="49"/>
      <c r="D837" s="46"/>
      <c r="E837" s="46"/>
      <c r="F837" s="46"/>
      <c r="G837" s="46"/>
      <c r="H837" s="46"/>
      <c r="I837" s="50"/>
      <c r="J837" s="50"/>
      <c r="K837" s="51" t="str">
        <f>IFERROR(__xludf.DUMMYFUNCTION("""COMPUTED_VALUE"""),"")</f>
        <v/>
      </c>
      <c r="L837" s="46" t="str">
        <f>IFERROR(__xludf.DUMMYFUNCTION("""COMPUTED_VALUE"""),"")</f>
        <v/>
      </c>
      <c r="M837" s="46" t="str">
        <f>IFERROR(__xludf.DUMMYFUNCTION("""COMPUTED_VALUE"""),"")</f>
        <v/>
      </c>
      <c r="N837" s="46" t="str">
        <f>IFERROR(__xludf.DUMMYFUNCTION("""COMPUTED_VALUE"""),"")</f>
        <v/>
      </c>
      <c r="O837" s="48"/>
      <c r="P837" s="52" t="str">
        <f>IFERROR(__xludf.DUMMYFUNCTION("""COMPUTED_VALUE"""),"")</f>
        <v/>
      </c>
    </row>
    <row r="838">
      <c r="A838" s="48" t="str">
        <f>IFERROR(__xludf.DUMMYFUNCTION("""COMPUTED_VALUE"""),"")</f>
        <v/>
      </c>
      <c r="B838" s="48"/>
      <c r="C838" s="49"/>
      <c r="D838" s="46"/>
      <c r="E838" s="46"/>
      <c r="F838" s="46"/>
      <c r="G838" s="46"/>
      <c r="H838" s="46"/>
      <c r="I838" s="50"/>
      <c r="J838" s="50"/>
      <c r="K838" s="51" t="str">
        <f>IFERROR(__xludf.DUMMYFUNCTION("""COMPUTED_VALUE"""),"")</f>
        <v/>
      </c>
      <c r="L838" s="46" t="str">
        <f>IFERROR(__xludf.DUMMYFUNCTION("""COMPUTED_VALUE"""),"")</f>
        <v/>
      </c>
      <c r="M838" s="46" t="str">
        <f>IFERROR(__xludf.DUMMYFUNCTION("""COMPUTED_VALUE"""),"")</f>
        <v/>
      </c>
      <c r="N838" s="46" t="str">
        <f>IFERROR(__xludf.DUMMYFUNCTION("""COMPUTED_VALUE"""),"")</f>
        <v/>
      </c>
      <c r="O838" s="48"/>
      <c r="P838" s="52" t="str">
        <f>IFERROR(__xludf.DUMMYFUNCTION("""COMPUTED_VALUE"""),"")</f>
        <v/>
      </c>
    </row>
    <row r="839">
      <c r="A839" s="48" t="str">
        <f>IFERROR(__xludf.DUMMYFUNCTION("""COMPUTED_VALUE"""),"")</f>
        <v/>
      </c>
      <c r="B839" s="48"/>
      <c r="C839" s="49"/>
      <c r="D839" s="46"/>
      <c r="E839" s="46"/>
      <c r="F839" s="46"/>
      <c r="G839" s="46"/>
      <c r="H839" s="46"/>
      <c r="I839" s="50"/>
      <c r="J839" s="50"/>
      <c r="K839" s="51" t="str">
        <f>IFERROR(__xludf.DUMMYFUNCTION("""COMPUTED_VALUE"""),"")</f>
        <v/>
      </c>
      <c r="L839" s="46" t="str">
        <f>IFERROR(__xludf.DUMMYFUNCTION("""COMPUTED_VALUE"""),"")</f>
        <v/>
      </c>
      <c r="M839" s="46" t="str">
        <f>IFERROR(__xludf.DUMMYFUNCTION("""COMPUTED_VALUE"""),"")</f>
        <v/>
      </c>
      <c r="N839" s="46" t="str">
        <f>IFERROR(__xludf.DUMMYFUNCTION("""COMPUTED_VALUE"""),"")</f>
        <v/>
      </c>
      <c r="O839" s="48"/>
      <c r="P839" s="52" t="str">
        <f>IFERROR(__xludf.DUMMYFUNCTION("""COMPUTED_VALUE"""),"")</f>
        <v/>
      </c>
    </row>
    <row r="840">
      <c r="A840" s="48" t="str">
        <f>IFERROR(__xludf.DUMMYFUNCTION("""COMPUTED_VALUE"""),"")</f>
        <v/>
      </c>
      <c r="B840" s="48"/>
      <c r="C840" s="49"/>
      <c r="D840" s="46"/>
      <c r="E840" s="46"/>
      <c r="F840" s="46"/>
      <c r="G840" s="46"/>
      <c r="H840" s="46"/>
      <c r="I840" s="50"/>
      <c r="J840" s="50"/>
      <c r="K840" s="51" t="str">
        <f>IFERROR(__xludf.DUMMYFUNCTION("""COMPUTED_VALUE"""),"")</f>
        <v/>
      </c>
      <c r="L840" s="46" t="str">
        <f>IFERROR(__xludf.DUMMYFUNCTION("""COMPUTED_VALUE"""),"")</f>
        <v/>
      </c>
      <c r="M840" s="46" t="str">
        <f>IFERROR(__xludf.DUMMYFUNCTION("""COMPUTED_VALUE"""),"")</f>
        <v/>
      </c>
      <c r="N840" s="46" t="str">
        <f>IFERROR(__xludf.DUMMYFUNCTION("""COMPUTED_VALUE"""),"")</f>
        <v/>
      </c>
      <c r="O840" s="48"/>
      <c r="P840" s="52" t="str">
        <f>IFERROR(__xludf.DUMMYFUNCTION("""COMPUTED_VALUE"""),"")</f>
        <v/>
      </c>
    </row>
    <row r="841">
      <c r="A841" s="48" t="str">
        <f>IFERROR(__xludf.DUMMYFUNCTION("""COMPUTED_VALUE"""),"")</f>
        <v/>
      </c>
      <c r="B841" s="48"/>
      <c r="C841" s="49"/>
      <c r="D841" s="46"/>
      <c r="E841" s="46"/>
      <c r="F841" s="46"/>
      <c r="G841" s="46"/>
      <c r="H841" s="46"/>
      <c r="I841" s="50"/>
      <c r="J841" s="50"/>
      <c r="K841" s="51" t="str">
        <f>IFERROR(__xludf.DUMMYFUNCTION("""COMPUTED_VALUE"""),"")</f>
        <v/>
      </c>
      <c r="L841" s="46" t="str">
        <f>IFERROR(__xludf.DUMMYFUNCTION("""COMPUTED_VALUE"""),"")</f>
        <v/>
      </c>
      <c r="M841" s="46" t="str">
        <f>IFERROR(__xludf.DUMMYFUNCTION("""COMPUTED_VALUE"""),"")</f>
        <v/>
      </c>
      <c r="N841" s="46" t="str">
        <f>IFERROR(__xludf.DUMMYFUNCTION("""COMPUTED_VALUE"""),"")</f>
        <v/>
      </c>
      <c r="O841" s="48"/>
      <c r="P841" s="52" t="str">
        <f>IFERROR(__xludf.DUMMYFUNCTION("""COMPUTED_VALUE"""),"")</f>
        <v/>
      </c>
    </row>
    <row r="842">
      <c r="A842" s="48" t="str">
        <f>IFERROR(__xludf.DUMMYFUNCTION("""COMPUTED_VALUE"""),"")</f>
        <v/>
      </c>
      <c r="B842" s="48"/>
      <c r="C842" s="49"/>
      <c r="D842" s="46"/>
      <c r="E842" s="46"/>
      <c r="F842" s="46"/>
      <c r="G842" s="46"/>
      <c r="H842" s="46"/>
      <c r="I842" s="50"/>
      <c r="J842" s="50"/>
      <c r="K842" s="51" t="str">
        <f>IFERROR(__xludf.DUMMYFUNCTION("""COMPUTED_VALUE"""),"")</f>
        <v/>
      </c>
      <c r="L842" s="46" t="str">
        <f>IFERROR(__xludf.DUMMYFUNCTION("""COMPUTED_VALUE"""),"")</f>
        <v/>
      </c>
      <c r="M842" s="46" t="str">
        <f>IFERROR(__xludf.DUMMYFUNCTION("""COMPUTED_VALUE"""),"")</f>
        <v/>
      </c>
      <c r="N842" s="46" t="str">
        <f>IFERROR(__xludf.DUMMYFUNCTION("""COMPUTED_VALUE"""),"")</f>
        <v/>
      </c>
      <c r="O842" s="48"/>
      <c r="P842" s="52" t="str">
        <f>IFERROR(__xludf.DUMMYFUNCTION("""COMPUTED_VALUE"""),"")</f>
        <v/>
      </c>
    </row>
    <row r="843">
      <c r="A843" s="48" t="str">
        <f>IFERROR(__xludf.DUMMYFUNCTION("""COMPUTED_VALUE"""),"")</f>
        <v/>
      </c>
      <c r="B843" s="48"/>
      <c r="C843" s="49"/>
      <c r="D843" s="46"/>
      <c r="E843" s="46"/>
      <c r="F843" s="46"/>
      <c r="G843" s="46"/>
      <c r="H843" s="46"/>
      <c r="I843" s="50"/>
      <c r="J843" s="50"/>
      <c r="K843" s="51" t="str">
        <f>IFERROR(__xludf.DUMMYFUNCTION("""COMPUTED_VALUE"""),"")</f>
        <v/>
      </c>
      <c r="L843" s="46" t="str">
        <f>IFERROR(__xludf.DUMMYFUNCTION("""COMPUTED_VALUE"""),"")</f>
        <v/>
      </c>
      <c r="M843" s="46" t="str">
        <f>IFERROR(__xludf.DUMMYFUNCTION("""COMPUTED_VALUE"""),"")</f>
        <v/>
      </c>
      <c r="N843" s="46" t="str">
        <f>IFERROR(__xludf.DUMMYFUNCTION("""COMPUTED_VALUE"""),"")</f>
        <v/>
      </c>
      <c r="O843" s="48"/>
      <c r="P843" s="52" t="str">
        <f>IFERROR(__xludf.DUMMYFUNCTION("""COMPUTED_VALUE"""),"")</f>
        <v/>
      </c>
    </row>
    <row r="844">
      <c r="A844" s="48" t="str">
        <f>IFERROR(__xludf.DUMMYFUNCTION("""COMPUTED_VALUE"""),"")</f>
        <v/>
      </c>
      <c r="B844" s="48"/>
      <c r="C844" s="49"/>
      <c r="D844" s="46"/>
      <c r="E844" s="46"/>
      <c r="F844" s="46"/>
      <c r="G844" s="46"/>
      <c r="H844" s="46"/>
      <c r="I844" s="50"/>
      <c r="J844" s="50"/>
      <c r="K844" s="51" t="str">
        <f>IFERROR(__xludf.DUMMYFUNCTION("""COMPUTED_VALUE"""),"")</f>
        <v/>
      </c>
      <c r="L844" s="46" t="str">
        <f>IFERROR(__xludf.DUMMYFUNCTION("""COMPUTED_VALUE"""),"")</f>
        <v/>
      </c>
      <c r="M844" s="46" t="str">
        <f>IFERROR(__xludf.DUMMYFUNCTION("""COMPUTED_VALUE"""),"")</f>
        <v/>
      </c>
      <c r="N844" s="46" t="str">
        <f>IFERROR(__xludf.DUMMYFUNCTION("""COMPUTED_VALUE"""),"")</f>
        <v/>
      </c>
      <c r="O844" s="48"/>
      <c r="P844" s="52" t="str">
        <f>IFERROR(__xludf.DUMMYFUNCTION("""COMPUTED_VALUE"""),"")</f>
        <v/>
      </c>
    </row>
    <row r="845">
      <c r="A845" s="48" t="str">
        <f>IFERROR(__xludf.DUMMYFUNCTION("""COMPUTED_VALUE"""),"")</f>
        <v/>
      </c>
      <c r="B845" s="48"/>
      <c r="C845" s="49"/>
      <c r="D845" s="46"/>
      <c r="E845" s="46"/>
      <c r="F845" s="46"/>
      <c r="G845" s="46"/>
      <c r="H845" s="46"/>
      <c r="I845" s="50"/>
      <c r="J845" s="50"/>
      <c r="K845" s="51" t="str">
        <f>IFERROR(__xludf.DUMMYFUNCTION("""COMPUTED_VALUE"""),"")</f>
        <v/>
      </c>
      <c r="L845" s="46" t="str">
        <f>IFERROR(__xludf.DUMMYFUNCTION("""COMPUTED_VALUE"""),"")</f>
        <v/>
      </c>
      <c r="M845" s="46" t="str">
        <f>IFERROR(__xludf.DUMMYFUNCTION("""COMPUTED_VALUE"""),"")</f>
        <v/>
      </c>
      <c r="N845" s="46" t="str">
        <f>IFERROR(__xludf.DUMMYFUNCTION("""COMPUTED_VALUE"""),"")</f>
        <v/>
      </c>
      <c r="O845" s="48"/>
      <c r="P845" s="52" t="str">
        <f>IFERROR(__xludf.DUMMYFUNCTION("""COMPUTED_VALUE"""),"")</f>
        <v/>
      </c>
    </row>
    <row r="846">
      <c r="A846" s="48" t="str">
        <f>IFERROR(__xludf.DUMMYFUNCTION("""COMPUTED_VALUE"""),"")</f>
        <v/>
      </c>
      <c r="B846" s="48"/>
      <c r="C846" s="49"/>
      <c r="D846" s="46"/>
      <c r="E846" s="46"/>
      <c r="F846" s="46"/>
      <c r="G846" s="46"/>
      <c r="H846" s="46"/>
      <c r="I846" s="50"/>
      <c r="J846" s="50"/>
      <c r="K846" s="51" t="str">
        <f>IFERROR(__xludf.DUMMYFUNCTION("""COMPUTED_VALUE"""),"")</f>
        <v/>
      </c>
      <c r="L846" s="46" t="str">
        <f>IFERROR(__xludf.DUMMYFUNCTION("""COMPUTED_VALUE"""),"")</f>
        <v/>
      </c>
      <c r="M846" s="46" t="str">
        <f>IFERROR(__xludf.DUMMYFUNCTION("""COMPUTED_VALUE"""),"")</f>
        <v/>
      </c>
      <c r="N846" s="46" t="str">
        <f>IFERROR(__xludf.DUMMYFUNCTION("""COMPUTED_VALUE"""),"")</f>
        <v/>
      </c>
      <c r="O846" s="48"/>
      <c r="P846" s="52" t="str">
        <f>IFERROR(__xludf.DUMMYFUNCTION("""COMPUTED_VALUE"""),"")</f>
        <v/>
      </c>
    </row>
    <row r="847">
      <c r="A847" s="48" t="str">
        <f>IFERROR(__xludf.DUMMYFUNCTION("""COMPUTED_VALUE"""),"")</f>
        <v/>
      </c>
      <c r="B847" s="48"/>
      <c r="C847" s="49"/>
      <c r="D847" s="46"/>
      <c r="E847" s="46"/>
      <c r="F847" s="46"/>
      <c r="G847" s="46"/>
      <c r="H847" s="46"/>
      <c r="I847" s="50"/>
      <c r="J847" s="50"/>
      <c r="K847" s="51" t="str">
        <f>IFERROR(__xludf.DUMMYFUNCTION("""COMPUTED_VALUE"""),"")</f>
        <v/>
      </c>
      <c r="L847" s="46" t="str">
        <f>IFERROR(__xludf.DUMMYFUNCTION("""COMPUTED_VALUE"""),"")</f>
        <v/>
      </c>
      <c r="M847" s="46" t="str">
        <f>IFERROR(__xludf.DUMMYFUNCTION("""COMPUTED_VALUE"""),"")</f>
        <v/>
      </c>
      <c r="N847" s="46" t="str">
        <f>IFERROR(__xludf.DUMMYFUNCTION("""COMPUTED_VALUE"""),"")</f>
        <v/>
      </c>
      <c r="O847" s="48"/>
      <c r="P847" s="52" t="str">
        <f>IFERROR(__xludf.DUMMYFUNCTION("""COMPUTED_VALUE"""),"")</f>
        <v/>
      </c>
    </row>
    <row r="848">
      <c r="A848" s="48" t="str">
        <f>IFERROR(__xludf.DUMMYFUNCTION("""COMPUTED_VALUE"""),"")</f>
        <v/>
      </c>
      <c r="B848" s="48"/>
      <c r="C848" s="49"/>
      <c r="D848" s="46"/>
      <c r="E848" s="46"/>
      <c r="F848" s="46"/>
      <c r="G848" s="46"/>
      <c r="H848" s="46"/>
      <c r="I848" s="50"/>
      <c r="J848" s="50"/>
      <c r="K848" s="51" t="str">
        <f>IFERROR(__xludf.DUMMYFUNCTION("""COMPUTED_VALUE"""),"")</f>
        <v/>
      </c>
      <c r="L848" s="46" t="str">
        <f>IFERROR(__xludf.DUMMYFUNCTION("""COMPUTED_VALUE"""),"")</f>
        <v/>
      </c>
      <c r="M848" s="46" t="str">
        <f>IFERROR(__xludf.DUMMYFUNCTION("""COMPUTED_VALUE"""),"")</f>
        <v/>
      </c>
      <c r="N848" s="46" t="str">
        <f>IFERROR(__xludf.DUMMYFUNCTION("""COMPUTED_VALUE"""),"")</f>
        <v/>
      </c>
      <c r="O848" s="48"/>
      <c r="P848" s="52" t="str">
        <f>IFERROR(__xludf.DUMMYFUNCTION("""COMPUTED_VALUE"""),"")</f>
        <v/>
      </c>
    </row>
    <row r="849">
      <c r="A849" s="48" t="str">
        <f>IFERROR(__xludf.DUMMYFUNCTION("""COMPUTED_VALUE"""),"")</f>
        <v/>
      </c>
      <c r="B849" s="48"/>
      <c r="C849" s="49"/>
      <c r="D849" s="46"/>
      <c r="E849" s="46"/>
      <c r="F849" s="46"/>
      <c r="G849" s="46"/>
      <c r="H849" s="46"/>
      <c r="I849" s="50"/>
      <c r="J849" s="50"/>
      <c r="K849" s="51" t="str">
        <f>IFERROR(__xludf.DUMMYFUNCTION("""COMPUTED_VALUE"""),"")</f>
        <v/>
      </c>
      <c r="L849" s="46" t="str">
        <f>IFERROR(__xludf.DUMMYFUNCTION("""COMPUTED_VALUE"""),"")</f>
        <v/>
      </c>
      <c r="M849" s="46" t="str">
        <f>IFERROR(__xludf.DUMMYFUNCTION("""COMPUTED_VALUE"""),"")</f>
        <v/>
      </c>
      <c r="N849" s="46" t="str">
        <f>IFERROR(__xludf.DUMMYFUNCTION("""COMPUTED_VALUE"""),"")</f>
        <v/>
      </c>
      <c r="O849" s="48"/>
      <c r="P849" s="52" t="str">
        <f>IFERROR(__xludf.DUMMYFUNCTION("""COMPUTED_VALUE"""),"")</f>
        <v/>
      </c>
    </row>
    <row r="850">
      <c r="A850" s="48" t="str">
        <f>IFERROR(__xludf.DUMMYFUNCTION("""COMPUTED_VALUE"""),"")</f>
        <v/>
      </c>
      <c r="B850" s="48"/>
      <c r="C850" s="49"/>
      <c r="D850" s="46"/>
      <c r="E850" s="46"/>
      <c r="F850" s="46"/>
      <c r="G850" s="46"/>
      <c r="H850" s="46"/>
      <c r="I850" s="50"/>
      <c r="J850" s="50"/>
      <c r="K850" s="51" t="str">
        <f>IFERROR(__xludf.DUMMYFUNCTION("""COMPUTED_VALUE"""),"")</f>
        <v/>
      </c>
      <c r="L850" s="46" t="str">
        <f>IFERROR(__xludf.DUMMYFUNCTION("""COMPUTED_VALUE"""),"")</f>
        <v/>
      </c>
      <c r="M850" s="46" t="str">
        <f>IFERROR(__xludf.DUMMYFUNCTION("""COMPUTED_VALUE"""),"")</f>
        <v/>
      </c>
      <c r="N850" s="46" t="str">
        <f>IFERROR(__xludf.DUMMYFUNCTION("""COMPUTED_VALUE"""),"")</f>
        <v/>
      </c>
      <c r="O850" s="48"/>
      <c r="P850" s="52" t="str">
        <f>IFERROR(__xludf.DUMMYFUNCTION("""COMPUTED_VALUE"""),"")</f>
        <v/>
      </c>
    </row>
    <row r="851">
      <c r="A851" s="48" t="str">
        <f>IFERROR(__xludf.DUMMYFUNCTION("""COMPUTED_VALUE"""),"")</f>
        <v/>
      </c>
      <c r="B851" s="48"/>
      <c r="C851" s="49"/>
      <c r="D851" s="46"/>
      <c r="E851" s="46"/>
      <c r="F851" s="46"/>
      <c r="G851" s="46"/>
      <c r="H851" s="46"/>
      <c r="I851" s="50"/>
      <c r="J851" s="50"/>
      <c r="K851" s="51" t="str">
        <f>IFERROR(__xludf.DUMMYFUNCTION("""COMPUTED_VALUE"""),"")</f>
        <v/>
      </c>
      <c r="L851" s="46" t="str">
        <f>IFERROR(__xludf.DUMMYFUNCTION("""COMPUTED_VALUE"""),"")</f>
        <v/>
      </c>
      <c r="M851" s="46" t="str">
        <f>IFERROR(__xludf.DUMMYFUNCTION("""COMPUTED_VALUE"""),"")</f>
        <v/>
      </c>
      <c r="N851" s="46" t="str">
        <f>IFERROR(__xludf.DUMMYFUNCTION("""COMPUTED_VALUE"""),"")</f>
        <v/>
      </c>
      <c r="O851" s="48"/>
      <c r="P851" s="52" t="str">
        <f>IFERROR(__xludf.DUMMYFUNCTION("""COMPUTED_VALUE"""),"")</f>
        <v/>
      </c>
    </row>
    <row r="852">
      <c r="A852" s="48" t="str">
        <f>IFERROR(__xludf.DUMMYFUNCTION("""COMPUTED_VALUE"""),"")</f>
        <v/>
      </c>
      <c r="B852" s="48"/>
      <c r="C852" s="49"/>
      <c r="D852" s="46"/>
      <c r="E852" s="46"/>
      <c r="F852" s="46"/>
      <c r="G852" s="46"/>
      <c r="H852" s="46"/>
      <c r="I852" s="50"/>
      <c r="J852" s="50"/>
      <c r="K852" s="51" t="str">
        <f>IFERROR(__xludf.DUMMYFUNCTION("""COMPUTED_VALUE"""),"")</f>
        <v/>
      </c>
      <c r="L852" s="46" t="str">
        <f>IFERROR(__xludf.DUMMYFUNCTION("""COMPUTED_VALUE"""),"")</f>
        <v/>
      </c>
      <c r="M852" s="46" t="str">
        <f>IFERROR(__xludf.DUMMYFUNCTION("""COMPUTED_VALUE"""),"")</f>
        <v/>
      </c>
      <c r="N852" s="46" t="str">
        <f>IFERROR(__xludf.DUMMYFUNCTION("""COMPUTED_VALUE"""),"")</f>
        <v/>
      </c>
      <c r="O852" s="48"/>
      <c r="P852" s="52" t="str">
        <f>IFERROR(__xludf.DUMMYFUNCTION("""COMPUTED_VALUE"""),"")</f>
        <v/>
      </c>
    </row>
    <row r="853">
      <c r="A853" s="48" t="str">
        <f>IFERROR(__xludf.DUMMYFUNCTION("""COMPUTED_VALUE"""),"")</f>
        <v/>
      </c>
      <c r="B853" s="48"/>
      <c r="C853" s="49"/>
      <c r="D853" s="46"/>
      <c r="E853" s="46"/>
      <c r="F853" s="46"/>
      <c r="G853" s="46"/>
      <c r="H853" s="46"/>
      <c r="I853" s="50"/>
      <c r="J853" s="50"/>
      <c r="K853" s="51" t="str">
        <f>IFERROR(__xludf.DUMMYFUNCTION("""COMPUTED_VALUE"""),"")</f>
        <v/>
      </c>
      <c r="L853" s="46" t="str">
        <f>IFERROR(__xludf.DUMMYFUNCTION("""COMPUTED_VALUE"""),"")</f>
        <v/>
      </c>
      <c r="M853" s="46" t="str">
        <f>IFERROR(__xludf.DUMMYFUNCTION("""COMPUTED_VALUE"""),"")</f>
        <v/>
      </c>
      <c r="N853" s="46" t="str">
        <f>IFERROR(__xludf.DUMMYFUNCTION("""COMPUTED_VALUE"""),"")</f>
        <v/>
      </c>
      <c r="O853" s="48"/>
      <c r="P853" s="52" t="str">
        <f>IFERROR(__xludf.DUMMYFUNCTION("""COMPUTED_VALUE"""),"")</f>
        <v/>
      </c>
    </row>
    <row r="854">
      <c r="A854" s="48" t="str">
        <f>IFERROR(__xludf.DUMMYFUNCTION("""COMPUTED_VALUE"""),"")</f>
        <v/>
      </c>
      <c r="B854" s="48"/>
      <c r="C854" s="49"/>
      <c r="D854" s="46"/>
      <c r="E854" s="46"/>
      <c r="F854" s="46"/>
      <c r="G854" s="46"/>
      <c r="H854" s="46"/>
      <c r="I854" s="50"/>
      <c r="J854" s="50"/>
      <c r="K854" s="51" t="str">
        <f>IFERROR(__xludf.DUMMYFUNCTION("""COMPUTED_VALUE"""),"")</f>
        <v/>
      </c>
      <c r="L854" s="46" t="str">
        <f>IFERROR(__xludf.DUMMYFUNCTION("""COMPUTED_VALUE"""),"")</f>
        <v/>
      </c>
      <c r="M854" s="46" t="str">
        <f>IFERROR(__xludf.DUMMYFUNCTION("""COMPUTED_VALUE"""),"")</f>
        <v/>
      </c>
      <c r="N854" s="46" t="str">
        <f>IFERROR(__xludf.DUMMYFUNCTION("""COMPUTED_VALUE"""),"")</f>
        <v/>
      </c>
      <c r="O854" s="48"/>
      <c r="P854" s="52" t="str">
        <f>IFERROR(__xludf.DUMMYFUNCTION("""COMPUTED_VALUE"""),"")</f>
        <v/>
      </c>
    </row>
    <row r="855">
      <c r="A855" s="48" t="str">
        <f>IFERROR(__xludf.DUMMYFUNCTION("""COMPUTED_VALUE"""),"")</f>
        <v/>
      </c>
      <c r="B855" s="48"/>
      <c r="C855" s="49"/>
      <c r="D855" s="46"/>
      <c r="E855" s="46"/>
      <c r="F855" s="46"/>
      <c r="G855" s="46"/>
      <c r="H855" s="46"/>
      <c r="I855" s="50"/>
      <c r="J855" s="50"/>
      <c r="K855" s="51" t="str">
        <f>IFERROR(__xludf.DUMMYFUNCTION("""COMPUTED_VALUE"""),"")</f>
        <v/>
      </c>
      <c r="L855" s="46" t="str">
        <f>IFERROR(__xludf.DUMMYFUNCTION("""COMPUTED_VALUE"""),"")</f>
        <v/>
      </c>
      <c r="M855" s="46" t="str">
        <f>IFERROR(__xludf.DUMMYFUNCTION("""COMPUTED_VALUE"""),"")</f>
        <v/>
      </c>
      <c r="N855" s="46" t="str">
        <f>IFERROR(__xludf.DUMMYFUNCTION("""COMPUTED_VALUE"""),"")</f>
        <v/>
      </c>
      <c r="O855" s="48"/>
      <c r="P855" s="52" t="str">
        <f>IFERROR(__xludf.DUMMYFUNCTION("""COMPUTED_VALUE"""),"")</f>
        <v/>
      </c>
    </row>
    <row r="856">
      <c r="A856" s="48" t="str">
        <f>IFERROR(__xludf.DUMMYFUNCTION("""COMPUTED_VALUE"""),"")</f>
        <v/>
      </c>
      <c r="B856" s="48"/>
      <c r="C856" s="49"/>
      <c r="D856" s="46"/>
      <c r="E856" s="46"/>
      <c r="F856" s="46"/>
      <c r="G856" s="46"/>
      <c r="H856" s="46"/>
      <c r="I856" s="50"/>
      <c r="J856" s="50"/>
      <c r="K856" s="51" t="str">
        <f>IFERROR(__xludf.DUMMYFUNCTION("""COMPUTED_VALUE"""),"")</f>
        <v/>
      </c>
      <c r="L856" s="46" t="str">
        <f>IFERROR(__xludf.DUMMYFUNCTION("""COMPUTED_VALUE"""),"")</f>
        <v/>
      </c>
      <c r="M856" s="46" t="str">
        <f>IFERROR(__xludf.DUMMYFUNCTION("""COMPUTED_VALUE"""),"")</f>
        <v/>
      </c>
      <c r="N856" s="46" t="str">
        <f>IFERROR(__xludf.DUMMYFUNCTION("""COMPUTED_VALUE"""),"")</f>
        <v/>
      </c>
      <c r="O856" s="48"/>
      <c r="P856" s="52" t="str">
        <f>IFERROR(__xludf.DUMMYFUNCTION("""COMPUTED_VALUE"""),"")</f>
        <v/>
      </c>
    </row>
    <row r="857">
      <c r="A857" s="48" t="str">
        <f>IFERROR(__xludf.DUMMYFUNCTION("""COMPUTED_VALUE"""),"")</f>
        <v/>
      </c>
      <c r="B857" s="48"/>
      <c r="C857" s="49"/>
      <c r="D857" s="46"/>
      <c r="E857" s="46"/>
      <c r="F857" s="46"/>
      <c r="G857" s="46"/>
      <c r="H857" s="46"/>
      <c r="I857" s="50"/>
      <c r="J857" s="50"/>
      <c r="K857" s="51" t="str">
        <f>IFERROR(__xludf.DUMMYFUNCTION("""COMPUTED_VALUE"""),"")</f>
        <v/>
      </c>
      <c r="L857" s="46" t="str">
        <f>IFERROR(__xludf.DUMMYFUNCTION("""COMPUTED_VALUE"""),"")</f>
        <v/>
      </c>
      <c r="M857" s="46" t="str">
        <f>IFERROR(__xludf.DUMMYFUNCTION("""COMPUTED_VALUE"""),"")</f>
        <v/>
      </c>
      <c r="N857" s="46" t="str">
        <f>IFERROR(__xludf.DUMMYFUNCTION("""COMPUTED_VALUE"""),"")</f>
        <v/>
      </c>
      <c r="O857" s="48"/>
      <c r="P857" s="52" t="str">
        <f>IFERROR(__xludf.DUMMYFUNCTION("""COMPUTED_VALUE"""),"")</f>
        <v/>
      </c>
    </row>
    <row r="858">
      <c r="A858" s="48" t="str">
        <f>IFERROR(__xludf.DUMMYFUNCTION("""COMPUTED_VALUE"""),"")</f>
        <v/>
      </c>
      <c r="B858" s="48"/>
      <c r="C858" s="49"/>
      <c r="D858" s="46"/>
      <c r="E858" s="46"/>
      <c r="F858" s="46"/>
      <c r="G858" s="46"/>
      <c r="H858" s="46"/>
      <c r="I858" s="50"/>
      <c r="J858" s="50"/>
      <c r="K858" s="51" t="str">
        <f>IFERROR(__xludf.DUMMYFUNCTION("""COMPUTED_VALUE"""),"")</f>
        <v/>
      </c>
      <c r="L858" s="46" t="str">
        <f>IFERROR(__xludf.DUMMYFUNCTION("""COMPUTED_VALUE"""),"")</f>
        <v/>
      </c>
      <c r="M858" s="46" t="str">
        <f>IFERROR(__xludf.DUMMYFUNCTION("""COMPUTED_VALUE"""),"")</f>
        <v/>
      </c>
      <c r="N858" s="46" t="str">
        <f>IFERROR(__xludf.DUMMYFUNCTION("""COMPUTED_VALUE"""),"")</f>
        <v/>
      </c>
      <c r="O858" s="48"/>
      <c r="P858" s="52" t="str">
        <f>IFERROR(__xludf.DUMMYFUNCTION("""COMPUTED_VALUE"""),"")</f>
        <v/>
      </c>
    </row>
    <row r="859">
      <c r="A859" s="48" t="str">
        <f>IFERROR(__xludf.DUMMYFUNCTION("""COMPUTED_VALUE"""),"")</f>
        <v/>
      </c>
      <c r="B859" s="48"/>
      <c r="C859" s="49"/>
      <c r="D859" s="46"/>
      <c r="E859" s="46"/>
      <c r="F859" s="46"/>
      <c r="G859" s="46"/>
      <c r="H859" s="46"/>
      <c r="I859" s="50"/>
      <c r="J859" s="50"/>
      <c r="K859" s="51" t="str">
        <f>IFERROR(__xludf.DUMMYFUNCTION("""COMPUTED_VALUE"""),"")</f>
        <v/>
      </c>
      <c r="L859" s="46" t="str">
        <f>IFERROR(__xludf.DUMMYFUNCTION("""COMPUTED_VALUE"""),"")</f>
        <v/>
      </c>
      <c r="M859" s="46" t="str">
        <f>IFERROR(__xludf.DUMMYFUNCTION("""COMPUTED_VALUE"""),"")</f>
        <v/>
      </c>
      <c r="N859" s="46" t="str">
        <f>IFERROR(__xludf.DUMMYFUNCTION("""COMPUTED_VALUE"""),"")</f>
        <v/>
      </c>
      <c r="O859" s="48"/>
      <c r="P859" s="52" t="str">
        <f>IFERROR(__xludf.DUMMYFUNCTION("""COMPUTED_VALUE"""),"")</f>
        <v/>
      </c>
    </row>
    <row r="860">
      <c r="A860" s="48" t="str">
        <f>IFERROR(__xludf.DUMMYFUNCTION("""COMPUTED_VALUE"""),"")</f>
        <v/>
      </c>
      <c r="B860" s="48"/>
      <c r="C860" s="49"/>
      <c r="D860" s="46"/>
      <c r="E860" s="46"/>
      <c r="F860" s="46"/>
      <c r="G860" s="46"/>
      <c r="H860" s="46"/>
      <c r="I860" s="50"/>
      <c r="J860" s="50"/>
      <c r="K860" s="51" t="str">
        <f>IFERROR(__xludf.DUMMYFUNCTION("""COMPUTED_VALUE"""),"")</f>
        <v/>
      </c>
      <c r="L860" s="46" t="str">
        <f>IFERROR(__xludf.DUMMYFUNCTION("""COMPUTED_VALUE"""),"")</f>
        <v/>
      </c>
      <c r="M860" s="46" t="str">
        <f>IFERROR(__xludf.DUMMYFUNCTION("""COMPUTED_VALUE"""),"")</f>
        <v/>
      </c>
      <c r="N860" s="46" t="str">
        <f>IFERROR(__xludf.DUMMYFUNCTION("""COMPUTED_VALUE"""),"")</f>
        <v/>
      </c>
      <c r="O860" s="48"/>
      <c r="P860" s="52" t="str">
        <f>IFERROR(__xludf.DUMMYFUNCTION("""COMPUTED_VALUE"""),"")</f>
        <v/>
      </c>
    </row>
    <row r="861">
      <c r="A861" s="48" t="str">
        <f>IFERROR(__xludf.DUMMYFUNCTION("""COMPUTED_VALUE"""),"")</f>
        <v/>
      </c>
      <c r="B861" s="48"/>
      <c r="C861" s="49"/>
      <c r="D861" s="46"/>
      <c r="E861" s="46"/>
      <c r="F861" s="46"/>
      <c r="G861" s="46"/>
      <c r="H861" s="46"/>
      <c r="I861" s="50"/>
      <c r="J861" s="50"/>
      <c r="K861" s="51" t="str">
        <f>IFERROR(__xludf.DUMMYFUNCTION("""COMPUTED_VALUE"""),"")</f>
        <v/>
      </c>
      <c r="L861" s="46" t="str">
        <f>IFERROR(__xludf.DUMMYFUNCTION("""COMPUTED_VALUE"""),"")</f>
        <v/>
      </c>
      <c r="M861" s="46" t="str">
        <f>IFERROR(__xludf.DUMMYFUNCTION("""COMPUTED_VALUE"""),"")</f>
        <v/>
      </c>
      <c r="N861" s="46" t="str">
        <f>IFERROR(__xludf.DUMMYFUNCTION("""COMPUTED_VALUE"""),"")</f>
        <v/>
      </c>
      <c r="O861" s="48"/>
      <c r="P861" s="52" t="str">
        <f>IFERROR(__xludf.DUMMYFUNCTION("""COMPUTED_VALUE"""),"")</f>
        <v/>
      </c>
    </row>
    <row r="862">
      <c r="A862" s="48" t="str">
        <f>IFERROR(__xludf.DUMMYFUNCTION("""COMPUTED_VALUE"""),"")</f>
        <v/>
      </c>
      <c r="B862" s="48"/>
      <c r="C862" s="49"/>
      <c r="D862" s="46"/>
      <c r="E862" s="46"/>
      <c r="F862" s="46"/>
      <c r="G862" s="46"/>
      <c r="H862" s="46"/>
      <c r="I862" s="50"/>
      <c r="J862" s="50"/>
      <c r="K862" s="51" t="str">
        <f>IFERROR(__xludf.DUMMYFUNCTION("""COMPUTED_VALUE"""),"")</f>
        <v/>
      </c>
      <c r="L862" s="46" t="str">
        <f>IFERROR(__xludf.DUMMYFUNCTION("""COMPUTED_VALUE"""),"")</f>
        <v/>
      </c>
      <c r="M862" s="46" t="str">
        <f>IFERROR(__xludf.DUMMYFUNCTION("""COMPUTED_VALUE"""),"")</f>
        <v/>
      </c>
      <c r="N862" s="46" t="str">
        <f>IFERROR(__xludf.DUMMYFUNCTION("""COMPUTED_VALUE"""),"")</f>
        <v/>
      </c>
      <c r="O862" s="48"/>
      <c r="P862" s="52" t="str">
        <f>IFERROR(__xludf.DUMMYFUNCTION("""COMPUTED_VALUE"""),"")</f>
        <v/>
      </c>
    </row>
    <row r="863">
      <c r="A863" s="48" t="str">
        <f>IFERROR(__xludf.DUMMYFUNCTION("""COMPUTED_VALUE"""),"")</f>
        <v/>
      </c>
      <c r="B863" s="48"/>
      <c r="C863" s="49"/>
      <c r="D863" s="46"/>
      <c r="E863" s="46"/>
      <c r="F863" s="46"/>
      <c r="G863" s="46"/>
      <c r="H863" s="46"/>
      <c r="I863" s="50"/>
      <c r="J863" s="50"/>
      <c r="K863" s="51" t="str">
        <f>IFERROR(__xludf.DUMMYFUNCTION("""COMPUTED_VALUE"""),"")</f>
        <v/>
      </c>
      <c r="L863" s="46" t="str">
        <f>IFERROR(__xludf.DUMMYFUNCTION("""COMPUTED_VALUE"""),"")</f>
        <v/>
      </c>
      <c r="M863" s="46" t="str">
        <f>IFERROR(__xludf.DUMMYFUNCTION("""COMPUTED_VALUE"""),"")</f>
        <v/>
      </c>
      <c r="N863" s="46" t="str">
        <f>IFERROR(__xludf.DUMMYFUNCTION("""COMPUTED_VALUE"""),"")</f>
        <v/>
      </c>
      <c r="O863" s="48"/>
      <c r="P863" s="52" t="str">
        <f>IFERROR(__xludf.DUMMYFUNCTION("""COMPUTED_VALUE"""),"")</f>
        <v/>
      </c>
    </row>
    <row r="864">
      <c r="A864" s="48" t="str">
        <f>IFERROR(__xludf.DUMMYFUNCTION("""COMPUTED_VALUE"""),"")</f>
        <v/>
      </c>
      <c r="B864" s="48"/>
      <c r="C864" s="49"/>
      <c r="D864" s="46"/>
      <c r="E864" s="46"/>
      <c r="F864" s="46"/>
      <c r="G864" s="46"/>
      <c r="H864" s="46"/>
      <c r="I864" s="50"/>
      <c r="J864" s="50"/>
      <c r="K864" s="51" t="str">
        <f>IFERROR(__xludf.DUMMYFUNCTION("""COMPUTED_VALUE"""),"")</f>
        <v/>
      </c>
      <c r="L864" s="46" t="str">
        <f>IFERROR(__xludf.DUMMYFUNCTION("""COMPUTED_VALUE"""),"")</f>
        <v/>
      </c>
      <c r="M864" s="46" t="str">
        <f>IFERROR(__xludf.DUMMYFUNCTION("""COMPUTED_VALUE"""),"")</f>
        <v/>
      </c>
      <c r="N864" s="46" t="str">
        <f>IFERROR(__xludf.DUMMYFUNCTION("""COMPUTED_VALUE"""),"")</f>
        <v/>
      </c>
      <c r="O864" s="48"/>
      <c r="P864" s="52" t="str">
        <f>IFERROR(__xludf.DUMMYFUNCTION("""COMPUTED_VALUE"""),"")</f>
        <v/>
      </c>
    </row>
    <row r="865">
      <c r="A865" s="48" t="str">
        <f>IFERROR(__xludf.DUMMYFUNCTION("""COMPUTED_VALUE"""),"")</f>
        <v/>
      </c>
      <c r="B865" s="48"/>
      <c r="C865" s="49"/>
      <c r="D865" s="46"/>
      <c r="E865" s="46"/>
      <c r="F865" s="46"/>
      <c r="G865" s="46"/>
      <c r="H865" s="46"/>
      <c r="I865" s="50"/>
      <c r="J865" s="50"/>
      <c r="K865" s="51" t="str">
        <f>IFERROR(__xludf.DUMMYFUNCTION("""COMPUTED_VALUE"""),"")</f>
        <v/>
      </c>
      <c r="L865" s="46" t="str">
        <f>IFERROR(__xludf.DUMMYFUNCTION("""COMPUTED_VALUE"""),"")</f>
        <v/>
      </c>
      <c r="M865" s="46" t="str">
        <f>IFERROR(__xludf.DUMMYFUNCTION("""COMPUTED_VALUE"""),"")</f>
        <v/>
      </c>
      <c r="N865" s="46" t="str">
        <f>IFERROR(__xludf.DUMMYFUNCTION("""COMPUTED_VALUE"""),"")</f>
        <v/>
      </c>
      <c r="O865" s="48"/>
      <c r="P865" s="52" t="str">
        <f>IFERROR(__xludf.DUMMYFUNCTION("""COMPUTED_VALUE"""),"")</f>
        <v/>
      </c>
    </row>
    <row r="866">
      <c r="A866" s="48" t="str">
        <f>IFERROR(__xludf.DUMMYFUNCTION("""COMPUTED_VALUE"""),"")</f>
        <v/>
      </c>
      <c r="B866" s="48"/>
      <c r="C866" s="49"/>
      <c r="D866" s="46"/>
      <c r="E866" s="46"/>
      <c r="F866" s="46"/>
      <c r="G866" s="46"/>
      <c r="H866" s="46"/>
      <c r="I866" s="50"/>
      <c r="J866" s="50"/>
      <c r="K866" s="51" t="str">
        <f>IFERROR(__xludf.DUMMYFUNCTION("""COMPUTED_VALUE"""),"")</f>
        <v/>
      </c>
      <c r="L866" s="46" t="str">
        <f>IFERROR(__xludf.DUMMYFUNCTION("""COMPUTED_VALUE"""),"")</f>
        <v/>
      </c>
      <c r="M866" s="46" t="str">
        <f>IFERROR(__xludf.DUMMYFUNCTION("""COMPUTED_VALUE"""),"")</f>
        <v/>
      </c>
      <c r="N866" s="46" t="str">
        <f>IFERROR(__xludf.DUMMYFUNCTION("""COMPUTED_VALUE"""),"")</f>
        <v/>
      </c>
      <c r="O866" s="48"/>
      <c r="P866" s="52" t="str">
        <f>IFERROR(__xludf.DUMMYFUNCTION("""COMPUTED_VALUE"""),"")</f>
        <v/>
      </c>
    </row>
    <row r="867">
      <c r="A867" s="48" t="str">
        <f>IFERROR(__xludf.DUMMYFUNCTION("""COMPUTED_VALUE"""),"")</f>
        <v/>
      </c>
      <c r="B867" s="48"/>
      <c r="C867" s="49"/>
      <c r="D867" s="46"/>
      <c r="E867" s="46"/>
      <c r="F867" s="46"/>
      <c r="G867" s="46"/>
      <c r="H867" s="46"/>
      <c r="I867" s="50"/>
      <c r="J867" s="50"/>
      <c r="K867" s="51" t="str">
        <f>IFERROR(__xludf.DUMMYFUNCTION("""COMPUTED_VALUE"""),"")</f>
        <v/>
      </c>
      <c r="L867" s="46" t="str">
        <f>IFERROR(__xludf.DUMMYFUNCTION("""COMPUTED_VALUE"""),"")</f>
        <v/>
      </c>
      <c r="M867" s="46" t="str">
        <f>IFERROR(__xludf.DUMMYFUNCTION("""COMPUTED_VALUE"""),"")</f>
        <v/>
      </c>
      <c r="N867" s="46" t="str">
        <f>IFERROR(__xludf.DUMMYFUNCTION("""COMPUTED_VALUE"""),"")</f>
        <v/>
      </c>
      <c r="O867" s="48"/>
      <c r="P867" s="52" t="str">
        <f>IFERROR(__xludf.DUMMYFUNCTION("""COMPUTED_VALUE"""),"")</f>
        <v/>
      </c>
    </row>
    <row r="868">
      <c r="A868" s="48" t="str">
        <f>IFERROR(__xludf.DUMMYFUNCTION("""COMPUTED_VALUE"""),"")</f>
        <v/>
      </c>
      <c r="B868" s="48"/>
      <c r="C868" s="49"/>
      <c r="D868" s="46"/>
      <c r="E868" s="46"/>
      <c r="F868" s="46"/>
      <c r="G868" s="46"/>
      <c r="H868" s="46"/>
      <c r="I868" s="50"/>
      <c r="J868" s="50"/>
      <c r="K868" s="51" t="str">
        <f>IFERROR(__xludf.DUMMYFUNCTION("""COMPUTED_VALUE"""),"")</f>
        <v/>
      </c>
      <c r="L868" s="46" t="str">
        <f>IFERROR(__xludf.DUMMYFUNCTION("""COMPUTED_VALUE"""),"")</f>
        <v/>
      </c>
      <c r="M868" s="46" t="str">
        <f>IFERROR(__xludf.DUMMYFUNCTION("""COMPUTED_VALUE"""),"")</f>
        <v/>
      </c>
      <c r="N868" s="46" t="str">
        <f>IFERROR(__xludf.DUMMYFUNCTION("""COMPUTED_VALUE"""),"")</f>
        <v/>
      </c>
      <c r="O868" s="48"/>
      <c r="P868" s="52" t="str">
        <f>IFERROR(__xludf.DUMMYFUNCTION("""COMPUTED_VALUE"""),"")</f>
        <v/>
      </c>
    </row>
    <row r="869">
      <c r="A869" s="48" t="str">
        <f>IFERROR(__xludf.DUMMYFUNCTION("""COMPUTED_VALUE"""),"")</f>
        <v/>
      </c>
      <c r="B869" s="48"/>
      <c r="C869" s="49"/>
      <c r="D869" s="46"/>
      <c r="E869" s="46"/>
      <c r="F869" s="46"/>
      <c r="G869" s="46"/>
      <c r="H869" s="46"/>
      <c r="I869" s="50"/>
      <c r="J869" s="50"/>
      <c r="K869" s="51" t="str">
        <f>IFERROR(__xludf.DUMMYFUNCTION("""COMPUTED_VALUE"""),"")</f>
        <v/>
      </c>
      <c r="L869" s="46" t="str">
        <f>IFERROR(__xludf.DUMMYFUNCTION("""COMPUTED_VALUE"""),"")</f>
        <v/>
      </c>
      <c r="M869" s="46" t="str">
        <f>IFERROR(__xludf.DUMMYFUNCTION("""COMPUTED_VALUE"""),"")</f>
        <v/>
      </c>
      <c r="N869" s="46" t="str">
        <f>IFERROR(__xludf.DUMMYFUNCTION("""COMPUTED_VALUE"""),"")</f>
        <v/>
      </c>
      <c r="O869" s="48"/>
      <c r="P869" s="52" t="str">
        <f>IFERROR(__xludf.DUMMYFUNCTION("""COMPUTED_VALUE"""),"")</f>
        <v/>
      </c>
    </row>
    <row r="870">
      <c r="A870" s="48" t="str">
        <f>IFERROR(__xludf.DUMMYFUNCTION("""COMPUTED_VALUE"""),"")</f>
        <v/>
      </c>
      <c r="B870" s="48"/>
      <c r="C870" s="49"/>
      <c r="D870" s="46"/>
      <c r="E870" s="46"/>
      <c r="F870" s="46"/>
      <c r="G870" s="46"/>
      <c r="H870" s="46"/>
      <c r="I870" s="50"/>
      <c r="J870" s="50"/>
      <c r="K870" s="51" t="str">
        <f>IFERROR(__xludf.DUMMYFUNCTION("""COMPUTED_VALUE"""),"")</f>
        <v/>
      </c>
      <c r="L870" s="46" t="str">
        <f>IFERROR(__xludf.DUMMYFUNCTION("""COMPUTED_VALUE"""),"")</f>
        <v/>
      </c>
      <c r="M870" s="46" t="str">
        <f>IFERROR(__xludf.DUMMYFUNCTION("""COMPUTED_VALUE"""),"")</f>
        <v/>
      </c>
      <c r="N870" s="46" t="str">
        <f>IFERROR(__xludf.DUMMYFUNCTION("""COMPUTED_VALUE"""),"")</f>
        <v/>
      </c>
      <c r="O870" s="48"/>
      <c r="P870" s="52" t="str">
        <f>IFERROR(__xludf.DUMMYFUNCTION("""COMPUTED_VALUE"""),"")</f>
        <v/>
      </c>
    </row>
    <row r="871">
      <c r="A871" s="48" t="str">
        <f>IFERROR(__xludf.DUMMYFUNCTION("""COMPUTED_VALUE"""),"")</f>
        <v/>
      </c>
      <c r="B871" s="48"/>
      <c r="C871" s="49"/>
      <c r="D871" s="46"/>
      <c r="E871" s="46"/>
      <c r="F871" s="46"/>
      <c r="G871" s="46"/>
      <c r="H871" s="46"/>
      <c r="I871" s="50"/>
      <c r="J871" s="50"/>
      <c r="K871" s="51" t="str">
        <f>IFERROR(__xludf.DUMMYFUNCTION("""COMPUTED_VALUE"""),"")</f>
        <v/>
      </c>
      <c r="L871" s="46" t="str">
        <f>IFERROR(__xludf.DUMMYFUNCTION("""COMPUTED_VALUE"""),"")</f>
        <v/>
      </c>
      <c r="M871" s="46" t="str">
        <f>IFERROR(__xludf.DUMMYFUNCTION("""COMPUTED_VALUE"""),"")</f>
        <v/>
      </c>
      <c r="N871" s="46" t="str">
        <f>IFERROR(__xludf.DUMMYFUNCTION("""COMPUTED_VALUE"""),"")</f>
        <v/>
      </c>
      <c r="O871" s="48"/>
      <c r="P871" s="52" t="str">
        <f>IFERROR(__xludf.DUMMYFUNCTION("""COMPUTED_VALUE"""),"")</f>
        <v/>
      </c>
    </row>
    <row r="872">
      <c r="A872" s="48" t="str">
        <f>IFERROR(__xludf.DUMMYFUNCTION("""COMPUTED_VALUE"""),"")</f>
        <v/>
      </c>
      <c r="B872" s="48"/>
      <c r="C872" s="49"/>
      <c r="D872" s="46"/>
      <c r="E872" s="46"/>
      <c r="F872" s="46"/>
      <c r="G872" s="46"/>
      <c r="H872" s="46"/>
      <c r="I872" s="50"/>
      <c r="J872" s="50"/>
      <c r="K872" s="51" t="str">
        <f>IFERROR(__xludf.DUMMYFUNCTION("""COMPUTED_VALUE"""),"")</f>
        <v/>
      </c>
      <c r="L872" s="46" t="str">
        <f>IFERROR(__xludf.DUMMYFUNCTION("""COMPUTED_VALUE"""),"")</f>
        <v/>
      </c>
      <c r="M872" s="46" t="str">
        <f>IFERROR(__xludf.DUMMYFUNCTION("""COMPUTED_VALUE"""),"")</f>
        <v/>
      </c>
      <c r="N872" s="46" t="str">
        <f>IFERROR(__xludf.DUMMYFUNCTION("""COMPUTED_VALUE"""),"")</f>
        <v/>
      </c>
      <c r="O872" s="48"/>
      <c r="P872" s="52" t="str">
        <f>IFERROR(__xludf.DUMMYFUNCTION("""COMPUTED_VALUE"""),"")</f>
        <v/>
      </c>
    </row>
    <row r="873">
      <c r="A873" s="48" t="str">
        <f>IFERROR(__xludf.DUMMYFUNCTION("""COMPUTED_VALUE"""),"")</f>
        <v/>
      </c>
      <c r="B873" s="48"/>
      <c r="C873" s="49"/>
      <c r="D873" s="46"/>
      <c r="E873" s="46"/>
      <c r="F873" s="46"/>
      <c r="G873" s="46"/>
      <c r="H873" s="46"/>
      <c r="I873" s="50"/>
      <c r="J873" s="50"/>
      <c r="K873" s="51" t="str">
        <f>IFERROR(__xludf.DUMMYFUNCTION("""COMPUTED_VALUE"""),"")</f>
        <v/>
      </c>
      <c r="L873" s="46" t="str">
        <f>IFERROR(__xludf.DUMMYFUNCTION("""COMPUTED_VALUE"""),"")</f>
        <v/>
      </c>
      <c r="M873" s="46" t="str">
        <f>IFERROR(__xludf.DUMMYFUNCTION("""COMPUTED_VALUE"""),"")</f>
        <v/>
      </c>
      <c r="N873" s="46" t="str">
        <f>IFERROR(__xludf.DUMMYFUNCTION("""COMPUTED_VALUE"""),"")</f>
        <v/>
      </c>
      <c r="O873" s="48"/>
      <c r="P873" s="52" t="str">
        <f>IFERROR(__xludf.DUMMYFUNCTION("""COMPUTED_VALUE"""),"")</f>
        <v/>
      </c>
    </row>
    <row r="874">
      <c r="A874" s="48" t="str">
        <f>IFERROR(__xludf.DUMMYFUNCTION("""COMPUTED_VALUE"""),"")</f>
        <v/>
      </c>
      <c r="B874" s="48"/>
      <c r="C874" s="49"/>
      <c r="D874" s="46"/>
      <c r="E874" s="46"/>
      <c r="F874" s="46"/>
      <c r="G874" s="46"/>
      <c r="H874" s="46"/>
      <c r="I874" s="50"/>
      <c r="J874" s="50"/>
      <c r="K874" s="51" t="str">
        <f>IFERROR(__xludf.DUMMYFUNCTION("""COMPUTED_VALUE"""),"")</f>
        <v/>
      </c>
      <c r="L874" s="46" t="str">
        <f>IFERROR(__xludf.DUMMYFUNCTION("""COMPUTED_VALUE"""),"")</f>
        <v/>
      </c>
      <c r="M874" s="46" t="str">
        <f>IFERROR(__xludf.DUMMYFUNCTION("""COMPUTED_VALUE"""),"")</f>
        <v/>
      </c>
      <c r="N874" s="46" t="str">
        <f>IFERROR(__xludf.DUMMYFUNCTION("""COMPUTED_VALUE"""),"")</f>
        <v/>
      </c>
      <c r="O874" s="48"/>
      <c r="P874" s="52" t="str">
        <f>IFERROR(__xludf.DUMMYFUNCTION("""COMPUTED_VALUE"""),"")</f>
        <v/>
      </c>
    </row>
    <row r="875">
      <c r="A875" s="48" t="str">
        <f>IFERROR(__xludf.DUMMYFUNCTION("""COMPUTED_VALUE"""),"")</f>
        <v/>
      </c>
      <c r="B875" s="48"/>
      <c r="C875" s="49"/>
      <c r="D875" s="46"/>
      <c r="E875" s="46"/>
      <c r="F875" s="46"/>
      <c r="G875" s="46"/>
      <c r="H875" s="46"/>
      <c r="I875" s="50"/>
      <c r="J875" s="50"/>
      <c r="K875" s="51" t="str">
        <f>IFERROR(__xludf.DUMMYFUNCTION("""COMPUTED_VALUE"""),"")</f>
        <v/>
      </c>
      <c r="L875" s="46" t="str">
        <f>IFERROR(__xludf.DUMMYFUNCTION("""COMPUTED_VALUE"""),"")</f>
        <v/>
      </c>
      <c r="M875" s="46" t="str">
        <f>IFERROR(__xludf.DUMMYFUNCTION("""COMPUTED_VALUE"""),"")</f>
        <v/>
      </c>
      <c r="N875" s="46" t="str">
        <f>IFERROR(__xludf.DUMMYFUNCTION("""COMPUTED_VALUE"""),"")</f>
        <v/>
      </c>
      <c r="O875" s="48"/>
      <c r="P875" s="52" t="str">
        <f>IFERROR(__xludf.DUMMYFUNCTION("""COMPUTED_VALUE"""),"")</f>
        <v/>
      </c>
    </row>
    <row r="876">
      <c r="A876" s="48" t="str">
        <f>IFERROR(__xludf.DUMMYFUNCTION("""COMPUTED_VALUE"""),"")</f>
        <v/>
      </c>
      <c r="B876" s="48"/>
      <c r="C876" s="49"/>
      <c r="D876" s="46"/>
      <c r="E876" s="46"/>
      <c r="F876" s="46"/>
      <c r="G876" s="46"/>
      <c r="H876" s="46"/>
      <c r="I876" s="50"/>
      <c r="J876" s="50"/>
      <c r="K876" s="51" t="str">
        <f>IFERROR(__xludf.DUMMYFUNCTION("""COMPUTED_VALUE"""),"")</f>
        <v/>
      </c>
      <c r="L876" s="46" t="str">
        <f>IFERROR(__xludf.DUMMYFUNCTION("""COMPUTED_VALUE"""),"")</f>
        <v/>
      </c>
      <c r="M876" s="46" t="str">
        <f>IFERROR(__xludf.DUMMYFUNCTION("""COMPUTED_VALUE"""),"")</f>
        <v/>
      </c>
      <c r="N876" s="46" t="str">
        <f>IFERROR(__xludf.DUMMYFUNCTION("""COMPUTED_VALUE"""),"")</f>
        <v/>
      </c>
      <c r="O876" s="48"/>
      <c r="P876" s="52" t="str">
        <f>IFERROR(__xludf.DUMMYFUNCTION("""COMPUTED_VALUE"""),"")</f>
        <v/>
      </c>
    </row>
    <row r="877">
      <c r="A877" s="48" t="str">
        <f>IFERROR(__xludf.DUMMYFUNCTION("""COMPUTED_VALUE"""),"")</f>
        <v/>
      </c>
      <c r="B877" s="48"/>
      <c r="C877" s="49"/>
      <c r="D877" s="46"/>
      <c r="E877" s="46"/>
      <c r="F877" s="46"/>
      <c r="G877" s="46"/>
      <c r="H877" s="46"/>
      <c r="I877" s="50"/>
      <c r="J877" s="50"/>
      <c r="K877" s="51" t="str">
        <f>IFERROR(__xludf.DUMMYFUNCTION("""COMPUTED_VALUE"""),"")</f>
        <v/>
      </c>
      <c r="L877" s="46" t="str">
        <f>IFERROR(__xludf.DUMMYFUNCTION("""COMPUTED_VALUE"""),"")</f>
        <v/>
      </c>
      <c r="M877" s="46" t="str">
        <f>IFERROR(__xludf.DUMMYFUNCTION("""COMPUTED_VALUE"""),"")</f>
        <v/>
      </c>
      <c r="N877" s="46" t="str">
        <f>IFERROR(__xludf.DUMMYFUNCTION("""COMPUTED_VALUE"""),"")</f>
        <v/>
      </c>
      <c r="O877" s="48"/>
      <c r="P877" s="52" t="str">
        <f>IFERROR(__xludf.DUMMYFUNCTION("""COMPUTED_VALUE"""),"")</f>
        <v/>
      </c>
    </row>
    <row r="878">
      <c r="A878" s="48" t="str">
        <f>IFERROR(__xludf.DUMMYFUNCTION("""COMPUTED_VALUE"""),"")</f>
        <v/>
      </c>
      <c r="B878" s="48"/>
      <c r="C878" s="49"/>
      <c r="D878" s="46"/>
      <c r="E878" s="46"/>
      <c r="F878" s="46"/>
      <c r="G878" s="46"/>
      <c r="H878" s="46"/>
      <c r="I878" s="50"/>
      <c r="J878" s="50"/>
      <c r="K878" s="51" t="str">
        <f>IFERROR(__xludf.DUMMYFUNCTION("""COMPUTED_VALUE"""),"")</f>
        <v/>
      </c>
      <c r="L878" s="46" t="str">
        <f>IFERROR(__xludf.DUMMYFUNCTION("""COMPUTED_VALUE"""),"")</f>
        <v/>
      </c>
      <c r="M878" s="46" t="str">
        <f>IFERROR(__xludf.DUMMYFUNCTION("""COMPUTED_VALUE"""),"")</f>
        <v/>
      </c>
      <c r="N878" s="46" t="str">
        <f>IFERROR(__xludf.DUMMYFUNCTION("""COMPUTED_VALUE"""),"")</f>
        <v/>
      </c>
      <c r="O878" s="48"/>
      <c r="P878" s="52" t="str">
        <f>IFERROR(__xludf.DUMMYFUNCTION("""COMPUTED_VALUE"""),"")</f>
        <v/>
      </c>
    </row>
    <row r="879">
      <c r="A879" s="48" t="str">
        <f>IFERROR(__xludf.DUMMYFUNCTION("""COMPUTED_VALUE"""),"")</f>
        <v/>
      </c>
      <c r="B879" s="48"/>
      <c r="C879" s="49"/>
      <c r="D879" s="46"/>
      <c r="E879" s="46"/>
      <c r="F879" s="46"/>
      <c r="G879" s="46"/>
      <c r="H879" s="46"/>
      <c r="I879" s="50"/>
      <c r="J879" s="50"/>
      <c r="K879" s="51" t="str">
        <f>IFERROR(__xludf.DUMMYFUNCTION("""COMPUTED_VALUE"""),"")</f>
        <v/>
      </c>
      <c r="L879" s="46" t="str">
        <f>IFERROR(__xludf.DUMMYFUNCTION("""COMPUTED_VALUE"""),"")</f>
        <v/>
      </c>
      <c r="M879" s="46" t="str">
        <f>IFERROR(__xludf.DUMMYFUNCTION("""COMPUTED_VALUE"""),"")</f>
        <v/>
      </c>
      <c r="N879" s="46" t="str">
        <f>IFERROR(__xludf.DUMMYFUNCTION("""COMPUTED_VALUE"""),"")</f>
        <v/>
      </c>
      <c r="O879" s="48"/>
      <c r="P879" s="52" t="str">
        <f>IFERROR(__xludf.DUMMYFUNCTION("""COMPUTED_VALUE"""),"")</f>
        <v/>
      </c>
    </row>
    <row r="880">
      <c r="A880" s="48" t="str">
        <f>IFERROR(__xludf.DUMMYFUNCTION("""COMPUTED_VALUE"""),"")</f>
        <v/>
      </c>
      <c r="B880" s="48"/>
      <c r="C880" s="49"/>
      <c r="D880" s="46"/>
      <c r="E880" s="46"/>
      <c r="F880" s="46"/>
      <c r="G880" s="46"/>
      <c r="H880" s="46"/>
      <c r="I880" s="50"/>
      <c r="J880" s="50"/>
      <c r="K880" s="51" t="str">
        <f>IFERROR(__xludf.DUMMYFUNCTION("""COMPUTED_VALUE"""),"")</f>
        <v/>
      </c>
      <c r="L880" s="46" t="str">
        <f>IFERROR(__xludf.DUMMYFUNCTION("""COMPUTED_VALUE"""),"")</f>
        <v/>
      </c>
      <c r="M880" s="46" t="str">
        <f>IFERROR(__xludf.DUMMYFUNCTION("""COMPUTED_VALUE"""),"")</f>
        <v/>
      </c>
      <c r="N880" s="46" t="str">
        <f>IFERROR(__xludf.DUMMYFUNCTION("""COMPUTED_VALUE"""),"")</f>
        <v/>
      </c>
      <c r="O880" s="48"/>
      <c r="P880" s="52" t="str">
        <f>IFERROR(__xludf.DUMMYFUNCTION("""COMPUTED_VALUE"""),"")</f>
        <v/>
      </c>
    </row>
    <row r="881">
      <c r="A881" s="48" t="str">
        <f>IFERROR(__xludf.DUMMYFUNCTION("""COMPUTED_VALUE"""),"")</f>
        <v/>
      </c>
      <c r="B881" s="48"/>
      <c r="C881" s="49"/>
      <c r="D881" s="46"/>
      <c r="E881" s="46"/>
      <c r="F881" s="46"/>
      <c r="G881" s="46"/>
      <c r="H881" s="46"/>
      <c r="I881" s="50"/>
      <c r="J881" s="50"/>
      <c r="K881" s="51" t="str">
        <f>IFERROR(__xludf.DUMMYFUNCTION("""COMPUTED_VALUE"""),"")</f>
        <v/>
      </c>
      <c r="L881" s="46" t="str">
        <f>IFERROR(__xludf.DUMMYFUNCTION("""COMPUTED_VALUE"""),"")</f>
        <v/>
      </c>
      <c r="M881" s="46" t="str">
        <f>IFERROR(__xludf.DUMMYFUNCTION("""COMPUTED_VALUE"""),"")</f>
        <v/>
      </c>
      <c r="N881" s="46" t="str">
        <f>IFERROR(__xludf.DUMMYFUNCTION("""COMPUTED_VALUE"""),"")</f>
        <v/>
      </c>
      <c r="O881" s="48"/>
      <c r="P881" s="52" t="str">
        <f>IFERROR(__xludf.DUMMYFUNCTION("""COMPUTED_VALUE"""),"")</f>
        <v/>
      </c>
    </row>
    <row r="882">
      <c r="A882" s="48" t="str">
        <f>IFERROR(__xludf.DUMMYFUNCTION("""COMPUTED_VALUE"""),"")</f>
        <v/>
      </c>
      <c r="B882" s="48"/>
      <c r="C882" s="49"/>
      <c r="D882" s="46"/>
      <c r="E882" s="46"/>
      <c r="F882" s="46"/>
      <c r="G882" s="46"/>
      <c r="H882" s="46"/>
      <c r="I882" s="50"/>
      <c r="J882" s="50"/>
      <c r="K882" s="51" t="str">
        <f>IFERROR(__xludf.DUMMYFUNCTION("""COMPUTED_VALUE"""),"")</f>
        <v/>
      </c>
      <c r="L882" s="46" t="str">
        <f>IFERROR(__xludf.DUMMYFUNCTION("""COMPUTED_VALUE"""),"")</f>
        <v/>
      </c>
      <c r="M882" s="46" t="str">
        <f>IFERROR(__xludf.DUMMYFUNCTION("""COMPUTED_VALUE"""),"")</f>
        <v/>
      </c>
      <c r="N882" s="46" t="str">
        <f>IFERROR(__xludf.DUMMYFUNCTION("""COMPUTED_VALUE"""),"")</f>
        <v/>
      </c>
      <c r="O882" s="48"/>
      <c r="P882" s="52" t="str">
        <f>IFERROR(__xludf.DUMMYFUNCTION("""COMPUTED_VALUE"""),"")</f>
        <v/>
      </c>
    </row>
    <row r="883">
      <c r="A883" s="48" t="str">
        <f>IFERROR(__xludf.DUMMYFUNCTION("""COMPUTED_VALUE"""),"")</f>
        <v/>
      </c>
      <c r="B883" s="48"/>
      <c r="C883" s="49"/>
      <c r="D883" s="46"/>
      <c r="E883" s="46"/>
      <c r="F883" s="46"/>
      <c r="G883" s="46"/>
      <c r="H883" s="46"/>
      <c r="I883" s="50"/>
      <c r="J883" s="50"/>
      <c r="K883" s="51" t="str">
        <f>IFERROR(__xludf.DUMMYFUNCTION("""COMPUTED_VALUE"""),"")</f>
        <v/>
      </c>
      <c r="L883" s="46" t="str">
        <f>IFERROR(__xludf.DUMMYFUNCTION("""COMPUTED_VALUE"""),"")</f>
        <v/>
      </c>
      <c r="M883" s="46" t="str">
        <f>IFERROR(__xludf.DUMMYFUNCTION("""COMPUTED_VALUE"""),"")</f>
        <v/>
      </c>
      <c r="N883" s="46" t="str">
        <f>IFERROR(__xludf.DUMMYFUNCTION("""COMPUTED_VALUE"""),"")</f>
        <v/>
      </c>
      <c r="O883" s="48"/>
      <c r="P883" s="52" t="str">
        <f>IFERROR(__xludf.DUMMYFUNCTION("""COMPUTED_VALUE"""),"")</f>
        <v/>
      </c>
    </row>
    <row r="884">
      <c r="A884" s="48" t="str">
        <f>IFERROR(__xludf.DUMMYFUNCTION("""COMPUTED_VALUE"""),"")</f>
        <v/>
      </c>
      <c r="B884" s="48"/>
      <c r="C884" s="49"/>
      <c r="D884" s="46"/>
      <c r="E884" s="46"/>
      <c r="F884" s="46"/>
      <c r="G884" s="46"/>
      <c r="H884" s="46"/>
      <c r="I884" s="50"/>
      <c r="J884" s="50"/>
      <c r="K884" s="51" t="str">
        <f>IFERROR(__xludf.DUMMYFUNCTION("""COMPUTED_VALUE"""),"")</f>
        <v/>
      </c>
      <c r="L884" s="46" t="str">
        <f>IFERROR(__xludf.DUMMYFUNCTION("""COMPUTED_VALUE"""),"")</f>
        <v/>
      </c>
      <c r="M884" s="46" t="str">
        <f>IFERROR(__xludf.DUMMYFUNCTION("""COMPUTED_VALUE"""),"")</f>
        <v/>
      </c>
      <c r="N884" s="46" t="str">
        <f>IFERROR(__xludf.DUMMYFUNCTION("""COMPUTED_VALUE"""),"")</f>
        <v/>
      </c>
      <c r="O884" s="48"/>
      <c r="P884" s="52" t="str">
        <f>IFERROR(__xludf.DUMMYFUNCTION("""COMPUTED_VALUE"""),"")</f>
        <v/>
      </c>
    </row>
    <row r="885">
      <c r="A885" s="48" t="str">
        <f>IFERROR(__xludf.DUMMYFUNCTION("""COMPUTED_VALUE"""),"")</f>
        <v/>
      </c>
      <c r="B885" s="48"/>
      <c r="C885" s="49"/>
      <c r="D885" s="46"/>
      <c r="E885" s="46"/>
      <c r="F885" s="46"/>
      <c r="G885" s="46"/>
      <c r="H885" s="46"/>
      <c r="I885" s="50"/>
      <c r="J885" s="50"/>
      <c r="K885" s="51" t="str">
        <f>IFERROR(__xludf.DUMMYFUNCTION("""COMPUTED_VALUE"""),"")</f>
        <v/>
      </c>
      <c r="L885" s="46" t="str">
        <f>IFERROR(__xludf.DUMMYFUNCTION("""COMPUTED_VALUE"""),"")</f>
        <v/>
      </c>
      <c r="M885" s="46" t="str">
        <f>IFERROR(__xludf.DUMMYFUNCTION("""COMPUTED_VALUE"""),"")</f>
        <v/>
      </c>
      <c r="N885" s="46" t="str">
        <f>IFERROR(__xludf.DUMMYFUNCTION("""COMPUTED_VALUE"""),"")</f>
        <v/>
      </c>
      <c r="O885" s="48"/>
      <c r="P885" s="52" t="str">
        <f>IFERROR(__xludf.DUMMYFUNCTION("""COMPUTED_VALUE"""),"")</f>
        <v/>
      </c>
    </row>
    <row r="886">
      <c r="A886" s="48" t="str">
        <f>IFERROR(__xludf.DUMMYFUNCTION("""COMPUTED_VALUE"""),"")</f>
        <v/>
      </c>
      <c r="B886" s="48"/>
      <c r="C886" s="49"/>
      <c r="D886" s="46"/>
      <c r="E886" s="46"/>
      <c r="F886" s="46"/>
      <c r="G886" s="46"/>
      <c r="H886" s="46"/>
      <c r="I886" s="50"/>
      <c r="J886" s="50"/>
      <c r="K886" s="51" t="str">
        <f>IFERROR(__xludf.DUMMYFUNCTION("""COMPUTED_VALUE"""),"")</f>
        <v/>
      </c>
      <c r="L886" s="46" t="str">
        <f>IFERROR(__xludf.DUMMYFUNCTION("""COMPUTED_VALUE"""),"")</f>
        <v/>
      </c>
      <c r="M886" s="46" t="str">
        <f>IFERROR(__xludf.DUMMYFUNCTION("""COMPUTED_VALUE"""),"")</f>
        <v/>
      </c>
      <c r="N886" s="46" t="str">
        <f>IFERROR(__xludf.DUMMYFUNCTION("""COMPUTED_VALUE"""),"")</f>
        <v/>
      </c>
      <c r="O886" s="48"/>
      <c r="P886" s="52" t="str">
        <f>IFERROR(__xludf.DUMMYFUNCTION("""COMPUTED_VALUE"""),"")</f>
        <v/>
      </c>
    </row>
    <row r="887">
      <c r="A887" s="48" t="str">
        <f>IFERROR(__xludf.DUMMYFUNCTION("""COMPUTED_VALUE"""),"")</f>
        <v/>
      </c>
      <c r="B887" s="48"/>
      <c r="C887" s="49"/>
      <c r="D887" s="46"/>
      <c r="E887" s="46"/>
      <c r="F887" s="46"/>
      <c r="G887" s="46"/>
      <c r="H887" s="46"/>
      <c r="I887" s="50"/>
      <c r="J887" s="50"/>
      <c r="K887" s="51" t="str">
        <f>IFERROR(__xludf.DUMMYFUNCTION("""COMPUTED_VALUE"""),"")</f>
        <v/>
      </c>
      <c r="L887" s="46" t="str">
        <f>IFERROR(__xludf.DUMMYFUNCTION("""COMPUTED_VALUE"""),"")</f>
        <v/>
      </c>
      <c r="M887" s="46" t="str">
        <f>IFERROR(__xludf.DUMMYFUNCTION("""COMPUTED_VALUE"""),"")</f>
        <v/>
      </c>
      <c r="N887" s="46" t="str">
        <f>IFERROR(__xludf.DUMMYFUNCTION("""COMPUTED_VALUE"""),"")</f>
        <v/>
      </c>
      <c r="O887" s="48"/>
      <c r="P887" s="52" t="str">
        <f>IFERROR(__xludf.DUMMYFUNCTION("""COMPUTED_VALUE"""),"")</f>
        <v/>
      </c>
    </row>
    <row r="888">
      <c r="A888" s="48" t="str">
        <f>IFERROR(__xludf.DUMMYFUNCTION("""COMPUTED_VALUE"""),"")</f>
        <v/>
      </c>
      <c r="B888" s="48"/>
      <c r="C888" s="49"/>
      <c r="D888" s="46"/>
      <c r="E888" s="46"/>
      <c r="F888" s="46"/>
      <c r="G888" s="46"/>
      <c r="H888" s="46"/>
      <c r="I888" s="50"/>
      <c r="J888" s="50"/>
      <c r="K888" s="51" t="str">
        <f>IFERROR(__xludf.DUMMYFUNCTION("""COMPUTED_VALUE"""),"")</f>
        <v/>
      </c>
      <c r="L888" s="46" t="str">
        <f>IFERROR(__xludf.DUMMYFUNCTION("""COMPUTED_VALUE"""),"")</f>
        <v/>
      </c>
      <c r="M888" s="46" t="str">
        <f>IFERROR(__xludf.DUMMYFUNCTION("""COMPUTED_VALUE"""),"")</f>
        <v/>
      </c>
      <c r="N888" s="46" t="str">
        <f>IFERROR(__xludf.DUMMYFUNCTION("""COMPUTED_VALUE"""),"")</f>
        <v/>
      </c>
      <c r="O888" s="48"/>
      <c r="P888" s="52" t="str">
        <f>IFERROR(__xludf.DUMMYFUNCTION("""COMPUTED_VALUE"""),"")</f>
        <v/>
      </c>
    </row>
    <row r="889">
      <c r="A889" s="48" t="str">
        <f>IFERROR(__xludf.DUMMYFUNCTION("""COMPUTED_VALUE"""),"")</f>
        <v/>
      </c>
      <c r="B889" s="48"/>
      <c r="C889" s="49"/>
      <c r="D889" s="46"/>
      <c r="E889" s="46"/>
      <c r="F889" s="46"/>
      <c r="G889" s="46"/>
      <c r="H889" s="46"/>
      <c r="I889" s="50"/>
      <c r="J889" s="50"/>
      <c r="K889" s="51" t="str">
        <f>IFERROR(__xludf.DUMMYFUNCTION("""COMPUTED_VALUE"""),"")</f>
        <v/>
      </c>
      <c r="L889" s="46" t="str">
        <f>IFERROR(__xludf.DUMMYFUNCTION("""COMPUTED_VALUE"""),"")</f>
        <v/>
      </c>
      <c r="M889" s="46" t="str">
        <f>IFERROR(__xludf.DUMMYFUNCTION("""COMPUTED_VALUE"""),"")</f>
        <v/>
      </c>
      <c r="N889" s="46" t="str">
        <f>IFERROR(__xludf.DUMMYFUNCTION("""COMPUTED_VALUE"""),"")</f>
        <v/>
      </c>
      <c r="O889" s="48"/>
      <c r="P889" s="52" t="str">
        <f>IFERROR(__xludf.DUMMYFUNCTION("""COMPUTED_VALUE"""),"")</f>
        <v/>
      </c>
    </row>
    <row r="890">
      <c r="A890" s="48" t="str">
        <f>IFERROR(__xludf.DUMMYFUNCTION("""COMPUTED_VALUE"""),"")</f>
        <v/>
      </c>
      <c r="B890" s="48"/>
      <c r="C890" s="49"/>
      <c r="D890" s="46"/>
      <c r="E890" s="46"/>
      <c r="F890" s="46"/>
      <c r="G890" s="46"/>
      <c r="H890" s="46"/>
      <c r="I890" s="50"/>
      <c r="J890" s="50"/>
      <c r="K890" s="51" t="str">
        <f>IFERROR(__xludf.DUMMYFUNCTION("""COMPUTED_VALUE"""),"")</f>
        <v/>
      </c>
      <c r="L890" s="46" t="str">
        <f>IFERROR(__xludf.DUMMYFUNCTION("""COMPUTED_VALUE"""),"")</f>
        <v/>
      </c>
      <c r="M890" s="46" t="str">
        <f>IFERROR(__xludf.DUMMYFUNCTION("""COMPUTED_VALUE"""),"")</f>
        <v/>
      </c>
      <c r="N890" s="46" t="str">
        <f>IFERROR(__xludf.DUMMYFUNCTION("""COMPUTED_VALUE"""),"")</f>
        <v/>
      </c>
      <c r="O890" s="48"/>
      <c r="P890" s="52" t="str">
        <f>IFERROR(__xludf.DUMMYFUNCTION("""COMPUTED_VALUE"""),"")</f>
        <v/>
      </c>
    </row>
    <row r="891">
      <c r="A891" s="48" t="str">
        <f>IFERROR(__xludf.DUMMYFUNCTION("""COMPUTED_VALUE"""),"")</f>
        <v/>
      </c>
      <c r="B891" s="48"/>
      <c r="C891" s="49"/>
      <c r="D891" s="46"/>
      <c r="E891" s="46"/>
      <c r="F891" s="46"/>
      <c r="G891" s="46"/>
      <c r="H891" s="46"/>
      <c r="I891" s="50"/>
      <c r="J891" s="50"/>
      <c r="K891" s="51" t="str">
        <f>IFERROR(__xludf.DUMMYFUNCTION("""COMPUTED_VALUE"""),"")</f>
        <v/>
      </c>
      <c r="L891" s="46" t="str">
        <f>IFERROR(__xludf.DUMMYFUNCTION("""COMPUTED_VALUE"""),"")</f>
        <v/>
      </c>
      <c r="M891" s="46" t="str">
        <f>IFERROR(__xludf.DUMMYFUNCTION("""COMPUTED_VALUE"""),"")</f>
        <v/>
      </c>
      <c r="N891" s="46" t="str">
        <f>IFERROR(__xludf.DUMMYFUNCTION("""COMPUTED_VALUE"""),"")</f>
        <v/>
      </c>
      <c r="O891" s="48"/>
      <c r="P891" s="52" t="str">
        <f>IFERROR(__xludf.DUMMYFUNCTION("""COMPUTED_VALUE"""),"")</f>
        <v/>
      </c>
    </row>
    <row r="892">
      <c r="A892" s="48" t="str">
        <f>IFERROR(__xludf.DUMMYFUNCTION("""COMPUTED_VALUE"""),"")</f>
        <v/>
      </c>
      <c r="B892" s="48"/>
      <c r="C892" s="49"/>
      <c r="D892" s="46"/>
      <c r="E892" s="46"/>
      <c r="F892" s="46"/>
      <c r="G892" s="46"/>
      <c r="H892" s="46"/>
      <c r="I892" s="50"/>
      <c r="J892" s="50"/>
      <c r="K892" s="51" t="str">
        <f>IFERROR(__xludf.DUMMYFUNCTION("""COMPUTED_VALUE"""),"")</f>
        <v/>
      </c>
      <c r="L892" s="46" t="str">
        <f>IFERROR(__xludf.DUMMYFUNCTION("""COMPUTED_VALUE"""),"")</f>
        <v/>
      </c>
      <c r="M892" s="46" t="str">
        <f>IFERROR(__xludf.DUMMYFUNCTION("""COMPUTED_VALUE"""),"")</f>
        <v/>
      </c>
      <c r="N892" s="46" t="str">
        <f>IFERROR(__xludf.DUMMYFUNCTION("""COMPUTED_VALUE"""),"")</f>
        <v/>
      </c>
      <c r="O892" s="48"/>
      <c r="P892" s="52" t="str">
        <f>IFERROR(__xludf.DUMMYFUNCTION("""COMPUTED_VALUE"""),"")</f>
        <v/>
      </c>
    </row>
    <row r="893">
      <c r="A893" s="48" t="str">
        <f>IFERROR(__xludf.DUMMYFUNCTION("""COMPUTED_VALUE"""),"")</f>
        <v/>
      </c>
      <c r="B893" s="48"/>
      <c r="C893" s="49"/>
      <c r="D893" s="46"/>
      <c r="E893" s="46"/>
      <c r="F893" s="46"/>
      <c r="G893" s="46"/>
      <c r="H893" s="46"/>
      <c r="I893" s="50"/>
      <c r="J893" s="50"/>
      <c r="K893" s="51" t="str">
        <f>IFERROR(__xludf.DUMMYFUNCTION("""COMPUTED_VALUE"""),"")</f>
        <v/>
      </c>
      <c r="L893" s="46" t="str">
        <f>IFERROR(__xludf.DUMMYFUNCTION("""COMPUTED_VALUE"""),"")</f>
        <v/>
      </c>
      <c r="M893" s="46" t="str">
        <f>IFERROR(__xludf.DUMMYFUNCTION("""COMPUTED_VALUE"""),"")</f>
        <v/>
      </c>
      <c r="N893" s="46" t="str">
        <f>IFERROR(__xludf.DUMMYFUNCTION("""COMPUTED_VALUE"""),"")</f>
        <v/>
      </c>
      <c r="O893" s="48"/>
      <c r="P893" s="52" t="str">
        <f>IFERROR(__xludf.DUMMYFUNCTION("""COMPUTED_VALUE"""),"")</f>
        <v/>
      </c>
    </row>
    <row r="894">
      <c r="A894" s="48" t="str">
        <f>IFERROR(__xludf.DUMMYFUNCTION("""COMPUTED_VALUE"""),"")</f>
        <v/>
      </c>
      <c r="B894" s="48"/>
      <c r="C894" s="49"/>
      <c r="D894" s="46"/>
      <c r="E894" s="46"/>
      <c r="F894" s="46"/>
      <c r="G894" s="46"/>
      <c r="H894" s="46"/>
      <c r="I894" s="50"/>
      <c r="J894" s="50"/>
      <c r="K894" s="51" t="str">
        <f>IFERROR(__xludf.DUMMYFUNCTION("""COMPUTED_VALUE"""),"")</f>
        <v/>
      </c>
      <c r="L894" s="46" t="str">
        <f>IFERROR(__xludf.DUMMYFUNCTION("""COMPUTED_VALUE"""),"")</f>
        <v/>
      </c>
      <c r="M894" s="46" t="str">
        <f>IFERROR(__xludf.DUMMYFUNCTION("""COMPUTED_VALUE"""),"")</f>
        <v/>
      </c>
      <c r="N894" s="46" t="str">
        <f>IFERROR(__xludf.DUMMYFUNCTION("""COMPUTED_VALUE"""),"")</f>
        <v/>
      </c>
      <c r="O894" s="48"/>
      <c r="P894" s="52" t="str">
        <f>IFERROR(__xludf.DUMMYFUNCTION("""COMPUTED_VALUE"""),"")</f>
        <v/>
      </c>
    </row>
    <row r="895">
      <c r="A895" s="48" t="str">
        <f>IFERROR(__xludf.DUMMYFUNCTION("""COMPUTED_VALUE"""),"")</f>
        <v/>
      </c>
      <c r="B895" s="48"/>
      <c r="C895" s="49"/>
      <c r="D895" s="46"/>
      <c r="E895" s="46"/>
      <c r="F895" s="46"/>
      <c r="G895" s="46"/>
      <c r="H895" s="46"/>
      <c r="I895" s="50"/>
      <c r="J895" s="50"/>
      <c r="K895" s="51" t="str">
        <f>IFERROR(__xludf.DUMMYFUNCTION("""COMPUTED_VALUE"""),"")</f>
        <v/>
      </c>
      <c r="L895" s="46" t="str">
        <f>IFERROR(__xludf.DUMMYFUNCTION("""COMPUTED_VALUE"""),"")</f>
        <v/>
      </c>
      <c r="M895" s="46" t="str">
        <f>IFERROR(__xludf.DUMMYFUNCTION("""COMPUTED_VALUE"""),"")</f>
        <v/>
      </c>
      <c r="N895" s="46" t="str">
        <f>IFERROR(__xludf.DUMMYFUNCTION("""COMPUTED_VALUE"""),"")</f>
        <v/>
      </c>
      <c r="O895" s="48"/>
      <c r="P895" s="52" t="str">
        <f>IFERROR(__xludf.DUMMYFUNCTION("""COMPUTED_VALUE"""),"")</f>
        <v/>
      </c>
    </row>
    <row r="896">
      <c r="A896" s="48" t="str">
        <f>IFERROR(__xludf.DUMMYFUNCTION("""COMPUTED_VALUE"""),"")</f>
        <v/>
      </c>
      <c r="B896" s="48"/>
      <c r="C896" s="49"/>
      <c r="D896" s="46"/>
      <c r="E896" s="46"/>
      <c r="F896" s="46"/>
      <c r="G896" s="46"/>
      <c r="H896" s="46"/>
      <c r="I896" s="50"/>
      <c r="J896" s="50"/>
      <c r="K896" s="51" t="str">
        <f>IFERROR(__xludf.DUMMYFUNCTION("""COMPUTED_VALUE"""),"")</f>
        <v/>
      </c>
      <c r="L896" s="46" t="str">
        <f>IFERROR(__xludf.DUMMYFUNCTION("""COMPUTED_VALUE"""),"")</f>
        <v/>
      </c>
      <c r="M896" s="46" t="str">
        <f>IFERROR(__xludf.DUMMYFUNCTION("""COMPUTED_VALUE"""),"")</f>
        <v/>
      </c>
      <c r="N896" s="46" t="str">
        <f>IFERROR(__xludf.DUMMYFUNCTION("""COMPUTED_VALUE"""),"")</f>
        <v/>
      </c>
      <c r="O896" s="48"/>
      <c r="P896" s="52" t="str">
        <f>IFERROR(__xludf.DUMMYFUNCTION("""COMPUTED_VALUE"""),"")</f>
        <v/>
      </c>
    </row>
    <row r="897">
      <c r="A897" s="48" t="str">
        <f>IFERROR(__xludf.DUMMYFUNCTION("""COMPUTED_VALUE"""),"")</f>
        <v/>
      </c>
      <c r="B897" s="48"/>
      <c r="C897" s="49"/>
      <c r="D897" s="46"/>
      <c r="E897" s="46"/>
      <c r="F897" s="46"/>
      <c r="G897" s="46"/>
      <c r="H897" s="46"/>
      <c r="I897" s="50"/>
      <c r="J897" s="50"/>
      <c r="K897" s="51" t="str">
        <f>IFERROR(__xludf.DUMMYFUNCTION("""COMPUTED_VALUE"""),"")</f>
        <v/>
      </c>
      <c r="L897" s="46" t="str">
        <f>IFERROR(__xludf.DUMMYFUNCTION("""COMPUTED_VALUE"""),"")</f>
        <v/>
      </c>
      <c r="M897" s="46" t="str">
        <f>IFERROR(__xludf.DUMMYFUNCTION("""COMPUTED_VALUE"""),"")</f>
        <v/>
      </c>
      <c r="N897" s="46" t="str">
        <f>IFERROR(__xludf.DUMMYFUNCTION("""COMPUTED_VALUE"""),"")</f>
        <v/>
      </c>
      <c r="O897" s="48"/>
      <c r="P897" s="52" t="str">
        <f>IFERROR(__xludf.DUMMYFUNCTION("""COMPUTED_VALUE"""),"")</f>
        <v/>
      </c>
    </row>
    <row r="898">
      <c r="A898" s="48" t="str">
        <f>IFERROR(__xludf.DUMMYFUNCTION("""COMPUTED_VALUE"""),"")</f>
        <v/>
      </c>
      <c r="B898" s="48"/>
      <c r="C898" s="49"/>
      <c r="D898" s="46"/>
      <c r="E898" s="46"/>
      <c r="F898" s="46"/>
      <c r="G898" s="46"/>
      <c r="H898" s="46"/>
      <c r="I898" s="50"/>
      <c r="J898" s="50"/>
      <c r="K898" s="51" t="str">
        <f>IFERROR(__xludf.DUMMYFUNCTION("""COMPUTED_VALUE"""),"")</f>
        <v/>
      </c>
      <c r="L898" s="46" t="str">
        <f>IFERROR(__xludf.DUMMYFUNCTION("""COMPUTED_VALUE"""),"")</f>
        <v/>
      </c>
      <c r="M898" s="46" t="str">
        <f>IFERROR(__xludf.DUMMYFUNCTION("""COMPUTED_VALUE"""),"")</f>
        <v/>
      </c>
      <c r="N898" s="46" t="str">
        <f>IFERROR(__xludf.DUMMYFUNCTION("""COMPUTED_VALUE"""),"")</f>
        <v/>
      </c>
      <c r="O898" s="48"/>
      <c r="P898" s="52" t="str">
        <f>IFERROR(__xludf.DUMMYFUNCTION("""COMPUTED_VALUE"""),"")</f>
        <v/>
      </c>
    </row>
    <row r="899">
      <c r="A899" s="48" t="str">
        <f>IFERROR(__xludf.DUMMYFUNCTION("""COMPUTED_VALUE"""),"")</f>
        <v/>
      </c>
      <c r="B899" s="48"/>
      <c r="C899" s="49"/>
      <c r="D899" s="46"/>
      <c r="E899" s="46"/>
      <c r="F899" s="46"/>
      <c r="G899" s="46"/>
      <c r="H899" s="46"/>
      <c r="I899" s="50"/>
      <c r="J899" s="50"/>
      <c r="K899" s="51" t="str">
        <f>IFERROR(__xludf.DUMMYFUNCTION("""COMPUTED_VALUE"""),"")</f>
        <v/>
      </c>
      <c r="L899" s="46" t="str">
        <f>IFERROR(__xludf.DUMMYFUNCTION("""COMPUTED_VALUE"""),"")</f>
        <v/>
      </c>
      <c r="M899" s="46" t="str">
        <f>IFERROR(__xludf.DUMMYFUNCTION("""COMPUTED_VALUE"""),"")</f>
        <v/>
      </c>
      <c r="N899" s="46" t="str">
        <f>IFERROR(__xludf.DUMMYFUNCTION("""COMPUTED_VALUE"""),"")</f>
        <v/>
      </c>
      <c r="O899" s="48"/>
      <c r="P899" s="52" t="str">
        <f>IFERROR(__xludf.DUMMYFUNCTION("""COMPUTED_VALUE"""),"")</f>
        <v/>
      </c>
    </row>
    <row r="900">
      <c r="A900" s="48" t="str">
        <f>IFERROR(__xludf.DUMMYFUNCTION("""COMPUTED_VALUE"""),"")</f>
        <v/>
      </c>
      <c r="B900" s="48"/>
      <c r="C900" s="49"/>
      <c r="D900" s="46"/>
      <c r="E900" s="46"/>
      <c r="F900" s="46"/>
      <c r="G900" s="46"/>
      <c r="H900" s="46"/>
      <c r="I900" s="50"/>
      <c r="J900" s="50"/>
      <c r="K900" s="51" t="str">
        <f>IFERROR(__xludf.DUMMYFUNCTION("""COMPUTED_VALUE"""),"")</f>
        <v/>
      </c>
      <c r="L900" s="46" t="str">
        <f>IFERROR(__xludf.DUMMYFUNCTION("""COMPUTED_VALUE"""),"")</f>
        <v/>
      </c>
      <c r="M900" s="46" t="str">
        <f>IFERROR(__xludf.DUMMYFUNCTION("""COMPUTED_VALUE"""),"")</f>
        <v/>
      </c>
      <c r="N900" s="46" t="str">
        <f>IFERROR(__xludf.DUMMYFUNCTION("""COMPUTED_VALUE"""),"")</f>
        <v/>
      </c>
      <c r="O900" s="48"/>
      <c r="P900" s="52" t="str">
        <f>IFERROR(__xludf.DUMMYFUNCTION("""COMPUTED_VALUE"""),"")</f>
        <v/>
      </c>
    </row>
    <row r="901">
      <c r="A901" s="48" t="str">
        <f>IFERROR(__xludf.DUMMYFUNCTION("""COMPUTED_VALUE"""),"")</f>
        <v/>
      </c>
      <c r="B901" s="48"/>
      <c r="C901" s="49"/>
      <c r="D901" s="46"/>
      <c r="E901" s="46"/>
      <c r="F901" s="46"/>
      <c r="G901" s="46"/>
      <c r="H901" s="46"/>
      <c r="I901" s="50"/>
      <c r="J901" s="50"/>
      <c r="K901" s="51" t="str">
        <f>IFERROR(__xludf.DUMMYFUNCTION("""COMPUTED_VALUE"""),"")</f>
        <v/>
      </c>
      <c r="L901" s="46" t="str">
        <f>IFERROR(__xludf.DUMMYFUNCTION("""COMPUTED_VALUE"""),"")</f>
        <v/>
      </c>
      <c r="M901" s="46" t="str">
        <f>IFERROR(__xludf.DUMMYFUNCTION("""COMPUTED_VALUE"""),"")</f>
        <v/>
      </c>
      <c r="N901" s="46" t="str">
        <f>IFERROR(__xludf.DUMMYFUNCTION("""COMPUTED_VALUE"""),"")</f>
        <v/>
      </c>
      <c r="O901" s="48"/>
      <c r="P901" s="52" t="str">
        <f>IFERROR(__xludf.DUMMYFUNCTION("""COMPUTED_VALUE"""),"")</f>
        <v/>
      </c>
    </row>
    <row r="902">
      <c r="A902" s="48" t="str">
        <f>IFERROR(__xludf.DUMMYFUNCTION("""COMPUTED_VALUE"""),"")</f>
        <v/>
      </c>
      <c r="B902" s="48"/>
      <c r="C902" s="49"/>
      <c r="D902" s="46"/>
      <c r="E902" s="46"/>
      <c r="F902" s="46"/>
      <c r="G902" s="46"/>
      <c r="H902" s="46"/>
      <c r="I902" s="50"/>
      <c r="J902" s="50"/>
      <c r="K902" s="51" t="str">
        <f>IFERROR(__xludf.DUMMYFUNCTION("""COMPUTED_VALUE"""),"")</f>
        <v/>
      </c>
      <c r="L902" s="46" t="str">
        <f>IFERROR(__xludf.DUMMYFUNCTION("""COMPUTED_VALUE"""),"")</f>
        <v/>
      </c>
      <c r="M902" s="46" t="str">
        <f>IFERROR(__xludf.DUMMYFUNCTION("""COMPUTED_VALUE"""),"")</f>
        <v/>
      </c>
      <c r="N902" s="46" t="str">
        <f>IFERROR(__xludf.DUMMYFUNCTION("""COMPUTED_VALUE"""),"")</f>
        <v/>
      </c>
      <c r="O902" s="48"/>
      <c r="P902" s="52" t="str">
        <f>IFERROR(__xludf.DUMMYFUNCTION("""COMPUTED_VALUE"""),"")</f>
        <v/>
      </c>
    </row>
    <row r="903">
      <c r="A903" s="48" t="str">
        <f>IFERROR(__xludf.DUMMYFUNCTION("""COMPUTED_VALUE"""),"")</f>
        <v/>
      </c>
      <c r="B903" s="48"/>
      <c r="C903" s="49"/>
      <c r="D903" s="46"/>
      <c r="E903" s="46"/>
      <c r="F903" s="46"/>
      <c r="G903" s="46"/>
      <c r="H903" s="46"/>
      <c r="I903" s="50"/>
      <c r="J903" s="50"/>
      <c r="K903" s="51" t="str">
        <f>IFERROR(__xludf.DUMMYFUNCTION("""COMPUTED_VALUE"""),"")</f>
        <v/>
      </c>
      <c r="L903" s="46" t="str">
        <f>IFERROR(__xludf.DUMMYFUNCTION("""COMPUTED_VALUE"""),"")</f>
        <v/>
      </c>
      <c r="M903" s="46" t="str">
        <f>IFERROR(__xludf.DUMMYFUNCTION("""COMPUTED_VALUE"""),"")</f>
        <v/>
      </c>
      <c r="N903" s="46" t="str">
        <f>IFERROR(__xludf.DUMMYFUNCTION("""COMPUTED_VALUE"""),"")</f>
        <v/>
      </c>
      <c r="O903" s="48"/>
      <c r="P903" s="52" t="str">
        <f>IFERROR(__xludf.DUMMYFUNCTION("""COMPUTED_VALUE"""),"")</f>
        <v/>
      </c>
    </row>
    <row r="904">
      <c r="A904" s="48" t="str">
        <f>IFERROR(__xludf.DUMMYFUNCTION("""COMPUTED_VALUE"""),"")</f>
        <v/>
      </c>
      <c r="B904" s="48"/>
      <c r="C904" s="49"/>
      <c r="D904" s="46"/>
      <c r="E904" s="46"/>
      <c r="F904" s="46"/>
      <c r="G904" s="46"/>
      <c r="H904" s="46"/>
      <c r="I904" s="50"/>
      <c r="J904" s="50"/>
      <c r="K904" s="51" t="str">
        <f>IFERROR(__xludf.DUMMYFUNCTION("""COMPUTED_VALUE"""),"")</f>
        <v/>
      </c>
      <c r="L904" s="46" t="str">
        <f>IFERROR(__xludf.DUMMYFUNCTION("""COMPUTED_VALUE"""),"")</f>
        <v/>
      </c>
      <c r="M904" s="46" t="str">
        <f>IFERROR(__xludf.DUMMYFUNCTION("""COMPUTED_VALUE"""),"")</f>
        <v/>
      </c>
      <c r="N904" s="46" t="str">
        <f>IFERROR(__xludf.DUMMYFUNCTION("""COMPUTED_VALUE"""),"")</f>
        <v/>
      </c>
      <c r="O904" s="48"/>
      <c r="P904" s="52" t="str">
        <f>IFERROR(__xludf.DUMMYFUNCTION("""COMPUTED_VALUE"""),"")</f>
        <v/>
      </c>
    </row>
    <row r="905">
      <c r="A905" s="48" t="str">
        <f>IFERROR(__xludf.DUMMYFUNCTION("""COMPUTED_VALUE"""),"")</f>
        <v/>
      </c>
      <c r="B905" s="48"/>
      <c r="C905" s="49"/>
      <c r="D905" s="46"/>
      <c r="E905" s="46"/>
      <c r="F905" s="46"/>
      <c r="G905" s="46"/>
      <c r="H905" s="46"/>
      <c r="I905" s="50"/>
      <c r="J905" s="50"/>
      <c r="K905" s="51" t="str">
        <f>IFERROR(__xludf.DUMMYFUNCTION("""COMPUTED_VALUE"""),"")</f>
        <v/>
      </c>
      <c r="L905" s="46" t="str">
        <f>IFERROR(__xludf.DUMMYFUNCTION("""COMPUTED_VALUE"""),"")</f>
        <v/>
      </c>
      <c r="M905" s="46" t="str">
        <f>IFERROR(__xludf.DUMMYFUNCTION("""COMPUTED_VALUE"""),"")</f>
        <v/>
      </c>
      <c r="N905" s="46" t="str">
        <f>IFERROR(__xludf.DUMMYFUNCTION("""COMPUTED_VALUE"""),"")</f>
        <v/>
      </c>
      <c r="O905" s="48"/>
      <c r="P905" s="52" t="str">
        <f>IFERROR(__xludf.DUMMYFUNCTION("""COMPUTED_VALUE"""),"")</f>
        <v/>
      </c>
    </row>
    <row r="906">
      <c r="A906" s="48" t="str">
        <f>IFERROR(__xludf.DUMMYFUNCTION("""COMPUTED_VALUE"""),"")</f>
        <v/>
      </c>
      <c r="B906" s="48"/>
      <c r="C906" s="49"/>
      <c r="D906" s="46"/>
      <c r="E906" s="46"/>
      <c r="F906" s="46"/>
      <c r="G906" s="46"/>
      <c r="H906" s="46"/>
      <c r="I906" s="50"/>
      <c r="J906" s="50"/>
      <c r="K906" s="51" t="str">
        <f>IFERROR(__xludf.DUMMYFUNCTION("""COMPUTED_VALUE"""),"")</f>
        <v/>
      </c>
      <c r="L906" s="46" t="str">
        <f>IFERROR(__xludf.DUMMYFUNCTION("""COMPUTED_VALUE"""),"")</f>
        <v/>
      </c>
      <c r="M906" s="46" t="str">
        <f>IFERROR(__xludf.DUMMYFUNCTION("""COMPUTED_VALUE"""),"")</f>
        <v/>
      </c>
      <c r="N906" s="46" t="str">
        <f>IFERROR(__xludf.DUMMYFUNCTION("""COMPUTED_VALUE"""),"")</f>
        <v/>
      </c>
      <c r="O906" s="48"/>
      <c r="P906" s="52" t="str">
        <f>IFERROR(__xludf.DUMMYFUNCTION("""COMPUTED_VALUE"""),"")</f>
        <v/>
      </c>
    </row>
    <row r="907">
      <c r="A907" s="48" t="str">
        <f>IFERROR(__xludf.DUMMYFUNCTION("""COMPUTED_VALUE"""),"")</f>
        <v/>
      </c>
      <c r="B907" s="48"/>
      <c r="C907" s="49"/>
      <c r="D907" s="46"/>
      <c r="E907" s="46"/>
      <c r="F907" s="46"/>
      <c r="G907" s="46"/>
      <c r="H907" s="46"/>
      <c r="I907" s="50"/>
      <c r="J907" s="50"/>
      <c r="K907" s="51" t="str">
        <f>IFERROR(__xludf.DUMMYFUNCTION("""COMPUTED_VALUE"""),"")</f>
        <v/>
      </c>
      <c r="L907" s="46" t="str">
        <f>IFERROR(__xludf.DUMMYFUNCTION("""COMPUTED_VALUE"""),"")</f>
        <v/>
      </c>
      <c r="M907" s="46" t="str">
        <f>IFERROR(__xludf.DUMMYFUNCTION("""COMPUTED_VALUE"""),"")</f>
        <v/>
      </c>
      <c r="N907" s="46" t="str">
        <f>IFERROR(__xludf.DUMMYFUNCTION("""COMPUTED_VALUE"""),"")</f>
        <v/>
      </c>
      <c r="O907" s="48"/>
      <c r="P907" s="52" t="str">
        <f>IFERROR(__xludf.DUMMYFUNCTION("""COMPUTED_VALUE"""),"")</f>
        <v/>
      </c>
    </row>
    <row r="908">
      <c r="A908" s="48" t="str">
        <f>IFERROR(__xludf.DUMMYFUNCTION("""COMPUTED_VALUE"""),"")</f>
        <v/>
      </c>
      <c r="B908" s="48"/>
      <c r="C908" s="49"/>
      <c r="D908" s="46"/>
      <c r="E908" s="46"/>
      <c r="F908" s="46"/>
      <c r="G908" s="46"/>
      <c r="H908" s="46"/>
      <c r="I908" s="50"/>
      <c r="J908" s="50"/>
      <c r="K908" s="51" t="str">
        <f>IFERROR(__xludf.DUMMYFUNCTION("""COMPUTED_VALUE"""),"")</f>
        <v/>
      </c>
      <c r="L908" s="46" t="str">
        <f>IFERROR(__xludf.DUMMYFUNCTION("""COMPUTED_VALUE"""),"")</f>
        <v/>
      </c>
      <c r="M908" s="46" t="str">
        <f>IFERROR(__xludf.DUMMYFUNCTION("""COMPUTED_VALUE"""),"")</f>
        <v/>
      </c>
      <c r="N908" s="46" t="str">
        <f>IFERROR(__xludf.DUMMYFUNCTION("""COMPUTED_VALUE"""),"")</f>
        <v/>
      </c>
      <c r="O908" s="48"/>
      <c r="P908" s="52" t="str">
        <f>IFERROR(__xludf.DUMMYFUNCTION("""COMPUTED_VALUE"""),"")</f>
        <v/>
      </c>
    </row>
    <row r="909">
      <c r="A909" s="48" t="str">
        <f>IFERROR(__xludf.DUMMYFUNCTION("""COMPUTED_VALUE"""),"")</f>
        <v/>
      </c>
      <c r="B909" s="48"/>
      <c r="C909" s="49"/>
      <c r="D909" s="46"/>
      <c r="E909" s="46"/>
      <c r="F909" s="46"/>
      <c r="G909" s="46"/>
      <c r="H909" s="46"/>
      <c r="I909" s="50"/>
      <c r="J909" s="50"/>
      <c r="K909" s="51" t="str">
        <f>IFERROR(__xludf.DUMMYFUNCTION("""COMPUTED_VALUE"""),"")</f>
        <v/>
      </c>
      <c r="L909" s="46" t="str">
        <f>IFERROR(__xludf.DUMMYFUNCTION("""COMPUTED_VALUE"""),"")</f>
        <v/>
      </c>
      <c r="M909" s="46" t="str">
        <f>IFERROR(__xludf.DUMMYFUNCTION("""COMPUTED_VALUE"""),"")</f>
        <v/>
      </c>
      <c r="N909" s="46" t="str">
        <f>IFERROR(__xludf.DUMMYFUNCTION("""COMPUTED_VALUE"""),"")</f>
        <v/>
      </c>
      <c r="O909" s="48"/>
      <c r="P909" s="52" t="str">
        <f>IFERROR(__xludf.DUMMYFUNCTION("""COMPUTED_VALUE"""),"")</f>
        <v/>
      </c>
    </row>
    <row r="910">
      <c r="A910" s="48" t="str">
        <f>IFERROR(__xludf.DUMMYFUNCTION("""COMPUTED_VALUE"""),"")</f>
        <v/>
      </c>
      <c r="B910" s="48"/>
      <c r="C910" s="49"/>
      <c r="D910" s="46"/>
      <c r="E910" s="46"/>
      <c r="F910" s="46"/>
      <c r="G910" s="46"/>
      <c r="H910" s="46"/>
      <c r="I910" s="50"/>
      <c r="J910" s="50"/>
      <c r="K910" s="51" t="str">
        <f>IFERROR(__xludf.DUMMYFUNCTION("""COMPUTED_VALUE"""),"")</f>
        <v/>
      </c>
      <c r="L910" s="46" t="str">
        <f>IFERROR(__xludf.DUMMYFUNCTION("""COMPUTED_VALUE"""),"")</f>
        <v/>
      </c>
      <c r="M910" s="46" t="str">
        <f>IFERROR(__xludf.DUMMYFUNCTION("""COMPUTED_VALUE"""),"")</f>
        <v/>
      </c>
      <c r="N910" s="46" t="str">
        <f>IFERROR(__xludf.DUMMYFUNCTION("""COMPUTED_VALUE"""),"")</f>
        <v/>
      </c>
      <c r="O910" s="48"/>
      <c r="P910" s="52" t="str">
        <f>IFERROR(__xludf.DUMMYFUNCTION("""COMPUTED_VALUE"""),"")</f>
        <v/>
      </c>
    </row>
    <row r="911">
      <c r="A911" s="48" t="str">
        <f>IFERROR(__xludf.DUMMYFUNCTION("""COMPUTED_VALUE"""),"")</f>
        <v/>
      </c>
      <c r="B911" s="48"/>
      <c r="C911" s="49"/>
      <c r="D911" s="46"/>
      <c r="E911" s="46"/>
      <c r="F911" s="46"/>
      <c r="G911" s="46"/>
      <c r="H911" s="46"/>
      <c r="I911" s="50"/>
      <c r="J911" s="50"/>
      <c r="K911" s="51" t="str">
        <f>IFERROR(__xludf.DUMMYFUNCTION("""COMPUTED_VALUE"""),"")</f>
        <v/>
      </c>
      <c r="L911" s="46" t="str">
        <f>IFERROR(__xludf.DUMMYFUNCTION("""COMPUTED_VALUE"""),"")</f>
        <v/>
      </c>
      <c r="M911" s="46" t="str">
        <f>IFERROR(__xludf.DUMMYFUNCTION("""COMPUTED_VALUE"""),"")</f>
        <v/>
      </c>
      <c r="N911" s="46" t="str">
        <f>IFERROR(__xludf.DUMMYFUNCTION("""COMPUTED_VALUE"""),"")</f>
        <v/>
      </c>
      <c r="O911" s="48"/>
      <c r="P911" s="52" t="str">
        <f>IFERROR(__xludf.DUMMYFUNCTION("""COMPUTED_VALUE"""),"")</f>
        <v/>
      </c>
    </row>
    <row r="912">
      <c r="A912" s="48" t="str">
        <f>IFERROR(__xludf.DUMMYFUNCTION("""COMPUTED_VALUE"""),"")</f>
        <v/>
      </c>
      <c r="B912" s="48"/>
      <c r="C912" s="49"/>
      <c r="D912" s="46"/>
      <c r="E912" s="46"/>
      <c r="F912" s="46"/>
      <c r="G912" s="46"/>
      <c r="H912" s="46"/>
      <c r="I912" s="50"/>
      <c r="J912" s="50"/>
      <c r="K912" s="51" t="str">
        <f>IFERROR(__xludf.DUMMYFUNCTION("""COMPUTED_VALUE"""),"")</f>
        <v/>
      </c>
      <c r="L912" s="46" t="str">
        <f>IFERROR(__xludf.DUMMYFUNCTION("""COMPUTED_VALUE"""),"")</f>
        <v/>
      </c>
      <c r="M912" s="46" t="str">
        <f>IFERROR(__xludf.DUMMYFUNCTION("""COMPUTED_VALUE"""),"")</f>
        <v/>
      </c>
      <c r="N912" s="46" t="str">
        <f>IFERROR(__xludf.DUMMYFUNCTION("""COMPUTED_VALUE"""),"")</f>
        <v/>
      </c>
      <c r="O912" s="48"/>
      <c r="P912" s="52" t="str">
        <f>IFERROR(__xludf.DUMMYFUNCTION("""COMPUTED_VALUE"""),"")</f>
        <v/>
      </c>
    </row>
    <row r="913">
      <c r="A913" s="48" t="str">
        <f>IFERROR(__xludf.DUMMYFUNCTION("""COMPUTED_VALUE"""),"")</f>
        <v/>
      </c>
      <c r="B913" s="48"/>
      <c r="C913" s="49"/>
      <c r="D913" s="46"/>
      <c r="E913" s="46"/>
      <c r="F913" s="46"/>
      <c r="G913" s="46"/>
      <c r="H913" s="46"/>
      <c r="I913" s="50"/>
      <c r="J913" s="50"/>
      <c r="K913" s="51" t="str">
        <f>IFERROR(__xludf.DUMMYFUNCTION("""COMPUTED_VALUE"""),"")</f>
        <v/>
      </c>
      <c r="L913" s="46" t="str">
        <f>IFERROR(__xludf.DUMMYFUNCTION("""COMPUTED_VALUE"""),"")</f>
        <v/>
      </c>
      <c r="M913" s="46" t="str">
        <f>IFERROR(__xludf.DUMMYFUNCTION("""COMPUTED_VALUE"""),"")</f>
        <v/>
      </c>
      <c r="N913" s="46" t="str">
        <f>IFERROR(__xludf.DUMMYFUNCTION("""COMPUTED_VALUE"""),"")</f>
        <v/>
      </c>
      <c r="O913" s="48"/>
      <c r="P913" s="52" t="str">
        <f>IFERROR(__xludf.DUMMYFUNCTION("""COMPUTED_VALUE"""),"")</f>
        <v/>
      </c>
    </row>
    <row r="914">
      <c r="A914" s="48" t="str">
        <f>IFERROR(__xludf.DUMMYFUNCTION("""COMPUTED_VALUE"""),"")</f>
        <v/>
      </c>
      <c r="B914" s="48"/>
      <c r="C914" s="49"/>
      <c r="D914" s="46"/>
      <c r="E914" s="46"/>
      <c r="F914" s="46"/>
      <c r="G914" s="46"/>
      <c r="H914" s="46"/>
      <c r="I914" s="50"/>
      <c r="J914" s="50"/>
      <c r="K914" s="51" t="str">
        <f>IFERROR(__xludf.DUMMYFUNCTION("""COMPUTED_VALUE"""),"")</f>
        <v/>
      </c>
      <c r="L914" s="46" t="str">
        <f>IFERROR(__xludf.DUMMYFUNCTION("""COMPUTED_VALUE"""),"")</f>
        <v/>
      </c>
      <c r="M914" s="46" t="str">
        <f>IFERROR(__xludf.DUMMYFUNCTION("""COMPUTED_VALUE"""),"")</f>
        <v/>
      </c>
      <c r="N914" s="46" t="str">
        <f>IFERROR(__xludf.DUMMYFUNCTION("""COMPUTED_VALUE"""),"")</f>
        <v/>
      </c>
      <c r="O914" s="48"/>
      <c r="P914" s="52" t="str">
        <f>IFERROR(__xludf.DUMMYFUNCTION("""COMPUTED_VALUE"""),"")</f>
        <v/>
      </c>
    </row>
    <row r="915">
      <c r="A915" s="48" t="str">
        <f>IFERROR(__xludf.DUMMYFUNCTION("""COMPUTED_VALUE"""),"")</f>
        <v/>
      </c>
      <c r="B915" s="48"/>
      <c r="C915" s="49"/>
      <c r="D915" s="46"/>
      <c r="E915" s="46"/>
      <c r="F915" s="46"/>
      <c r="G915" s="46"/>
      <c r="H915" s="46"/>
      <c r="I915" s="50"/>
      <c r="J915" s="50"/>
      <c r="K915" s="51" t="str">
        <f>IFERROR(__xludf.DUMMYFUNCTION("""COMPUTED_VALUE"""),"")</f>
        <v/>
      </c>
      <c r="L915" s="46" t="str">
        <f>IFERROR(__xludf.DUMMYFUNCTION("""COMPUTED_VALUE"""),"")</f>
        <v/>
      </c>
      <c r="M915" s="46" t="str">
        <f>IFERROR(__xludf.DUMMYFUNCTION("""COMPUTED_VALUE"""),"")</f>
        <v/>
      </c>
      <c r="N915" s="46" t="str">
        <f>IFERROR(__xludf.DUMMYFUNCTION("""COMPUTED_VALUE"""),"")</f>
        <v/>
      </c>
      <c r="O915" s="48"/>
      <c r="P915" s="52" t="str">
        <f>IFERROR(__xludf.DUMMYFUNCTION("""COMPUTED_VALUE"""),"")</f>
        <v/>
      </c>
    </row>
    <row r="916">
      <c r="A916" s="48" t="str">
        <f>IFERROR(__xludf.DUMMYFUNCTION("""COMPUTED_VALUE"""),"")</f>
        <v/>
      </c>
      <c r="B916" s="48"/>
      <c r="C916" s="49"/>
      <c r="D916" s="46"/>
      <c r="E916" s="46"/>
      <c r="F916" s="46"/>
      <c r="G916" s="46"/>
      <c r="H916" s="46"/>
      <c r="I916" s="50"/>
      <c r="J916" s="50"/>
      <c r="K916" s="51" t="str">
        <f>IFERROR(__xludf.DUMMYFUNCTION("""COMPUTED_VALUE"""),"")</f>
        <v/>
      </c>
      <c r="L916" s="46" t="str">
        <f>IFERROR(__xludf.DUMMYFUNCTION("""COMPUTED_VALUE"""),"")</f>
        <v/>
      </c>
      <c r="M916" s="46" t="str">
        <f>IFERROR(__xludf.DUMMYFUNCTION("""COMPUTED_VALUE"""),"")</f>
        <v/>
      </c>
      <c r="N916" s="46" t="str">
        <f>IFERROR(__xludf.DUMMYFUNCTION("""COMPUTED_VALUE"""),"")</f>
        <v/>
      </c>
      <c r="O916" s="48"/>
      <c r="P916" s="52" t="str">
        <f>IFERROR(__xludf.DUMMYFUNCTION("""COMPUTED_VALUE"""),"")</f>
        <v/>
      </c>
    </row>
    <row r="917">
      <c r="A917" s="48" t="str">
        <f>IFERROR(__xludf.DUMMYFUNCTION("""COMPUTED_VALUE"""),"")</f>
        <v/>
      </c>
      <c r="B917" s="48"/>
      <c r="C917" s="49"/>
      <c r="D917" s="46"/>
      <c r="E917" s="46"/>
      <c r="F917" s="46"/>
      <c r="G917" s="46"/>
      <c r="H917" s="46"/>
      <c r="I917" s="50"/>
      <c r="J917" s="50"/>
      <c r="K917" s="51" t="str">
        <f>IFERROR(__xludf.DUMMYFUNCTION("""COMPUTED_VALUE"""),"")</f>
        <v/>
      </c>
      <c r="L917" s="46" t="str">
        <f>IFERROR(__xludf.DUMMYFUNCTION("""COMPUTED_VALUE"""),"")</f>
        <v/>
      </c>
      <c r="M917" s="46" t="str">
        <f>IFERROR(__xludf.DUMMYFUNCTION("""COMPUTED_VALUE"""),"")</f>
        <v/>
      </c>
      <c r="N917" s="46" t="str">
        <f>IFERROR(__xludf.DUMMYFUNCTION("""COMPUTED_VALUE"""),"")</f>
        <v/>
      </c>
      <c r="O917" s="48"/>
      <c r="P917" s="52" t="str">
        <f>IFERROR(__xludf.DUMMYFUNCTION("""COMPUTED_VALUE"""),"")</f>
        <v/>
      </c>
    </row>
    <row r="918">
      <c r="A918" s="48" t="str">
        <f>IFERROR(__xludf.DUMMYFUNCTION("""COMPUTED_VALUE"""),"")</f>
        <v/>
      </c>
      <c r="B918" s="48"/>
      <c r="C918" s="49"/>
      <c r="D918" s="46"/>
      <c r="E918" s="46"/>
      <c r="F918" s="46"/>
      <c r="G918" s="46"/>
      <c r="H918" s="46"/>
      <c r="I918" s="50"/>
      <c r="J918" s="50"/>
      <c r="K918" s="51" t="str">
        <f>IFERROR(__xludf.DUMMYFUNCTION("""COMPUTED_VALUE"""),"")</f>
        <v/>
      </c>
      <c r="L918" s="46" t="str">
        <f>IFERROR(__xludf.DUMMYFUNCTION("""COMPUTED_VALUE"""),"")</f>
        <v/>
      </c>
      <c r="M918" s="46" t="str">
        <f>IFERROR(__xludf.DUMMYFUNCTION("""COMPUTED_VALUE"""),"")</f>
        <v/>
      </c>
      <c r="N918" s="46" t="str">
        <f>IFERROR(__xludf.DUMMYFUNCTION("""COMPUTED_VALUE"""),"")</f>
        <v/>
      </c>
      <c r="O918" s="48"/>
      <c r="P918" s="52" t="str">
        <f>IFERROR(__xludf.DUMMYFUNCTION("""COMPUTED_VALUE"""),"")</f>
        <v/>
      </c>
    </row>
    <row r="919">
      <c r="A919" s="48" t="str">
        <f>IFERROR(__xludf.DUMMYFUNCTION("""COMPUTED_VALUE"""),"")</f>
        <v/>
      </c>
      <c r="B919" s="48"/>
      <c r="C919" s="49"/>
      <c r="D919" s="46"/>
      <c r="E919" s="46"/>
      <c r="F919" s="46"/>
      <c r="G919" s="46"/>
      <c r="H919" s="46"/>
      <c r="I919" s="50"/>
      <c r="J919" s="50"/>
      <c r="K919" s="51" t="str">
        <f>IFERROR(__xludf.DUMMYFUNCTION("""COMPUTED_VALUE"""),"")</f>
        <v/>
      </c>
      <c r="L919" s="46" t="str">
        <f>IFERROR(__xludf.DUMMYFUNCTION("""COMPUTED_VALUE"""),"")</f>
        <v/>
      </c>
      <c r="M919" s="46" t="str">
        <f>IFERROR(__xludf.DUMMYFUNCTION("""COMPUTED_VALUE"""),"")</f>
        <v/>
      </c>
      <c r="N919" s="46" t="str">
        <f>IFERROR(__xludf.DUMMYFUNCTION("""COMPUTED_VALUE"""),"")</f>
        <v/>
      </c>
      <c r="O919" s="48"/>
      <c r="P919" s="52" t="str">
        <f>IFERROR(__xludf.DUMMYFUNCTION("""COMPUTED_VALUE"""),"")</f>
        <v/>
      </c>
    </row>
    <row r="920">
      <c r="A920" s="48" t="str">
        <f>IFERROR(__xludf.DUMMYFUNCTION("""COMPUTED_VALUE"""),"")</f>
        <v/>
      </c>
      <c r="B920" s="48"/>
      <c r="C920" s="49"/>
      <c r="D920" s="46"/>
      <c r="E920" s="46"/>
      <c r="F920" s="46"/>
      <c r="G920" s="46"/>
      <c r="H920" s="46"/>
      <c r="I920" s="50"/>
      <c r="J920" s="50"/>
      <c r="K920" s="51" t="str">
        <f>IFERROR(__xludf.DUMMYFUNCTION("""COMPUTED_VALUE"""),"")</f>
        <v/>
      </c>
      <c r="L920" s="46" t="str">
        <f>IFERROR(__xludf.DUMMYFUNCTION("""COMPUTED_VALUE"""),"")</f>
        <v/>
      </c>
      <c r="M920" s="46" t="str">
        <f>IFERROR(__xludf.DUMMYFUNCTION("""COMPUTED_VALUE"""),"")</f>
        <v/>
      </c>
      <c r="N920" s="46" t="str">
        <f>IFERROR(__xludf.DUMMYFUNCTION("""COMPUTED_VALUE"""),"")</f>
        <v/>
      </c>
      <c r="O920" s="48"/>
      <c r="P920" s="52" t="str">
        <f>IFERROR(__xludf.DUMMYFUNCTION("""COMPUTED_VALUE"""),"")</f>
        <v/>
      </c>
    </row>
    <row r="921">
      <c r="A921" s="48" t="str">
        <f>IFERROR(__xludf.DUMMYFUNCTION("""COMPUTED_VALUE"""),"")</f>
        <v/>
      </c>
      <c r="B921" s="48"/>
      <c r="C921" s="49"/>
      <c r="D921" s="46"/>
      <c r="E921" s="46"/>
      <c r="F921" s="46"/>
      <c r="G921" s="46"/>
      <c r="H921" s="46"/>
      <c r="I921" s="50"/>
      <c r="J921" s="50"/>
      <c r="K921" s="51" t="str">
        <f>IFERROR(__xludf.DUMMYFUNCTION("""COMPUTED_VALUE"""),"")</f>
        <v/>
      </c>
      <c r="L921" s="46" t="str">
        <f>IFERROR(__xludf.DUMMYFUNCTION("""COMPUTED_VALUE"""),"")</f>
        <v/>
      </c>
      <c r="M921" s="46" t="str">
        <f>IFERROR(__xludf.DUMMYFUNCTION("""COMPUTED_VALUE"""),"")</f>
        <v/>
      </c>
      <c r="N921" s="46" t="str">
        <f>IFERROR(__xludf.DUMMYFUNCTION("""COMPUTED_VALUE"""),"")</f>
        <v/>
      </c>
      <c r="O921" s="48"/>
      <c r="P921" s="52" t="str">
        <f>IFERROR(__xludf.DUMMYFUNCTION("""COMPUTED_VALUE"""),"")</f>
        <v/>
      </c>
    </row>
    <row r="922">
      <c r="A922" s="48" t="str">
        <f>IFERROR(__xludf.DUMMYFUNCTION("""COMPUTED_VALUE"""),"")</f>
        <v/>
      </c>
      <c r="B922" s="48"/>
      <c r="C922" s="49"/>
      <c r="D922" s="46"/>
      <c r="E922" s="46"/>
      <c r="F922" s="46"/>
      <c r="G922" s="46"/>
      <c r="H922" s="46"/>
      <c r="I922" s="50"/>
      <c r="J922" s="50"/>
      <c r="K922" s="51" t="str">
        <f>IFERROR(__xludf.DUMMYFUNCTION("""COMPUTED_VALUE"""),"")</f>
        <v/>
      </c>
      <c r="L922" s="46" t="str">
        <f>IFERROR(__xludf.DUMMYFUNCTION("""COMPUTED_VALUE"""),"")</f>
        <v/>
      </c>
      <c r="M922" s="46" t="str">
        <f>IFERROR(__xludf.DUMMYFUNCTION("""COMPUTED_VALUE"""),"")</f>
        <v/>
      </c>
      <c r="N922" s="46" t="str">
        <f>IFERROR(__xludf.DUMMYFUNCTION("""COMPUTED_VALUE"""),"")</f>
        <v/>
      </c>
      <c r="O922" s="48"/>
      <c r="P922" s="52" t="str">
        <f>IFERROR(__xludf.DUMMYFUNCTION("""COMPUTED_VALUE"""),"")</f>
        <v/>
      </c>
    </row>
    <row r="923">
      <c r="A923" s="48" t="str">
        <f>IFERROR(__xludf.DUMMYFUNCTION("""COMPUTED_VALUE"""),"")</f>
        <v/>
      </c>
      <c r="B923" s="48"/>
      <c r="C923" s="49"/>
      <c r="D923" s="46"/>
      <c r="E923" s="46"/>
      <c r="F923" s="46"/>
      <c r="G923" s="46"/>
      <c r="H923" s="46"/>
      <c r="I923" s="50"/>
      <c r="J923" s="50"/>
      <c r="K923" s="51" t="str">
        <f>IFERROR(__xludf.DUMMYFUNCTION("""COMPUTED_VALUE"""),"")</f>
        <v/>
      </c>
      <c r="L923" s="46" t="str">
        <f>IFERROR(__xludf.DUMMYFUNCTION("""COMPUTED_VALUE"""),"")</f>
        <v/>
      </c>
      <c r="M923" s="46" t="str">
        <f>IFERROR(__xludf.DUMMYFUNCTION("""COMPUTED_VALUE"""),"")</f>
        <v/>
      </c>
      <c r="N923" s="46" t="str">
        <f>IFERROR(__xludf.DUMMYFUNCTION("""COMPUTED_VALUE"""),"")</f>
        <v/>
      </c>
      <c r="O923" s="48"/>
      <c r="P923" s="52" t="str">
        <f>IFERROR(__xludf.DUMMYFUNCTION("""COMPUTED_VALUE"""),"")</f>
        <v/>
      </c>
    </row>
    <row r="924">
      <c r="A924" s="48" t="str">
        <f>IFERROR(__xludf.DUMMYFUNCTION("""COMPUTED_VALUE"""),"")</f>
        <v/>
      </c>
      <c r="B924" s="48"/>
      <c r="C924" s="49"/>
      <c r="D924" s="46"/>
      <c r="E924" s="46"/>
      <c r="F924" s="46"/>
      <c r="G924" s="46"/>
      <c r="H924" s="46"/>
      <c r="I924" s="50"/>
      <c r="J924" s="50"/>
      <c r="K924" s="51" t="str">
        <f>IFERROR(__xludf.DUMMYFUNCTION("""COMPUTED_VALUE"""),"")</f>
        <v/>
      </c>
      <c r="L924" s="46" t="str">
        <f>IFERROR(__xludf.DUMMYFUNCTION("""COMPUTED_VALUE"""),"")</f>
        <v/>
      </c>
      <c r="M924" s="46" t="str">
        <f>IFERROR(__xludf.DUMMYFUNCTION("""COMPUTED_VALUE"""),"")</f>
        <v/>
      </c>
      <c r="N924" s="46" t="str">
        <f>IFERROR(__xludf.DUMMYFUNCTION("""COMPUTED_VALUE"""),"")</f>
        <v/>
      </c>
      <c r="O924" s="48"/>
      <c r="P924" s="52" t="str">
        <f>IFERROR(__xludf.DUMMYFUNCTION("""COMPUTED_VALUE"""),"")</f>
        <v/>
      </c>
    </row>
    <row r="925">
      <c r="A925" s="48" t="str">
        <f>IFERROR(__xludf.DUMMYFUNCTION("""COMPUTED_VALUE"""),"")</f>
        <v/>
      </c>
      <c r="B925" s="48"/>
      <c r="C925" s="49"/>
      <c r="D925" s="46"/>
      <c r="E925" s="46"/>
      <c r="F925" s="46"/>
      <c r="G925" s="46"/>
      <c r="H925" s="46"/>
      <c r="I925" s="50"/>
      <c r="J925" s="50"/>
      <c r="K925" s="51" t="str">
        <f>IFERROR(__xludf.DUMMYFUNCTION("""COMPUTED_VALUE"""),"")</f>
        <v/>
      </c>
      <c r="L925" s="46" t="str">
        <f>IFERROR(__xludf.DUMMYFUNCTION("""COMPUTED_VALUE"""),"")</f>
        <v/>
      </c>
      <c r="M925" s="46" t="str">
        <f>IFERROR(__xludf.DUMMYFUNCTION("""COMPUTED_VALUE"""),"")</f>
        <v/>
      </c>
      <c r="N925" s="46" t="str">
        <f>IFERROR(__xludf.DUMMYFUNCTION("""COMPUTED_VALUE"""),"")</f>
        <v/>
      </c>
      <c r="O925" s="48"/>
      <c r="P925" s="52" t="str">
        <f>IFERROR(__xludf.DUMMYFUNCTION("""COMPUTED_VALUE"""),"")</f>
        <v/>
      </c>
    </row>
    <row r="926">
      <c r="A926" s="48" t="str">
        <f>IFERROR(__xludf.DUMMYFUNCTION("""COMPUTED_VALUE"""),"")</f>
        <v/>
      </c>
      <c r="B926" s="48"/>
      <c r="C926" s="49"/>
      <c r="D926" s="46"/>
      <c r="E926" s="46"/>
      <c r="F926" s="46"/>
      <c r="G926" s="46"/>
      <c r="H926" s="46"/>
      <c r="I926" s="50"/>
      <c r="J926" s="50"/>
      <c r="K926" s="51" t="str">
        <f>IFERROR(__xludf.DUMMYFUNCTION("""COMPUTED_VALUE"""),"")</f>
        <v/>
      </c>
      <c r="L926" s="46" t="str">
        <f>IFERROR(__xludf.DUMMYFUNCTION("""COMPUTED_VALUE"""),"")</f>
        <v/>
      </c>
      <c r="M926" s="46" t="str">
        <f>IFERROR(__xludf.DUMMYFUNCTION("""COMPUTED_VALUE"""),"")</f>
        <v/>
      </c>
      <c r="N926" s="46" t="str">
        <f>IFERROR(__xludf.DUMMYFUNCTION("""COMPUTED_VALUE"""),"")</f>
        <v/>
      </c>
      <c r="O926" s="48"/>
      <c r="P926" s="52" t="str">
        <f>IFERROR(__xludf.DUMMYFUNCTION("""COMPUTED_VALUE"""),"")</f>
        <v/>
      </c>
    </row>
    <row r="927">
      <c r="A927" s="48" t="str">
        <f>IFERROR(__xludf.DUMMYFUNCTION("""COMPUTED_VALUE"""),"")</f>
        <v/>
      </c>
      <c r="B927" s="48"/>
      <c r="C927" s="49"/>
      <c r="D927" s="46"/>
      <c r="E927" s="46"/>
      <c r="F927" s="46"/>
      <c r="G927" s="46"/>
      <c r="H927" s="46"/>
      <c r="I927" s="50"/>
      <c r="J927" s="50"/>
      <c r="K927" s="51" t="str">
        <f>IFERROR(__xludf.DUMMYFUNCTION("""COMPUTED_VALUE"""),"")</f>
        <v/>
      </c>
      <c r="L927" s="46" t="str">
        <f>IFERROR(__xludf.DUMMYFUNCTION("""COMPUTED_VALUE"""),"")</f>
        <v/>
      </c>
      <c r="M927" s="46" t="str">
        <f>IFERROR(__xludf.DUMMYFUNCTION("""COMPUTED_VALUE"""),"")</f>
        <v/>
      </c>
      <c r="N927" s="46" t="str">
        <f>IFERROR(__xludf.DUMMYFUNCTION("""COMPUTED_VALUE"""),"")</f>
        <v/>
      </c>
      <c r="O927" s="48"/>
      <c r="P927" s="52" t="str">
        <f>IFERROR(__xludf.DUMMYFUNCTION("""COMPUTED_VALUE"""),"")</f>
        <v/>
      </c>
    </row>
    <row r="928">
      <c r="A928" s="48" t="str">
        <f>IFERROR(__xludf.DUMMYFUNCTION("""COMPUTED_VALUE"""),"")</f>
        <v/>
      </c>
      <c r="B928" s="48"/>
      <c r="C928" s="49"/>
      <c r="D928" s="46"/>
      <c r="E928" s="46"/>
      <c r="F928" s="46"/>
      <c r="G928" s="46"/>
      <c r="H928" s="46"/>
      <c r="I928" s="50"/>
      <c r="J928" s="50"/>
      <c r="K928" s="51" t="str">
        <f>IFERROR(__xludf.DUMMYFUNCTION("""COMPUTED_VALUE"""),"")</f>
        <v/>
      </c>
      <c r="L928" s="46" t="str">
        <f>IFERROR(__xludf.DUMMYFUNCTION("""COMPUTED_VALUE"""),"")</f>
        <v/>
      </c>
      <c r="M928" s="46" t="str">
        <f>IFERROR(__xludf.DUMMYFUNCTION("""COMPUTED_VALUE"""),"")</f>
        <v/>
      </c>
      <c r="N928" s="46" t="str">
        <f>IFERROR(__xludf.DUMMYFUNCTION("""COMPUTED_VALUE"""),"")</f>
        <v/>
      </c>
      <c r="O928" s="48"/>
      <c r="P928" s="52" t="str">
        <f>IFERROR(__xludf.DUMMYFUNCTION("""COMPUTED_VALUE"""),"")</f>
        <v/>
      </c>
    </row>
    <row r="929">
      <c r="A929" s="48" t="str">
        <f>IFERROR(__xludf.DUMMYFUNCTION("""COMPUTED_VALUE"""),"")</f>
        <v/>
      </c>
      <c r="B929" s="48"/>
      <c r="C929" s="49"/>
      <c r="D929" s="46"/>
      <c r="E929" s="46"/>
      <c r="F929" s="46"/>
      <c r="G929" s="46"/>
      <c r="H929" s="46"/>
      <c r="I929" s="50"/>
      <c r="J929" s="50"/>
      <c r="K929" s="51" t="str">
        <f>IFERROR(__xludf.DUMMYFUNCTION("""COMPUTED_VALUE"""),"")</f>
        <v/>
      </c>
      <c r="L929" s="46" t="str">
        <f>IFERROR(__xludf.DUMMYFUNCTION("""COMPUTED_VALUE"""),"")</f>
        <v/>
      </c>
      <c r="M929" s="46" t="str">
        <f>IFERROR(__xludf.DUMMYFUNCTION("""COMPUTED_VALUE"""),"")</f>
        <v/>
      </c>
      <c r="N929" s="46" t="str">
        <f>IFERROR(__xludf.DUMMYFUNCTION("""COMPUTED_VALUE"""),"")</f>
        <v/>
      </c>
      <c r="O929" s="48"/>
      <c r="P929" s="52" t="str">
        <f>IFERROR(__xludf.DUMMYFUNCTION("""COMPUTED_VALUE"""),"")</f>
        <v/>
      </c>
    </row>
    <row r="930">
      <c r="A930" s="48" t="str">
        <f>IFERROR(__xludf.DUMMYFUNCTION("""COMPUTED_VALUE"""),"")</f>
        <v/>
      </c>
      <c r="B930" s="48"/>
      <c r="C930" s="49"/>
      <c r="D930" s="46"/>
      <c r="E930" s="46"/>
      <c r="F930" s="46"/>
      <c r="G930" s="46"/>
      <c r="H930" s="46"/>
      <c r="I930" s="50"/>
      <c r="J930" s="50"/>
      <c r="K930" s="51" t="str">
        <f>IFERROR(__xludf.DUMMYFUNCTION("""COMPUTED_VALUE"""),"")</f>
        <v/>
      </c>
      <c r="L930" s="46" t="str">
        <f>IFERROR(__xludf.DUMMYFUNCTION("""COMPUTED_VALUE"""),"")</f>
        <v/>
      </c>
      <c r="M930" s="46" t="str">
        <f>IFERROR(__xludf.DUMMYFUNCTION("""COMPUTED_VALUE"""),"")</f>
        <v/>
      </c>
      <c r="N930" s="46" t="str">
        <f>IFERROR(__xludf.DUMMYFUNCTION("""COMPUTED_VALUE"""),"")</f>
        <v/>
      </c>
      <c r="O930" s="48"/>
      <c r="P930" s="52" t="str">
        <f>IFERROR(__xludf.DUMMYFUNCTION("""COMPUTED_VALUE"""),"")</f>
        <v/>
      </c>
    </row>
    <row r="931">
      <c r="A931" s="48" t="str">
        <f>IFERROR(__xludf.DUMMYFUNCTION("""COMPUTED_VALUE"""),"")</f>
        <v/>
      </c>
      <c r="B931" s="48"/>
      <c r="C931" s="49"/>
      <c r="D931" s="46"/>
      <c r="E931" s="46"/>
      <c r="F931" s="46"/>
      <c r="G931" s="46"/>
      <c r="H931" s="46"/>
      <c r="I931" s="50"/>
      <c r="J931" s="50"/>
      <c r="K931" s="51" t="str">
        <f>IFERROR(__xludf.DUMMYFUNCTION("""COMPUTED_VALUE"""),"")</f>
        <v/>
      </c>
      <c r="L931" s="46" t="str">
        <f>IFERROR(__xludf.DUMMYFUNCTION("""COMPUTED_VALUE"""),"")</f>
        <v/>
      </c>
      <c r="M931" s="46" t="str">
        <f>IFERROR(__xludf.DUMMYFUNCTION("""COMPUTED_VALUE"""),"")</f>
        <v/>
      </c>
      <c r="N931" s="46" t="str">
        <f>IFERROR(__xludf.DUMMYFUNCTION("""COMPUTED_VALUE"""),"")</f>
        <v/>
      </c>
      <c r="O931" s="48"/>
      <c r="P931" s="52" t="str">
        <f>IFERROR(__xludf.DUMMYFUNCTION("""COMPUTED_VALUE"""),"")</f>
        <v/>
      </c>
    </row>
    <row r="932">
      <c r="A932" s="48" t="str">
        <f>IFERROR(__xludf.DUMMYFUNCTION("""COMPUTED_VALUE"""),"")</f>
        <v/>
      </c>
      <c r="B932" s="48"/>
      <c r="C932" s="49"/>
      <c r="D932" s="46"/>
      <c r="E932" s="46"/>
      <c r="F932" s="46"/>
      <c r="G932" s="46"/>
      <c r="H932" s="46"/>
      <c r="I932" s="50"/>
      <c r="J932" s="50"/>
      <c r="K932" s="51" t="str">
        <f>IFERROR(__xludf.DUMMYFUNCTION("""COMPUTED_VALUE"""),"")</f>
        <v/>
      </c>
      <c r="L932" s="46" t="str">
        <f>IFERROR(__xludf.DUMMYFUNCTION("""COMPUTED_VALUE"""),"")</f>
        <v/>
      </c>
      <c r="M932" s="46" t="str">
        <f>IFERROR(__xludf.DUMMYFUNCTION("""COMPUTED_VALUE"""),"")</f>
        <v/>
      </c>
      <c r="N932" s="46" t="str">
        <f>IFERROR(__xludf.DUMMYFUNCTION("""COMPUTED_VALUE"""),"")</f>
        <v/>
      </c>
      <c r="O932" s="48"/>
      <c r="P932" s="52" t="str">
        <f>IFERROR(__xludf.DUMMYFUNCTION("""COMPUTED_VALUE"""),"")</f>
        <v/>
      </c>
    </row>
    <row r="933">
      <c r="A933" s="48" t="str">
        <f>IFERROR(__xludf.DUMMYFUNCTION("""COMPUTED_VALUE"""),"")</f>
        <v/>
      </c>
      <c r="B933" s="48"/>
      <c r="C933" s="49"/>
      <c r="D933" s="46"/>
      <c r="E933" s="46"/>
      <c r="F933" s="46"/>
      <c r="G933" s="46"/>
      <c r="H933" s="46"/>
      <c r="I933" s="50"/>
      <c r="J933" s="50"/>
      <c r="K933" s="51" t="str">
        <f>IFERROR(__xludf.DUMMYFUNCTION("""COMPUTED_VALUE"""),"")</f>
        <v/>
      </c>
      <c r="L933" s="46" t="str">
        <f>IFERROR(__xludf.DUMMYFUNCTION("""COMPUTED_VALUE"""),"")</f>
        <v/>
      </c>
      <c r="M933" s="46" t="str">
        <f>IFERROR(__xludf.DUMMYFUNCTION("""COMPUTED_VALUE"""),"")</f>
        <v/>
      </c>
      <c r="N933" s="46" t="str">
        <f>IFERROR(__xludf.DUMMYFUNCTION("""COMPUTED_VALUE"""),"")</f>
        <v/>
      </c>
      <c r="O933" s="48"/>
      <c r="P933" s="52" t="str">
        <f>IFERROR(__xludf.DUMMYFUNCTION("""COMPUTED_VALUE"""),"")</f>
        <v/>
      </c>
    </row>
    <row r="934">
      <c r="A934" s="48" t="str">
        <f>IFERROR(__xludf.DUMMYFUNCTION("""COMPUTED_VALUE"""),"")</f>
        <v/>
      </c>
      <c r="B934" s="48"/>
      <c r="C934" s="49"/>
      <c r="D934" s="46"/>
      <c r="E934" s="46"/>
      <c r="F934" s="46"/>
      <c r="G934" s="46"/>
      <c r="H934" s="46"/>
      <c r="I934" s="50"/>
      <c r="J934" s="50"/>
      <c r="K934" s="51" t="str">
        <f>IFERROR(__xludf.DUMMYFUNCTION("""COMPUTED_VALUE"""),"")</f>
        <v/>
      </c>
      <c r="L934" s="46" t="str">
        <f>IFERROR(__xludf.DUMMYFUNCTION("""COMPUTED_VALUE"""),"")</f>
        <v/>
      </c>
      <c r="M934" s="46" t="str">
        <f>IFERROR(__xludf.DUMMYFUNCTION("""COMPUTED_VALUE"""),"")</f>
        <v/>
      </c>
      <c r="N934" s="46" t="str">
        <f>IFERROR(__xludf.DUMMYFUNCTION("""COMPUTED_VALUE"""),"")</f>
        <v/>
      </c>
      <c r="O934" s="48"/>
      <c r="P934" s="52" t="str">
        <f>IFERROR(__xludf.DUMMYFUNCTION("""COMPUTED_VALUE"""),"")</f>
        <v/>
      </c>
    </row>
    <row r="935">
      <c r="A935" s="48" t="str">
        <f>IFERROR(__xludf.DUMMYFUNCTION("""COMPUTED_VALUE"""),"")</f>
        <v/>
      </c>
      <c r="B935" s="48"/>
      <c r="C935" s="49"/>
      <c r="D935" s="46"/>
      <c r="E935" s="46"/>
      <c r="F935" s="46"/>
      <c r="G935" s="46"/>
      <c r="H935" s="46"/>
      <c r="I935" s="50"/>
      <c r="J935" s="50"/>
      <c r="K935" s="51" t="str">
        <f>IFERROR(__xludf.DUMMYFUNCTION("""COMPUTED_VALUE"""),"")</f>
        <v/>
      </c>
      <c r="L935" s="46" t="str">
        <f>IFERROR(__xludf.DUMMYFUNCTION("""COMPUTED_VALUE"""),"")</f>
        <v/>
      </c>
      <c r="M935" s="46" t="str">
        <f>IFERROR(__xludf.DUMMYFUNCTION("""COMPUTED_VALUE"""),"")</f>
        <v/>
      </c>
      <c r="N935" s="46" t="str">
        <f>IFERROR(__xludf.DUMMYFUNCTION("""COMPUTED_VALUE"""),"")</f>
        <v/>
      </c>
      <c r="O935" s="48"/>
      <c r="P935" s="52" t="str">
        <f>IFERROR(__xludf.DUMMYFUNCTION("""COMPUTED_VALUE"""),"")</f>
        <v/>
      </c>
    </row>
    <row r="936">
      <c r="A936" s="48" t="str">
        <f>IFERROR(__xludf.DUMMYFUNCTION("""COMPUTED_VALUE"""),"")</f>
        <v/>
      </c>
      <c r="B936" s="48"/>
      <c r="C936" s="49"/>
      <c r="D936" s="46"/>
      <c r="E936" s="46"/>
      <c r="F936" s="46"/>
      <c r="G936" s="46"/>
      <c r="H936" s="46"/>
      <c r="I936" s="50"/>
      <c r="J936" s="50"/>
      <c r="K936" s="51" t="str">
        <f>IFERROR(__xludf.DUMMYFUNCTION("""COMPUTED_VALUE"""),"")</f>
        <v/>
      </c>
      <c r="L936" s="46" t="str">
        <f>IFERROR(__xludf.DUMMYFUNCTION("""COMPUTED_VALUE"""),"")</f>
        <v/>
      </c>
      <c r="M936" s="46" t="str">
        <f>IFERROR(__xludf.DUMMYFUNCTION("""COMPUTED_VALUE"""),"")</f>
        <v/>
      </c>
      <c r="N936" s="46" t="str">
        <f>IFERROR(__xludf.DUMMYFUNCTION("""COMPUTED_VALUE"""),"")</f>
        <v/>
      </c>
      <c r="O936" s="48"/>
      <c r="P936" s="52" t="str">
        <f>IFERROR(__xludf.DUMMYFUNCTION("""COMPUTED_VALUE"""),"")</f>
        <v/>
      </c>
    </row>
    <row r="937">
      <c r="A937" s="48" t="str">
        <f>IFERROR(__xludf.DUMMYFUNCTION("""COMPUTED_VALUE"""),"")</f>
        <v/>
      </c>
      <c r="B937" s="48"/>
      <c r="C937" s="49"/>
      <c r="D937" s="46"/>
      <c r="E937" s="46"/>
      <c r="F937" s="46"/>
      <c r="G937" s="46"/>
      <c r="H937" s="46"/>
      <c r="I937" s="50"/>
      <c r="J937" s="50"/>
      <c r="K937" s="51" t="str">
        <f>IFERROR(__xludf.DUMMYFUNCTION("""COMPUTED_VALUE"""),"")</f>
        <v/>
      </c>
      <c r="L937" s="46" t="str">
        <f>IFERROR(__xludf.DUMMYFUNCTION("""COMPUTED_VALUE"""),"")</f>
        <v/>
      </c>
      <c r="M937" s="46" t="str">
        <f>IFERROR(__xludf.DUMMYFUNCTION("""COMPUTED_VALUE"""),"")</f>
        <v/>
      </c>
      <c r="N937" s="46" t="str">
        <f>IFERROR(__xludf.DUMMYFUNCTION("""COMPUTED_VALUE"""),"")</f>
        <v/>
      </c>
      <c r="O937" s="48"/>
      <c r="P937" s="52" t="str">
        <f>IFERROR(__xludf.DUMMYFUNCTION("""COMPUTED_VALUE"""),"")</f>
        <v/>
      </c>
    </row>
    <row r="938">
      <c r="A938" s="48" t="str">
        <f>IFERROR(__xludf.DUMMYFUNCTION("""COMPUTED_VALUE"""),"")</f>
        <v/>
      </c>
      <c r="B938" s="48"/>
      <c r="C938" s="49"/>
      <c r="D938" s="46"/>
      <c r="E938" s="46"/>
      <c r="F938" s="46"/>
      <c r="G938" s="46"/>
      <c r="H938" s="46"/>
      <c r="I938" s="50"/>
      <c r="J938" s="50"/>
      <c r="K938" s="51" t="str">
        <f>IFERROR(__xludf.DUMMYFUNCTION("""COMPUTED_VALUE"""),"")</f>
        <v/>
      </c>
      <c r="L938" s="46" t="str">
        <f>IFERROR(__xludf.DUMMYFUNCTION("""COMPUTED_VALUE"""),"")</f>
        <v/>
      </c>
      <c r="M938" s="46" t="str">
        <f>IFERROR(__xludf.DUMMYFUNCTION("""COMPUTED_VALUE"""),"")</f>
        <v/>
      </c>
      <c r="N938" s="46" t="str">
        <f>IFERROR(__xludf.DUMMYFUNCTION("""COMPUTED_VALUE"""),"")</f>
        <v/>
      </c>
      <c r="O938" s="48"/>
      <c r="P938" s="52" t="str">
        <f>IFERROR(__xludf.DUMMYFUNCTION("""COMPUTED_VALUE"""),"")</f>
        <v/>
      </c>
    </row>
    <row r="939">
      <c r="A939" s="48" t="str">
        <f>IFERROR(__xludf.DUMMYFUNCTION("""COMPUTED_VALUE"""),"")</f>
        <v/>
      </c>
      <c r="B939" s="48"/>
      <c r="C939" s="49"/>
      <c r="D939" s="46"/>
      <c r="E939" s="46"/>
      <c r="F939" s="46"/>
      <c r="G939" s="46"/>
      <c r="H939" s="46"/>
      <c r="I939" s="50"/>
      <c r="J939" s="50"/>
      <c r="K939" s="51" t="str">
        <f>IFERROR(__xludf.DUMMYFUNCTION("""COMPUTED_VALUE"""),"")</f>
        <v/>
      </c>
      <c r="L939" s="46" t="str">
        <f>IFERROR(__xludf.DUMMYFUNCTION("""COMPUTED_VALUE"""),"")</f>
        <v/>
      </c>
      <c r="M939" s="46" t="str">
        <f>IFERROR(__xludf.DUMMYFUNCTION("""COMPUTED_VALUE"""),"")</f>
        <v/>
      </c>
      <c r="N939" s="46" t="str">
        <f>IFERROR(__xludf.DUMMYFUNCTION("""COMPUTED_VALUE"""),"")</f>
        <v/>
      </c>
      <c r="O939" s="48"/>
      <c r="P939" s="52" t="str">
        <f>IFERROR(__xludf.DUMMYFUNCTION("""COMPUTED_VALUE"""),"")</f>
        <v/>
      </c>
    </row>
    <row r="940">
      <c r="A940" s="48" t="str">
        <f>IFERROR(__xludf.DUMMYFUNCTION("""COMPUTED_VALUE"""),"")</f>
        <v/>
      </c>
      <c r="B940" s="48"/>
      <c r="C940" s="49"/>
      <c r="D940" s="46"/>
      <c r="E940" s="46"/>
      <c r="F940" s="46"/>
      <c r="G940" s="46"/>
      <c r="H940" s="46"/>
      <c r="I940" s="50"/>
      <c r="J940" s="50"/>
      <c r="K940" s="51" t="str">
        <f>IFERROR(__xludf.DUMMYFUNCTION("""COMPUTED_VALUE"""),"")</f>
        <v/>
      </c>
      <c r="L940" s="46" t="str">
        <f>IFERROR(__xludf.DUMMYFUNCTION("""COMPUTED_VALUE"""),"")</f>
        <v/>
      </c>
      <c r="M940" s="46" t="str">
        <f>IFERROR(__xludf.DUMMYFUNCTION("""COMPUTED_VALUE"""),"")</f>
        <v/>
      </c>
      <c r="N940" s="46" t="str">
        <f>IFERROR(__xludf.DUMMYFUNCTION("""COMPUTED_VALUE"""),"")</f>
        <v/>
      </c>
      <c r="O940" s="48"/>
      <c r="P940" s="52" t="str">
        <f>IFERROR(__xludf.DUMMYFUNCTION("""COMPUTED_VALUE"""),"")</f>
        <v/>
      </c>
    </row>
    <row r="941">
      <c r="A941" s="48" t="str">
        <f>IFERROR(__xludf.DUMMYFUNCTION("""COMPUTED_VALUE"""),"")</f>
        <v/>
      </c>
      <c r="B941" s="48"/>
      <c r="C941" s="49"/>
      <c r="D941" s="46"/>
      <c r="E941" s="46"/>
      <c r="F941" s="46"/>
      <c r="G941" s="46"/>
      <c r="H941" s="46"/>
      <c r="I941" s="50"/>
      <c r="J941" s="50"/>
      <c r="K941" s="51" t="str">
        <f>IFERROR(__xludf.DUMMYFUNCTION("""COMPUTED_VALUE"""),"")</f>
        <v/>
      </c>
      <c r="L941" s="46" t="str">
        <f>IFERROR(__xludf.DUMMYFUNCTION("""COMPUTED_VALUE"""),"")</f>
        <v/>
      </c>
      <c r="M941" s="46" t="str">
        <f>IFERROR(__xludf.DUMMYFUNCTION("""COMPUTED_VALUE"""),"")</f>
        <v/>
      </c>
      <c r="N941" s="46" t="str">
        <f>IFERROR(__xludf.DUMMYFUNCTION("""COMPUTED_VALUE"""),"")</f>
        <v/>
      </c>
      <c r="O941" s="48"/>
      <c r="P941" s="52" t="str">
        <f>IFERROR(__xludf.DUMMYFUNCTION("""COMPUTED_VALUE"""),"")</f>
        <v/>
      </c>
    </row>
    <row r="942">
      <c r="A942" s="48" t="str">
        <f>IFERROR(__xludf.DUMMYFUNCTION("""COMPUTED_VALUE"""),"")</f>
        <v/>
      </c>
      <c r="B942" s="48"/>
      <c r="C942" s="49"/>
      <c r="D942" s="46"/>
      <c r="E942" s="46"/>
      <c r="F942" s="46"/>
      <c r="G942" s="46"/>
      <c r="H942" s="46"/>
      <c r="I942" s="50"/>
      <c r="J942" s="50"/>
      <c r="K942" s="51" t="str">
        <f>IFERROR(__xludf.DUMMYFUNCTION("""COMPUTED_VALUE"""),"")</f>
        <v/>
      </c>
      <c r="L942" s="46" t="str">
        <f>IFERROR(__xludf.DUMMYFUNCTION("""COMPUTED_VALUE"""),"")</f>
        <v/>
      </c>
      <c r="M942" s="46" t="str">
        <f>IFERROR(__xludf.DUMMYFUNCTION("""COMPUTED_VALUE"""),"")</f>
        <v/>
      </c>
      <c r="N942" s="46" t="str">
        <f>IFERROR(__xludf.DUMMYFUNCTION("""COMPUTED_VALUE"""),"")</f>
        <v/>
      </c>
      <c r="O942" s="48"/>
      <c r="P942" s="52" t="str">
        <f>IFERROR(__xludf.DUMMYFUNCTION("""COMPUTED_VALUE"""),"")</f>
        <v/>
      </c>
    </row>
    <row r="943">
      <c r="A943" s="48" t="str">
        <f>IFERROR(__xludf.DUMMYFUNCTION("""COMPUTED_VALUE"""),"")</f>
        <v/>
      </c>
      <c r="B943" s="48"/>
      <c r="C943" s="49"/>
      <c r="D943" s="46"/>
      <c r="E943" s="46"/>
      <c r="F943" s="46"/>
      <c r="G943" s="46"/>
      <c r="H943" s="46"/>
      <c r="I943" s="50"/>
      <c r="J943" s="50"/>
      <c r="K943" s="51" t="str">
        <f>IFERROR(__xludf.DUMMYFUNCTION("""COMPUTED_VALUE"""),"")</f>
        <v/>
      </c>
      <c r="L943" s="46" t="str">
        <f>IFERROR(__xludf.DUMMYFUNCTION("""COMPUTED_VALUE"""),"")</f>
        <v/>
      </c>
      <c r="M943" s="46" t="str">
        <f>IFERROR(__xludf.DUMMYFUNCTION("""COMPUTED_VALUE"""),"")</f>
        <v/>
      </c>
      <c r="N943" s="46" t="str">
        <f>IFERROR(__xludf.DUMMYFUNCTION("""COMPUTED_VALUE"""),"")</f>
        <v/>
      </c>
      <c r="O943" s="48"/>
      <c r="P943" s="52" t="str">
        <f>IFERROR(__xludf.DUMMYFUNCTION("""COMPUTED_VALUE"""),"")</f>
        <v/>
      </c>
    </row>
    <row r="944">
      <c r="A944" s="48" t="str">
        <f>IFERROR(__xludf.DUMMYFUNCTION("""COMPUTED_VALUE"""),"")</f>
        <v/>
      </c>
      <c r="B944" s="48"/>
      <c r="C944" s="49"/>
      <c r="D944" s="46"/>
      <c r="E944" s="46"/>
      <c r="F944" s="46"/>
      <c r="G944" s="46"/>
      <c r="H944" s="46"/>
      <c r="I944" s="50"/>
      <c r="J944" s="50"/>
      <c r="K944" s="51" t="str">
        <f>IFERROR(__xludf.DUMMYFUNCTION("""COMPUTED_VALUE"""),"")</f>
        <v/>
      </c>
      <c r="L944" s="46" t="str">
        <f>IFERROR(__xludf.DUMMYFUNCTION("""COMPUTED_VALUE"""),"")</f>
        <v/>
      </c>
      <c r="M944" s="46" t="str">
        <f>IFERROR(__xludf.DUMMYFUNCTION("""COMPUTED_VALUE"""),"")</f>
        <v/>
      </c>
      <c r="N944" s="46" t="str">
        <f>IFERROR(__xludf.DUMMYFUNCTION("""COMPUTED_VALUE"""),"")</f>
        <v/>
      </c>
      <c r="O944" s="48"/>
      <c r="P944" s="52" t="str">
        <f>IFERROR(__xludf.DUMMYFUNCTION("""COMPUTED_VALUE"""),"")</f>
        <v/>
      </c>
    </row>
    <row r="945">
      <c r="A945" s="48" t="str">
        <f>IFERROR(__xludf.DUMMYFUNCTION("""COMPUTED_VALUE"""),"")</f>
        <v/>
      </c>
      <c r="B945" s="48"/>
      <c r="C945" s="49"/>
      <c r="D945" s="46"/>
      <c r="E945" s="46"/>
      <c r="F945" s="46"/>
      <c r="G945" s="46"/>
      <c r="H945" s="46"/>
      <c r="I945" s="50"/>
      <c r="J945" s="50"/>
      <c r="K945" s="51" t="str">
        <f>IFERROR(__xludf.DUMMYFUNCTION("""COMPUTED_VALUE"""),"")</f>
        <v/>
      </c>
      <c r="L945" s="46" t="str">
        <f>IFERROR(__xludf.DUMMYFUNCTION("""COMPUTED_VALUE"""),"")</f>
        <v/>
      </c>
      <c r="M945" s="46" t="str">
        <f>IFERROR(__xludf.DUMMYFUNCTION("""COMPUTED_VALUE"""),"")</f>
        <v/>
      </c>
      <c r="N945" s="46" t="str">
        <f>IFERROR(__xludf.DUMMYFUNCTION("""COMPUTED_VALUE"""),"")</f>
        <v/>
      </c>
      <c r="O945" s="48"/>
      <c r="P945" s="52" t="str">
        <f>IFERROR(__xludf.DUMMYFUNCTION("""COMPUTED_VALUE"""),"")</f>
        <v/>
      </c>
    </row>
    <row r="946">
      <c r="A946" s="48" t="str">
        <f>IFERROR(__xludf.DUMMYFUNCTION("""COMPUTED_VALUE"""),"")</f>
        <v/>
      </c>
      <c r="B946" s="48"/>
      <c r="C946" s="49"/>
      <c r="D946" s="46"/>
      <c r="E946" s="46"/>
      <c r="F946" s="46"/>
      <c r="G946" s="46"/>
      <c r="H946" s="46"/>
      <c r="I946" s="50"/>
      <c r="J946" s="50"/>
      <c r="K946" s="51" t="str">
        <f>IFERROR(__xludf.DUMMYFUNCTION("""COMPUTED_VALUE"""),"")</f>
        <v/>
      </c>
      <c r="L946" s="46" t="str">
        <f>IFERROR(__xludf.DUMMYFUNCTION("""COMPUTED_VALUE"""),"")</f>
        <v/>
      </c>
      <c r="M946" s="46" t="str">
        <f>IFERROR(__xludf.DUMMYFUNCTION("""COMPUTED_VALUE"""),"")</f>
        <v/>
      </c>
      <c r="N946" s="46" t="str">
        <f>IFERROR(__xludf.DUMMYFUNCTION("""COMPUTED_VALUE"""),"")</f>
        <v/>
      </c>
      <c r="O946" s="48"/>
      <c r="P946" s="52" t="str">
        <f>IFERROR(__xludf.DUMMYFUNCTION("""COMPUTED_VALUE"""),"")</f>
        <v/>
      </c>
    </row>
    <row r="947">
      <c r="A947" s="48" t="str">
        <f>IFERROR(__xludf.DUMMYFUNCTION("""COMPUTED_VALUE"""),"")</f>
        <v/>
      </c>
      <c r="B947" s="48"/>
      <c r="C947" s="49"/>
      <c r="D947" s="46"/>
      <c r="E947" s="46"/>
      <c r="F947" s="46"/>
      <c r="G947" s="46"/>
      <c r="H947" s="46"/>
      <c r="I947" s="50"/>
      <c r="J947" s="50"/>
      <c r="K947" s="51" t="str">
        <f>IFERROR(__xludf.DUMMYFUNCTION("""COMPUTED_VALUE"""),"")</f>
        <v/>
      </c>
      <c r="L947" s="46" t="str">
        <f>IFERROR(__xludf.DUMMYFUNCTION("""COMPUTED_VALUE"""),"")</f>
        <v/>
      </c>
      <c r="M947" s="46" t="str">
        <f>IFERROR(__xludf.DUMMYFUNCTION("""COMPUTED_VALUE"""),"")</f>
        <v/>
      </c>
      <c r="N947" s="46" t="str">
        <f>IFERROR(__xludf.DUMMYFUNCTION("""COMPUTED_VALUE"""),"")</f>
        <v/>
      </c>
      <c r="O947" s="48"/>
      <c r="P947" s="52" t="str">
        <f>IFERROR(__xludf.DUMMYFUNCTION("""COMPUTED_VALUE"""),"")</f>
        <v/>
      </c>
    </row>
    <row r="948">
      <c r="A948" s="48" t="str">
        <f>IFERROR(__xludf.DUMMYFUNCTION("""COMPUTED_VALUE"""),"")</f>
        <v/>
      </c>
      <c r="B948" s="48"/>
      <c r="C948" s="49"/>
      <c r="D948" s="46"/>
      <c r="E948" s="46"/>
      <c r="F948" s="46"/>
      <c r="G948" s="46"/>
      <c r="H948" s="46"/>
      <c r="I948" s="50"/>
      <c r="J948" s="50"/>
      <c r="K948" s="51" t="str">
        <f>IFERROR(__xludf.DUMMYFUNCTION("""COMPUTED_VALUE"""),"")</f>
        <v/>
      </c>
      <c r="L948" s="46" t="str">
        <f>IFERROR(__xludf.DUMMYFUNCTION("""COMPUTED_VALUE"""),"")</f>
        <v/>
      </c>
      <c r="M948" s="46" t="str">
        <f>IFERROR(__xludf.DUMMYFUNCTION("""COMPUTED_VALUE"""),"")</f>
        <v/>
      </c>
      <c r="N948" s="46" t="str">
        <f>IFERROR(__xludf.DUMMYFUNCTION("""COMPUTED_VALUE"""),"")</f>
        <v/>
      </c>
      <c r="O948" s="48"/>
      <c r="P948" s="52" t="str">
        <f>IFERROR(__xludf.DUMMYFUNCTION("""COMPUTED_VALUE"""),"")</f>
        <v/>
      </c>
    </row>
    <row r="949">
      <c r="A949" s="48" t="str">
        <f>IFERROR(__xludf.DUMMYFUNCTION("""COMPUTED_VALUE"""),"")</f>
        <v/>
      </c>
      <c r="B949" s="48"/>
      <c r="C949" s="49"/>
      <c r="D949" s="46"/>
      <c r="E949" s="46"/>
      <c r="F949" s="46"/>
      <c r="G949" s="46"/>
      <c r="H949" s="46"/>
      <c r="I949" s="50"/>
      <c r="J949" s="50"/>
      <c r="K949" s="51" t="str">
        <f>IFERROR(__xludf.DUMMYFUNCTION("""COMPUTED_VALUE"""),"")</f>
        <v/>
      </c>
      <c r="L949" s="46" t="str">
        <f>IFERROR(__xludf.DUMMYFUNCTION("""COMPUTED_VALUE"""),"")</f>
        <v/>
      </c>
      <c r="M949" s="46" t="str">
        <f>IFERROR(__xludf.DUMMYFUNCTION("""COMPUTED_VALUE"""),"")</f>
        <v/>
      </c>
      <c r="N949" s="46" t="str">
        <f>IFERROR(__xludf.DUMMYFUNCTION("""COMPUTED_VALUE"""),"")</f>
        <v/>
      </c>
      <c r="O949" s="48"/>
      <c r="P949" s="52" t="str">
        <f>IFERROR(__xludf.DUMMYFUNCTION("""COMPUTED_VALUE"""),"")</f>
        <v/>
      </c>
    </row>
    <row r="950">
      <c r="A950" s="48" t="str">
        <f>IFERROR(__xludf.DUMMYFUNCTION("""COMPUTED_VALUE"""),"")</f>
        <v/>
      </c>
      <c r="B950" s="48"/>
      <c r="C950" s="49"/>
      <c r="D950" s="46"/>
      <c r="E950" s="46"/>
      <c r="F950" s="46"/>
      <c r="G950" s="46"/>
      <c r="H950" s="46"/>
      <c r="I950" s="50"/>
      <c r="J950" s="50"/>
      <c r="K950" s="51" t="str">
        <f>IFERROR(__xludf.DUMMYFUNCTION("""COMPUTED_VALUE"""),"")</f>
        <v/>
      </c>
      <c r="L950" s="46" t="str">
        <f>IFERROR(__xludf.DUMMYFUNCTION("""COMPUTED_VALUE"""),"")</f>
        <v/>
      </c>
      <c r="M950" s="46" t="str">
        <f>IFERROR(__xludf.DUMMYFUNCTION("""COMPUTED_VALUE"""),"")</f>
        <v/>
      </c>
      <c r="N950" s="46" t="str">
        <f>IFERROR(__xludf.DUMMYFUNCTION("""COMPUTED_VALUE"""),"")</f>
        <v/>
      </c>
      <c r="O950" s="48"/>
      <c r="P950" s="52" t="str">
        <f>IFERROR(__xludf.DUMMYFUNCTION("""COMPUTED_VALUE"""),"")</f>
        <v/>
      </c>
    </row>
    <row r="951">
      <c r="A951" s="48" t="str">
        <f>IFERROR(__xludf.DUMMYFUNCTION("""COMPUTED_VALUE"""),"")</f>
        <v/>
      </c>
      <c r="B951" s="48"/>
      <c r="C951" s="49"/>
      <c r="D951" s="46"/>
      <c r="E951" s="46"/>
      <c r="F951" s="46"/>
      <c r="G951" s="46"/>
      <c r="H951" s="46"/>
      <c r="I951" s="50"/>
      <c r="J951" s="50"/>
      <c r="K951" s="51" t="str">
        <f>IFERROR(__xludf.DUMMYFUNCTION("""COMPUTED_VALUE"""),"")</f>
        <v/>
      </c>
      <c r="L951" s="46" t="str">
        <f>IFERROR(__xludf.DUMMYFUNCTION("""COMPUTED_VALUE"""),"")</f>
        <v/>
      </c>
      <c r="M951" s="46" t="str">
        <f>IFERROR(__xludf.DUMMYFUNCTION("""COMPUTED_VALUE"""),"")</f>
        <v/>
      </c>
      <c r="N951" s="46" t="str">
        <f>IFERROR(__xludf.DUMMYFUNCTION("""COMPUTED_VALUE"""),"")</f>
        <v/>
      </c>
      <c r="O951" s="48"/>
      <c r="P951" s="52" t="str">
        <f>IFERROR(__xludf.DUMMYFUNCTION("""COMPUTED_VALUE"""),"")</f>
        <v/>
      </c>
    </row>
    <row r="952">
      <c r="A952" s="48" t="str">
        <f>IFERROR(__xludf.DUMMYFUNCTION("""COMPUTED_VALUE"""),"")</f>
        <v/>
      </c>
      <c r="B952" s="48"/>
      <c r="C952" s="49"/>
      <c r="D952" s="46"/>
      <c r="E952" s="46"/>
      <c r="F952" s="46"/>
      <c r="G952" s="46"/>
      <c r="H952" s="46"/>
      <c r="I952" s="50"/>
      <c r="J952" s="50"/>
      <c r="K952" s="51" t="str">
        <f>IFERROR(__xludf.DUMMYFUNCTION("""COMPUTED_VALUE"""),"")</f>
        <v/>
      </c>
      <c r="L952" s="46" t="str">
        <f>IFERROR(__xludf.DUMMYFUNCTION("""COMPUTED_VALUE"""),"")</f>
        <v/>
      </c>
      <c r="M952" s="46" t="str">
        <f>IFERROR(__xludf.DUMMYFUNCTION("""COMPUTED_VALUE"""),"")</f>
        <v/>
      </c>
      <c r="N952" s="46" t="str">
        <f>IFERROR(__xludf.DUMMYFUNCTION("""COMPUTED_VALUE"""),"")</f>
        <v/>
      </c>
      <c r="O952" s="48"/>
      <c r="P952" s="52" t="str">
        <f>IFERROR(__xludf.DUMMYFUNCTION("""COMPUTED_VALUE"""),"")</f>
        <v/>
      </c>
    </row>
    <row r="953">
      <c r="A953" s="48" t="str">
        <f>IFERROR(__xludf.DUMMYFUNCTION("""COMPUTED_VALUE"""),"")</f>
        <v/>
      </c>
      <c r="B953" s="48"/>
      <c r="C953" s="49"/>
      <c r="D953" s="46"/>
      <c r="E953" s="46"/>
      <c r="F953" s="46"/>
      <c r="G953" s="46"/>
      <c r="H953" s="46"/>
      <c r="I953" s="50"/>
      <c r="J953" s="50"/>
      <c r="K953" s="51" t="str">
        <f>IFERROR(__xludf.DUMMYFUNCTION("""COMPUTED_VALUE"""),"")</f>
        <v/>
      </c>
      <c r="L953" s="46" t="str">
        <f>IFERROR(__xludf.DUMMYFUNCTION("""COMPUTED_VALUE"""),"")</f>
        <v/>
      </c>
      <c r="M953" s="46" t="str">
        <f>IFERROR(__xludf.DUMMYFUNCTION("""COMPUTED_VALUE"""),"")</f>
        <v/>
      </c>
      <c r="N953" s="46" t="str">
        <f>IFERROR(__xludf.DUMMYFUNCTION("""COMPUTED_VALUE"""),"")</f>
        <v/>
      </c>
      <c r="O953" s="48"/>
      <c r="P953" s="52" t="str">
        <f>IFERROR(__xludf.DUMMYFUNCTION("""COMPUTED_VALUE"""),"")</f>
        <v/>
      </c>
    </row>
    <row r="954">
      <c r="A954" s="48" t="str">
        <f>IFERROR(__xludf.DUMMYFUNCTION("""COMPUTED_VALUE"""),"")</f>
        <v/>
      </c>
      <c r="B954" s="48"/>
      <c r="C954" s="49"/>
      <c r="D954" s="46"/>
      <c r="E954" s="46"/>
      <c r="F954" s="46"/>
      <c r="G954" s="46"/>
      <c r="H954" s="46"/>
      <c r="I954" s="50"/>
      <c r="J954" s="50"/>
      <c r="K954" s="51" t="str">
        <f>IFERROR(__xludf.DUMMYFUNCTION("""COMPUTED_VALUE"""),"")</f>
        <v/>
      </c>
      <c r="L954" s="46" t="str">
        <f>IFERROR(__xludf.DUMMYFUNCTION("""COMPUTED_VALUE"""),"")</f>
        <v/>
      </c>
      <c r="M954" s="46" t="str">
        <f>IFERROR(__xludf.DUMMYFUNCTION("""COMPUTED_VALUE"""),"")</f>
        <v/>
      </c>
      <c r="N954" s="46" t="str">
        <f>IFERROR(__xludf.DUMMYFUNCTION("""COMPUTED_VALUE"""),"")</f>
        <v/>
      </c>
      <c r="O954" s="48"/>
      <c r="P954" s="52" t="str">
        <f>IFERROR(__xludf.DUMMYFUNCTION("""COMPUTED_VALUE"""),"")</f>
        <v/>
      </c>
    </row>
    <row r="955">
      <c r="A955" s="48" t="str">
        <f>IFERROR(__xludf.DUMMYFUNCTION("""COMPUTED_VALUE"""),"")</f>
        <v/>
      </c>
      <c r="B955" s="48"/>
      <c r="C955" s="49"/>
      <c r="D955" s="46"/>
      <c r="E955" s="46"/>
      <c r="F955" s="46"/>
      <c r="G955" s="46"/>
      <c r="H955" s="46"/>
      <c r="I955" s="50"/>
      <c r="J955" s="50"/>
      <c r="K955" s="51" t="str">
        <f>IFERROR(__xludf.DUMMYFUNCTION("""COMPUTED_VALUE"""),"")</f>
        <v/>
      </c>
      <c r="L955" s="46" t="str">
        <f>IFERROR(__xludf.DUMMYFUNCTION("""COMPUTED_VALUE"""),"")</f>
        <v/>
      </c>
      <c r="M955" s="46" t="str">
        <f>IFERROR(__xludf.DUMMYFUNCTION("""COMPUTED_VALUE"""),"")</f>
        <v/>
      </c>
      <c r="N955" s="46" t="str">
        <f>IFERROR(__xludf.DUMMYFUNCTION("""COMPUTED_VALUE"""),"")</f>
        <v/>
      </c>
      <c r="O955" s="48"/>
      <c r="P955" s="52" t="str">
        <f>IFERROR(__xludf.DUMMYFUNCTION("""COMPUTED_VALUE"""),"")</f>
        <v/>
      </c>
    </row>
    <row r="956">
      <c r="A956" s="48" t="str">
        <f>IFERROR(__xludf.DUMMYFUNCTION("""COMPUTED_VALUE"""),"")</f>
        <v/>
      </c>
      <c r="B956" s="48"/>
      <c r="C956" s="49"/>
      <c r="D956" s="46"/>
      <c r="E956" s="46"/>
      <c r="F956" s="46"/>
      <c r="G956" s="46"/>
      <c r="H956" s="46"/>
      <c r="I956" s="50"/>
      <c r="J956" s="50"/>
      <c r="K956" s="51" t="str">
        <f>IFERROR(__xludf.DUMMYFUNCTION("""COMPUTED_VALUE"""),"")</f>
        <v/>
      </c>
      <c r="L956" s="46" t="str">
        <f>IFERROR(__xludf.DUMMYFUNCTION("""COMPUTED_VALUE"""),"")</f>
        <v/>
      </c>
      <c r="M956" s="46" t="str">
        <f>IFERROR(__xludf.DUMMYFUNCTION("""COMPUTED_VALUE"""),"")</f>
        <v/>
      </c>
      <c r="N956" s="46" t="str">
        <f>IFERROR(__xludf.DUMMYFUNCTION("""COMPUTED_VALUE"""),"")</f>
        <v/>
      </c>
      <c r="O956" s="48"/>
      <c r="P956" s="52" t="str">
        <f>IFERROR(__xludf.DUMMYFUNCTION("""COMPUTED_VALUE"""),"")</f>
        <v/>
      </c>
    </row>
    <row r="957">
      <c r="A957" s="48" t="str">
        <f>IFERROR(__xludf.DUMMYFUNCTION("""COMPUTED_VALUE"""),"")</f>
        <v/>
      </c>
      <c r="B957" s="48"/>
      <c r="C957" s="49"/>
      <c r="D957" s="46"/>
      <c r="E957" s="46"/>
      <c r="F957" s="46"/>
      <c r="G957" s="46"/>
      <c r="H957" s="46"/>
      <c r="I957" s="50"/>
      <c r="J957" s="50"/>
      <c r="K957" s="51" t="str">
        <f>IFERROR(__xludf.DUMMYFUNCTION("""COMPUTED_VALUE"""),"")</f>
        <v/>
      </c>
      <c r="L957" s="46" t="str">
        <f>IFERROR(__xludf.DUMMYFUNCTION("""COMPUTED_VALUE"""),"")</f>
        <v/>
      </c>
      <c r="M957" s="46" t="str">
        <f>IFERROR(__xludf.DUMMYFUNCTION("""COMPUTED_VALUE"""),"")</f>
        <v/>
      </c>
      <c r="N957" s="46" t="str">
        <f>IFERROR(__xludf.DUMMYFUNCTION("""COMPUTED_VALUE"""),"")</f>
        <v/>
      </c>
      <c r="O957" s="48"/>
      <c r="P957" s="52" t="str">
        <f>IFERROR(__xludf.DUMMYFUNCTION("""COMPUTED_VALUE"""),"")</f>
        <v/>
      </c>
    </row>
    <row r="958">
      <c r="A958" s="48" t="str">
        <f>IFERROR(__xludf.DUMMYFUNCTION("""COMPUTED_VALUE"""),"")</f>
        <v/>
      </c>
      <c r="B958" s="48"/>
      <c r="C958" s="49"/>
      <c r="D958" s="46"/>
      <c r="E958" s="46"/>
      <c r="F958" s="46"/>
      <c r="G958" s="46"/>
      <c r="H958" s="46"/>
      <c r="I958" s="50"/>
      <c r="J958" s="50"/>
      <c r="K958" s="51" t="str">
        <f>IFERROR(__xludf.DUMMYFUNCTION("""COMPUTED_VALUE"""),"")</f>
        <v/>
      </c>
      <c r="L958" s="46" t="str">
        <f>IFERROR(__xludf.DUMMYFUNCTION("""COMPUTED_VALUE"""),"")</f>
        <v/>
      </c>
      <c r="M958" s="46" t="str">
        <f>IFERROR(__xludf.DUMMYFUNCTION("""COMPUTED_VALUE"""),"")</f>
        <v/>
      </c>
      <c r="N958" s="46" t="str">
        <f>IFERROR(__xludf.DUMMYFUNCTION("""COMPUTED_VALUE"""),"")</f>
        <v/>
      </c>
      <c r="O958" s="48"/>
      <c r="P958" s="52" t="str">
        <f>IFERROR(__xludf.DUMMYFUNCTION("""COMPUTED_VALUE"""),"")</f>
        <v/>
      </c>
    </row>
    <row r="959">
      <c r="A959" s="48" t="str">
        <f>IFERROR(__xludf.DUMMYFUNCTION("""COMPUTED_VALUE"""),"")</f>
        <v/>
      </c>
      <c r="B959" s="48"/>
      <c r="C959" s="49"/>
      <c r="D959" s="46"/>
      <c r="E959" s="46"/>
      <c r="F959" s="46"/>
      <c r="G959" s="46"/>
      <c r="H959" s="46"/>
      <c r="I959" s="50"/>
      <c r="J959" s="50"/>
      <c r="K959" s="51" t="str">
        <f>IFERROR(__xludf.DUMMYFUNCTION("""COMPUTED_VALUE"""),"")</f>
        <v/>
      </c>
      <c r="L959" s="46" t="str">
        <f>IFERROR(__xludf.DUMMYFUNCTION("""COMPUTED_VALUE"""),"")</f>
        <v/>
      </c>
      <c r="M959" s="46" t="str">
        <f>IFERROR(__xludf.DUMMYFUNCTION("""COMPUTED_VALUE"""),"")</f>
        <v/>
      </c>
      <c r="N959" s="46" t="str">
        <f>IFERROR(__xludf.DUMMYFUNCTION("""COMPUTED_VALUE"""),"")</f>
        <v/>
      </c>
      <c r="O959" s="48"/>
      <c r="P959" s="52" t="str">
        <f>IFERROR(__xludf.DUMMYFUNCTION("""COMPUTED_VALUE"""),"")</f>
        <v/>
      </c>
    </row>
    <row r="960">
      <c r="A960" s="48" t="str">
        <f>IFERROR(__xludf.DUMMYFUNCTION("""COMPUTED_VALUE"""),"")</f>
        <v/>
      </c>
      <c r="B960" s="48"/>
      <c r="C960" s="49"/>
      <c r="D960" s="46"/>
      <c r="E960" s="46"/>
      <c r="F960" s="46"/>
      <c r="G960" s="46"/>
      <c r="H960" s="46"/>
      <c r="I960" s="50"/>
      <c r="J960" s="50"/>
      <c r="K960" s="51" t="str">
        <f>IFERROR(__xludf.DUMMYFUNCTION("""COMPUTED_VALUE"""),"")</f>
        <v/>
      </c>
      <c r="L960" s="46" t="str">
        <f>IFERROR(__xludf.DUMMYFUNCTION("""COMPUTED_VALUE"""),"")</f>
        <v/>
      </c>
      <c r="M960" s="46" t="str">
        <f>IFERROR(__xludf.DUMMYFUNCTION("""COMPUTED_VALUE"""),"")</f>
        <v/>
      </c>
      <c r="N960" s="46" t="str">
        <f>IFERROR(__xludf.DUMMYFUNCTION("""COMPUTED_VALUE"""),"")</f>
        <v/>
      </c>
      <c r="O960" s="48"/>
      <c r="P960" s="52" t="str">
        <f>IFERROR(__xludf.DUMMYFUNCTION("""COMPUTED_VALUE"""),"")</f>
        <v/>
      </c>
    </row>
    <row r="961">
      <c r="A961" s="48" t="str">
        <f>IFERROR(__xludf.DUMMYFUNCTION("""COMPUTED_VALUE"""),"")</f>
        <v/>
      </c>
      <c r="B961" s="48"/>
      <c r="C961" s="49"/>
      <c r="D961" s="46"/>
      <c r="E961" s="46"/>
      <c r="F961" s="46"/>
      <c r="G961" s="46"/>
      <c r="H961" s="46"/>
      <c r="I961" s="50"/>
      <c r="J961" s="50"/>
      <c r="K961" s="51" t="str">
        <f>IFERROR(__xludf.DUMMYFUNCTION("""COMPUTED_VALUE"""),"")</f>
        <v/>
      </c>
      <c r="L961" s="46" t="str">
        <f>IFERROR(__xludf.DUMMYFUNCTION("""COMPUTED_VALUE"""),"")</f>
        <v/>
      </c>
      <c r="M961" s="46" t="str">
        <f>IFERROR(__xludf.DUMMYFUNCTION("""COMPUTED_VALUE"""),"")</f>
        <v/>
      </c>
      <c r="N961" s="46" t="str">
        <f>IFERROR(__xludf.DUMMYFUNCTION("""COMPUTED_VALUE"""),"")</f>
        <v/>
      </c>
      <c r="O961" s="48"/>
      <c r="P961" s="52" t="str">
        <f>IFERROR(__xludf.DUMMYFUNCTION("""COMPUTED_VALUE"""),"")</f>
        <v/>
      </c>
    </row>
    <row r="962">
      <c r="A962" s="48" t="str">
        <f>IFERROR(__xludf.DUMMYFUNCTION("""COMPUTED_VALUE"""),"")</f>
        <v/>
      </c>
      <c r="B962" s="48"/>
      <c r="C962" s="49"/>
      <c r="D962" s="46"/>
      <c r="E962" s="46"/>
      <c r="F962" s="46"/>
      <c r="G962" s="46"/>
      <c r="H962" s="46"/>
      <c r="I962" s="50"/>
      <c r="J962" s="50"/>
      <c r="K962" s="51" t="str">
        <f>IFERROR(__xludf.DUMMYFUNCTION("""COMPUTED_VALUE"""),"")</f>
        <v/>
      </c>
      <c r="L962" s="46" t="str">
        <f>IFERROR(__xludf.DUMMYFUNCTION("""COMPUTED_VALUE"""),"")</f>
        <v/>
      </c>
      <c r="M962" s="46" t="str">
        <f>IFERROR(__xludf.DUMMYFUNCTION("""COMPUTED_VALUE"""),"")</f>
        <v/>
      </c>
      <c r="N962" s="46" t="str">
        <f>IFERROR(__xludf.DUMMYFUNCTION("""COMPUTED_VALUE"""),"")</f>
        <v/>
      </c>
      <c r="O962" s="48"/>
      <c r="P962" s="52" t="str">
        <f>IFERROR(__xludf.DUMMYFUNCTION("""COMPUTED_VALUE"""),"")</f>
        <v/>
      </c>
    </row>
    <row r="963">
      <c r="A963" s="48" t="str">
        <f>IFERROR(__xludf.DUMMYFUNCTION("""COMPUTED_VALUE"""),"")</f>
        <v/>
      </c>
      <c r="B963" s="48"/>
      <c r="C963" s="49"/>
      <c r="D963" s="46"/>
      <c r="E963" s="46"/>
      <c r="F963" s="46"/>
      <c r="G963" s="46"/>
      <c r="H963" s="46"/>
      <c r="I963" s="50"/>
      <c r="J963" s="50"/>
      <c r="K963" s="51" t="str">
        <f>IFERROR(__xludf.DUMMYFUNCTION("""COMPUTED_VALUE"""),"")</f>
        <v/>
      </c>
      <c r="L963" s="46" t="str">
        <f>IFERROR(__xludf.DUMMYFUNCTION("""COMPUTED_VALUE"""),"")</f>
        <v/>
      </c>
      <c r="M963" s="46" t="str">
        <f>IFERROR(__xludf.DUMMYFUNCTION("""COMPUTED_VALUE"""),"")</f>
        <v/>
      </c>
      <c r="N963" s="46" t="str">
        <f>IFERROR(__xludf.DUMMYFUNCTION("""COMPUTED_VALUE"""),"")</f>
        <v/>
      </c>
      <c r="O963" s="48"/>
      <c r="P963" s="52" t="str">
        <f>IFERROR(__xludf.DUMMYFUNCTION("""COMPUTED_VALUE"""),"")</f>
        <v/>
      </c>
    </row>
    <row r="964">
      <c r="A964" s="48" t="str">
        <f>IFERROR(__xludf.DUMMYFUNCTION("""COMPUTED_VALUE"""),"")</f>
        <v/>
      </c>
      <c r="B964" s="48"/>
      <c r="C964" s="49"/>
      <c r="D964" s="46"/>
      <c r="E964" s="46"/>
      <c r="F964" s="46"/>
      <c r="G964" s="46"/>
      <c r="H964" s="46"/>
      <c r="I964" s="50"/>
      <c r="J964" s="50"/>
      <c r="K964" s="51" t="str">
        <f>IFERROR(__xludf.DUMMYFUNCTION("""COMPUTED_VALUE"""),"")</f>
        <v/>
      </c>
      <c r="L964" s="46" t="str">
        <f>IFERROR(__xludf.DUMMYFUNCTION("""COMPUTED_VALUE"""),"")</f>
        <v/>
      </c>
      <c r="M964" s="46" t="str">
        <f>IFERROR(__xludf.DUMMYFUNCTION("""COMPUTED_VALUE"""),"")</f>
        <v/>
      </c>
      <c r="N964" s="46" t="str">
        <f>IFERROR(__xludf.DUMMYFUNCTION("""COMPUTED_VALUE"""),"")</f>
        <v/>
      </c>
      <c r="O964" s="48"/>
      <c r="P964" s="52" t="str">
        <f>IFERROR(__xludf.DUMMYFUNCTION("""COMPUTED_VALUE"""),"")</f>
        <v/>
      </c>
    </row>
    <row r="965">
      <c r="A965" s="48" t="str">
        <f>IFERROR(__xludf.DUMMYFUNCTION("""COMPUTED_VALUE"""),"")</f>
        <v/>
      </c>
      <c r="B965" s="48"/>
      <c r="C965" s="49"/>
      <c r="D965" s="46"/>
      <c r="E965" s="46"/>
      <c r="F965" s="46"/>
      <c r="G965" s="46"/>
      <c r="H965" s="46"/>
      <c r="I965" s="50"/>
      <c r="J965" s="50"/>
      <c r="K965" s="51" t="str">
        <f>IFERROR(__xludf.DUMMYFUNCTION("""COMPUTED_VALUE"""),"")</f>
        <v/>
      </c>
      <c r="L965" s="46" t="str">
        <f>IFERROR(__xludf.DUMMYFUNCTION("""COMPUTED_VALUE"""),"")</f>
        <v/>
      </c>
      <c r="M965" s="46" t="str">
        <f>IFERROR(__xludf.DUMMYFUNCTION("""COMPUTED_VALUE"""),"")</f>
        <v/>
      </c>
      <c r="N965" s="46" t="str">
        <f>IFERROR(__xludf.DUMMYFUNCTION("""COMPUTED_VALUE"""),"")</f>
        <v/>
      </c>
      <c r="O965" s="48"/>
      <c r="P965" s="52" t="str">
        <f>IFERROR(__xludf.DUMMYFUNCTION("""COMPUTED_VALUE"""),"")</f>
        <v/>
      </c>
    </row>
    <row r="966">
      <c r="A966" s="48" t="str">
        <f>IFERROR(__xludf.DUMMYFUNCTION("""COMPUTED_VALUE"""),"")</f>
        <v/>
      </c>
      <c r="B966" s="48"/>
      <c r="C966" s="49"/>
      <c r="D966" s="46"/>
      <c r="E966" s="46"/>
      <c r="F966" s="46"/>
      <c r="G966" s="46"/>
      <c r="H966" s="46"/>
      <c r="I966" s="50"/>
      <c r="J966" s="50"/>
      <c r="K966" s="51" t="str">
        <f>IFERROR(__xludf.DUMMYFUNCTION("""COMPUTED_VALUE"""),"")</f>
        <v/>
      </c>
      <c r="L966" s="46" t="str">
        <f>IFERROR(__xludf.DUMMYFUNCTION("""COMPUTED_VALUE"""),"")</f>
        <v/>
      </c>
      <c r="M966" s="46" t="str">
        <f>IFERROR(__xludf.DUMMYFUNCTION("""COMPUTED_VALUE"""),"")</f>
        <v/>
      </c>
      <c r="N966" s="46" t="str">
        <f>IFERROR(__xludf.DUMMYFUNCTION("""COMPUTED_VALUE"""),"")</f>
        <v/>
      </c>
      <c r="O966" s="48"/>
      <c r="P966" s="52" t="str">
        <f>IFERROR(__xludf.DUMMYFUNCTION("""COMPUTED_VALUE"""),"")</f>
        <v/>
      </c>
    </row>
    <row r="967">
      <c r="A967" s="48" t="str">
        <f>IFERROR(__xludf.DUMMYFUNCTION("""COMPUTED_VALUE"""),"")</f>
        <v/>
      </c>
      <c r="B967" s="48"/>
      <c r="C967" s="49"/>
      <c r="D967" s="46"/>
      <c r="E967" s="46"/>
      <c r="F967" s="46"/>
      <c r="G967" s="46"/>
      <c r="H967" s="46"/>
      <c r="I967" s="50"/>
      <c r="J967" s="50"/>
      <c r="K967" s="51" t="str">
        <f>IFERROR(__xludf.DUMMYFUNCTION("""COMPUTED_VALUE"""),"")</f>
        <v/>
      </c>
      <c r="L967" s="46" t="str">
        <f>IFERROR(__xludf.DUMMYFUNCTION("""COMPUTED_VALUE"""),"")</f>
        <v/>
      </c>
      <c r="M967" s="46" t="str">
        <f>IFERROR(__xludf.DUMMYFUNCTION("""COMPUTED_VALUE"""),"")</f>
        <v/>
      </c>
      <c r="N967" s="46" t="str">
        <f>IFERROR(__xludf.DUMMYFUNCTION("""COMPUTED_VALUE"""),"")</f>
        <v/>
      </c>
      <c r="O967" s="48"/>
      <c r="P967" s="52" t="str">
        <f>IFERROR(__xludf.DUMMYFUNCTION("""COMPUTED_VALUE"""),"")</f>
        <v/>
      </c>
    </row>
    <row r="968">
      <c r="A968" s="48" t="str">
        <f>IFERROR(__xludf.DUMMYFUNCTION("""COMPUTED_VALUE"""),"")</f>
        <v/>
      </c>
      <c r="B968" s="48"/>
      <c r="C968" s="49"/>
      <c r="D968" s="46"/>
      <c r="E968" s="46"/>
      <c r="F968" s="46"/>
      <c r="G968" s="46"/>
      <c r="H968" s="46"/>
      <c r="I968" s="50"/>
      <c r="J968" s="50"/>
      <c r="K968" s="51" t="str">
        <f>IFERROR(__xludf.DUMMYFUNCTION("""COMPUTED_VALUE"""),"")</f>
        <v/>
      </c>
      <c r="L968" s="46" t="str">
        <f>IFERROR(__xludf.DUMMYFUNCTION("""COMPUTED_VALUE"""),"")</f>
        <v/>
      </c>
      <c r="M968" s="46" t="str">
        <f>IFERROR(__xludf.DUMMYFUNCTION("""COMPUTED_VALUE"""),"")</f>
        <v/>
      </c>
      <c r="N968" s="46" t="str">
        <f>IFERROR(__xludf.DUMMYFUNCTION("""COMPUTED_VALUE"""),"")</f>
        <v/>
      </c>
      <c r="O968" s="48"/>
      <c r="P968" s="52" t="str">
        <f>IFERROR(__xludf.DUMMYFUNCTION("""COMPUTED_VALUE"""),"")</f>
        <v/>
      </c>
    </row>
    <row r="969">
      <c r="A969" s="48" t="str">
        <f>IFERROR(__xludf.DUMMYFUNCTION("""COMPUTED_VALUE"""),"")</f>
        <v/>
      </c>
      <c r="B969" s="48"/>
      <c r="C969" s="49"/>
      <c r="D969" s="46"/>
      <c r="E969" s="46"/>
      <c r="F969" s="46"/>
      <c r="G969" s="46"/>
      <c r="H969" s="46"/>
      <c r="I969" s="50"/>
      <c r="J969" s="50"/>
      <c r="K969" s="51" t="str">
        <f>IFERROR(__xludf.DUMMYFUNCTION("""COMPUTED_VALUE"""),"")</f>
        <v/>
      </c>
      <c r="L969" s="46" t="str">
        <f>IFERROR(__xludf.DUMMYFUNCTION("""COMPUTED_VALUE"""),"")</f>
        <v/>
      </c>
      <c r="M969" s="46" t="str">
        <f>IFERROR(__xludf.DUMMYFUNCTION("""COMPUTED_VALUE"""),"")</f>
        <v/>
      </c>
      <c r="N969" s="46" t="str">
        <f>IFERROR(__xludf.DUMMYFUNCTION("""COMPUTED_VALUE"""),"")</f>
        <v/>
      </c>
      <c r="O969" s="48"/>
      <c r="P969" s="52" t="str">
        <f>IFERROR(__xludf.DUMMYFUNCTION("""COMPUTED_VALUE"""),"")</f>
        <v/>
      </c>
    </row>
    <row r="970">
      <c r="A970" s="48" t="str">
        <f>IFERROR(__xludf.DUMMYFUNCTION("""COMPUTED_VALUE"""),"")</f>
        <v/>
      </c>
      <c r="B970" s="48"/>
      <c r="C970" s="49"/>
      <c r="D970" s="46"/>
      <c r="E970" s="46"/>
      <c r="F970" s="46"/>
      <c r="G970" s="46"/>
      <c r="H970" s="46"/>
      <c r="I970" s="50"/>
      <c r="J970" s="50"/>
      <c r="K970" s="51" t="str">
        <f>IFERROR(__xludf.DUMMYFUNCTION("""COMPUTED_VALUE"""),"")</f>
        <v/>
      </c>
      <c r="L970" s="46" t="str">
        <f>IFERROR(__xludf.DUMMYFUNCTION("""COMPUTED_VALUE"""),"")</f>
        <v/>
      </c>
      <c r="M970" s="46" t="str">
        <f>IFERROR(__xludf.DUMMYFUNCTION("""COMPUTED_VALUE"""),"")</f>
        <v/>
      </c>
      <c r="N970" s="46" t="str">
        <f>IFERROR(__xludf.DUMMYFUNCTION("""COMPUTED_VALUE"""),"")</f>
        <v/>
      </c>
      <c r="O970" s="48"/>
      <c r="P970" s="52" t="str">
        <f>IFERROR(__xludf.DUMMYFUNCTION("""COMPUTED_VALUE"""),"")</f>
        <v/>
      </c>
    </row>
    <row r="971">
      <c r="A971" s="48" t="str">
        <f>IFERROR(__xludf.DUMMYFUNCTION("""COMPUTED_VALUE"""),"")</f>
        <v/>
      </c>
      <c r="B971" s="48"/>
      <c r="C971" s="49"/>
      <c r="D971" s="46"/>
      <c r="E971" s="46"/>
      <c r="F971" s="46"/>
      <c r="G971" s="46"/>
      <c r="H971" s="46"/>
      <c r="I971" s="50"/>
      <c r="J971" s="50"/>
      <c r="K971" s="51" t="str">
        <f>IFERROR(__xludf.DUMMYFUNCTION("""COMPUTED_VALUE"""),"")</f>
        <v/>
      </c>
      <c r="L971" s="46" t="str">
        <f>IFERROR(__xludf.DUMMYFUNCTION("""COMPUTED_VALUE"""),"")</f>
        <v/>
      </c>
      <c r="M971" s="46" t="str">
        <f>IFERROR(__xludf.DUMMYFUNCTION("""COMPUTED_VALUE"""),"")</f>
        <v/>
      </c>
      <c r="N971" s="46" t="str">
        <f>IFERROR(__xludf.DUMMYFUNCTION("""COMPUTED_VALUE"""),"")</f>
        <v/>
      </c>
      <c r="O971" s="48"/>
      <c r="P971" s="52" t="str">
        <f>IFERROR(__xludf.DUMMYFUNCTION("""COMPUTED_VALUE"""),"")</f>
        <v/>
      </c>
    </row>
    <row r="972">
      <c r="A972" s="48" t="str">
        <f>IFERROR(__xludf.DUMMYFUNCTION("""COMPUTED_VALUE"""),"")</f>
        <v/>
      </c>
      <c r="B972" s="48"/>
      <c r="C972" s="49"/>
      <c r="D972" s="46"/>
      <c r="E972" s="46"/>
      <c r="F972" s="46"/>
      <c r="G972" s="46"/>
      <c r="H972" s="46"/>
      <c r="I972" s="50"/>
      <c r="J972" s="50"/>
      <c r="K972" s="51" t="str">
        <f>IFERROR(__xludf.DUMMYFUNCTION("""COMPUTED_VALUE"""),"")</f>
        <v/>
      </c>
      <c r="L972" s="46" t="str">
        <f>IFERROR(__xludf.DUMMYFUNCTION("""COMPUTED_VALUE"""),"")</f>
        <v/>
      </c>
      <c r="M972" s="46" t="str">
        <f>IFERROR(__xludf.DUMMYFUNCTION("""COMPUTED_VALUE"""),"")</f>
        <v/>
      </c>
      <c r="N972" s="46" t="str">
        <f>IFERROR(__xludf.DUMMYFUNCTION("""COMPUTED_VALUE"""),"")</f>
        <v/>
      </c>
      <c r="O972" s="48"/>
      <c r="P972" s="52" t="str">
        <f>IFERROR(__xludf.DUMMYFUNCTION("""COMPUTED_VALUE"""),"")</f>
        <v/>
      </c>
    </row>
    <row r="973">
      <c r="A973" s="48" t="str">
        <f>IFERROR(__xludf.DUMMYFUNCTION("""COMPUTED_VALUE"""),"")</f>
        <v/>
      </c>
      <c r="B973" s="48"/>
      <c r="C973" s="49"/>
      <c r="D973" s="46"/>
      <c r="E973" s="46"/>
      <c r="F973" s="46"/>
      <c r="G973" s="46"/>
      <c r="H973" s="46"/>
      <c r="I973" s="50"/>
      <c r="J973" s="50"/>
      <c r="K973" s="51" t="str">
        <f>IFERROR(__xludf.DUMMYFUNCTION("""COMPUTED_VALUE"""),"")</f>
        <v/>
      </c>
      <c r="L973" s="46" t="str">
        <f>IFERROR(__xludf.DUMMYFUNCTION("""COMPUTED_VALUE"""),"")</f>
        <v/>
      </c>
      <c r="M973" s="46" t="str">
        <f>IFERROR(__xludf.DUMMYFUNCTION("""COMPUTED_VALUE"""),"")</f>
        <v/>
      </c>
      <c r="N973" s="46" t="str">
        <f>IFERROR(__xludf.DUMMYFUNCTION("""COMPUTED_VALUE"""),"")</f>
        <v/>
      </c>
      <c r="O973" s="48"/>
      <c r="P973" s="52" t="str">
        <f>IFERROR(__xludf.DUMMYFUNCTION("""COMPUTED_VALUE"""),"")</f>
        <v/>
      </c>
    </row>
    <row r="974">
      <c r="A974" s="48" t="str">
        <f>IFERROR(__xludf.DUMMYFUNCTION("""COMPUTED_VALUE"""),"")</f>
        <v/>
      </c>
      <c r="B974" s="48"/>
      <c r="C974" s="49"/>
      <c r="D974" s="46"/>
      <c r="E974" s="46"/>
      <c r="F974" s="46"/>
      <c r="G974" s="46"/>
      <c r="H974" s="46"/>
      <c r="I974" s="50"/>
      <c r="J974" s="50"/>
      <c r="K974" s="51" t="str">
        <f>IFERROR(__xludf.DUMMYFUNCTION("""COMPUTED_VALUE"""),"")</f>
        <v/>
      </c>
      <c r="L974" s="46" t="str">
        <f>IFERROR(__xludf.DUMMYFUNCTION("""COMPUTED_VALUE"""),"")</f>
        <v/>
      </c>
      <c r="M974" s="46" t="str">
        <f>IFERROR(__xludf.DUMMYFUNCTION("""COMPUTED_VALUE"""),"")</f>
        <v/>
      </c>
      <c r="N974" s="46" t="str">
        <f>IFERROR(__xludf.DUMMYFUNCTION("""COMPUTED_VALUE"""),"")</f>
        <v/>
      </c>
      <c r="O974" s="48"/>
      <c r="P974" s="52" t="str">
        <f>IFERROR(__xludf.DUMMYFUNCTION("""COMPUTED_VALUE"""),"")</f>
        <v/>
      </c>
    </row>
    <row r="975">
      <c r="A975" s="48" t="str">
        <f>IFERROR(__xludf.DUMMYFUNCTION("""COMPUTED_VALUE"""),"")</f>
        <v/>
      </c>
      <c r="B975" s="48"/>
      <c r="C975" s="49"/>
      <c r="D975" s="46"/>
      <c r="E975" s="46"/>
      <c r="F975" s="46"/>
      <c r="G975" s="46"/>
      <c r="H975" s="46"/>
      <c r="I975" s="50"/>
      <c r="J975" s="50"/>
      <c r="K975" s="51" t="str">
        <f>IFERROR(__xludf.DUMMYFUNCTION("""COMPUTED_VALUE"""),"")</f>
        <v/>
      </c>
      <c r="L975" s="46" t="str">
        <f>IFERROR(__xludf.DUMMYFUNCTION("""COMPUTED_VALUE"""),"")</f>
        <v/>
      </c>
      <c r="M975" s="46" t="str">
        <f>IFERROR(__xludf.DUMMYFUNCTION("""COMPUTED_VALUE"""),"")</f>
        <v/>
      </c>
      <c r="N975" s="46" t="str">
        <f>IFERROR(__xludf.DUMMYFUNCTION("""COMPUTED_VALUE"""),"")</f>
        <v/>
      </c>
      <c r="O975" s="48"/>
      <c r="P975" s="52" t="str">
        <f>IFERROR(__xludf.DUMMYFUNCTION("""COMPUTED_VALUE"""),"")</f>
        <v/>
      </c>
    </row>
    <row r="976">
      <c r="A976" s="48" t="str">
        <f>IFERROR(__xludf.DUMMYFUNCTION("""COMPUTED_VALUE"""),"")</f>
        <v/>
      </c>
      <c r="B976" s="48"/>
      <c r="C976" s="49"/>
      <c r="D976" s="46"/>
      <c r="E976" s="46"/>
      <c r="F976" s="46"/>
      <c r="G976" s="46"/>
      <c r="H976" s="46"/>
      <c r="I976" s="50"/>
      <c r="J976" s="50"/>
      <c r="K976" s="51" t="str">
        <f>IFERROR(__xludf.DUMMYFUNCTION("""COMPUTED_VALUE"""),"")</f>
        <v/>
      </c>
      <c r="L976" s="46" t="str">
        <f>IFERROR(__xludf.DUMMYFUNCTION("""COMPUTED_VALUE"""),"")</f>
        <v/>
      </c>
      <c r="M976" s="46" t="str">
        <f>IFERROR(__xludf.DUMMYFUNCTION("""COMPUTED_VALUE"""),"")</f>
        <v/>
      </c>
      <c r="N976" s="46" t="str">
        <f>IFERROR(__xludf.DUMMYFUNCTION("""COMPUTED_VALUE"""),"")</f>
        <v/>
      </c>
      <c r="O976" s="48"/>
      <c r="P976" s="52" t="str">
        <f>IFERROR(__xludf.DUMMYFUNCTION("""COMPUTED_VALUE"""),"")</f>
        <v/>
      </c>
    </row>
    <row r="977">
      <c r="A977" s="48" t="str">
        <f>IFERROR(__xludf.DUMMYFUNCTION("""COMPUTED_VALUE"""),"")</f>
        <v/>
      </c>
      <c r="B977" s="48"/>
      <c r="C977" s="49"/>
      <c r="D977" s="46"/>
      <c r="E977" s="46"/>
      <c r="F977" s="46"/>
      <c r="G977" s="46"/>
      <c r="H977" s="46"/>
      <c r="I977" s="50"/>
      <c r="J977" s="50"/>
      <c r="K977" s="51" t="str">
        <f>IFERROR(__xludf.DUMMYFUNCTION("""COMPUTED_VALUE"""),"")</f>
        <v/>
      </c>
      <c r="L977" s="46" t="str">
        <f>IFERROR(__xludf.DUMMYFUNCTION("""COMPUTED_VALUE"""),"")</f>
        <v/>
      </c>
      <c r="M977" s="46" t="str">
        <f>IFERROR(__xludf.DUMMYFUNCTION("""COMPUTED_VALUE"""),"")</f>
        <v/>
      </c>
      <c r="N977" s="46" t="str">
        <f>IFERROR(__xludf.DUMMYFUNCTION("""COMPUTED_VALUE"""),"")</f>
        <v/>
      </c>
      <c r="O977" s="48"/>
      <c r="P977" s="52" t="str">
        <f>IFERROR(__xludf.DUMMYFUNCTION("""COMPUTED_VALUE"""),"")</f>
        <v/>
      </c>
    </row>
    <row r="978">
      <c r="A978" s="48" t="str">
        <f>IFERROR(__xludf.DUMMYFUNCTION("""COMPUTED_VALUE"""),"")</f>
        <v/>
      </c>
      <c r="B978" s="48"/>
      <c r="C978" s="49"/>
      <c r="D978" s="46"/>
      <c r="E978" s="46"/>
      <c r="F978" s="46"/>
      <c r="G978" s="46"/>
      <c r="H978" s="46"/>
      <c r="I978" s="50"/>
      <c r="J978" s="50"/>
      <c r="K978" s="51" t="str">
        <f>IFERROR(__xludf.DUMMYFUNCTION("""COMPUTED_VALUE"""),"")</f>
        <v/>
      </c>
      <c r="L978" s="46" t="str">
        <f>IFERROR(__xludf.DUMMYFUNCTION("""COMPUTED_VALUE"""),"")</f>
        <v/>
      </c>
      <c r="M978" s="46" t="str">
        <f>IFERROR(__xludf.DUMMYFUNCTION("""COMPUTED_VALUE"""),"")</f>
        <v/>
      </c>
      <c r="N978" s="46" t="str">
        <f>IFERROR(__xludf.DUMMYFUNCTION("""COMPUTED_VALUE"""),"")</f>
        <v/>
      </c>
      <c r="O978" s="48"/>
      <c r="P978" s="52" t="str">
        <f>IFERROR(__xludf.DUMMYFUNCTION("""COMPUTED_VALUE"""),"")</f>
        <v/>
      </c>
    </row>
    <row r="979">
      <c r="A979" s="48" t="str">
        <f>IFERROR(__xludf.DUMMYFUNCTION("""COMPUTED_VALUE"""),"")</f>
        <v/>
      </c>
      <c r="B979" s="48"/>
      <c r="C979" s="49"/>
      <c r="D979" s="46"/>
      <c r="E979" s="46"/>
      <c r="F979" s="46"/>
      <c r="G979" s="46"/>
      <c r="H979" s="46"/>
      <c r="I979" s="50"/>
      <c r="J979" s="50"/>
      <c r="K979" s="51" t="str">
        <f>IFERROR(__xludf.DUMMYFUNCTION("""COMPUTED_VALUE"""),"")</f>
        <v/>
      </c>
      <c r="L979" s="46" t="str">
        <f>IFERROR(__xludf.DUMMYFUNCTION("""COMPUTED_VALUE"""),"")</f>
        <v/>
      </c>
      <c r="M979" s="46" t="str">
        <f>IFERROR(__xludf.DUMMYFUNCTION("""COMPUTED_VALUE"""),"")</f>
        <v/>
      </c>
      <c r="N979" s="46" t="str">
        <f>IFERROR(__xludf.DUMMYFUNCTION("""COMPUTED_VALUE"""),"")</f>
        <v/>
      </c>
      <c r="O979" s="48"/>
      <c r="P979" s="52" t="str">
        <f>IFERROR(__xludf.DUMMYFUNCTION("""COMPUTED_VALUE"""),"")</f>
        <v/>
      </c>
    </row>
    <row r="980">
      <c r="A980" s="48" t="str">
        <f>IFERROR(__xludf.DUMMYFUNCTION("""COMPUTED_VALUE"""),"")</f>
        <v/>
      </c>
      <c r="B980" s="48"/>
      <c r="C980" s="49"/>
      <c r="D980" s="46"/>
      <c r="E980" s="46"/>
      <c r="F980" s="46"/>
      <c r="G980" s="46"/>
      <c r="H980" s="46"/>
      <c r="I980" s="50"/>
      <c r="J980" s="50"/>
      <c r="K980" s="51" t="str">
        <f>IFERROR(__xludf.DUMMYFUNCTION("""COMPUTED_VALUE"""),"")</f>
        <v/>
      </c>
      <c r="L980" s="46" t="str">
        <f>IFERROR(__xludf.DUMMYFUNCTION("""COMPUTED_VALUE"""),"")</f>
        <v/>
      </c>
      <c r="M980" s="46" t="str">
        <f>IFERROR(__xludf.DUMMYFUNCTION("""COMPUTED_VALUE"""),"")</f>
        <v/>
      </c>
      <c r="N980" s="46" t="str">
        <f>IFERROR(__xludf.DUMMYFUNCTION("""COMPUTED_VALUE"""),"")</f>
        <v/>
      </c>
      <c r="O980" s="48"/>
      <c r="P980" s="52" t="str">
        <f>IFERROR(__xludf.DUMMYFUNCTION("""COMPUTED_VALUE"""),"")</f>
        <v/>
      </c>
    </row>
    <row r="981">
      <c r="A981" s="48" t="str">
        <f>IFERROR(__xludf.DUMMYFUNCTION("""COMPUTED_VALUE"""),"")</f>
        <v/>
      </c>
      <c r="B981" s="48"/>
      <c r="C981" s="49"/>
      <c r="D981" s="46"/>
      <c r="E981" s="46"/>
      <c r="F981" s="46"/>
      <c r="G981" s="46"/>
      <c r="H981" s="46"/>
      <c r="I981" s="50"/>
      <c r="J981" s="50"/>
      <c r="K981" s="51" t="str">
        <f>IFERROR(__xludf.DUMMYFUNCTION("""COMPUTED_VALUE"""),"")</f>
        <v/>
      </c>
      <c r="L981" s="46" t="str">
        <f>IFERROR(__xludf.DUMMYFUNCTION("""COMPUTED_VALUE"""),"")</f>
        <v/>
      </c>
      <c r="M981" s="46" t="str">
        <f>IFERROR(__xludf.DUMMYFUNCTION("""COMPUTED_VALUE"""),"")</f>
        <v/>
      </c>
      <c r="N981" s="46" t="str">
        <f>IFERROR(__xludf.DUMMYFUNCTION("""COMPUTED_VALUE"""),"")</f>
        <v/>
      </c>
      <c r="O981" s="48"/>
      <c r="P981" s="52" t="str">
        <f>IFERROR(__xludf.DUMMYFUNCTION("""COMPUTED_VALUE"""),"")</f>
        <v/>
      </c>
    </row>
    <row r="982">
      <c r="A982" s="48" t="str">
        <f>IFERROR(__xludf.DUMMYFUNCTION("""COMPUTED_VALUE"""),"")</f>
        <v/>
      </c>
      <c r="B982" s="48"/>
      <c r="C982" s="49"/>
      <c r="D982" s="46"/>
      <c r="E982" s="46"/>
      <c r="F982" s="46"/>
      <c r="G982" s="46"/>
      <c r="H982" s="46"/>
      <c r="I982" s="50"/>
      <c r="J982" s="50"/>
      <c r="K982" s="51" t="str">
        <f>IFERROR(__xludf.DUMMYFUNCTION("""COMPUTED_VALUE"""),"")</f>
        <v/>
      </c>
      <c r="L982" s="46" t="str">
        <f>IFERROR(__xludf.DUMMYFUNCTION("""COMPUTED_VALUE"""),"")</f>
        <v/>
      </c>
      <c r="M982" s="46" t="str">
        <f>IFERROR(__xludf.DUMMYFUNCTION("""COMPUTED_VALUE"""),"")</f>
        <v/>
      </c>
      <c r="N982" s="46" t="str">
        <f>IFERROR(__xludf.DUMMYFUNCTION("""COMPUTED_VALUE"""),"")</f>
        <v/>
      </c>
      <c r="O982" s="48"/>
      <c r="P982" s="52" t="str">
        <f>IFERROR(__xludf.DUMMYFUNCTION("""COMPUTED_VALUE"""),"")</f>
        <v/>
      </c>
    </row>
    <row r="983">
      <c r="A983" s="48" t="str">
        <f>IFERROR(__xludf.DUMMYFUNCTION("""COMPUTED_VALUE"""),"")</f>
        <v/>
      </c>
      <c r="B983" s="48"/>
      <c r="C983" s="49"/>
      <c r="D983" s="46"/>
      <c r="E983" s="46"/>
      <c r="F983" s="46"/>
      <c r="G983" s="46"/>
      <c r="H983" s="46"/>
      <c r="I983" s="50"/>
      <c r="J983" s="50"/>
      <c r="K983" s="51" t="str">
        <f>IFERROR(__xludf.DUMMYFUNCTION("""COMPUTED_VALUE"""),"")</f>
        <v/>
      </c>
      <c r="L983" s="46" t="str">
        <f>IFERROR(__xludf.DUMMYFUNCTION("""COMPUTED_VALUE"""),"")</f>
        <v/>
      </c>
      <c r="M983" s="46" t="str">
        <f>IFERROR(__xludf.DUMMYFUNCTION("""COMPUTED_VALUE"""),"")</f>
        <v/>
      </c>
      <c r="N983" s="46" t="str">
        <f>IFERROR(__xludf.DUMMYFUNCTION("""COMPUTED_VALUE"""),"")</f>
        <v/>
      </c>
      <c r="O983" s="48"/>
      <c r="P983" s="52" t="str">
        <f>IFERROR(__xludf.DUMMYFUNCTION("""COMPUTED_VALUE"""),"")</f>
        <v/>
      </c>
    </row>
    <row r="984">
      <c r="A984" s="48" t="str">
        <f>IFERROR(__xludf.DUMMYFUNCTION("""COMPUTED_VALUE"""),"")</f>
        <v/>
      </c>
      <c r="B984" s="48"/>
      <c r="C984" s="49"/>
      <c r="D984" s="46"/>
      <c r="E984" s="46"/>
      <c r="F984" s="46"/>
      <c r="G984" s="46"/>
      <c r="H984" s="46"/>
      <c r="I984" s="50"/>
      <c r="J984" s="50"/>
      <c r="K984" s="51" t="str">
        <f>IFERROR(__xludf.DUMMYFUNCTION("""COMPUTED_VALUE"""),"")</f>
        <v/>
      </c>
      <c r="L984" s="46" t="str">
        <f>IFERROR(__xludf.DUMMYFUNCTION("""COMPUTED_VALUE"""),"")</f>
        <v/>
      </c>
      <c r="M984" s="46" t="str">
        <f>IFERROR(__xludf.DUMMYFUNCTION("""COMPUTED_VALUE"""),"")</f>
        <v/>
      </c>
      <c r="N984" s="46" t="str">
        <f>IFERROR(__xludf.DUMMYFUNCTION("""COMPUTED_VALUE"""),"")</f>
        <v/>
      </c>
      <c r="O984" s="48"/>
      <c r="P984" s="52" t="str">
        <f>IFERROR(__xludf.DUMMYFUNCTION("""COMPUTED_VALUE"""),"")</f>
        <v/>
      </c>
    </row>
    <row r="985">
      <c r="A985" s="48" t="str">
        <f>IFERROR(__xludf.DUMMYFUNCTION("""COMPUTED_VALUE"""),"")</f>
        <v/>
      </c>
      <c r="B985" s="48"/>
      <c r="C985" s="49"/>
      <c r="D985" s="46"/>
      <c r="E985" s="46"/>
      <c r="F985" s="46"/>
      <c r="G985" s="46"/>
      <c r="H985" s="46"/>
      <c r="I985" s="50"/>
      <c r="J985" s="50"/>
      <c r="K985" s="51" t="str">
        <f>IFERROR(__xludf.DUMMYFUNCTION("""COMPUTED_VALUE"""),"")</f>
        <v/>
      </c>
      <c r="L985" s="46" t="str">
        <f>IFERROR(__xludf.DUMMYFUNCTION("""COMPUTED_VALUE"""),"")</f>
        <v/>
      </c>
      <c r="M985" s="46" t="str">
        <f>IFERROR(__xludf.DUMMYFUNCTION("""COMPUTED_VALUE"""),"")</f>
        <v/>
      </c>
      <c r="N985" s="46" t="str">
        <f>IFERROR(__xludf.DUMMYFUNCTION("""COMPUTED_VALUE"""),"")</f>
        <v/>
      </c>
      <c r="O985" s="48"/>
      <c r="P985" s="52" t="str">
        <f>IFERROR(__xludf.DUMMYFUNCTION("""COMPUTED_VALUE"""),"")</f>
        <v/>
      </c>
    </row>
    <row r="986">
      <c r="A986" s="48" t="str">
        <f>IFERROR(__xludf.DUMMYFUNCTION("""COMPUTED_VALUE"""),"")</f>
        <v/>
      </c>
      <c r="B986" s="48"/>
      <c r="C986" s="49"/>
      <c r="D986" s="46"/>
      <c r="E986" s="46"/>
      <c r="F986" s="46"/>
      <c r="G986" s="46"/>
      <c r="H986" s="46"/>
      <c r="I986" s="50"/>
      <c r="J986" s="50"/>
      <c r="K986" s="51" t="str">
        <f>IFERROR(__xludf.DUMMYFUNCTION("""COMPUTED_VALUE"""),"")</f>
        <v/>
      </c>
      <c r="L986" s="46" t="str">
        <f>IFERROR(__xludf.DUMMYFUNCTION("""COMPUTED_VALUE"""),"")</f>
        <v/>
      </c>
      <c r="M986" s="46" t="str">
        <f>IFERROR(__xludf.DUMMYFUNCTION("""COMPUTED_VALUE"""),"")</f>
        <v/>
      </c>
      <c r="N986" s="46" t="str">
        <f>IFERROR(__xludf.DUMMYFUNCTION("""COMPUTED_VALUE"""),"")</f>
        <v/>
      </c>
      <c r="O986" s="48"/>
      <c r="P986" s="52" t="str">
        <f>IFERROR(__xludf.DUMMYFUNCTION("""COMPUTED_VALUE"""),"")</f>
        <v/>
      </c>
    </row>
    <row r="987">
      <c r="A987" s="48" t="str">
        <f>IFERROR(__xludf.DUMMYFUNCTION("""COMPUTED_VALUE"""),"")</f>
        <v/>
      </c>
      <c r="B987" s="48"/>
      <c r="C987" s="49"/>
      <c r="D987" s="46"/>
      <c r="E987" s="46"/>
      <c r="F987" s="46"/>
      <c r="G987" s="46"/>
      <c r="H987" s="46"/>
      <c r="I987" s="50"/>
      <c r="J987" s="50"/>
      <c r="K987" s="51" t="str">
        <f>IFERROR(__xludf.DUMMYFUNCTION("""COMPUTED_VALUE"""),"")</f>
        <v/>
      </c>
      <c r="L987" s="46" t="str">
        <f>IFERROR(__xludf.DUMMYFUNCTION("""COMPUTED_VALUE"""),"")</f>
        <v/>
      </c>
      <c r="M987" s="46" t="str">
        <f>IFERROR(__xludf.DUMMYFUNCTION("""COMPUTED_VALUE"""),"")</f>
        <v/>
      </c>
      <c r="N987" s="46" t="str">
        <f>IFERROR(__xludf.DUMMYFUNCTION("""COMPUTED_VALUE"""),"")</f>
        <v/>
      </c>
      <c r="O987" s="48"/>
      <c r="P987" s="52" t="str">
        <f>IFERROR(__xludf.DUMMYFUNCTION("""COMPUTED_VALUE"""),"")</f>
        <v/>
      </c>
    </row>
    <row r="988">
      <c r="A988" s="48" t="str">
        <f>IFERROR(__xludf.DUMMYFUNCTION("""COMPUTED_VALUE"""),"")</f>
        <v/>
      </c>
      <c r="B988" s="48"/>
      <c r="C988" s="49"/>
      <c r="D988" s="46"/>
      <c r="E988" s="46"/>
      <c r="F988" s="46"/>
      <c r="G988" s="46"/>
      <c r="H988" s="46"/>
      <c r="I988" s="50"/>
      <c r="J988" s="50"/>
      <c r="K988" s="51" t="str">
        <f>IFERROR(__xludf.DUMMYFUNCTION("""COMPUTED_VALUE"""),"")</f>
        <v/>
      </c>
      <c r="L988" s="46" t="str">
        <f>IFERROR(__xludf.DUMMYFUNCTION("""COMPUTED_VALUE"""),"")</f>
        <v/>
      </c>
      <c r="M988" s="46" t="str">
        <f>IFERROR(__xludf.DUMMYFUNCTION("""COMPUTED_VALUE"""),"")</f>
        <v/>
      </c>
      <c r="N988" s="46" t="str">
        <f>IFERROR(__xludf.DUMMYFUNCTION("""COMPUTED_VALUE"""),"")</f>
        <v/>
      </c>
      <c r="O988" s="48"/>
      <c r="P988" s="52" t="str">
        <f>IFERROR(__xludf.DUMMYFUNCTION("""COMPUTED_VALUE"""),"")</f>
        <v/>
      </c>
    </row>
    <row r="989">
      <c r="A989" s="48" t="str">
        <f>IFERROR(__xludf.DUMMYFUNCTION("""COMPUTED_VALUE"""),"")</f>
        <v/>
      </c>
      <c r="B989" s="48"/>
      <c r="C989" s="49"/>
      <c r="D989" s="46"/>
      <c r="E989" s="46"/>
      <c r="F989" s="46"/>
      <c r="G989" s="46"/>
      <c r="H989" s="46"/>
      <c r="I989" s="50"/>
      <c r="J989" s="50"/>
      <c r="K989" s="51" t="str">
        <f>IFERROR(__xludf.DUMMYFUNCTION("""COMPUTED_VALUE"""),"")</f>
        <v/>
      </c>
      <c r="L989" s="46" t="str">
        <f>IFERROR(__xludf.DUMMYFUNCTION("""COMPUTED_VALUE"""),"")</f>
        <v/>
      </c>
      <c r="M989" s="46" t="str">
        <f>IFERROR(__xludf.DUMMYFUNCTION("""COMPUTED_VALUE"""),"")</f>
        <v/>
      </c>
      <c r="N989" s="46" t="str">
        <f>IFERROR(__xludf.DUMMYFUNCTION("""COMPUTED_VALUE"""),"")</f>
        <v/>
      </c>
      <c r="O989" s="48"/>
      <c r="P989" s="52" t="str">
        <f>IFERROR(__xludf.DUMMYFUNCTION("""COMPUTED_VALUE"""),"")</f>
        <v/>
      </c>
    </row>
    <row r="990">
      <c r="A990" s="48" t="str">
        <f>IFERROR(__xludf.DUMMYFUNCTION("""COMPUTED_VALUE"""),"")</f>
        <v/>
      </c>
      <c r="B990" s="48"/>
      <c r="C990" s="49"/>
      <c r="D990" s="46"/>
      <c r="E990" s="46"/>
      <c r="F990" s="46"/>
      <c r="G990" s="46"/>
      <c r="H990" s="46"/>
      <c r="I990" s="50"/>
      <c r="J990" s="50"/>
      <c r="K990" s="51" t="str">
        <f>IFERROR(__xludf.DUMMYFUNCTION("""COMPUTED_VALUE"""),"")</f>
        <v/>
      </c>
      <c r="L990" s="46" t="str">
        <f>IFERROR(__xludf.DUMMYFUNCTION("""COMPUTED_VALUE"""),"")</f>
        <v/>
      </c>
      <c r="M990" s="46" t="str">
        <f>IFERROR(__xludf.DUMMYFUNCTION("""COMPUTED_VALUE"""),"")</f>
        <v/>
      </c>
      <c r="N990" s="46" t="str">
        <f>IFERROR(__xludf.DUMMYFUNCTION("""COMPUTED_VALUE"""),"")</f>
        <v/>
      </c>
      <c r="O990" s="48"/>
      <c r="P990" s="52" t="str">
        <f>IFERROR(__xludf.DUMMYFUNCTION("""COMPUTED_VALUE"""),"")</f>
        <v/>
      </c>
    </row>
    <row r="991">
      <c r="A991" s="48" t="str">
        <f>IFERROR(__xludf.DUMMYFUNCTION("""COMPUTED_VALUE"""),"")</f>
        <v/>
      </c>
      <c r="B991" s="48"/>
      <c r="C991" s="49"/>
      <c r="D991" s="46"/>
      <c r="E991" s="46"/>
      <c r="F991" s="46"/>
      <c r="G991" s="46"/>
      <c r="H991" s="46"/>
      <c r="I991" s="50"/>
      <c r="J991" s="50"/>
      <c r="K991" s="51" t="str">
        <f>IFERROR(__xludf.DUMMYFUNCTION("""COMPUTED_VALUE"""),"")</f>
        <v/>
      </c>
      <c r="L991" s="46" t="str">
        <f>IFERROR(__xludf.DUMMYFUNCTION("""COMPUTED_VALUE"""),"")</f>
        <v/>
      </c>
      <c r="M991" s="46" t="str">
        <f>IFERROR(__xludf.DUMMYFUNCTION("""COMPUTED_VALUE"""),"")</f>
        <v/>
      </c>
      <c r="N991" s="46" t="str">
        <f>IFERROR(__xludf.DUMMYFUNCTION("""COMPUTED_VALUE"""),"")</f>
        <v/>
      </c>
      <c r="O991" s="48"/>
      <c r="P991" s="52" t="str">
        <f>IFERROR(__xludf.DUMMYFUNCTION("""COMPUTED_VALUE"""),"")</f>
        <v/>
      </c>
    </row>
    <row r="992">
      <c r="A992" s="48" t="str">
        <f>IFERROR(__xludf.DUMMYFUNCTION("""COMPUTED_VALUE"""),"")</f>
        <v/>
      </c>
      <c r="B992" s="48"/>
      <c r="C992" s="49"/>
      <c r="D992" s="46"/>
      <c r="E992" s="46"/>
      <c r="F992" s="46"/>
      <c r="G992" s="46"/>
      <c r="H992" s="46"/>
      <c r="I992" s="50"/>
      <c r="J992" s="50"/>
      <c r="K992" s="51" t="str">
        <f>IFERROR(__xludf.DUMMYFUNCTION("""COMPUTED_VALUE"""),"")</f>
        <v/>
      </c>
      <c r="L992" s="46" t="str">
        <f>IFERROR(__xludf.DUMMYFUNCTION("""COMPUTED_VALUE"""),"")</f>
        <v/>
      </c>
      <c r="M992" s="46" t="str">
        <f>IFERROR(__xludf.DUMMYFUNCTION("""COMPUTED_VALUE"""),"")</f>
        <v/>
      </c>
      <c r="N992" s="46" t="str">
        <f>IFERROR(__xludf.DUMMYFUNCTION("""COMPUTED_VALUE"""),"")</f>
        <v/>
      </c>
      <c r="O992" s="48"/>
      <c r="P992" s="52" t="str">
        <f>IFERROR(__xludf.DUMMYFUNCTION("""COMPUTED_VALUE"""),"")</f>
        <v/>
      </c>
    </row>
    <row r="993">
      <c r="A993" s="48" t="str">
        <f>IFERROR(__xludf.DUMMYFUNCTION("""COMPUTED_VALUE"""),"")</f>
        <v/>
      </c>
      <c r="B993" s="48"/>
      <c r="C993" s="49"/>
      <c r="D993" s="46"/>
      <c r="E993" s="46"/>
      <c r="F993" s="46"/>
      <c r="G993" s="46"/>
      <c r="H993" s="46"/>
      <c r="I993" s="50"/>
      <c r="J993" s="50"/>
      <c r="K993" s="51" t="str">
        <f>IFERROR(__xludf.DUMMYFUNCTION("""COMPUTED_VALUE"""),"")</f>
        <v/>
      </c>
      <c r="L993" s="46" t="str">
        <f>IFERROR(__xludf.DUMMYFUNCTION("""COMPUTED_VALUE"""),"")</f>
        <v/>
      </c>
      <c r="M993" s="46" t="str">
        <f>IFERROR(__xludf.DUMMYFUNCTION("""COMPUTED_VALUE"""),"")</f>
        <v/>
      </c>
      <c r="N993" s="46" t="str">
        <f>IFERROR(__xludf.DUMMYFUNCTION("""COMPUTED_VALUE"""),"")</f>
        <v/>
      </c>
      <c r="O993" s="48"/>
      <c r="P993" s="52" t="str">
        <f>IFERROR(__xludf.DUMMYFUNCTION("""COMPUTED_VALUE"""),"")</f>
        <v/>
      </c>
    </row>
    <row r="994">
      <c r="A994" s="48" t="str">
        <f>IFERROR(__xludf.DUMMYFUNCTION("""COMPUTED_VALUE"""),"")</f>
        <v/>
      </c>
      <c r="B994" s="48"/>
      <c r="C994" s="49"/>
      <c r="D994" s="46"/>
      <c r="E994" s="46"/>
      <c r="F994" s="46"/>
      <c r="G994" s="46"/>
      <c r="H994" s="46"/>
      <c r="I994" s="50"/>
      <c r="J994" s="50"/>
      <c r="K994" s="51" t="str">
        <f>IFERROR(__xludf.DUMMYFUNCTION("""COMPUTED_VALUE"""),"")</f>
        <v/>
      </c>
      <c r="L994" s="46" t="str">
        <f>IFERROR(__xludf.DUMMYFUNCTION("""COMPUTED_VALUE"""),"")</f>
        <v/>
      </c>
      <c r="M994" s="46" t="str">
        <f>IFERROR(__xludf.DUMMYFUNCTION("""COMPUTED_VALUE"""),"")</f>
        <v/>
      </c>
      <c r="N994" s="46" t="str">
        <f>IFERROR(__xludf.DUMMYFUNCTION("""COMPUTED_VALUE"""),"")</f>
        <v/>
      </c>
      <c r="O994" s="48"/>
      <c r="P994" s="52" t="str">
        <f>IFERROR(__xludf.DUMMYFUNCTION("""COMPUTED_VALUE"""),"")</f>
        <v/>
      </c>
    </row>
    <row r="995">
      <c r="A995" s="48" t="str">
        <f>IFERROR(__xludf.DUMMYFUNCTION("""COMPUTED_VALUE"""),"")</f>
        <v/>
      </c>
      <c r="B995" s="48"/>
      <c r="C995" s="49"/>
      <c r="D995" s="46"/>
      <c r="E995" s="46"/>
      <c r="F995" s="46"/>
      <c r="G995" s="46"/>
      <c r="H995" s="46"/>
      <c r="I995" s="50"/>
      <c r="J995" s="50"/>
      <c r="K995" s="51" t="str">
        <f>IFERROR(__xludf.DUMMYFUNCTION("""COMPUTED_VALUE"""),"")</f>
        <v/>
      </c>
      <c r="L995" s="46" t="str">
        <f>IFERROR(__xludf.DUMMYFUNCTION("""COMPUTED_VALUE"""),"")</f>
        <v/>
      </c>
      <c r="M995" s="46" t="str">
        <f>IFERROR(__xludf.DUMMYFUNCTION("""COMPUTED_VALUE"""),"")</f>
        <v/>
      </c>
      <c r="N995" s="46" t="str">
        <f>IFERROR(__xludf.DUMMYFUNCTION("""COMPUTED_VALUE"""),"")</f>
        <v/>
      </c>
      <c r="O995" s="48"/>
      <c r="P995" s="52" t="str">
        <f>IFERROR(__xludf.DUMMYFUNCTION("""COMPUTED_VALUE"""),"")</f>
        <v/>
      </c>
    </row>
    <row r="996">
      <c r="A996" s="48" t="str">
        <f>IFERROR(__xludf.DUMMYFUNCTION("""COMPUTED_VALUE"""),"")</f>
        <v/>
      </c>
      <c r="B996" s="48"/>
      <c r="C996" s="49"/>
      <c r="D996" s="46"/>
      <c r="E996" s="46"/>
      <c r="F996" s="46"/>
      <c r="G996" s="46"/>
      <c r="H996" s="46"/>
      <c r="I996" s="50"/>
      <c r="J996" s="50"/>
      <c r="K996" s="51" t="str">
        <f>IFERROR(__xludf.DUMMYFUNCTION("""COMPUTED_VALUE"""),"")</f>
        <v/>
      </c>
      <c r="L996" s="46" t="str">
        <f>IFERROR(__xludf.DUMMYFUNCTION("""COMPUTED_VALUE"""),"")</f>
        <v/>
      </c>
      <c r="M996" s="46" t="str">
        <f>IFERROR(__xludf.DUMMYFUNCTION("""COMPUTED_VALUE"""),"")</f>
        <v/>
      </c>
      <c r="N996" s="46" t="str">
        <f>IFERROR(__xludf.DUMMYFUNCTION("""COMPUTED_VALUE"""),"")</f>
        <v/>
      </c>
      <c r="O996" s="48"/>
      <c r="P996" s="52" t="str">
        <f>IFERROR(__xludf.DUMMYFUNCTION("""COMPUTED_VALUE"""),"")</f>
        <v/>
      </c>
    </row>
    <row r="997">
      <c r="A997" s="48" t="str">
        <f>IFERROR(__xludf.DUMMYFUNCTION("""COMPUTED_VALUE"""),"")</f>
        <v/>
      </c>
      <c r="B997" s="48"/>
      <c r="C997" s="49"/>
      <c r="D997" s="46"/>
      <c r="E997" s="46"/>
      <c r="F997" s="46"/>
      <c r="G997" s="46"/>
      <c r="H997" s="46"/>
      <c r="I997" s="50"/>
      <c r="J997" s="50"/>
      <c r="K997" s="51" t="str">
        <f>IFERROR(__xludf.DUMMYFUNCTION("""COMPUTED_VALUE"""),"")</f>
        <v/>
      </c>
      <c r="L997" s="46" t="str">
        <f>IFERROR(__xludf.DUMMYFUNCTION("""COMPUTED_VALUE"""),"")</f>
        <v/>
      </c>
      <c r="M997" s="46" t="str">
        <f>IFERROR(__xludf.DUMMYFUNCTION("""COMPUTED_VALUE"""),"")</f>
        <v/>
      </c>
      <c r="N997" s="46" t="str">
        <f>IFERROR(__xludf.DUMMYFUNCTION("""COMPUTED_VALUE"""),"")</f>
        <v/>
      </c>
      <c r="O997" s="48"/>
      <c r="P997" s="52" t="str">
        <f>IFERROR(__xludf.DUMMYFUNCTION("""COMPUTED_VALUE"""),"")</f>
        <v/>
      </c>
    </row>
    <row r="998">
      <c r="A998" s="48" t="str">
        <f>IFERROR(__xludf.DUMMYFUNCTION("""COMPUTED_VALUE"""),"")</f>
        <v/>
      </c>
      <c r="B998" s="48"/>
      <c r="C998" s="49"/>
      <c r="D998" s="46"/>
      <c r="E998" s="46"/>
      <c r="F998" s="46"/>
      <c r="G998" s="46"/>
      <c r="H998" s="46"/>
      <c r="I998" s="50"/>
      <c r="J998" s="50"/>
      <c r="K998" s="51" t="str">
        <f>IFERROR(__xludf.DUMMYFUNCTION("""COMPUTED_VALUE"""),"")</f>
        <v/>
      </c>
      <c r="L998" s="46" t="str">
        <f>IFERROR(__xludf.DUMMYFUNCTION("""COMPUTED_VALUE"""),"")</f>
        <v/>
      </c>
      <c r="M998" s="46" t="str">
        <f>IFERROR(__xludf.DUMMYFUNCTION("""COMPUTED_VALUE"""),"")</f>
        <v/>
      </c>
      <c r="N998" s="46" t="str">
        <f>IFERROR(__xludf.DUMMYFUNCTION("""COMPUTED_VALUE"""),"")</f>
        <v/>
      </c>
      <c r="O998" s="48"/>
      <c r="P998" s="52" t="str">
        <f>IFERROR(__xludf.DUMMYFUNCTION("""COMPUTED_VALUE"""),"")</f>
        <v/>
      </c>
    </row>
    <row r="999">
      <c r="A999" s="48" t="str">
        <f>IFERROR(__xludf.DUMMYFUNCTION("""COMPUTED_VALUE"""),"")</f>
        <v/>
      </c>
      <c r="B999" s="48"/>
      <c r="C999" s="49"/>
      <c r="D999" s="46"/>
      <c r="E999" s="46"/>
      <c r="F999" s="46"/>
      <c r="G999" s="46"/>
      <c r="H999" s="46"/>
      <c r="I999" s="50"/>
      <c r="J999" s="50"/>
      <c r="K999" s="51" t="str">
        <f>IFERROR(__xludf.DUMMYFUNCTION("""COMPUTED_VALUE"""),"")</f>
        <v/>
      </c>
      <c r="L999" s="46" t="str">
        <f>IFERROR(__xludf.DUMMYFUNCTION("""COMPUTED_VALUE"""),"")</f>
        <v/>
      </c>
      <c r="M999" s="46" t="str">
        <f>IFERROR(__xludf.DUMMYFUNCTION("""COMPUTED_VALUE"""),"")</f>
        <v/>
      </c>
      <c r="N999" s="46" t="str">
        <f>IFERROR(__xludf.DUMMYFUNCTION("""COMPUTED_VALUE"""),"")</f>
        <v/>
      </c>
      <c r="O999" s="48"/>
      <c r="P999" s="52" t="str">
        <f>IFERROR(__xludf.DUMMYFUNCTION("""COMPUTED_VALUE"""),"")</f>
        <v/>
      </c>
    </row>
    <row r="1000">
      <c r="A1000" s="48" t="str">
        <f>IFERROR(__xludf.DUMMYFUNCTION("""COMPUTED_VALUE"""),"")</f>
        <v/>
      </c>
      <c r="B1000" s="48"/>
      <c r="C1000" s="49"/>
      <c r="D1000" s="46"/>
      <c r="E1000" s="46"/>
      <c r="F1000" s="46"/>
      <c r="G1000" s="46"/>
      <c r="H1000" s="46"/>
      <c r="I1000" s="50"/>
      <c r="J1000" s="50"/>
      <c r="K1000" s="51" t="str">
        <f>IFERROR(__xludf.DUMMYFUNCTION("""COMPUTED_VALUE"""),"")</f>
        <v/>
      </c>
      <c r="L1000" s="46" t="str">
        <f>IFERROR(__xludf.DUMMYFUNCTION("""COMPUTED_VALUE"""),"")</f>
        <v/>
      </c>
      <c r="M1000" s="46" t="str">
        <f>IFERROR(__xludf.DUMMYFUNCTION("""COMPUTED_VALUE"""),"")</f>
        <v/>
      </c>
      <c r="N1000" s="46" t="str">
        <f>IFERROR(__xludf.DUMMYFUNCTION("""COMPUTED_VALUE"""),"")</f>
        <v/>
      </c>
      <c r="O1000" s="48"/>
      <c r="P1000" s="52" t="str">
        <f>IFERROR(__xludf.DUMMYFUNCTION("""COMPUTED_VALUE"""),"")</f>
        <v/>
      </c>
    </row>
  </sheetData>
  <autoFilter ref="$A$1:$P$154">
    <filterColumn colId="4">
      <filters>
        <filter val="TendiNietzsche"/>
        <filter val="Lmendes"/>
        <filter val="Claudio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63"/>
    <col customWidth="1" min="2" max="2" width="22.0"/>
    <col customWidth="1" min="3" max="5" width="12.75"/>
    <col customWidth="1" min="6" max="6" width="17.38"/>
  </cols>
  <sheetData>
    <row r="1" ht="63.0" customHeight="1">
      <c r="F1" s="54" t="s">
        <v>11</v>
      </c>
      <c r="G1" s="4" t="s">
        <v>12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>
      <c r="F2" s="59">
        <f t="shared" ref="F2:F379" si="1">IF(AND(A2="",B2=""),"",C2/SUM(C2:E2))</f>
        <v>0</v>
      </c>
      <c r="G2" s="60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</row>
    <row r="3">
      <c r="F3" s="59">
        <f t="shared" si="1"/>
        <v>0</v>
      </c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F4" s="59">
        <f t="shared" si="1"/>
        <v>0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</row>
    <row r="5">
      <c r="F5" s="59">
        <f t="shared" si="1"/>
        <v>0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>
      <c r="F6" s="59">
        <f t="shared" si="1"/>
        <v>0.1666666667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>
      <c r="F7" s="59">
        <f t="shared" si="1"/>
        <v>0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>
      <c r="F8" s="59">
        <f t="shared" si="1"/>
        <v>0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</row>
    <row r="9">
      <c r="F9" s="59">
        <f t="shared" si="1"/>
        <v>0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>
      <c r="F10" s="59">
        <f t="shared" si="1"/>
        <v>0.07692307692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</row>
    <row r="11">
      <c r="F11" s="59">
        <f t="shared" si="1"/>
        <v>0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</row>
    <row r="12">
      <c r="F12" s="59">
        <f t="shared" si="1"/>
        <v>0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>
      <c r="F13" s="59">
        <f t="shared" si="1"/>
        <v>0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>
      <c r="F14" s="59">
        <f t="shared" si="1"/>
        <v>0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>
      <c r="F15" s="59">
        <f t="shared" si="1"/>
        <v>0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>
      <c r="F16" s="59">
        <f t="shared" si="1"/>
        <v>0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>
      <c r="F17" s="59">
        <f t="shared" si="1"/>
        <v>0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>
      <c r="F18" s="59">
        <f t="shared" si="1"/>
        <v>0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>
      <c r="F19" s="59">
        <f t="shared" si="1"/>
        <v>0</v>
      </c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>
      <c r="F20" s="59">
        <f t="shared" si="1"/>
        <v>0.4545454545</v>
      </c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>
      <c r="F21" s="59">
        <f t="shared" si="1"/>
        <v>0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>
      <c r="F22" s="59">
        <f t="shared" si="1"/>
        <v>0.3571428571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>
      <c r="F23" s="59">
        <f t="shared" si="1"/>
        <v>0.09090909091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>
      <c r="F24" s="59">
        <f t="shared" si="1"/>
        <v>0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>
      <c r="F25" s="59">
        <f t="shared" si="1"/>
        <v>0.07142857143</v>
      </c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>
      <c r="F26" s="59">
        <f t="shared" si="1"/>
        <v>0.2857142857</v>
      </c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>
      <c r="F27" s="59">
        <f t="shared" si="1"/>
        <v>0.25</v>
      </c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>
      <c r="F28" s="59">
        <f t="shared" si="1"/>
        <v>0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>
      <c r="F29" s="59">
        <f t="shared" si="1"/>
        <v>0</v>
      </c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>
      <c r="F30" s="59">
        <f t="shared" si="1"/>
        <v>0</v>
      </c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</row>
    <row r="31">
      <c r="F31" s="59">
        <f t="shared" si="1"/>
        <v>0</v>
      </c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>
      <c r="F32" s="59">
        <f t="shared" si="1"/>
        <v>0.1428571429</v>
      </c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>
      <c r="F33" s="59">
        <f t="shared" si="1"/>
        <v>0</v>
      </c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>
      <c r="F34" s="59">
        <f t="shared" si="1"/>
        <v>0</v>
      </c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>
      <c r="F35" s="59">
        <f t="shared" si="1"/>
        <v>0</v>
      </c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>
      <c r="F36" s="59">
        <f t="shared" si="1"/>
        <v>0</v>
      </c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>
      <c r="F37" s="59">
        <f t="shared" si="1"/>
        <v>0.3333333333</v>
      </c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>
      <c r="F38" s="59">
        <f t="shared" si="1"/>
        <v>0.3333333333</v>
      </c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>
      <c r="F39" s="59">
        <f t="shared" si="1"/>
        <v>0</v>
      </c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>
      <c r="F40" s="59">
        <f t="shared" si="1"/>
        <v>0</v>
      </c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>
      <c r="F41" s="59">
        <f t="shared" si="1"/>
        <v>0</v>
      </c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>
      <c r="F42" s="59">
        <f t="shared" si="1"/>
        <v>0</v>
      </c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>
      <c r="F43" s="59">
        <f t="shared" si="1"/>
        <v>0.3846153846</v>
      </c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>
      <c r="F44" s="59">
        <f t="shared" si="1"/>
        <v>0</v>
      </c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>
      <c r="F45" s="59">
        <f t="shared" si="1"/>
        <v>0</v>
      </c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>
      <c r="F46" s="59">
        <f t="shared" si="1"/>
        <v>0</v>
      </c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>
      <c r="F47" s="59">
        <f t="shared" si="1"/>
        <v>0.2083333333</v>
      </c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>
      <c r="F48" s="59">
        <f t="shared" si="1"/>
        <v>0.5</v>
      </c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>
      <c r="F49" s="59">
        <f t="shared" si="1"/>
        <v>0.3333333333</v>
      </c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>
      <c r="F50" s="59">
        <f t="shared" si="1"/>
        <v>0.25</v>
      </c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>
      <c r="F51" s="59">
        <f t="shared" si="1"/>
        <v>0.3636363636</v>
      </c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F52" s="59">
        <f t="shared" si="1"/>
        <v>0</v>
      </c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F53" s="59">
        <f t="shared" si="1"/>
        <v>0</v>
      </c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F54" s="59">
        <f t="shared" si="1"/>
        <v>0</v>
      </c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F55" s="59">
        <f t="shared" si="1"/>
        <v>0</v>
      </c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F56" s="59">
        <f t="shared" si="1"/>
        <v>0</v>
      </c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F57" s="59">
        <f t="shared" si="1"/>
        <v>0</v>
      </c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F58" s="59">
        <f t="shared" si="1"/>
        <v>0</v>
      </c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F59" s="59">
        <f t="shared" si="1"/>
        <v>0</v>
      </c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F60" s="59">
        <f t="shared" si="1"/>
        <v>0.5</v>
      </c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F61" s="59">
        <f t="shared" si="1"/>
        <v>0.3333333333</v>
      </c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F62" s="59">
        <f t="shared" si="1"/>
        <v>0.3333333333</v>
      </c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F63" s="59">
        <f t="shared" si="1"/>
        <v>0.3333333333</v>
      </c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F64" s="59">
        <f t="shared" si="1"/>
        <v>0</v>
      </c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F65" s="59">
        <f t="shared" si="1"/>
        <v>0</v>
      </c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F66" s="59">
        <f t="shared" si="1"/>
        <v>0</v>
      </c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F67" s="59">
        <f t="shared" si="1"/>
        <v>0.25</v>
      </c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F68" s="59">
        <f t="shared" si="1"/>
        <v>0</v>
      </c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F69" s="59">
        <f t="shared" si="1"/>
        <v>0</v>
      </c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F70" s="59">
        <f t="shared" si="1"/>
        <v>0.5</v>
      </c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F71" s="59">
        <f t="shared" si="1"/>
        <v>0</v>
      </c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F72" s="59">
        <f t="shared" si="1"/>
        <v>0</v>
      </c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F73" s="59">
        <f t="shared" si="1"/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F74" s="59">
        <f t="shared" si="1"/>
        <v>0</v>
      </c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F75" s="59">
        <f t="shared" si="1"/>
        <v>0.28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F76" s="59">
        <f t="shared" si="1"/>
        <v>0</v>
      </c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F77" s="59">
        <f t="shared" si="1"/>
        <v>0</v>
      </c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F78" s="59">
        <f t="shared" si="1"/>
        <v>0</v>
      </c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F79" s="59">
        <f t="shared" si="1"/>
        <v>0</v>
      </c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F80" s="59">
        <f t="shared" si="1"/>
        <v>0</v>
      </c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F81" s="59">
        <f t="shared" si="1"/>
        <v>0</v>
      </c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F82" s="59">
        <f t="shared" si="1"/>
        <v>0.3333333333</v>
      </c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F83" s="59">
        <f t="shared" si="1"/>
        <v>0</v>
      </c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F84" s="59">
        <f t="shared" si="1"/>
        <v>0.1</v>
      </c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F85" s="59">
        <f t="shared" si="1"/>
        <v>0.5</v>
      </c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F86" s="59">
        <f t="shared" si="1"/>
        <v>0.3333333333</v>
      </c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F87" s="59">
        <f t="shared" si="1"/>
        <v>0.4705882353</v>
      </c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F88" s="59">
        <f t="shared" si="1"/>
        <v>0.5</v>
      </c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F89" s="59">
        <f t="shared" si="1"/>
        <v>0.5</v>
      </c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F90" s="59">
        <f t="shared" si="1"/>
        <v>0.5</v>
      </c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F91" s="59">
        <f t="shared" si="1"/>
        <v>0</v>
      </c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F92" s="59">
        <f t="shared" si="1"/>
        <v>0</v>
      </c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F93" s="59">
        <f t="shared" si="1"/>
        <v>0.25</v>
      </c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F94" s="59">
        <f t="shared" si="1"/>
        <v>0</v>
      </c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F95" s="59">
        <f t="shared" si="1"/>
        <v>0.1428571429</v>
      </c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F96" s="59">
        <f t="shared" si="1"/>
        <v>0</v>
      </c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F97" s="59">
        <f t="shared" si="1"/>
        <v>0</v>
      </c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F98" s="59">
        <f t="shared" si="1"/>
        <v>0.3333333333</v>
      </c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F99" s="59">
        <f t="shared" si="1"/>
        <v>0.3333333333</v>
      </c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F100" s="59">
        <f t="shared" si="1"/>
        <v>0.125</v>
      </c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F101" s="59">
        <f t="shared" si="1"/>
        <v>0</v>
      </c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F102" s="59">
        <f t="shared" si="1"/>
        <v>0.1875</v>
      </c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F103" s="59">
        <f t="shared" si="1"/>
        <v>0</v>
      </c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F104" s="59">
        <f t="shared" si="1"/>
        <v>0</v>
      </c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F105" s="59">
        <f t="shared" si="1"/>
        <v>0</v>
      </c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F106" s="59">
        <f t="shared" si="1"/>
        <v>0</v>
      </c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F107" s="59">
        <f t="shared" si="1"/>
        <v>0</v>
      </c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F108" s="59">
        <f t="shared" si="1"/>
        <v>0</v>
      </c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F109" s="59">
        <f t="shared" si="1"/>
        <v>0</v>
      </c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F110" s="59">
        <f t="shared" si="1"/>
        <v>0</v>
      </c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F111" s="59">
        <f t="shared" si="1"/>
        <v>0.1666666667</v>
      </c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F112" s="59">
        <f t="shared" si="1"/>
        <v>0.3333333333</v>
      </c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F113" s="59">
        <f t="shared" si="1"/>
        <v>0.2222222222</v>
      </c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F114" s="59">
        <f t="shared" si="1"/>
        <v>0</v>
      </c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F115" s="59">
        <f t="shared" si="1"/>
        <v>0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F116" s="59">
        <f t="shared" si="1"/>
        <v>0.6</v>
      </c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F117" s="59">
        <f t="shared" si="1"/>
        <v>0.5</v>
      </c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F118" s="59">
        <f t="shared" si="1"/>
        <v>0</v>
      </c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F119" s="59">
        <f t="shared" si="1"/>
        <v>0.4166666667</v>
      </c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F120" s="59">
        <f t="shared" si="1"/>
        <v>0.5</v>
      </c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F121" s="59">
        <f t="shared" si="1"/>
        <v>0.1428571429</v>
      </c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F122" s="59">
        <f t="shared" si="1"/>
        <v>0.3333333333</v>
      </c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</row>
    <row r="123">
      <c r="F123" s="59">
        <f t="shared" si="1"/>
        <v>0.3333333333</v>
      </c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</row>
    <row r="124">
      <c r="F124" s="59">
        <f t="shared" si="1"/>
        <v>0</v>
      </c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</row>
    <row r="125">
      <c r="F125" s="59">
        <f t="shared" si="1"/>
        <v>0</v>
      </c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</row>
    <row r="126">
      <c r="F126" s="59">
        <f t="shared" si="1"/>
        <v>0.2083333333</v>
      </c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</row>
    <row r="127">
      <c r="F127" s="59">
        <f t="shared" si="1"/>
        <v>0</v>
      </c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</row>
    <row r="128">
      <c r="F128" s="59">
        <f t="shared" si="1"/>
        <v>0</v>
      </c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</row>
    <row r="129">
      <c r="F129" s="59">
        <f t="shared" si="1"/>
        <v>0.3333333333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</row>
    <row r="130">
      <c r="F130" s="59">
        <f t="shared" si="1"/>
        <v>0</v>
      </c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</row>
    <row r="131">
      <c r="F131" s="59">
        <f t="shared" si="1"/>
        <v>0.25</v>
      </c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</row>
    <row r="132">
      <c r="F132" s="59">
        <f t="shared" si="1"/>
        <v>0.3333333333</v>
      </c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</row>
    <row r="133">
      <c r="F133" s="59">
        <f t="shared" si="1"/>
        <v>0.3333333333</v>
      </c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</row>
    <row r="134">
      <c r="F134" s="59">
        <f t="shared" si="1"/>
        <v>0</v>
      </c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</row>
    <row r="135">
      <c r="F135" s="59">
        <f t="shared" si="1"/>
        <v>0</v>
      </c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</row>
    <row r="136">
      <c r="F136" s="59">
        <f t="shared" si="1"/>
        <v>0</v>
      </c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</row>
    <row r="137">
      <c r="F137" s="59">
        <f t="shared" si="1"/>
        <v>0</v>
      </c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>
      <c r="F138" s="59">
        <f t="shared" si="1"/>
        <v>0</v>
      </c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</row>
    <row r="139">
      <c r="F139" s="59">
        <f t="shared" si="1"/>
        <v>0</v>
      </c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>
      <c r="F140" s="59">
        <f t="shared" si="1"/>
        <v>0</v>
      </c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</row>
    <row r="141">
      <c r="F141" s="59">
        <f t="shared" si="1"/>
        <v>0</v>
      </c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</row>
    <row r="142">
      <c r="F142" s="59">
        <f t="shared" si="1"/>
        <v>0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</row>
    <row r="143">
      <c r="F143" s="59">
        <f t="shared" si="1"/>
        <v>0</v>
      </c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</row>
    <row r="144">
      <c r="F144" s="59">
        <f t="shared" si="1"/>
        <v>0.3333333333</v>
      </c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>
      <c r="F145" s="59">
        <f t="shared" si="1"/>
        <v>0.3333333333</v>
      </c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</row>
    <row r="146">
      <c r="F146" s="59">
        <f t="shared" si="1"/>
        <v>0.3333333333</v>
      </c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  <row r="147">
      <c r="F147" s="59">
        <f t="shared" si="1"/>
        <v>0.2857142857</v>
      </c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</row>
    <row r="148">
      <c r="F148" s="59">
        <f t="shared" si="1"/>
        <v>0.1111111111</v>
      </c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  <row r="149">
      <c r="F149" s="59">
        <f t="shared" si="1"/>
        <v>0</v>
      </c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</row>
    <row r="150">
      <c r="F150" s="59">
        <f t="shared" si="1"/>
        <v>0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</row>
    <row r="151">
      <c r="F151" s="59">
        <f t="shared" si="1"/>
        <v>0.15</v>
      </c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</row>
    <row r="152">
      <c r="F152" s="59">
        <f t="shared" si="1"/>
        <v>0.625</v>
      </c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</row>
    <row r="153">
      <c r="F153" s="59">
        <f t="shared" si="1"/>
        <v>0</v>
      </c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</row>
    <row r="154">
      <c r="F154" s="59">
        <f t="shared" si="1"/>
        <v>0.4545454545</v>
      </c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</row>
    <row r="155">
      <c r="F155" s="59">
        <f t="shared" si="1"/>
        <v>0</v>
      </c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</row>
    <row r="156">
      <c r="F156" s="59">
        <f t="shared" si="1"/>
        <v>0</v>
      </c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</row>
    <row r="157">
      <c r="F157" s="59">
        <f t="shared" si="1"/>
        <v>0</v>
      </c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</row>
    <row r="158">
      <c r="F158" s="59">
        <f t="shared" si="1"/>
        <v>0</v>
      </c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</row>
    <row r="159">
      <c r="F159" s="59">
        <f t="shared" si="1"/>
        <v>0.1428571429</v>
      </c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</row>
    <row r="160">
      <c r="F160" s="59">
        <f t="shared" si="1"/>
        <v>0.1666666667</v>
      </c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>
      <c r="F161" s="59">
        <f t="shared" si="1"/>
        <v>0</v>
      </c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</row>
    <row r="162">
      <c r="F162" s="59">
        <f t="shared" si="1"/>
        <v>0.1176470588</v>
      </c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</row>
    <row r="163">
      <c r="F163" s="59">
        <f t="shared" si="1"/>
        <v>0</v>
      </c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</row>
    <row r="164">
      <c r="F164" s="59">
        <f t="shared" si="1"/>
        <v>0</v>
      </c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</row>
    <row r="165">
      <c r="F165" s="59">
        <f t="shared" si="1"/>
        <v>0.3333333333</v>
      </c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</row>
    <row r="166">
      <c r="F166" s="59">
        <f t="shared" si="1"/>
        <v>0</v>
      </c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</row>
    <row r="167">
      <c r="F167" s="59">
        <f t="shared" si="1"/>
        <v>0</v>
      </c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</row>
    <row r="168">
      <c r="F168" s="59">
        <f t="shared" si="1"/>
        <v>0.1428571429</v>
      </c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</row>
    <row r="169">
      <c r="F169" s="59">
        <f t="shared" si="1"/>
        <v>0</v>
      </c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</row>
    <row r="170">
      <c r="F170" s="59">
        <f t="shared" si="1"/>
        <v>0</v>
      </c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</row>
    <row r="171">
      <c r="A171" s="62"/>
      <c r="B171" s="63"/>
      <c r="C171" s="64"/>
      <c r="D171" s="64"/>
      <c r="E171" s="64"/>
      <c r="F171" s="65" t="str">
        <f t="shared" si="1"/>
        <v/>
      </c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</row>
    <row r="172">
      <c r="A172" s="62"/>
      <c r="B172" s="63"/>
      <c r="C172" s="64"/>
      <c r="D172" s="64"/>
      <c r="E172" s="64"/>
      <c r="F172" s="65" t="str">
        <f t="shared" si="1"/>
        <v/>
      </c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</row>
    <row r="173">
      <c r="A173" s="62"/>
      <c r="B173" s="63"/>
      <c r="C173" s="64"/>
      <c r="D173" s="64"/>
      <c r="E173" s="64"/>
      <c r="F173" s="65" t="str">
        <f t="shared" si="1"/>
        <v/>
      </c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</row>
    <row r="174">
      <c r="A174" s="62"/>
      <c r="B174" s="63"/>
      <c r="C174" s="64"/>
      <c r="D174" s="64"/>
      <c r="E174" s="64"/>
      <c r="F174" s="65" t="str">
        <f t="shared" si="1"/>
        <v/>
      </c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</row>
    <row r="175">
      <c r="A175" s="62"/>
      <c r="B175" s="63"/>
      <c r="C175" s="64"/>
      <c r="D175" s="64"/>
      <c r="E175" s="64"/>
      <c r="F175" s="65" t="str">
        <f t="shared" si="1"/>
        <v/>
      </c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</row>
    <row r="176">
      <c r="A176" s="62"/>
      <c r="B176" s="63"/>
      <c r="C176" s="64"/>
      <c r="D176" s="64"/>
      <c r="E176" s="64"/>
      <c r="F176" s="65" t="str">
        <f t="shared" si="1"/>
        <v/>
      </c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>
      <c r="A177" s="62"/>
      <c r="B177" s="63"/>
      <c r="C177" s="64"/>
      <c r="D177" s="64"/>
      <c r="E177" s="64"/>
      <c r="F177" s="65" t="str">
        <f t="shared" si="1"/>
        <v/>
      </c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</row>
    <row r="178">
      <c r="A178" s="62"/>
      <c r="B178" s="63"/>
      <c r="C178" s="64"/>
      <c r="D178" s="64"/>
      <c r="E178" s="64"/>
      <c r="F178" s="65" t="str">
        <f t="shared" si="1"/>
        <v/>
      </c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</row>
    <row r="179">
      <c r="A179" s="62"/>
      <c r="B179" s="63"/>
      <c r="C179" s="64"/>
      <c r="D179" s="64"/>
      <c r="E179" s="64"/>
      <c r="F179" s="65" t="str">
        <f t="shared" si="1"/>
        <v/>
      </c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</row>
    <row r="180">
      <c r="A180" s="62"/>
      <c r="B180" s="63"/>
      <c r="C180" s="64"/>
      <c r="D180" s="64"/>
      <c r="E180" s="64"/>
      <c r="F180" s="65" t="str">
        <f t="shared" si="1"/>
        <v/>
      </c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</row>
    <row r="181">
      <c r="A181" s="62"/>
      <c r="B181" s="63"/>
      <c r="C181" s="64"/>
      <c r="D181" s="64"/>
      <c r="E181" s="64"/>
      <c r="F181" s="65" t="str">
        <f t="shared" si="1"/>
        <v/>
      </c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>
      <c r="A182" s="62"/>
      <c r="B182" s="63"/>
      <c r="C182" s="64"/>
      <c r="D182" s="64"/>
      <c r="E182" s="64"/>
      <c r="F182" s="65" t="str">
        <f t="shared" si="1"/>
        <v/>
      </c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>
      <c r="A183" s="62"/>
      <c r="B183" s="63"/>
      <c r="C183" s="64"/>
      <c r="D183" s="64"/>
      <c r="E183" s="64"/>
      <c r="F183" s="65" t="str">
        <f t="shared" si="1"/>
        <v/>
      </c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>
      <c r="A184" s="62"/>
      <c r="B184" s="63"/>
      <c r="C184" s="64"/>
      <c r="D184" s="64"/>
      <c r="E184" s="64"/>
      <c r="F184" s="65" t="str">
        <f t="shared" si="1"/>
        <v/>
      </c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>
      <c r="A185" s="62"/>
      <c r="B185" s="63"/>
      <c r="C185" s="64"/>
      <c r="D185" s="64"/>
      <c r="E185" s="64"/>
      <c r="F185" s="65" t="str">
        <f t="shared" si="1"/>
        <v/>
      </c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>
      <c r="A186" s="62"/>
      <c r="B186" s="63"/>
      <c r="C186" s="64"/>
      <c r="D186" s="64"/>
      <c r="E186" s="64"/>
      <c r="F186" s="65" t="str">
        <f t="shared" si="1"/>
        <v/>
      </c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>
      <c r="A187" s="62"/>
      <c r="B187" s="63"/>
      <c r="C187" s="64"/>
      <c r="D187" s="64"/>
      <c r="E187" s="64"/>
      <c r="F187" s="65" t="str">
        <f t="shared" si="1"/>
        <v/>
      </c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>
      <c r="A188" s="62"/>
      <c r="B188" s="63"/>
      <c r="C188" s="64"/>
      <c r="D188" s="64"/>
      <c r="E188" s="64"/>
      <c r="F188" s="65" t="str">
        <f t="shared" si="1"/>
        <v/>
      </c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>
      <c r="A189" s="62"/>
      <c r="B189" s="63"/>
      <c r="C189" s="64"/>
      <c r="D189" s="64"/>
      <c r="E189" s="64"/>
      <c r="F189" s="65" t="str">
        <f t="shared" si="1"/>
        <v/>
      </c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>
      <c r="A190" s="62"/>
      <c r="B190" s="63"/>
      <c r="C190" s="64"/>
      <c r="D190" s="64"/>
      <c r="E190" s="64"/>
      <c r="F190" s="65" t="str">
        <f t="shared" si="1"/>
        <v/>
      </c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>
      <c r="A191" s="62"/>
      <c r="B191" s="63"/>
      <c r="C191" s="64"/>
      <c r="D191" s="64"/>
      <c r="E191" s="64"/>
      <c r="F191" s="65" t="str">
        <f t="shared" si="1"/>
        <v/>
      </c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>
      <c r="A192" s="62"/>
      <c r="B192" s="63"/>
      <c r="C192" s="64"/>
      <c r="D192" s="64"/>
      <c r="E192" s="64"/>
      <c r="F192" s="65" t="str">
        <f t="shared" si="1"/>
        <v/>
      </c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>
      <c r="A193" s="62"/>
      <c r="B193" s="63"/>
      <c r="C193" s="64"/>
      <c r="D193" s="64"/>
      <c r="E193" s="64"/>
      <c r="F193" s="65" t="str">
        <f t="shared" si="1"/>
        <v/>
      </c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>
      <c r="A194" s="62"/>
      <c r="B194" s="63"/>
      <c r="C194" s="64"/>
      <c r="D194" s="64"/>
      <c r="E194" s="64"/>
      <c r="F194" s="65" t="str">
        <f t="shared" si="1"/>
        <v/>
      </c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>
      <c r="A195" s="62"/>
      <c r="B195" s="63"/>
      <c r="C195" s="64"/>
      <c r="D195" s="64"/>
      <c r="E195" s="64"/>
      <c r="F195" s="65" t="str">
        <f t="shared" si="1"/>
        <v/>
      </c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>
      <c r="A196" s="62"/>
      <c r="B196" s="63"/>
      <c r="C196" s="64"/>
      <c r="D196" s="64"/>
      <c r="E196" s="64"/>
      <c r="F196" s="65" t="str">
        <f t="shared" si="1"/>
        <v/>
      </c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>
      <c r="A197" s="62"/>
      <c r="B197" s="63"/>
      <c r="C197" s="64"/>
      <c r="D197" s="64"/>
      <c r="E197" s="64"/>
      <c r="F197" s="65" t="str">
        <f t="shared" si="1"/>
        <v/>
      </c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>
      <c r="A198" s="62"/>
      <c r="B198" s="63"/>
      <c r="C198" s="64"/>
      <c r="D198" s="64"/>
      <c r="E198" s="64"/>
      <c r="F198" s="65" t="str">
        <f t="shared" si="1"/>
        <v/>
      </c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>
      <c r="A199" s="62"/>
      <c r="B199" s="63"/>
      <c r="C199" s="64"/>
      <c r="D199" s="64"/>
      <c r="E199" s="64"/>
      <c r="F199" s="65" t="str">
        <f t="shared" si="1"/>
        <v/>
      </c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>
      <c r="A200" s="62"/>
      <c r="B200" s="63"/>
      <c r="C200" s="64"/>
      <c r="D200" s="64"/>
      <c r="E200" s="64"/>
      <c r="F200" s="65" t="str">
        <f t="shared" si="1"/>
        <v/>
      </c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>
      <c r="A201" s="62"/>
      <c r="B201" s="63"/>
      <c r="C201" s="64"/>
      <c r="D201" s="64"/>
      <c r="E201" s="64"/>
      <c r="F201" s="65" t="str">
        <f t="shared" si="1"/>
        <v/>
      </c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>
      <c r="A202" s="62"/>
      <c r="B202" s="63"/>
      <c r="C202" s="64"/>
      <c r="D202" s="64"/>
      <c r="E202" s="64"/>
      <c r="F202" s="65" t="str">
        <f t="shared" si="1"/>
        <v/>
      </c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>
      <c r="A203" s="62"/>
      <c r="B203" s="63"/>
      <c r="C203" s="64"/>
      <c r="D203" s="64"/>
      <c r="E203" s="64"/>
      <c r="F203" s="65" t="str">
        <f t="shared" si="1"/>
        <v/>
      </c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>
      <c r="A204" s="62"/>
      <c r="B204" s="63"/>
      <c r="C204" s="64"/>
      <c r="D204" s="64"/>
      <c r="E204" s="64"/>
      <c r="F204" s="65" t="str">
        <f t="shared" si="1"/>
        <v/>
      </c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>
      <c r="A205" s="62"/>
      <c r="B205" s="63"/>
      <c r="C205" s="64"/>
      <c r="D205" s="64"/>
      <c r="E205" s="64"/>
      <c r="F205" s="65" t="str">
        <f t="shared" si="1"/>
        <v/>
      </c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>
      <c r="A206" s="62"/>
      <c r="B206" s="63"/>
      <c r="C206" s="64"/>
      <c r="D206" s="64"/>
      <c r="E206" s="64"/>
      <c r="F206" s="65" t="str">
        <f t="shared" si="1"/>
        <v/>
      </c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>
      <c r="A207" s="62"/>
      <c r="B207" s="63"/>
      <c r="C207" s="64"/>
      <c r="D207" s="64"/>
      <c r="E207" s="64"/>
      <c r="F207" s="65" t="str">
        <f t="shared" si="1"/>
        <v/>
      </c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>
      <c r="A208" s="62"/>
      <c r="B208" s="63"/>
      <c r="C208" s="64"/>
      <c r="D208" s="64"/>
      <c r="E208" s="64"/>
      <c r="F208" s="65" t="str">
        <f t="shared" si="1"/>
        <v/>
      </c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>
      <c r="A209" s="62"/>
      <c r="B209" s="63"/>
      <c r="C209" s="64"/>
      <c r="D209" s="64"/>
      <c r="E209" s="64"/>
      <c r="F209" s="65" t="str">
        <f t="shared" si="1"/>
        <v/>
      </c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>
      <c r="A210" s="62"/>
      <c r="B210" s="63"/>
      <c r="C210" s="64"/>
      <c r="D210" s="64"/>
      <c r="E210" s="64"/>
      <c r="F210" s="65" t="str">
        <f t="shared" si="1"/>
        <v/>
      </c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>
      <c r="A211" s="62"/>
      <c r="B211" s="63"/>
      <c r="C211" s="64"/>
      <c r="D211" s="64"/>
      <c r="E211" s="64"/>
      <c r="F211" s="65" t="str">
        <f t="shared" si="1"/>
        <v/>
      </c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>
      <c r="A212" s="62"/>
      <c r="B212" s="63"/>
      <c r="C212" s="64"/>
      <c r="D212" s="64"/>
      <c r="E212" s="64"/>
      <c r="F212" s="65" t="str">
        <f t="shared" si="1"/>
        <v/>
      </c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>
      <c r="A213" s="62"/>
      <c r="B213" s="63"/>
      <c r="C213" s="64"/>
      <c r="D213" s="64"/>
      <c r="E213" s="64"/>
      <c r="F213" s="65" t="str">
        <f t="shared" si="1"/>
        <v/>
      </c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>
      <c r="A214" s="62"/>
      <c r="B214" s="63"/>
      <c r="C214" s="64"/>
      <c r="D214" s="64"/>
      <c r="E214" s="64"/>
      <c r="F214" s="65" t="str">
        <f t="shared" si="1"/>
        <v/>
      </c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>
      <c r="A215" s="62"/>
      <c r="B215" s="63"/>
      <c r="C215" s="64"/>
      <c r="D215" s="64"/>
      <c r="E215" s="64"/>
      <c r="F215" s="65" t="str">
        <f t="shared" si="1"/>
        <v/>
      </c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>
      <c r="A216" s="62"/>
      <c r="B216" s="63"/>
      <c r="C216" s="64"/>
      <c r="D216" s="64"/>
      <c r="E216" s="64"/>
      <c r="F216" s="65" t="str">
        <f t="shared" si="1"/>
        <v/>
      </c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>
      <c r="A217" s="62"/>
      <c r="B217" s="63"/>
      <c r="C217" s="64"/>
      <c r="D217" s="64"/>
      <c r="E217" s="64"/>
      <c r="F217" s="65" t="str">
        <f t="shared" si="1"/>
        <v/>
      </c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>
      <c r="A218" s="62"/>
      <c r="B218" s="63"/>
      <c r="C218" s="64"/>
      <c r="D218" s="64"/>
      <c r="E218" s="64"/>
      <c r="F218" s="65" t="str">
        <f t="shared" si="1"/>
        <v/>
      </c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  <row r="219">
      <c r="A219" s="62"/>
      <c r="B219" s="63"/>
      <c r="C219" s="64"/>
      <c r="D219" s="64"/>
      <c r="E219" s="64"/>
      <c r="F219" s="65" t="str">
        <f t="shared" si="1"/>
        <v/>
      </c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</row>
    <row r="220">
      <c r="A220" s="62"/>
      <c r="B220" s="63"/>
      <c r="C220" s="64"/>
      <c r="D220" s="64"/>
      <c r="E220" s="64"/>
      <c r="F220" s="65" t="str">
        <f t="shared" si="1"/>
        <v/>
      </c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</row>
    <row r="221">
      <c r="A221" s="62"/>
      <c r="B221" s="63"/>
      <c r="C221" s="64"/>
      <c r="D221" s="64"/>
      <c r="E221" s="64"/>
      <c r="F221" s="65" t="str">
        <f t="shared" si="1"/>
        <v/>
      </c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</row>
    <row r="222">
      <c r="A222" s="62"/>
      <c r="B222" s="63"/>
      <c r="C222" s="64"/>
      <c r="D222" s="64"/>
      <c r="E222" s="64"/>
      <c r="F222" s="65" t="str">
        <f t="shared" si="1"/>
        <v/>
      </c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</row>
    <row r="223">
      <c r="A223" s="62"/>
      <c r="B223" s="63"/>
      <c r="C223" s="64"/>
      <c r="D223" s="64"/>
      <c r="E223" s="64"/>
      <c r="F223" s="65" t="str">
        <f t="shared" si="1"/>
        <v/>
      </c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</row>
    <row r="224">
      <c r="A224" s="62"/>
      <c r="B224" s="63"/>
      <c r="C224" s="64"/>
      <c r="D224" s="64"/>
      <c r="E224" s="64"/>
      <c r="F224" s="65" t="str">
        <f t="shared" si="1"/>
        <v/>
      </c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</row>
    <row r="225">
      <c r="A225" s="62"/>
      <c r="B225" s="63"/>
      <c r="C225" s="64"/>
      <c r="D225" s="64"/>
      <c r="E225" s="64"/>
      <c r="F225" s="65" t="str">
        <f t="shared" si="1"/>
        <v/>
      </c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</row>
    <row r="226">
      <c r="A226" s="62"/>
      <c r="B226" s="63"/>
      <c r="C226" s="64"/>
      <c r="D226" s="64"/>
      <c r="E226" s="64"/>
      <c r="F226" s="65" t="str">
        <f t="shared" si="1"/>
        <v/>
      </c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</row>
    <row r="227">
      <c r="A227" s="62"/>
      <c r="B227" s="63"/>
      <c r="C227" s="64"/>
      <c r="D227" s="64"/>
      <c r="E227" s="64"/>
      <c r="F227" s="65" t="str">
        <f t="shared" si="1"/>
        <v/>
      </c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</row>
    <row r="228">
      <c r="A228" s="62"/>
      <c r="B228" s="63"/>
      <c r="C228" s="64"/>
      <c r="D228" s="64"/>
      <c r="E228" s="64"/>
      <c r="F228" s="65" t="str">
        <f t="shared" si="1"/>
        <v/>
      </c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</row>
    <row r="229">
      <c r="A229" s="62"/>
      <c r="B229" s="63"/>
      <c r="C229" s="64"/>
      <c r="D229" s="64"/>
      <c r="E229" s="64"/>
      <c r="F229" s="65" t="str">
        <f t="shared" si="1"/>
        <v/>
      </c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</row>
    <row r="230">
      <c r="A230" s="62"/>
      <c r="B230" s="63"/>
      <c r="C230" s="64"/>
      <c r="D230" s="64"/>
      <c r="E230" s="64"/>
      <c r="F230" s="65" t="str">
        <f t="shared" si="1"/>
        <v/>
      </c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</row>
    <row r="231">
      <c r="A231" s="62"/>
      <c r="B231" s="63"/>
      <c r="C231" s="64"/>
      <c r="D231" s="64"/>
      <c r="E231" s="64"/>
      <c r="F231" s="65" t="str">
        <f t="shared" si="1"/>
        <v/>
      </c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</row>
    <row r="232">
      <c r="A232" s="62"/>
      <c r="B232" s="63"/>
      <c r="C232" s="64"/>
      <c r="D232" s="64"/>
      <c r="E232" s="64"/>
      <c r="F232" s="65" t="str">
        <f t="shared" si="1"/>
        <v/>
      </c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</row>
    <row r="233">
      <c r="A233" s="62"/>
      <c r="B233" s="63"/>
      <c r="C233" s="64"/>
      <c r="D233" s="64"/>
      <c r="E233" s="64"/>
      <c r="F233" s="65" t="str">
        <f t="shared" si="1"/>
        <v/>
      </c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</row>
    <row r="234">
      <c r="A234" s="62"/>
      <c r="B234" s="63"/>
      <c r="C234" s="64"/>
      <c r="D234" s="64"/>
      <c r="E234" s="64"/>
      <c r="F234" s="65" t="str">
        <f t="shared" si="1"/>
        <v/>
      </c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</row>
    <row r="235">
      <c r="A235" s="62"/>
      <c r="B235" s="63"/>
      <c r="C235" s="64"/>
      <c r="D235" s="64"/>
      <c r="E235" s="64"/>
      <c r="F235" s="65" t="str">
        <f t="shared" si="1"/>
        <v/>
      </c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</row>
    <row r="236">
      <c r="A236" s="62"/>
      <c r="B236" s="63"/>
      <c r="C236" s="64"/>
      <c r="D236" s="64"/>
      <c r="E236" s="64"/>
      <c r="F236" s="65" t="str">
        <f t="shared" si="1"/>
        <v/>
      </c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</row>
    <row r="237">
      <c r="A237" s="62"/>
      <c r="B237" s="63"/>
      <c r="C237" s="64"/>
      <c r="D237" s="64"/>
      <c r="E237" s="64"/>
      <c r="F237" s="65" t="str">
        <f t="shared" si="1"/>
        <v/>
      </c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</row>
    <row r="238">
      <c r="A238" s="62"/>
      <c r="B238" s="63"/>
      <c r="C238" s="64"/>
      <c r="D238" s="64"/>
      <c r="E238" s="64"/>
      <c r="F238" s="65" t="str">
        <f t="shared" si="1"/>
        <v/>
      </c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</row>
    <row r="239">
      <c r="A239" s="62"/>
      <c r="B239" s="63"/>
      <c r="C239" s="64"/>
      <c r="D239" s="64"/>
      <c r="E239" s="64"/>
      <c r="F239" s="65" t="str">
        <f t="shared" si="1"/>
        <v/>
      </c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</row>
    <row r="240">
      <c r="A240" s="62"/>
      <c r="B240" s="63"/>
      <c r="C240" s="64"/>
      <c r="D240" s="64"/>
      <c r="E240" s="64"/>
      <c r="F240" s="65" t="str">
        <f t="shared" si="1"/>
        <v/>
      </c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</row>
    <row r="241">
      <c r="A241" s="62"/>
      <c r="B241" s="63"/>
      <c r="C241" s="64"/>
      <c r="D241" s="64"/>
      <c r="E241" s="64"/>
      <c r="F241" s="65" t="str">
        <f t="shared" si="1"/>
        <v/>
      </c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</row>
    <row r="242">
      <c r="A242" s="62"/>
      <c r="B242" s="63"/>
      <c r="C242" s="64"/>
      <c r="D242" s="64"/>
      <c r="E242" s="64"/>
      <c r="F242" s="65" t="str">
        <f t="shared" si="1"/>
        <v/>
      </c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</row>
    <row r="243">
      <c r="A243" s="62"/>
      <c r="B243" s="63"/>
      <c r="C243" s="64"/>
      <c r="D243" s="64"/>
      <c r="E243" s="64"/>
      <c r="F243" s="65" t="str">
        <f t="shared" si="1"/>
        <v/>
      </c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</row>
    <row r="244">
      <c r="A244" s="62"/>
      <c r="B244" s="63"/>
      <c r="C244" s="64"/>
      <c r="D244" s="64"/>
      <c r="E244" s="64"/>
      <c r="F244" s="65" t="str">
        <f t="shared" si="1"/>
        <v/>
      </c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</row>
    <row r="245">
      <c r="A245" s="62"/>
      <c r="B245" s="63"/>
      <c r="C245" s="64"/>
      <c r="D245" s="64"/>
      <c r="E245" s="64"/>
      <c r="F245" s="65" t="str">
        <f t="shared" si="1"/>
        <v/>
      </c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</row>
    <row r="246">
      <c r="A246" s="62"/>
      <c r="B246" s="63"/>
      <c r="C246" s="64"/>
      <c r="D246" s="64"/>
      <c r="E246" s="64"/>
      <c r="F246" s="65" t="str">
        <f t="shared" si="1"/>
        <v/>
      </c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</row>
    <row r="247">
      <c r="A247" s="62"/>
      <c r="B247" s="63"/>
      <c r="C247" s="64"/>
      <c r="D247" s="64"/>
      <c r="E247" s="64"/>
      <c r="F247" s="65" t="str">
        <f t="shared" si="1"/>
        <v/>
      </c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</row>
    <row r="248">
      <c r="A248" s="62"/>
      <c r="B248" s="63"/>
      <c r="C248" s="64"/>
      <c r="D248" s="64"/>
      <c r="E248" s="64"/>
      <c r="F248" s="65" t="str">
        <f t="shared" si="1"/>
        <v/>
      </c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</row>
    <row r="249">
      <c r="A249" s="62"/>
      <c r="B249" s="63"/>
      <c r="C249" s="64"/>
      <c r="D249" s="64"/>
      <c r="E249" s="64"/>
      <c r="F249" s="65" t="str">
        <f t="shared" si="1"/>
        <v/>
      </c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</row>
    <row r="250">
      <c r="A250" s="62"/>
      <c r="B250" s="63"/>
      <c r="C250" s="64"/>
      <c r="D250" s="64"/>
      <c r="E250" s="64"/>
      <c r="F250" s="65" t="str">
        <f t="shared" si="1"/>
        <v/>
      </c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</row>
    <row r="251">
      <c r="A251" s="62"/>
      <c r="B251" s="63"/>
      <c r="C251" s="64"/>
      <c r="D251" s="64"/>
      <c r="E251" s="64"/>
      <c r="F251" s="65" t="str">
        <f t="shared" si="1"/>
        <v/>
      </c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</row>
    <row r="252">
      <c r="A252" s="62"/>
      <c r="B252" s="63"/>
      <c r="C252" s="64"/>
      <c r="D252" s="64"/>
      <c r="E252" s="64"/>
      <c r="F252" s="65" t="str">
        <f t="shared" si="1"/>
        <v/>
      </c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</row>
    <row r="253">
      <c r="A253" s="62"/>
      <c r="B253" s="63"/>
      <c r="C253" s="64"/>
      <c r="D253" s="64"/>
      <c r="E253" s="64"/>
      <c r="F253" s="65" t="str">
        <f t="shared" si="1"/>
        <v/>
      </c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</row>
    <row r="254">
      <c r="A254" s="62"/>
      <c r="B254" s="63"/>
      <c r="C254" s="64"/>
      <c r="D254" s="64"/>
      <c r="E254" s="64"/>
      <c r="F254" s="65" t="str">
        <f t="shared" si="1"/>
        <v/>
      </c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</row>
    <row r="255">
      <c r="A255" s="62"/>
      <c r="B255" s="63"/>
      <c r="C255" s="64"/>
      <c r="D255" s="64"/>
      <c r="E255" s="64"/>
      <c r="F255" s="65" t="str">
        <f t="shared" si="1"/>
        <v/>
      </c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</row>
    <row r="256">
      <c r="A256" s="62"/>
      <c r="B256" s="63"/>
      <c r="C256" s="64"/>
      <c r="D256" s="64"/>
      <c r="E256" s="64"/>
      <c r="F256" s="65" t="str">
        <f t="shared" si="1"/>
        <v/>
      </c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</row>
    <row r="257">
      <c r="A257" s="62"/>
      <c r="B257" s="63"/>
      <c r="C257" s="64"/>
      <c r="D257" s="64"/>
      <c r="E257" s="64"/>
      <c r="F257" s="65" t="str">
        <f t="shared" si="1"/>
        <v/>
      </c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</row>
    <row r="258">
      <c r="A258" s="62"/>
      <c r="B258" s="63"/>
      <c r="C258" s="64"/>
      <c r="D258" s="64"/>
      <c r="E258" s="64"/>
      <c r="F258" s="65" t="str">
        <f t="shared" si="1"/>
        <v/>
      </c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</row>
    <row r="259">
      <c r="A259" s="62"/>
      <c r="B259" s="63"/>
      <c r="C259" s="64"/>
      <c r="D259" s="64"/>
      <c r="E259" s="64"/>
      <c r="F259" s="65" t="str">
        <f t="shared" si="1"/>
        <v/>
      </c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</row>
    <row r="260">
      <c r="A260" s="62"/>
      <c r="B260" s="63"/>
      <c r="C260" s="64"/>
      <c r="D260" s="64"/>
      <c r="E260" s="64"/>
      <c r="F260" s="65" t="str">
        <f t="shared" si="1"/>
        <v/>
      </c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</row>
    <row r="261">
      <c r="A261" s="62"/>
      <c r="B261" s="63"/>
      <c r="C261" s="64"/>
      <c r="D261" s="64"/>
      <c r="E261" s="64"/>
      <c r="F261" s="65" t="str">
        <f t="shared" si="1"/>
        <v/>
      </c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</row>
    <row r="262">
      <c r="A262" s="62"/>
      <c r="B262" s="63"/>
      <c r="C262" s="64"/>
      <c r="D262" s="64"/>
      <c r="E262" s="64"/>
      <c r="F262" s="65" t="str">
        <f t="shared" si="1"/>
        <v/>
      </c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</row>
    <row r="263">
      <c r="A263" s="62"/>
      <c r="B263" s="63"/>
      <c r="C263" s="64"/>
      <c r="D263" s="64"/>
      <c r="E263" s="64"/>
      <c r="F263" s="65" t="str">
        <f t="shared" si="1"/>
        <v/>
      </c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</row>
    <row r="264">
      <c r="A264" s="62"/>
      <c r="B264" s="63"/>
      <c r="C264" s="64"/>
      <c r="D264" s="64"/>
      <c r="E264" s="64"/>
      <c r="F264" s="65" t="str">
        <f t="shared" si="1"/>
        <v/>
      </c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</row>
    <row r="265">
      <c r="A265" s="62"/>
      <c r="B265" s="63"/>
      <c r="C265" s="64"/>
      <c r="D265" s="64"/>
      <c r="E265" s="64"/>
      <c r="F265" s="65" t="str">
        <f t="shared" si="1"/>
        <v/>
      </c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</row>
    <row r="266">
      <c r="A266" s="62"/>
      <c r="B266" s="63"/>
      <c r="C266" s="64"/>
      <c r="D266" s="64"/>
      <c r="E266" s="64"/>
      <c r="F266" s="65" t="str">
        <f t="shared" si="1"/>
        <v/>
      </c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</row>
    <row r="267">
      <c r="A267" s="62"/>
      <c r="B267" s="63"/>
      <c r="C267" s="64"/>
      <c r="D267" s="64"/>
      <c r="E267" s="64"/>
      <c r="F267" s="65" t="str">
        <f t="shared" si="1"/>
        <v/>
      </c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</row>
    <row r="268">
      <c r="A268" s="62"/>
      <c r="B268" s="63"/>
      <c r="C268" s="64"/>
      <c r="D268" s="64"/>
      <c r="E268" s="64"/>
      <c r="F268" s="65" t="str">
        <f t="shared" si="1"/>
        <v/>
      </c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</row>
    <row r="269">
      <c r="A269" s="62"/>
      <c r="B269" s="63"/>
      <c r="C269" s="64"/>
      <c r="D269" s="64"/>
      <c r="E269" s="64"/>
      <c r="F269" s="65" t="str">
        <f t="shared" si="1"/>
        <v/>
      </c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</row>
    <row r="270">
      <c r="A270" s="62"/>
      <c r="B270" s="63"/>
      <c r="C270" s="64"/>
      <c r="D270" s="64"/>
      <c r="E270" s="64"/>
      <c r="F270" s="65" t="str">
        <f t="shared" si="1"/>
        <v/>
      </c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</row>
    <row r="271">
      <c r="A271" s="62"/>
      <c r="B271" s="63"/>
      <c r="C271" s="64"/>
      <c r="D271" s="64"/>
      <c r="E271" s="64"/>
      <c r="F271" s="65" t="str">
        <f t="shared" si="1"/>
        <v/>
      </c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</row>
    <row r="272">
      <c r="A272" s="62"/>
      <c r="B272" s="63"/>
      <c r="C272" s="64"/>
      <c r="D272" s="64"/>
      <c r="E272" s="64"/>
      <c r="F272" s="65" t="str">
        <f t="shared" si="1"/>
        <v/>
      </c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</row>
    <row r="273">
      <c r="A273" s="62"/>
      <c r="B273" s="63"/>
      <c r="C273" s="64"/>
      <c r="D273" s="64"/>
      <c r="E273" s="64"/>
      <c r="F273" s="65" t="str">
        <f t="shared" si="1"/>
        <v/>
      </c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</row>
    <row r="274">
      <c r="A274" s="62"/>
      <c r="B274" s="63"/>
      <c r="C274" s="64"/>
      <c r="D274" s="64"/>
      <c r="E274" s="64"/>
      <c r="F274" s="65" t="str">
        <f t="shared" si="1"/>
        <v/>
      </c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</row>
    <row r="275">
      <c r="A275" s="62"/>
      <c r="B275" s="63"/>
      <c r="C275" s="64"/>
      <c r="D275" s="64"/>
      <c r="E275" s="64"/>
      <c r="F275" s="65" t="str">
        <f t="shared" si="1"/>
        <v/>
      </c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</row>
    <row r="276">
      <c r="A276" s="62"/>
      <c r="B276" s="63"/>
      <c r="C276" s="64"/>
      <c r="D276" s="64"/>
      <c r="E276" s="64"/>
      <c r="F276" s="65" t="str">
        <f t="shared" si="1"/>
        <v/>
      </c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</row>
    <row r="277">
      <c r="A277" s="62"/>
      <c r="B277" s="63"/>
      <c r="C277" s="64"/>
      <c r="D277" s="64"/>
      <c r="E277" s="64"/>
      <c r="F277" s="65" t="str">
        <f t="shared" si="1"/>
        <v/>
      </c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</row>
    <row r="278">
      <c r="A278" s="62"/>
      <c r="B278" s="63"/>
      <c r="C278" s="64"/>
      <c r="D278" s="64"/>
      <c r="E278" s="64"/>
      <c r="F278" s="65" t="str">
        <f t="shared" si="1"/>
        <v/>
      </c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</row>
    <row r="279">
      <c r="A279" s="62"/>
      <c r="B279" s="63"/>
      <c r="C279" s="64"/>
      <c r="D279" s="64"/>
      <c r="E279" s="64"/>
      <c r="F279" s="65" t="str">
        <f t="shared" si="1"/>
        <v/>
      </c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</row>
    <row r="280">
      <c r="A280" s="62"/>
      <c r="B280" s="63"/>
      <c r="C280" s="64"/>
      <c r="D280" s="64"/>
      <c r="E280" s="64"/>
      <c r="F280" s="65" t="str">
        <f t="shared" si="1"/>
        <v/>
      </c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</row>
    <row r="281">
      <c r="A281" s="62"/>
      <c r="B281" s="63"/>
      <c r="C281" s="64"/>
      <c r="D281" s="64"/>
      <c r="E281" s="64"/>
      <c r="F281" s="65" t="str">
        <f t="shared" si="1"/>
        <v/>
      </c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</row>
    <row r="282">
      <c r="A282" s="62"/>
      <c r="B282" s="63"/>
      <c r="C282" s="64"/>
      <c r="D282" s="64"/>
      <c r="E282" s="64"/>
      <c r="F282" s="65" t="str">
        <f t="shared" si="1"/>
        <v/>
      </c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</row>
    <row r="283">
      <c r="A283" s="62"/>
      <c r="B283" s="63"/>
      <c r="C283" s="64"/>
      <c r="D283" s="64"/>
      <c r="E283" s="64"/>
      <c r="F283" s="65" t="str">
        <f t="shared" si="1"/>
        <v/>
      </c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</row>
    <row r="284">
      <c r="A284" s="62"/>
      <c r="B284" s="63"/>
      <c r="C284" s="64"/>
      <c r="D284" s="64"/>
      <c r="E284" s="64"/>
      <c r="F284" s="65" t="str">
        <f t="shared" si="1"/>
        <v/>
      </c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</row>
    <row r="285">
      <c r="A285" s="62"/>
      <c r="B285" s="63"/>
      <c r="C285" s="64"/>
      <c r="D285" s="64"/>
      <c r="E285" s="64"/>
      <c r="F285" s="65" t="str">
        <f t="shared" si="1"/>
        <v/>
      </c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</row>
    <row r="286">
      <c r="A286" s="62"/>
      <c r="B286" s="63"/>
      <c r="C286" s="64"/>
      <c r="D286" s="64"/>
      <c r="E286" s="64"/>
      <c r="F286" s="65" t="str">
        <f t="shared" si="1"/>
        <v/>
      </c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</row>
    <row r="287">
      <c r="A287" s="62"/>
      <c r="B287" s="63"/>
      <c r="C287" s="64"/>
      <c r="D287" s="64"/>
      <c r="E287" s="64"/>
      <c r="F287" s="65" t="str">
        <f t="shared" si="1"/>
        <v/>
      </c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</row>
    <row r="288">
      <c r="A288" s="62"/>
      <c r="B288" s="63"/>
      <c r="C288" s="64"/>
      <c r="D288" s="64"/>
      <c r="E288" s="64"/>
      <c r="F288" s="65" t="str">
        <f t="shared" si="1"/>
        <v/>
      </c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</row>
    <row r="289">
      <c r="A289" s="62"/>
      <c r="B289" s="63"/>
      <c r="C289" s="64"/>
      <c r="D289" s="64"/>
      <c r="E289" s="64"/>
      <c r="F289" s="65" t="str">
        <f t="shared" si="1"/>
        <v/>
      </c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</row>
    <row r="290">
      <c r="A290" s="62"/>
      <c r="B290" s="63"/>
      <c r="C290" s="64"/>
      <c r="D290" s="64"/>
      <c r="E290" s="64"/>
      <c r="F290" s="65" t="str">
        <f t="shared" si="1"/>
        <v/>
      </c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</row>
    <row r="291">
      <c r="A291" s="62"/>
      <c r="B291" s="63"/>
      <c r="C291" s="64"/>
      <c r="D291" s="64"/>
      <c r="E291" s="64"/>
      <c r="F291" s="65" t="str">
        <f t="shared" si="1"/>
        <v/>
      </c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</row>
    <row r="292">
      <c r="A292" s="62"/>
      <c r="B292" s="63"/>
      <c r="C292" s="64"/>
      <c r="D292" s="64"/>
      <c r="E292" s="64"/>
      <c r="F292" s="65" t="str">
        <f t="shared" si="1"/>
        <v/>
      </c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</row>
    <row r="293">
      <c r="A293" s="62"/>
      <c r="B293" s="63"/>
      <c r="C293" s="64"/>
      <c r="D293" s="64"/>
      <c r="E293" s="64"/>
      <c r="F293" s="65" t="str">
        <f t="shared" si="1"/>
        <v/>
      </c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</row>
    <row r="294">
      <c r="A294" s="62"/>
      <c r="B294" s="63"/>
      <c r="C294" s="64"/>
      <c r="D294" s="64"/>
      <c r="E294" s="64"/>
      <c r="F294" s="65" t="str">
        <f t="shared" si="1"/>
        <v/>
      </c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</row>
    <row r="295">
      <c r="A295" s="62"/>
      <c r="B295" s="63"/>
      <c r="C295" s="64"/>
      <c r="D295" s="64"/>
      <c r="E295" s="64"/>
      <c r="F295" s="65" t="str">
        <f t="shared" si="1"/>
        <v/>
      </c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</row>
    <row r="296">
      <c r="A296" s="62"/>
      <c r="B296" s="63"/>
      <c r="C296" s="64"/>
      <c r="D296" s="64"/>
      <c r="E296" s="64"/>
      <c r="F296" s="65" t="str">
        <f t="shared" si="1"/>
        <v/>
      </c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</row>
    <row r="297">
      <c r="A297" s="62"/>
      <c r="B297" s="63"/>
      <c r="C297" s="64"/>
      <c r="D297" s="64"/>
      <c r="E297" s="64"/>
      <c r="F297" s="65" t="str">
        <f t="shared" si="1"/>
        <v/>
      </c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</row>
    <row r="298">
      <c r="A298" s="62"/>
      <c r="B298" s="63"/>
      <c r="C298" s="64"/>
      <c r="D298" s="64"/>
      <c r="E298" s="64"/>
      <c r="F298" s="65" t="str">
        <f t="shared" si="1"/>
        <v/>
      </c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</row>
    <row r="299">
      <c r="A299" s="62"/>
      <c r="B299" s="63"/>
      <c r="C299" s="64"/>
      <c r="D299" s="64"/>
      <c r="E299" s="64"/>
      <c r="F299" s="65" t="str">
        <f t="shared" si="1"/>
        <v/>
      </c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</row>
    <row r="300">
      <c r="A300" s="62"/>
      <c r="B300" s="63"/>
      <c r="C300" s="64"/>
      <c r="D300" s="64"/>
      <c r="E300" s="64"/>
      <c r="F300" s="65" t="str">
        <f t="shared" si="1"/>
        <v/>
      </c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</row>
    <row r="301">
      <c r="A301" s="62"/>
      <c r="B301" s="63"/>
      <c r="C301" s="64"/>
      <c r="D301" s="64"/>
      <c r="E301" s="64"/>
      <c r="F301" s="65" t="str">
        <f t="shared" si="1"/>
        <v/>
      </c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</row>
    <row r="302">
      <c r="A302" s="62"/>
      <c r="B302" s="63"/>
      <c r="C302" s="64"/>
      <c r="D302" s="64"/>
      <c r="E302" s="64"/>
      <c r="F302" s="65" t="str">
        <f t="shared" si="1"/>
        <v/>
      </c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</row>
    <row r="303">
      <c r="A303" s="62"/>
      <c r="B303" s="63"/>
      <c r="C303" s="64"/>
      <c r="D303" s="64"/>
      <c r="E303" s="64"/>
      <c r="F303" s="65" t="str">
        <f t="shared" si="1"/>
        <v/>
      </c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</row>
    <row r="304">
      <c r="A304" s="62"/>
      <c r="B304" s="63"/>
      <c r="C304" s="64"/>
      <c r="D304" s="64"/>
      <c r="E304" s="64"/>
      <c r="F304" s="65" t="str">
        <f t="shared" si="1"/>
        <v/>
      </c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</row>
    <row r="305">
      <c r="A305" s="62"/>
      <c r="B305" s="63"/>
      <c r="C305" s="64"/>
      <c r="D305" s="64"/>
      <c r="E305" s="64"/>
      <c r="F305" s="65" t="str">
        <f t="shared" si="1"/>
        <v/>
      </c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</row>
    <row r="306">
      <c r="A306" s="62"/>
      <c r="B306" s="63"/>
      <c r="C306" s="64"/>
      <c r="D306" s="64"/>
      <c r="E306" s="64"/>
      <c r="F306" s="65" t="str">
        <f t="shared" si="1"/>
        <v/>
      </c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</row>
    <row r="307">
      <c r="A307" s="62"/>
      <c r="B307" s="63"/>
      <c r="C307" s="64"/>
      <c r="D307" s="64"/>
      <c r="E307" s="64"/>
      <c r="F307" s="65" t="str">
        <f t="shared" si="1"/>
        <v/>
      </c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</row>
    <row r="308">
      <c r="A308" s="62"/>
      <c r="B308" s="63"/>
      <c r="C308" s="64"/>
      <c r="D308" s="64"/>
      <c r="E308" s="64"/>
      <c r="F308" s="65" t="str">
        <f t="shared" si="1"/>
        <v/>
      </c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</row>
    <row r="309">
      <c r="A309" s="62"/>
      <c r="B309" s="63"/>
      <c r="C309" s="64"/>
      <c r="D309" s="64"/>
      <c r="E309" s="64"/>
      <c r="F309" s="65" t="str">
        <f t="shared" si="1"/>
        <v/>
      </c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</row>
    <row r="310">
      <c r="A310" s="62"/>
      <c r="B310" s="63"/>
      <c r="C310" s="64"/>
      <c r="D310" s="64"/>
      <c r="E310" s="64"/>
      <c r="F310" s="65" t="str">
        <f t="shared" si="1"/>
        <v/>
      </c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</row>
    <row r="311">
      <c r="A311" s="62"/>
      <c r="B311" s="63"/>
      <c r="C311" s="64"/>
      <c r="D311" s="64"/>
      <c r="E311" s="64"/>
      <c r="F311" s="65" t="str">
        <f t="shared" si="1"/>
        <v/>
      </c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</row>
    <row r="312">
      <c r="A312" s="62"/>
      <c r="B312" s="63"/>
      <c r="C312" s="64"/>
      <c r="D312" s="64"/>
      <c r="E312" s="64"/>
      <c r="F312" s="65" t="str">
        <f t="shared" si="1"/>
        <v/>
      </c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</row>
    <row r="313">
      <c r="A313" s="62"/>
      <c r="B313" s="63"/>
      <c r="C313" s="64"/>
      <c r="D313" s="64"/>
      <c r="E313" s="64"/>
      <c r="F313" s="65" t="str">
        <f t="shared" si="1"/>
        <v/>
      </c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</row>
    <row r="314">
      <c r="A314" s="62"/>
      <c r="B314" s="63"/>
      <c r="C314" s="64"/>
      <c r="D314" s="64"/>
      <c r="E314" s="64"/>
      <c r="F314" s="65" t="str">
        <f t="shared" si="1"/>
        <v/>
      </c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</row>
    <row r="315">
      <c r="A315" s="62"/>
      <c r="B315" s="63"/>
      <c r="C315" s="64"/>
      <c r="D315" s="64"/>
      <c r="E315" s="64"/>
      <c r="F315" s="65" t="str">
        <f t="shared" si="1"/>
        <v/>
      </c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</row>
    <row r="316">
      <c r="A316" s="62"/>
      <c r="B316" s="63"/>
      <c r="C316" s="64"/>
      <c r="D316" s="64"/>
      <c r="E316" s="64"/>
      <c r="F316" s="65" t="str">
        <f t="shared" si="1"/>
        <v/>
      </c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</row>
    <row r="317">
      <c r="A317" s="62"/>
      <c r="B317" s="63"/>
      <c r="C317" s="64"/>
      <c r="D317" s="64"/>
      <c r="E317" s="64"/>
      <c r="F317" s="65" t="str">
        <f t="shared" si="1"/>
        <v/>
      </c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</row>
    <row r="318">
      <c r="A318" s="62"/>
      <c r="B318" s="63"/>
      <c r="C318" s="64"/>
      <c r="D318" s="64"/>
      <c r="E318" s="64"/>
      <c r="F318" s="65" t="str">
        <f t="shared" si="1"/>
        <v/>
      </c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</row>
    <row r="319">
      <c r="A319" s="62"/>
      <c r="B319" s="63"/>
      <c r="C319" s="64"/>
      <c r="D319" s="64"/>
      <c r="E319" s="64"/>
      <c r="F319" s="65" t="str">
        <f t="shared" si="1"/>
        <v/>
      </c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</row>
    <row r="320">
      <c r="A320" s="62"/>
      <c r="B320" s="63"/>
      <c r="C320" s="64"/>
      <c r="D320" s="64"/>
      <c r="E320" s="64"/>
      <c r="F320" s="65" t="str">
        <f t="shared" si="1"/>
        <v/>
      </c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</row>
    <row r="321">
      <c r="A321" s="62"/>
      <c r="B321" s="63"/>
      <c r="C321" s="64"/>
      <c r="D321" s="64"/>
      <c r="E321" s="64"/>
      <c r="F321" s="65" t="str">
        <f t="shared" si="1"/>
        <v/>
      </c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</row>
    <row r="322">
      <c r="A322" s="62"/>
      <c r="B322" s="63"/>
      <c r="C322" s="64"/>
      <c r="D322" s="64"/>
      <c r="E322" s="64"/>
      <c r="F322" s="65" t="str">
        <f t="shared" si="1"/>
        <v/>
      </c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</row>
    <row r="323">
      <c r="A323" s="62"/>
      <c r="B323" s="63"/>
      <c r="C323" s="64"/>
      <c r="D323" s="64"/>
      <c r="E323" s="64"/>
      <c r="F323" s="65" t="str">
        <f t="shared" si="1"/>
        <v/>
      </c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</row>
    <row r="324">
      <c r="A324" s="62"/>
      <c r="B324" s="63"/>
      <c r="C324" s="64"/>
      <c r="D324" s="64"/>
      <c r="E324" s="64"/>
      <c r="F324" s="65" t="str">
        <f t="shared" si="1"/>
        <v/>
      </c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</row>
    <row r="325">
      <c r="A325" s="62"/>
      <c r="B325" s="63"/>
      <c r="C325" s="64"/>
      <c r="D325" s="64"/>
      <c r="E325" s="64"/>
      <c r="F325" s="65" t="str">
        <f t="shared" si="1"/>
        <v/>
      </c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</row>
    <row r="326">
      <c r="A326" s="62"/>
      <c r="B326" s="63"/>
      <c r="C326" s="64"/>
      <c r="D326" s="64"/>
      <c r="E326" s="64"/>
      <c r="F326" s="65" t="str">
        <f t="shared" si="1"/>
        <v/>
      </c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</row>
    <row r="327">
      <c r="A327" s="62"/>
      <c r="B327" s="63"/>
      <c r="C327" s="64"/>
      <c r="D327" s="64"/>
      <c r="E327" s="64"/>
      <c r="F327" s="65" t="str">
        <f t="shared" si="1"/>
        <v/>
      </c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</row>
    <row r="328">
      <c r="A328" s="62"/>
      <c r="B328" s="63"/>
      <c r="C328" s="64"/>
      <c r="D328" s="64"/>
      <c r="E328" s="64"/>
      <c r="F328" s="65" t="str">
        <f t="shared" si="1"/>
        <v/>
      </c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</row>
    <row r="329">
      <c r="A329" s="62"/>
      <c r="B329" s="63"/>
      <c r="C329" s="64"/>
      <c r="D329" s="64"/>
      <c r="E329" s="64"/>
      <c r="F329" s="65" t="str">
        <f t="shared" si="1"/>
        <v/>
      </c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</row>
    <row r="330">
      <c r="A330" s="62"/>
      <c r="B330" s="63"/>
      <c r="C330" s="64"/>
      <c r="D330" s="64"/>
      <c r="E330" s="64"/>
      <c r="F330" s="65" t="str">
        <f t="shared" si="1"/>
        <v/>
      </c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</row>
    <row r="331">
      <c r="A331" s="62"/>
      <c r="B331" s="63"/>
      <c r="C331" s="64"/>
      <c r="D331" s="64"/>
      <c r="E331" s="64"/>
      <c r="F331" s="65" t="str">
        <f t="shared" si="1"/>
        <v/>
      </c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</row>
    <row r="332">
      <c r="A332" s="62"/>
      <c r="B332" s="63"/>
      <c r="C332" s="64"/>
      <c r="D332" s="64"/>
      <c r="E332" s="64"/>
      <c r="F332" s="65" t="str">
        <f t="shared" si="1"/>
        <v/>
      </c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</row>
    <row r="333">
      <c r="A333" s="62"/>
      <c r="B333" s="63"/>
      <c r="C333" s="64"/>
      <c r="D333" s="64"/>
      <c r="E333" s="64"/>
      <c r="F333" s="65" t="str">
        <f t="shared" si="1"/>
        <v/>
      </c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</row>
    <row r="334">
      <c r="A334" s="62"/>
      <c r="B334" s="63"/>
      <c r="C334" s="64"/>
      <c r="D334" s="64"/>
      <c r="E334" s="64"/>
      <c r="F334" s="65" t="str">
        <f t="shared" si="1"/>
        <v/>
      </c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</row>
    <row r="335">
      <c r="A335" s="62"/>
      <c r="B335" s="63"/>
      <c r="C335" s="64"/>
      <c r="D335" s="64"/>
      <c r="E335" s="64"/>
      <c r="F335" s="65" t="str">
        <f t="shared" si="1"/>
        <v/>
      </c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</row>
    <row r="336">
      <c r="A336" s="62"/>
      <c r="B336" s="63"/>
      <c r="C336" s="64"/>
      <c r="D336" s="64"/>
      <c r="E336" s="64"/>
      <c r="F336" s="65" t="str">
        <f t="shared" si="1"/>
        <v/>
      </c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</row>
    <row r="337">
      <c r="A337" s="62"/>
      <c r="B337" s="63"/>
      <c r="C337" s="64"/>
      <c r="D337" s="64"/>
      <c r="E337" s="64"/>
      <c r="F337" s="65" t="str">
        <f t="shared" si="1"/>
        <v/>
      </c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</row>
    <row r="338">
      <c r="A338" s="62"/>
      <c r="B338" s="63"/>
      <c r="C338" s="64"/>
      <c r="D338" s="64"/>
      <c r="E338" s="64"/>
      <c r="F338" s="65" t="str">
        <f t="shared" si="1"/>
        <v/>
      </c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</row>
    <row r="339">
      <c r="A339" s="62"/>
      <c r="B339" s="63"/>
      <c r="C339" s="64"/>
      <c r="D339" s="64"/>
      <c r="E339" s="64"/>
      <c r="F339" s="65" t="str">
        <f t="shared" si="1"/>
        <v/>
      </c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</row>
    <row r="340">
      <c r="A340" s="62"/>
      <c r="B340" s="63"/>
      <c r="C340" s="64"/>
      <c r="D340" s="64"/>
      <c r="E340" s="64"/>
      <c r="F340" s="65" t="str">
        <f t="shared" si="1"/>
        <v/>
      </c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</row>
    <row r="341">
      <c r="A341" s="62"/>
      <c r="B341" s="63"/>
      <c r="C341" s="64"/>
      <c r="D341" s="64"/>
      <c r="E341" s="64"/>
      <c r="F341" s="65" t="str">
        <f t="shared" si="1"/>
        <v/>
      </c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</row>
    <row r="342">
      <c r="A342" s="62"/>
      <c r="B342" s="63"/>
      <c r="C342" s="64"/>
      <c r="D342" s="64"/>
      <c r="E342" s="64"/>
      <c r="F342" s="65" t="str">
        <f t="shared" si="1"/>
        <v/>
      </c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</row>
    <row r="343">
      <c r="A343" s="62"/>
      <c r="B343" s="63"/>
      <c r="C343" s="64"/>
      <c r="D343" s="64"/>
      <c r="E343" s="64"/>
      <c r="F343" s="65" t="str">
        <f t="shared" si="1"/>
        <v/>
      </c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</row>
    <row r="344">
      <c r="A344" s="62"/>
      <c r="B344" s="63"/>
      <c r="C344" s="64"/>
      <c r="D344" s="64"/>
      <c r="E344" s="64"/>
      <c r="F344" s="65" t="str">
        <f t="shared" si="1"/>
        <v/>
      </c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</row>
    <row r="345">
      <c r="A345" s="62"/>
      <c r="B345" s="63"/>
      <c r="C345" s="64"/>
      <c r="D345" s="64"/>
      <c r="E345" s="64"/>
      <c r="F345" s="65" t="str">
        <f t="shared" si="1"/>
        <v/>
      </c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</row>
    <row r="346">
      <c r="A346" s="62"/>
      <c r="B346" s="63"/>
      <c r="C346" s="64"/>
      <c r="D346" s="64"/>
      <c r="E346" s="64"/>
      <c r="F346" s="65" t="str">
        <f t="shared" si="1"/>
        <v/>
      </c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</row>
    <row r="347">
      <c r="A347" s="62"/>
      <c r="B347" s="63"/>
      <c r="C347" s="64"/>
      <c r="D347" s="64"/>
      <c r="E347" s="64"/>
      <c r="F347" s="65" t="str">
        <f t="shared" si="1"/>
        <v/>
      </c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</row>
    <row r="348">
      <c r="A348" s="62"/>
      <c r="B348" s="63"/>
      <c r="C348" s="64"/>
      <c r="D348" s="64"/>
      <c r="E348" s="64"/>
      <c r="F348" s="65" t="str">
        <f t="shared" si="1"/>
        <v/>
      </c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</row>
    <row r="349">
      <c r="A349" s="62"/>
      <c r="B349" s="63"/>
      <c r="C349" s="64"/>
      <c r="D349" s="64"/>
      <c r="E349" s="64"/>
      <c r="F349" s="65" t="str">
        <f t="shared" si="1"/>
        <v/>
      </c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</row>
    <row r="350">
      <c r="A350" s="62"/>
      <c r="B350" s="63"/>
      <c r="C350" s="64"/>
      <c r="D350" s="64"/>
      <c r="E350" s="64"/>
      <c r="F350" s="65" t="str">
        <f t="shared" si="1"/>
        <v/>
      </c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</row>
    <row r="351">
      <c r="A351" s="62"/>
      <c r="B351" s="63"/>
      <c r="C351" s="64"/>
      <c r="D351" s="64"/>
      <c r="E351" s="64"/>
      <c r="F351" s="65" t="str">
        <f t="shared" si="1"/>
        <v/>
      </c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</row>
    <row r="352">
      <c r="A352" s="62"/>
      <c r="B352" s="63"/>
      <c r="C352" s="64"/>
      <c r="D352" s="64"/>
      <c r="E352" s="64"/>
      <c r="F352" s="65" t="str">
        <f t="shared" si="1"/>
        <v/>
      </c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</row>
    <row r="353">
      <c r="A353" s="62"/>
      <c r="B353" s="63"/>
      <c r="C353" s="64"/>
      <c r="D353" s="64"/>
      <c r="E353" s="64"/>
      <c r="F353" s="65" t="str">
        <f t="shared" si="1"/>
        <v/>
      </c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</row>
    <row r="354">
      <c r="A354" s="62"/>
      <c r="B354" s="63"/>
      <c r="C354" s="64"/>
      <c r="D354" s="64"/>
      <c r="E354" s="64"/>
      <c r="F354" s="65" t="str">
        <f t="shared" si="1"/>
        <v/>
      </c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</row>
    <row r="355">
      <c r="A355" s="62"/>
      <c r="B355" s="63"/>
      <c r="C355" s="64"/>
      <c r="D355" s="64"/>
      <c r="E355" s="64"/>
      <c r="F355" s="65" t="str">
        <f t="shared" si="1"/>
        <v/>
      </c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</row>
    <row r="356">
      <c r="A356" s="62"/>
      <c r="B356" s="63"/>
      <c r="C356" s="64"/>
      <c r="D356" s="64"/>
      <c r="E356" s="64"/>
      <c r="F356" s="65" t="str">
        <f t="shared" si="1"/>
        <v/>
      </c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</row>
    <row r="357">
      <c r="A357" s="62"/>
      <c r="B357" s="63"/>
      <c r="C357" s="64"/>
      <c r="D357" s="64"/>
      <c r="E357" s="64"/>
      <c r="F357" s="65" t="str">
        <f t="shared" si="1"/>
        <v/>
      </c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</row>
    <row r="358">
      <c r="A358" s="62"/>
      <c r="B358" s="63"/>
      <c r="C358" s="64"/>
      <c r="D358" s="64"/>
      <c r="E358" s="64"/>
      <c r="F358" s="65" t="str">
        <f t="shared" si="1"/>
        <v/>
      </c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</row>
    <row r="359">
      <c r="A359" s="62"/>
      <c r="B359" s="63"/>
      <c r="C359" s="64"/>
      <c r="D359" s="64"/>
      <c r="E359" s="64"/>
      <c r="F359" s="65" t="str">
        <f t="shared" si="1"/>
        <v/>
      </c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</row>
    <row r="360">
      <c r="A360" s="62"/>
      <c r="B360" s="63"/>
      <c r="C360" s="64"/>
      <c r="D360" s="64"/>
      <c r="E360" s="64"/>
      <c r="F360" s="65" t="str">
        <f t="shared" si="1"/>
        <v/>
      </c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</row>
    <row r="361">
      <c r="A361" s="62"/>
      <c r="B361" s="63"/>
      <c r="C361" s="64"/>
      <c r="D361" s="64"/>
      <c r="E361" s="64"/>
      <c r="F361" s="65" t="str">
        <f t="shared" si="1"/>
        <v/>
      </c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</row>
    <row r="362">
      <c r="A362" s="62"/>
      <c r="B362" s="63"/>
      <c r="C362" s="64"/>
      <c r="D362" s="64"/>
      <c r="E362" s="64"/>
      <c r="F362" s="65" t="str">
        <f t="shared" si="1"/>
        <v/>
      </c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</row>
    <row r="363">
      <c r="A363" s="62"/>
      <c r="B363" s="63"/>
      <c r="C363" s="64"/>
      <c r="D363" s="64"/>
      <c r="E363" s="64"/>
      <c r="F363" s="65" t="str">
        <f t="shared" si="1"/>
        <v/>
      </c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</row>
    <row r="364">
      <c r="A364" s="62"/>
      <c r="B364" s="63"/>
      <c r="C364" s="64"/>
      <c r="D364" s="64"/>
      <c r="E364" s="64"/>
      <c r="F364" s="65" t="str">
        <f t="shared" si="1"/>
        <v/>
      </c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</row>
    <row r="365">
      <c r="A365" s="62"/>
      <c r="B365" s="63"/>
      <c r="C365" s="64"/>
      <c r="D365" s="64"/>
      <c r="E365" s="64"/>
      <c r="F365" s="65" t="str">
        <f t="shared" si="1"/>
        <v/>
      </c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</row>
    <row r="366">
      <c r="A366" s="62"/>
      <c r="B366" s="63"/>
      <c r="C366" s="64"/>
      <c r="D366" s="64"/>
      <c r="E366" s="64"/>
      <c r="F366" s="65" t="str">
        <f t="shared" si="1"/>
        <v/>
      </c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</row>
    <row r="367">
      <c r="A367" s="62"/>
      <c r="B367" s="63"/>
      <c r="C367" s="64"/>
      <c r="D367" s="64"/>
      <c r="E367" s="64"/>
      <c r="F367" s="65" t="str">
        <f t="shared" si="1"/>
        <v/>
      </c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</row>
    <row r="368">
      <c r="A368" s="62"/>
      <c r="B368" s="63"/>
      <c r="C368" s="64"/>
      <c r="D368" s="64"/>
      <c r="E368" s="64"/>
      <c r="F368" s="65" t="str">
        <f t="shared" si="1"/>
        <v/>
      </c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</row>
    <row r="369">
      <c r="A369" s="62"/>
      <c r="B369" s="63"/>
      <c r="C369" s="64"/>
      <c r="D369" s="64"/>
      <c r="E369" s="64"/>
      <c r="F369" s="65" t="str">
        <f t="shared" si="1"/>
        <v/>
      </c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</row>
    <row r="370">
      <c r="A370" s="62"/>
      <c r="B370" s="63"/>
      <c r="C370" s="64"/>
      <c r="D370" s="64"/>
      <c r="E370" s="64"/>
      <c r="F370" s="65" t="str">
        <f t="shared" si="1"/>
        <v/>
      </c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</row>
    <row r="371">
      <c r="A371" s="62"/>
      <c r="B371" s="63"/>
      <c r="C371" s="64"/>
      <c r="D371" s="64"/>
      <c r="E371" s="64"/>
      <c r="F371" s="65" t="str">
        <f t="shared" si="1"/>
        <v/>
      </c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</row>
    <row r="372">
      <c r="A372" s="62"/>
      <c r="B372" s="63"/>
      <c r="C372" s="64"/>
      <c r="D372" s="64"/>
      <c r="E372" s="64"/>
      <c r="F372" s="65" t="str">
        <f t="shared" si="1"/>
        <v/>
      </c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</row>
    <row r="373">
      <c r="A373" s="62"/>
      <c r="B373" s="63"/>
      <c r="C373" s="64"/>
      <c r="D373" s="64"/>
      <c r="E373" s="64"/>
      <c r="F373" s="65" t="str">
        <f t="shared" si="1"/>
        <v/>
      </c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</row>
    <row r="374">
      <c r="A374" s="62"/>
      <c r="B374" s="63"/>
      <c r="C374" s="64"/>
      <c r="D374" s="64"/>
      <c r="E374" s="64"/>
      <c r="F374" s="65" t="str">
        <f t="shared" si="1"/>
        <v/>
      </c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</row>
    <row r="375">
      <c r="A375" s="62"/>
      <c r="B375" s="63"/>
      <c r="C375" s="64"/>
      <c r="D375" s="64"/>
      <c r="E375" s="64"/>
      <c r="F375" s="65" t="str">
        <f t="shared" si="1"/>
        <v/>
      </c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</row>
    <row r="376">
      <c r="A376" s="62"/>
      <c r="B376" s="63"/>
      <c r="C376" s="64"/>
      <c r="D376" s="64"/>
      <c r="E376" s="64"/>
      <c r="F376" s="65" t="str">
        <f t="shared" si="1"/>
        <v/>
      </c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</row>
    <row r="377">
      <c r="A377" s="62"/>
      <c r="B377" s="63"/>
      <c r="C377" s="64"/>
      <c r="D377" s="64"/>
      <c r="E377" s="64"/>
      <c r="F377" s="65" t="str">
        <f t="shared" si="1"/>
        <v/>
      </c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</row>
    <row r="378">
      <c r="A378" s="62"/>
      <c r="B378" s="63"/>
      <c r="C378" s="64"/>
      <c r="D378" s="64"/>
      <c r="E378" s="64"/>
      <c r="F378" s="65" t="str">
        <f t="shared" si="1"/>
        <v/>
      </c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</row>
    <row r="379">
      <c r="A379" s="62"/>
      <c r="B379" s="63"/>
      <c r="C379" s="64"/>
      <c r="D379" s="64"/>
      <c r="E379" s="64"/>
      <c r="F379" s="65" t="str">
        <f t="shared" si="1"/>
        <v/>
      </c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</row>
    <row r="380">
      <c r="A380" s="62"/>
      <c r="B380" s="63"/>
      <c r="C380" s="64"/>
      <c r="D380" s="64"/>
      <c r="E380" s="64"/>
      <c r="F380" s="65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</row>
    <row r="381">
      <c r="A381" s="62"/>
      <c r="B381" s="63"/>
      <c r="C381" s="64"/>
      <c r="D381" s="64"/>
      <c r="E381" s="64"/>
      <c r="F381" s="65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</row>
    <row r="382">
      <c r="A382" s="62"/>
      <c r="B382" s="63"/>
      <c r="C382" s="64"/>
      <c r="D382" s="64"/>
      <c r="E382" s="64"/>
      <c r="F382" s="65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</row>
    <row r="383">
      <c r="A383" s="62"/>
      <c r="B383" s="63"/>
      <c r="C383" s="64"/>
      <c r="D383" s="64"/>
      <c r="E383" s="64"/>
      <c r="F383" s="65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</row>
    <row r="384">
      <c r="A384" s="62"/>
      <c r="B384" s="63"/>
      <c r="C384" s="64"/>
      <c r="D384" s="64"/>
      <c r="E384" s="64"/>
      <c r="F384" s="65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</row>
    <row r="385">
      <c r="A385" s="62"/>
      <c r="B385" s="63"/>
      <c r="C385" s="64"/>
      <c r="D385" s="64"/>
      <c r="E385" s="64"/>
      <c r="F385" s="65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</row>
    <row r="386">
      <c r="A386" s="62"/>
      <c r="B386" s="63"/>
      <c r="C386" s="64"/>
      <c r="D386" s="64"/>
      <c r="E386" s="64"/>
      <c r="F386" s="65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</row>
    <row r="387">
      <c r="A387" s="62"/>
      <c r="B387" s="63"/>
      <c r="C387" s="64"/>
      <c r="D387" s="64"/>
      <c r="E387" s="64"/>
      <c r="F387" s="65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</row>
    <row r="388">
      <c r="A388" s="62"/>
      <c r="B388" s="63"/>
      <c r="C388" s="64"/>
      <c r="D388" s="64"/>
      <c r="E388" s="64"/>
      <c r="F388" s="65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</row>
    <row r="389">
      <c r="A389" s="62"/>
      <c r="B389" s="63"/>
      <c r="C389" s="64"/>
      <c r="D389" s="64"/>
      <c r="E389" s="64"/>
      <c r="F389" s="65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</row>
    <row r="390">
      <c r="A390" s="62"/>
      <c r="B390" s="63"/>
      <c r="C390" s="64"/>
      <c r="D390" s="64"/>
      <c r="E390" s="64"/>
      <c r="F390" s="65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</row>
    <row r="391">
      <c r="A391" s="62"/>
      <c r="B391" s="63"/>
      <c r="C391" s="64"/>
      <c r="D391" s="64"/>
      <c r="E391" s="64"/>
      <c r="F391" s="65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</row>
    <row r="392">
      <c r="A392" s="62"/>
      <c r="B392" s="63"/>
      <c r="C392" s="64"/>
      <c r="D392" s="64"/>
      <c r="E392" s="64"/>
      <c r="F392" s="65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</row>
    <row r="393">
      <c r="A393" s="62"/>
      <c r="B393" s="63"/>
      <c r="C393" s="64"/>
      <c r="D393" s="64"/>
      <c r="E393" s="64"/>
      <c r="F393" s="65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</row>
    <row r="394">
      <c r="A394" s="62"/>
      <c r="B394" s="63"/>
      <c r="C394" s="64"/>
      <c r="D394" s="64"/>
      <c r="E394" s="64"/>
      <c r="F394" s="65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</row>
    <row r="395">
      <c r="A395" s="62"/>
      <c r="B395" s="63"/>
      <c r="C395" s="64"/>
      <c r="D395" s="64"/>
      <c r="E395" s="64"/>
      <c r="F395" s="65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</row>
    <row r="396">
      <c r="A396" s="62"/>
      <c r="B396" s="63"/>
      <c r="C396" s="64"/>
      <c r="D396" s="64"/>
      <c r="E396" s="64"/>
      <c r="F396" s="65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</row>
    <row r="397">
      <c r="A397" s="62"/>
      <c r="B397" s="63"/>
      <c r="C397" s="64"/>
      <c r="D397" s="64"/>
      <c r="E397" s="64"/>
      <c r="F397" s="65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</row>
    <row r="398">
      <c r="A398" s="62"/>
      <c r="B398" s="63"/>
      <c r="C398" s="64"/>
      <c r="D398" s="64"/>
      <c r="E398" s="64"/>
      <c r="F398" s="65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</row>
    <row r="399">
      <c r="A399" s="62"/>
      <c r="B399" s="63"/>
      <c r="C399" s="64"/>
      <c r="D399" s="64"/>
      <c r="E399" s="64"/>
      <c r="F399" s="65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</row>
    <row r="400">
      <c r="A400" s="62"/>
      <c r="B400" s="63"/>
      <c r="C400" s="64"/>
      <c r="D400" s="64"/>
      <c r="E400" s="64"/>
      <c r="F400" s="65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</row>
    <row r="401">
      <c r="A401" s="62"/>
      <c r="B401" s="63"/>
      <c r="C401" s="64"/>
      <c r="D401" s="64"/>
      <c r="E401" s="64"/>
      <c r="F401" s="65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</row>
    <row r="402">
      <c r="A402" s="62"/>
      <c r="B402" s="63"/>
      <c r="C402" s="64"/>
      <c r="D402" s="64"/>
      <c r="E402" s="64"/>
      <c r="F402" s="65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</row>
    <row r="403">
      <c r="A403" s="62"/>
      <c r="B403" s="63"/>
      <c r="C403" s="64"/>
      <c r="D403" s="64"/>
      <c r="E403" s="64"/>
      <c r="F403" s="65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</row>
    <row r="404">
      <c r="A404" s="62"/>
      <c r="B404" s="63"/>
      <c r="C404" s="64"/>
      <c r="D404" s="64"/>
      <c r="E404" s="64"/>
      <c r="F404" s="65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</row>
    <row r="405">
      <c r="A405" s="62"/>
      <c r="B405" s="63"/>
      <c r="C405" s="64"/>
      <c r="D405" s="64"/>
      <c r="E405" s="64"/>
      <c r="F405" s="65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</row>
    <row r="406">
      <c r="A406" s="62"/>
      <c r="B406" s="63"/>
      <c r="C406" s="64"/>
      <c r="D406" s="64"/>
      <c r="E406" s="64"/>
      <c r="F406" s="65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</row>
    <row r="407">
      <c r="A407" s="62"/>
      <c r="B407" s="63"/>
      <c r="C407" s="64"/>
      <c r="D407" s="64"/>
      <c r="E407" s="64"/>
      <c r="F407" s="65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</row>
    <row r="408">
      <c r="A408" s="62"/>
      <c r="B408" s="63"/>
      <c r="C408" s="64"/>
      <c r="D408" s="64"/>
      <c r="E408" s="64"/>
      <c r="F408" s="65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</row>
    <row r="409">
      <c r="A409" s="62"/>
      <c r="B409" s="63"/>
      <c r="C409" s="64"/>
      <c r="D409" s="64"/>
      <c r="E409" s="64"/>
      <c r="F409" s="65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</row>
    <row r="410">
      <c r="A410" s="62"/>
      <c r="B410" s="63"/>
      <c r="C410" s="64"/>
      <c r="D410" s="64"/>
      <c r="E410" s="64"/>
      <c r="F410" s="65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</row>
    <row r="411">
      <c r="A411" s="62"/>
      <c r="B411" s="63"/>
      <c r="C411" s="64"/>
      <c r="D411" s="64"/>
      <c r="E411" s="64"/>
      <c r="F411" s="65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</row>
    <row r="412">
      <c r="A412" s="62"/>
      <c r="B412" s="63"/>
      <c r="C412" s="64"/>
      <c r="D412" s="64"/>
      <c r="E412" s="64"/>
      <c r="F412" s="65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</row>
    <row r="413">
      <c r="A413" s="62"/>
      <c r="B413" s="63"/>
      <c r="C413" s="64"/>
      <c r="D413" s="64"/>
      <c r="E413" s="64"/>
      <c r="F413" s="65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</row>
    <row r="414">
      <c r="A414" s="62"/>
      <c r="B414" s="63"/>
      <c r="C414" s="64"/>
      <c r="D414" s="64"/>
      <c r="E414" s="64"/>
      <c r="F414" s="65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</row>
    <row r="415">
      <c r="A415" s="62"/>
      <c r="B415" s="63"/>
      <c r="C415" s="64"/>
      <c r="D415" s="64"/>
      <c r="E415" s="64"/>
      <c r="F415" s="65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</row>
    <row r="416">
      <c r="A416" s="62"/>
      <c r="B416" s="63"/>
      <c r="C416" s="64"/>
      <c r="D416" s="64"/>
      <c r="E416" s="64"/>
      <c r="F416" s="65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</row>
    <row r="417">
      <c r="A417" s="62"/>
      <c r="B417" s="63"/>
      <c r="C417" s="64"/>
      <c r="D417" s="64"/>
      <c r="E417" s="64"/>
      <c r="F417" s="65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</row>
    <row r="418">
      <c r="A418" s="62"/>
      <c r="B418" s="63"/>
      <c r="C418" s="64"/>
      <c r="D418" s="64"/>
      <c r="E418" s="64"/>
      <c r="F418" s="65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</row>
    <row r="419">
      <c r="A419" s="62"/>
      <c r="B419" s="63"/>
      <c r="C419" s="64"/>
      <c r="D419" s="64"/>
      <c r="E419" s="64"/>
      <c r="F419" s="65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</row>
    <row r="420">
      <c r="A420" s="62"/>
      <c r="B420" s="63"/>
      <c r="C420" s="64"/>
      <c r="D420" s="64"/>
      <c r="E420" s="64"/>
      <c r="F420" s="65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</row>
    <row r="421">
      <c r="A421" s="62"/>
      <c r="B421" s="63"/>
      <c r="C421" s="64"/>
      <c r="D421" s="64"/>
      <c r="E421" s="64"/>
      <c r="F421" s="65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</row>
    <row r="422">
      <c r="A422" s="62"/>
      <c r="B422" s="63"/>
      <c r="C422" s="64"/>
      <c r="D422" s="64"/>
      <c r="E422" s="64"/>
      <c r="F422" s="65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</row>
    <row r="423">
      <c r="A423" s="62"/>
      <c r="B423" s="63"/>
      <c r="C423" s="64"/>
      <c r="D423" s="64"/>
      <c r="E423" s="64"/>
      <c r="F423" s="65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</row>
    <row r="424">
      <c r="A424" s="62"/>
      <c r="B424" s="63"/>
      <c r="C424" s="64"/>
      <c r="D424" s="64"/>
      <c r="E424" s="64"/>
      <c r="F424" s="65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</row>
    <row r="425">
      <c r="A425" s="62"/>
      <c r="B425" s="63"/>
      <c r="C425" s="64"/>
      <c r="D425" s="64"/>
      <c r="E425" s="64"/>
      <c r="F425" s="65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</row>
    <row r="426">
      <c r="A426" s="62"/>
      <c r="B426" s="63"/>
      <c r="C426" s="64"/>
      <c r="D426" s="64"/>
      <c r="E426" s="64"/>
      <c r="F426" s="65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</row>
    <row r="427">
      <c r="A427" s="62"/>
      <c r="B427" s="63"/>
      <c r="C427" s="64"/>
      <c r="D427" s="64"/>
      <c r="E427" s="64"/>
      <c r="F427" s="65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</row>
    <row r="428">
      <c r="A428" s="62"/>
      <c r="B428" s="63"/>
      <c r="C428" s="64"/>
      <c r="D428" s="64"/>
      <c r="E428" s="64"/>
      <c r="F428" s="65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</row>
    <row r="429">
      <c r="A429" s="62"/>
      <c r="B429" s="63"/>
      <c r="C429" s="64"/>
      <c r="D429" s="64"/>
      <c r="E429" s="64"/>
      <c r="F429" s="65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</row>
    <row r="430">
      <c r="A430" s="62"/>
      <c r="B430" s="63"/>
      <c r="C430" s="64"/>
      <c r="D430" s="64"/>
      <c r="E430" s="64"/>
      <c r="F430" s="65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</row>
    <row r="431">
      <c r="A431" s="62"/>
      <c r="B431" s="63"/>
      <c r="C431" s="64"/>
      <c r="D431" s="64"/>
      <c r="E431" s="64"/>
      <c r="F431" s="65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</row>
    <row r="432">
      <c r="A432" s="62"/>
      <c r="B432" s="63"/>
      <c r="C432" s="64"/>
      <c r="D432" s="64"/>
      <c r="E432" s="64"/>
      <c r="F432" s="65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</row>
    <row r="433">
      <c r="A433" s="62"/>
      <c r="B433" s="63"/>
      <c r="C433" s="64"/>
      <c r="D433" s="64"/>
      <c r="E433" s="64"/>
      <c r="F433" s="65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</row>
    <row r="434">
      <c r="A434" s="62"/>
      <c r="B434" s="63"/>
      <c r="C434" s="64"/>
      <c r="D434" s="64"/>
      <c r="E434" s="64"/>
      <c r="F434" s="65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</row>
    <row r="435">
      <c r="A435" s="62"/>
      <c r="B435" s="63"/>
      <c r="C435" s="64"/>
      <c r="D435" s="64"/>
      <c r="E435" s="64"/>
      <c r="F435" s="65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</row>
    <row r="436">
      <c r="A436" s="62"/>
      <c r="B436" s="63"/>
      <c r="C436" s="64"/>
      <c r="D436" s="64"/>
      <c r="E436" s="64"/>
      <c r="F436" s="65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</row>
    <row r="437">
      <c r="A437" s="62"/>
      <c r="B437" s="63"/>
      <c r="C437" s="64"/>
      <c r="D437" s="64"/>
      <c r="E437" s="64"/>
      <c r="F437" s="65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</row>
    <row r="438">
      <c r="A438" s="62"/>
      <c r="B438" s="63"/>
      <c r="C438" s="64"/>
      <c r="D438" s="64"/>
      <c r="E438" s="64"/>
      <c r="F438" s="65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</row>
    <row r="439">
      <c r="A439" s="62"/>
      <c r="B439" s="63"/>
      <c r="C439" s="64"/>
      <c r="D439" s="64"/>
      <c r="E439" s="64"/>
      <c r="F439" s="65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</row>
    <row r="440">
      <c r="A440" s="62"/>
      <c r="B440" s="63"/>
      <c r="C440" s="64"/>
      <c r="D440" s="64"/>
      <c r="E440" s="64"/>
      <c r="F440" s="65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</row>
    <row r="441">
      <c r="A441" s="62"/>
      <c r="B441" s="63"/>
      <c r="C441" s="64"/>
      <c r="D441" s="64"/>
      <c r="E441" s="64"/>
      <c r="F441" s="65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</row>
    <row r="442">
      <c r="A442" s="62"/>
      <c r="B442" s="63"/>
      <c r="C442" s="64"/>
      <c r="D442" s="64"/>
      <c r="E442" s="64"/>
      <c r="F442" s="65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</row>
    <row r="443">
      <c r="A443" s="62"/>
      <c r="B443" s="63"/>
      <c r="C443" s="64"/>
      <c r="D443" s="64"/>
      <c r="E443" s="64"/>
      <c r="F443" s="65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</row>
    <row r="444">
      <c r="A444" s="62"/>
      <c r="B444" s="63"/>
      <c r="C444" s="64"/>
      <c r="D444" s="64"/>
      <c r="E444" s="64"/>
      <c r="F444" s="65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</row>
    <row r="445">
      <c r="A445" s="62"/>
      <c r="B445" s="63"/>
      <c r="C445" s="64"/>
      <c r="D445" s="64"/>
      <c r="E445" s="64"/>
      <c r="F445" s="65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</row>
    <row r="446">
      <c r="A446" s="62"/>
      <c r="B446" s="63"/>
      <c r="C446" s="64"/>
      <c r="D446" s="64"/>
      <c r="E446" s="64"/>
      <c r="F446" s="65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</row>
    <row r="447">
      <c r="A447" s="62"/>
      <c r="B447" s="63"/>
      <c r="C447" s="64"/>
      <c r="D447" s="64"/>
      <c r="E447" s="64"/>
      <c r="F447" s="65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</row>
    <row r="448">
      <c r="A448" s="62"/>
      <c r="B448" s="63"/>
      <c r="C448" s="64"/>
      <c r="D448" s="64"/>
      <c r="E448" s="64"/>
      <c r="F448" s="65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</row>
    <row r="449">
      <c r="A449" s="62"/>
      <c r="B449" s="63"/>
      <c r="C449" s="64"/>
      <c r="D449" s="64"/>
      <c r="E449" s="64"/>
      <c r="F449" s="65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</row>
    <row r="450">
      <c r="A450" s="62"/>
      <c r="B450" s="63"/>
      <c r="C450" s="64"/>
      <c r="D450" s="64"/>
      <c r="E450" s="64"/>
      <c r="F450" s="65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</row>
    <row r="451">
      <c r="A451" s="62"/>
      <c r="B451" s="63"/>
      <c r="C451" s="64"/>
      <c r="D451" s="64"/>
      <c r="E451" s="64"/>
      <c r="F451" s="65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</row>
    <row r="452">
      <c r="A452" s="62"/>
      <c r="B452" s="63"/>
      <c r="C452" s="64"/>
      <c r="D452" s="64"/>
      <c r="E452" s="64"/>
      <c r="F452" s="65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</row>
    <row r="453">
      <c r="A453" s="62"/>
      <c r="B453" s="63"/>
      <c r="C453" s="64"/>
      <c r="D453" s="64"/>
      <c r="E453" s="64"/>
      <c r="F453" s="65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</row>
    <row r="454">
      <c r="A454" s="62"/>
      <c r="B454" s="63"/>
      <c r="C454" s="64"/>
      <c r="D454" s="64"/>
      <c r="E454" s="64"/>
      <c r="F454" s="65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</row>
    <row r="455">
      <c r="A455" s="62"/>
      <c r="B455" s="63"/>
      <c r="C455" s="64"/>
      <c r="D455" s="64"/>
      <c r="E455" s="64"/>
      <c r="F455" s="65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</row>
    <row r="456">
      <c r="A456" s="62"/>
      <c r="B456" s="63"/>
      <c r="C456" s="64"/>
      <c r="D456" s="64"/>
      <c r="E456" s="64"/>
      <c r="F456" s="65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</row>
    <row r="457">
      <c r="A457" s="62"/>
      <c r="B457" s="63"/>
      <c r="C457" s="64"/>
      <c r="D457" s="64"/>
      <c r="E457" s="64"/>
      <c r="F457" s="65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</row>
    <row r="458">
      <c r="A458" s="62"/>
      <c r="B458" s="63"/>
      <c r="C458" s="64"/>
      <c r="D458" s="64"/>
      <c r="E458" s="64"/>
      <c r="F458" s="65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</row>
    <row r="459">
      <c r="A459" s="62"/>
      <c r="B459" s="63"/>
      <c r="C459" s="64"/>
      <c r="D459" s="64"/>
      <c r="E459" s="64"/>
      <c r="F459" s="65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</row>
    <row r="460">
      <c r="A460" s="62"/>
      <c r="B460" s="63"/>
      <c r="C460" s="64"/>
      <c r="D460" s="64"/>
      <c r="E460" s="64"/>
      <c r="F460" s="65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</row>
    <row r="461">
      <c r="A461" s="62"/>
      <c r="B461" s="63"/>
      <c r="C461" s="64"/>
      <c r="D461" s="64"/>
      <c r="E461" s="64"/>
      <c r="F461" s="65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</row>
    <row r="462">
      <c r="A462" s="62"/>
      <c r="B462" s="63"/>
      <c r="C462" s="64"/>
      <c r="D462" s="64"/>
      <c r="E462" s="64"/>
      <c r="F462" s="65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</row>
    <row r="463">
      <c r="A463" s="62"/>
      <c r="B463" s="63"/>
      <c r="C463" s="64"/>
      <c r="D463" s="64"/>
      <c r="E463" s="64"/>
      <c r="F463" s="65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</row>
    <row r="464">
      <c r="A464" s="62"/>
      <c r="B464" s="63"/>
      <c r="C464" s="64"/>
      <c r="D464" s="64"/>
      <c r="E464" s="64"/>
      <c r="F464" s="65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</row>
    <row r="465">
      <c r="A465" s="62"/>
      <c r="B465" s="63"/>
      <c r="C465" s="64"/>
      <c r="D465" s="64"/>
      <c r="E465" s="64"/>
      <c r="F465" s="65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</row>
    <row r="466">
      <c r="A466" s="62"/>
      <c r="B466" s="63"/>
      <c r="C466" s="64"/>
      <c r="D466" s="64"/>
      <c r="E466" s="64"/>
      <c r="F466" s="65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</row>
    <row r="467">
      <c r="A467" s="62"/>
      <c r="B467" s="63"/>
      <c r="C467" s="64"/>
      <c r="D467" s="64"/>
      <c r="E467" s="64"/>
      <c r="F467" s="65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</row>
    <row r="468">
      <c r="A468" s="62"/>
      <c r="B468" s="63"/>
      <c r="C468" s="64"/>
      <c r="D468" s="64"/>
      <c r="E468" s="64"/>
      <c r="F468" s="65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</row>
    <row r="469">
      <c r="A469" s="62"/>
      <c r="B469" s="63"/>
      <c r="C469" s="64"/>
      <c r="D469" s="64"/>
      <c r="E469" s="64"/>
      <c r="F469" s="65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</row>
    <row r="470">
      <c r="A470" s="62"/>
      <c r="B470" s="63"/>
      <c r="C470" s="64"/>
      <c r="D470" s="64"/>
      <c r="E470" s="64"/>
      <c r="F470" s="65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</row>
    <row r="471">
      <c r="A471" s="62"/>
      <c r="B471" s="63"/>
      <c r="C471" s="64"/>
      <c r="D471" s="64"/>
      <c r="E471" s="64"/>
      <c r="F471" s="65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</row>
    <row r="472">
      <c r="A472" s="62"/>
      <c r="B472" s="63"/>
      <c r="C472" s="64"/>
      <c r="D472" s="64"/>
      <c r="E472" s="64"/>
      <c r="F472" s="65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</row>
    <row r="473">
      <c r="A473" s="62"/>
      <c r="B473" s="63"/>
      <c r="C473" s="64"/>
      <c r="D473" s="64"/>
      <c r="E473" s="64"/>
      <c r="F473" s="65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</row>
    <row r="474">
      <c r="A474" s="62"/>
      <c r="B474" s="63"/>
      <c r="C474" s="64"/>
      <c r="D474" s="64"/>
      <c r="E474" s="64"/>
      <c r="F474" s="65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</row>
    <row r="475">
      <c r="A475" s="62"/>
      <c r="B475" s="63"/>
      <c r="C475" s="64"/>
      <c r="D475" s="64"/>
      <c r="E475" s="64"/>
      <c r="F475" s="65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</row>
    <row r="476">
      <c r="A476" s="62"/>
      <c r="B476" s="63"/>
      <c r="C476" s="64"/>
      <c r="D476" s="64"/>
      <c r="E476" s="64"/>
      <c r="F476" s="65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</row>
    <row r="477">
      <c r="A477" s="62"/>
      <c r="B477" s="63"/>
      <c r="C477" s="64"/>
      <c r="D477" s="64"/>
      <c r="E477" s="64"/>
      <c r="F477" s="65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</row>
    <row r="478">
      <c r="A478" s="62"/>
      <c r="B478" s="63"/>
      <c r="C478" s="64"/>
      <c r="D478" s="64"/>
      <c r="E478" s="64"/>
      <c r="F478" s="65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</row>
    <row r="479">
      <c r="A479" s="62"/>
      <c r="B479" s="63"/>
      <c r="C479" s="64"/>
      <c r="D479" s="64"/>
      <c r="E479" s="64"/>
      <c r="F479" s="65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</row>
    <row r="480">
      <c r="A480" s="62"/>
      <c r="B480" s="63"/>
      <c r="C480" s="64"/>
      <c r="D480" s="64"/>
      <c r="E480" s="64"/>
      <c r="F480" s="65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</row>
    <row r="481">
      <c r="A481" s="62"/>
      <c r="B481" s="63"/>
      <c r="C481" s="64"/>
      <c r="D481" s="64"/>
      <c r="E481" s="64"/>
      <c r="F481" s="65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</row>
    <row r="482">
      <c r="A482" s="62"/>
      <c r="B482" s="63"/>
      <c r="C482" s="64"/>
      <c r="D482" s="64"/>
      <c r="E482" s="64"/>
      <c r="F482" s="65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</row>
    <row r="483">
      <c r="A483" s="62"/>
      <c r="B483" s="63"/>
      <c r="C483" s="64"/>
      <c r="D483" s="64"/>
      <c r="E483" s="64"/>
      <c r="F483" s="65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</row>
    <row r="484">
      <c r="A484" s="62"/>
      <c r="B484" s="63"/>
      <c r="C484" s="64"/>
      <c r="D484" s="64"/>
      <c r="E484" s="64"/>
      <c r="F484" s="65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</row>
    <row r="485">
      <c r="A485" s="62"/>
      <c r="B485" s="63"/>
      <c r="C485" s="64"/>
      <c r="D485" s="64"/>
      <c r="E485" s="64"/>
      <c r="F485" s="65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</row>
    <row r="486">
      <c r="A486" s="62"/>
      <c r="B486" s="63"/>
      <c r="C486" s="64"/>
      <c r="D486" s="64"/>
      <c r="E486" s="64"/>
      <c r="F486" s="65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</row>
    <row r="487">
      <c r="A487" s="62"/>
      <c r="B487" s="63"/>
      <c r="C487" s="64"/>
      <c r="D487" s="64"/>
      <c r="E487" s="64"/>
      <c r="F487" s="65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</row>
    <row r="488">
      <c r="A488" s="62"/>
      <c r="B488" s="63"/>
      <c r="C488" s="64"/>
      <c r="D488" s="64"/>
      <c r="E488" s="64"/>
      <c r="F488" s="65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</row>
    <row r="489">
      <c r="A489" s="62"/>
      <c r="B489" s="63"/>
      <c r="C489" s="64"/>
      <c r="D489" s="64"/>
      <c r="E489" s="64"/>
      <c r="F489" s="65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</row>
    <row r="490">
      <c r="A490" s="62"/>
      <c r="B490" s="63"/>
      <c r="C490" s="64"/>
      <c r="D490" s="64"/>
      <c r="E490" s="64"/>
      <c r="F490" s="65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</row>
    <row r="491">
      <c r="A491" s="62"/>
      <c r="B491" s="63"/>
      <c r="C491" s="64"/>
      <c r="D491" s="64"/>
      <c r="E491" s="64"/>
      <c r="F491" s="65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</row>
    <row r="492">
      <c r="A492" s="62"/>
      <c r="B492" s="63"/>
      <c r="C492" s="64"/>
      <c r="D492" s="64"/>
      <c r="E492" s="64"/>
      <c r="F492" s="65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</row>
    <row r="493">
      <c r="A493" s="62"/>
      <c r="B493" s="63"/>
      <c r="C493" s="64"/>
      <c r="D493" s="64"/>
      <c r="E493" s="64"/>
      <c r="F493" s="65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</row>
    <row r="494">
      <c r="A494" s="62"/>
      <c r="B494" s="63"/>
      <c r="C494" s="64"/>
      <c r="D494" s="64"/>
      <c r="E494" s="64"/>
      <c r="F494" s="65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</row>
    <row r="495">
      <c r="A495" s="62"/>
      <c r="B495" s="63"/>
      <c r="C495" s="64"/>
      <c r="D495" s="64"/>
      <c r="E495" s="64"/>
      <c r="F495" s="65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</row>
    <row r="496">
      <c r="A496" s="62"/>
      <c r="B496" s="63"/>
      <c r="C496" s="64"/>
      <c r="D496" s="64"/>
      <c r="E496" s="64"/>
      <c r="F496" s="65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</row>
    <row r="497">
      <c r="A497" s="62"/>
      <c r="B497" s="63"/>
      <c r="C497" s="64"/>
      <c r="D497" s="64"/>
      <c r="E497" s="64"/>
      <c r="F497" s="65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</row>
    <row r="498">
      <c r="A498" s="62"/>
      <c r="B498" s="63"/>
      <c r="C498" s="64"/>
      <c r="D498" s="64"/>
      <c r="E498" s="64"/>
      <c r="F498" s="65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</row>
    <row r="499">
      <c r="A499" s="62"/>
      <c r="B499" s="63"/>
      <c r="C499" s="64"/>
      <c r="D499" s="64"/>
      <c r="E499" s="64"/>
      <c r="F499" s="65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</row>
    <row r="500">
      <c r="A500" s="62"/>
      <c r="B500" s="63"/>
      <c r="C500" s="64"/>
      <c r="D500" s="64"/>
      <c r="E500" s="64"/>
      <c r="F500" s="65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</row>
    <row r="501">
      <c r="A501" s="62"/>
      <c r="B501" s="63"/>
      <c r="C501" s="64"/>
      <c r="D501" s="64"/>
      <c r="E501" s="64"/>
      <c r="F501" s="65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</row>
    <row r="502">
      <c r="A502" s="62"/>
      <c r="B502" s="63"/>
      <c r="C502" s="64"/>
      <c r="D502" s="64"/>
      <c r="E502" s="64"/>
      <c r="F502" s="65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</row>
    <row r="503">
      <c r="A503" s="62"/>
      <c r="B503" s="63"/>
      <c r="C503" s="64"/>
      <c r="D503" s="64"/>
      <c r="E503" s="64"/>
      <c r="F503" s="65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</row>
    <row r="504">
      <c r="A504" s="62"/>
      <c r="B504" s="63"/>
      <c r="C504" s="64"/>
      <c r="D504" s="64"/>
      <c r="E504" s="64"/>
      <c r="F504" s="65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</row>
    <row r="505">
      <c r="A505" s="62"/>
      <c r="B505" s="63"/>
      <c r="C505" s="64"/>
      <c r="D505" s="64"/>
      <c r="E505" s="64"/>
      <c r="F505" s="65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</row>
    <row r="506">
      <c r="A506" s="62"/>
      <c r="B506" s="63"/>
      <c r="C506" s="64"/>
      <c r="D506" s="64"/>
      <c r="E506" s="64"/>
      <c r="F506" s="65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</row>
    <row r="507">
      <c r="A507" s="62"/>
      <c r="B507" s="63"/>
      <c r="C507" s="64"/>
      <c r="D507" s="64"/>
      <c r="E507" s="64"/>
      <c r="F507" s="65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</row>
    <row r="508">
      <c r="A508" s="62"/>
      <c r="B508" s="63"/>
      <c r="C508" s="64"/>
      <c r="D508" s="64"/>
      <c r="E508" s="64"/>
      <c r="F508" s="65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</row>
    <row r="509">
      <c r="A509" s="62"/>
      <c r="B509" s="63"/>
      <c r="C509" s="64"/>
      <c r="D509" s="64"/>
      <c r="E509" s="64"/>
      <c r="F509" s="65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</row>
    <row r="510">
      <c r="A510" s="62"/>
      <c r="B510" s="63"/>
      <c r="C510" s="64"/>
      <c r="D510" s="64"/>
      <c r="E510" s="64"/>
      <c r="F510" s="65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</row>
    <row r="511">
      <c r="A511" s="62"/>
      <c r="B511" s="63"/>
      <c r="C511" s="64"/>
      <c r="D511" s="64"/>
      <c r="E511" s="64"/>
      <c r="F511" s="65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</row>
    <row r="512">
      <c r="A512" s="62"/>
      <c r="B512" s="63"/>
      <c r="C512" s="64"/>
      <c r="D512" s="64"/>
      <c r="E512" s="64"/>
      <c r="F512" s="65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</row>
    <row r="513">
      <c r="A513" s="62"/>
      <c r="B513" s="63"/>
      <c r="C513" s="64"/>
      <c r="D513" s="64"/>
      <c r="E513" s="64"/>
      <c r="F513" s="65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</row>
    <row r="514">
      <c r="A514" s="62"/>
      <c r="B514" s="63"/>
      <c r="C514" s="64"/>
      <c r="D514" s="64"/>
      <c r="E514" s="64"/>
      <c r="F514" s="65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</row>
    <row r="515">
      <c r="A515" s="62"/>
      <c r="B515" s="63"/>
      <c r="C515" s="64"/>
      <c r="D515" s="64"/>
      <c r="E515" s="64"/>
      <c r="F515" s="65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</row>
    <row r="516">
      <c r="A516" s="62"/>
      <c r="B516" s="63"/>
      <c r="C516" s="64"/>
      <c r="D516" s="64"/>
      <c r="E516" s="64"/>
      <c r="F516" s="65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</row>
    <row r="517">
      <c r="A517" s="62"/>
      <c r="B517" s="63"/>
      <c r="C517" s="64"/>
      <c r="D517" s="64"/>
      <c r="E517" s="64"/>
      <c r="F517" s="65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</row>
    <row r="518">
      <c r="A518" s="62"/>
      <c r="B518" s="63"/>
      <c r="C518" s="64"/>
      <c r="D518" s="64"/>
      <c r="E518" s="64"/>
      <c r="F518" s="65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</row>
    <row r="519">
      <c r="A519" s="62"/>
      <c r="B519" s="63"/>
      <c r="C519" s="64"/>
      <c r="D519" s="64"/>
      <c r="E519" s="64"/>
      <c r="F519" s="65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</row>
    <row r="520">
      <c r="A520" s="62"/>
      <c r="B520" s="63"/>
      <c r="C520" s="64"/>
      <c r="D520" s="64"/>
      <c r="E520" s="64"/>
      <c r="F520" s="65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</row>
    <row r="521">
      <c r="A521" s="62"/>
      <c r="B521" s="63"/>
      <c r="C521" s="64"/>
      <c r="D521" s="64"/>
      <c r="E521" s="64"/>
      <c r="F521" s="65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</row>
    <row r="522">
      <c r="A522" s="62"/>
      <c r="B522" s="63"/>
      <c r="C522" s="64"/>
      <c r="D522" s="64"/>
      <c r="E522" s="64"/>
      <c r="F522" s="65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</row>
    <row r="523">
      <c r="A523" s="62"/>
      <c r="B523" s="63"/>
      <c r="C523" s="64"/>
      <c r="D523" s="64"/>
      <c r="E523" s="64"/>
      <c r="F523" s="65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</row>
    <row r="524">
      <c r="A524" s="62"/>
      <c r="B524" s="63"/>
      <c r="C524" s="64"/>
      <c r="D524" s="64"/>
      <c r="E524" s="64"/>
      <c r="F524" s="65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</row>
    <row r="525">
      <c r="A525" s="62"/>
      <c r="B525" s="63"/>
      <c r="C525" s="64"/>
      <c r="D525" s="64"/>
      <c r="E525" s="64"/>
      <c r="F525" s="65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</row>
    <row r="526">
      <c r="A526" s="62"/>
      <c r="B526" s="63"/>
      <c r="C526" s="64"/>
      <c r="D526" s="64"/>
      <c r="E526" s="64"/>
      <c r="F526" s="65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</row>
    <row r="527">
      <c r="A527" s="62"/>
      <c r="B527" s="63"/>
      <c r="C527" s="64"/>
      <c r="D527" s="64"/>
      <c r="E527" s="64"/>
      <c r="F527" s="65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</row>
    <row r="528">
      <c r="A528" s="62"/>
      <c r="B528" s="63"/>
      <c r="C528" s="64"/>
      <c r="D528" s="64"/>
      <c r="E528" s="64"/>
      <c r="F528" s="65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</row>
    <row r="529">
      <c r="A529" s="62"/>
      <c r="B529" s="63"/>
      <c r="C529" s="64"/>
      <c r="D529" s="64"/>
      <c r="E529" s="64"/>
      <c r="F529" s="65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</row>
    <row r="530">
      <c r="A530" s="62"/>
      <c r="B530" s="63"/>
      <c r="C530" s="64"/>
      <c r="D530" s="64"/>
      <c r="E530" s="64"/>
      <c r="F530" s="65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</row>
    <row r="531">
      <c r="A531" s="62"/>
      <c r="B531" s="63"/>
      <c r="C531" s="64"/>
      <c r="D531" s="64"/>
      <c r="E531" s="64"/>
      <c r="F531" s="65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</row>
    <row r="532">
      <c r="A532" s="62"/>
      <c r="B532" s="63"/>
      <c r="C532" s="64"/>
      <c r="D532" s="64"/>
      <c r="E532" s="64"/>
      <c r="F532" s="65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</row>
    <row r="533">
      <c r="A533" s="62"/>
      <c r="B533" s="63"/>
      <c r="C533" s="64"/>
      <c r="D533" s="64"/>
      <c r="E533" s="64"/>
      <c r="F533" s="65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</row>
    <row r="534">
      <c r="A534" s="62"/>
      <c r="B534" s="63"/>
      <c r="C534" s="64"/>
      <c r="D534" s="64"/>
      <c r="E534" s="64"/>
      <c r="F534" s="65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</row>
    <row r="535">
      <c r="A535" s="62"/>
      <c r="B535" s="63"/>
      <c r="C535" s="64"/>
      <c r="D535" s="64"/>
      <c r="E535" s="64"/>
      <c r="F535" s="65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</row>
    <row r="536">
      <c r="A536" s="62"/>
      <c r="B536" s="63"/>
      <c r="C536" s="64"/>
      <c r="D536" s="64"/>
      <c r="E536" s="64"/>
      <c r="F536" s="65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</row>
    <row r="537">
      <c r="A537" s="62"/>
      <c r="B537" s="63"/>
      <c r="C537" s="64"/>
      <c r="D537" s="64"/>
      <c r="E537" s="64"/>
      <c r="F537" s="65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</row>
    <row r="538">
      <c r="A538" s="62"/>
      <c r="B538" s="63"/>
      <c r="C538" s="64"/>
      <c r="D538" s="64"/>
      <c r="E538" s="64"/>
      <c r="F538" s="65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</row>
    <row r="539">
      <c r="A539" s="62"/>
      <c r="B539" s="63"/>
      <c r="C539" s="64"/>
      <c r="D539" s="64"/>
      <c r="E539" s="64"/>
      <c r="F539" s="65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</row>
    <row r="540">
      <c r="A540" s="62"/>
      <c r="B540" s="63"/>
      <c r="C540" s="64"/>
      <c r="D540" s="64"/>
      <c r="E540" s="64"/>
      <c r="F540" s="65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</row>
    <row r="541">
      <c r="A541" s="62"/>
      <c r="B541" s="63"/>
      <c r="C541" s="64"/>
      <c r="D541" s="64"/>
      <c r="E541" s="64"/>
      <c r="F541" s="65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</row>
    <row r="542">
      <c r="A542" s="62"/>
      <c r="B542" s="63"/>
      <c r="C542" s="64"/>
      <c r="D542" s="64"/>
      <c r="E542" s="64"/>
      <c r="F542" s="65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</row>
    <row r="543">
      <c r="A543" s="62"/>
      <c r="B543" s="63"/>
      <c r="C543" s="64"/>
      <c r="D543" s="64"/>
      <c r="E543" s="64"/>
      <c r="F543" s="65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</row>
    <row r="544">
      <c r="A544" s="62"/>
      <c r="B544" s="63"/>
      <c r="C544" s="64"/>
      <c r="D544" s="64"/>
      <c r="E544" s="64"/>
      <c r="F544" s="65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</row>
    <row r="545">
      <c r="A545" s="62"/>
      <c r="B545" s="63"/>
      <c r="C545" s="64"/>
      <c r="D545" s="64"/>
      <c r="E545" s="64"/>
      <c r="F545" s="65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</row>
    <row r="546">
      <c r="A546" s="62"/>
      <c r="B546" s="63"/>
      <c r="C546" s="64"/>
      <c r="D546" s="64"/>
      <c r="E546" s="64"/>
      <c r="F546" s="65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</row>
    <row r="547">
      <c r="A547" s="62"/>
      <c r="B547" s="63"/>
      <c r="C547" s="64"/>
      <c r="D547" s="64"/>
      <c r="E547" s="64"/>
      <c r="F547" s="65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</row>
    <row r="548">
      <c r="A548" s="62"/>
      <c r="B548" s="63"/>
      <c r="C548" s="64"/>
      <c r="D548" s="64"/>
      <c r="E548" s="64"/>
      <c r="F548" s="65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</row>
    <row r="549">
      <c r="A549" s="62"/>
      <c r="B549" s="63"/>
      <c r="C549" s="64"/>
      <c r="D549" s="64"/>
      <c r="E549" s="64"/>
      <c r="F549" s="65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</row>
    <row r="550">
      <c r="A550" s="62"/>
      <c r="B550" s="63"/>
      <c r="C550" s="64"/>
      <c r="D550" s="64"/>
      <c r="E550" s="64"/>
      <c r="F550" s="65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</row>
    <row r="551">
      <c r="A551" s="62"/>
      <c r="B551" s="63"/>
      <c r="C551" s="64"/>
      <c r="D551" s="64"/>
      <c r="E551" s="64"/>
      <c r="F551" s="65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</row>
    <row r="552">
      <c r="A552" s="62"/>
      <c r="B552" s="63"/>
      <c r="C552" s="64"/>
      <c r="D552" s="64"/>
      <c r="E552" s="64"/>
      <c r="F552" s="65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</row>
    <row r="553">
      <c r="A553" s="62"/>
      <c r="B553" s="63"/>
      <c r="C553" s="64"/>
      <c r="D553" s="64"/>
      <c r="E553" s="64"/>
      <c r="F553" s="65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</row>
    <row r="554">
      <c r="A554" s="62"/>
      <c r="B554" s="63"/>
      <c r="C554" s="64"/>
      <c r="D554" s="64"/>
      <c r="E554" s="64"/>
      <c r="F554" s="65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</row>
    <row r="555">
      <c r="A555" s="62"/>
      <c r="B555" s="63"/>
      <c r="C555" s="64"/>
      <c r="D555" s="64"/>
      <c r="E555" s="64"/>
      <c r="F555" s="65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</row>
    <row r="556">
      <c r="A556" s="62"/>
      <c r="B556" s="63"/>
      <c r="C556" s="64"/>
      <c r="D556" s="64"/>
      <c r="E556" s="64"/>
      <c r="F556" s="65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</row>
    <row r="557">
      <c r="A557" s="62"/>
      <c r="B557" s="63"/>
      <c r="C557" s="64"/>
      <c r="D557" s="64"/>
      <c r="E557" s="64"/>
      <c r="F557" s="65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</row>
    <row r="558">
      <c r="A558" s="62"/>
      <c r="B558" s="63"/>
      <c r="C558" s="64"/>
      <c r="D558" s="64"/>
      <c r="E558" s="64"/>
      <c r="F558" s="65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</row>
    <row r="559">
      <c r="A559" s="62"/>
      <c r="B559" s="63"/>
      <c r="C559" s="64"/>
      <c r="D559" s="64"/>
      <c r="E559" s="64"/>
      <c r="F559" s="65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</row>
    <row r="560">
      <c r="A560" s="62"/>
      <c r="B560" s="63"/>
      <c r="C560" s="64"/>
      <c r="D560" s="64"/>
      <c r="E560" s="64"/>
      <c r="F560" s="65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</row>
    <row r="561">
      <c r="A561" s="62"/>
      <c r="B561" s="63"/>
      <c r="C561" s="64"/>
      <c r="D561" s="64"/>
      <c r="E561" s="64"/>
      <c r="F561" s="65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</row>
    <row r="562">
      <c r="A562" s="62"/>
      <c r="B562" s="63"/>
      <c r="C562" s="64"/>
      <c r="D562" s="64"/>
      <c r="E562" s="64"/>
      <c r="F562" s="65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</row>
    <row r="563">
      <c r="A563" s="62"/>
      <c r="B563" s="63"/>
      <c r="C563" s="64"/>
      <c r="D563" s="64"/>
      <c r="E563" s="64"/>
      <c r="F563" s="65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</row>
    <row r="564">
      <c r="A564" s="62"/>
      <c r="B564" s="63"/>
      <c r="C564" s="64"/>
      <c r="D564" s="64"/>
      <c r="E564" s="64"/>
      <c r="F564" s="65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</row>
    <row r="565">
      <c r="A565" s="62"/>
      <c r="B565" s="63"/>
      <c r="C565" s="64"/>
      <c r="D565" s="64"/>
      <c r="E565" s="64"/>
      <c r="F565" s="65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</row>
    <row r="566">
      <c r="A566" s="62"/>
      <c r="B566" s="63"/>
      <c r="C566" s="64"/>
      <c r="D566" s="64"/>
      <c r="E566" s="64"/>
      <c r="F566" s="65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</row>
    <row r="567">
      <c r="A567" s="62"/>
      <c r="B567" s="63"/>
      <c r="C567" s="64"/>
      <c r="D567" s="64"/>
      <c r="E567" s="64"/>
      <c r="F567" s="65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</row>
    <row r="568">
      <c r="A568" s="62"/>
      <c r="B568" s="63"/>
      <c r="C568" s="64"/>
      <c r="D568" s="64"/>
      <c r="E568" s="64"/>
      <c r="F568" s="65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</row>
    <row r="569">
      <c r="A569" s="62"/>
      <c r="B569" s="63"/>
      <c r="C569" s="64"/>
      <c r="D569" s="64"/>
      <c r="E569" s="64"/>
      <c r="F569" s="65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</row>
    <row r="570">
      <c r="A570" s="62"/>
      <c r="B570" s="63"/>
      <c r="C570" s="64"/>
      <c r="D570" s="64"/>
      <c r="E570" s="64"/>
      <c r="F570" s="65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</row>
    <row r="571">
      <c r="A571" s="62"/>
      <c r="B571" s="63"/>
      <c r="C571" s="64"/>
      <c r="D571" s="64"/>
      <c r="E571" s="64"/>
      <c r="F571" s="65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</row>
    <row r="572">
      <c r="A572" s="62"/>
      <c r="B572" s="63"/>
      <c r="C572" s="64"/>
      <c r="D572" s="64"/>
      <c r="E572" s="64"/>
      <c r="F572" s="65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</row>
    <row r="573">
      <c r="A573" s="62"/>
      <c r="B573" s="63"/>
      <c r="C573" s="64"/>
      <c r="D573" s="64"/>
      <c r="E573" s="64"/>
      <c r="F573" s="65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</row>
    <row r="574">
      <c r="A574" s="62"/>
      <c r="B574" s="63"/>
      <c r="C574" s="64"/>
      <c r="D574" s="64"/>
      <c r="E574" s="64"/>
      <c r="F574" s="65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</row>
    <row r="575">
      <c r="A575" s="62"/>
      <c r="B575" s="63"/>
      <c r="C575" s="64"/>
      <c r="D575" s="64"/>
      <c r="E575" s="64"/>
      <c r="F575" s="65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</row>
    <row r="576">
      <c r="A576" s="62"/>
      <c r="B576" s="63"/>
      <c r="C576" s="64"/>
      <c r="D576" s="64"/>
      <c r="E576" s="64"/>
      <c r="F576" s="65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</row>
    <row r="577">
      <c r="A577" s="62"/>
      <c r="B577" s="63"/>
      <c r="C577" s="64"/>
      <c r="D577" s="64"/>
      <c r="E577" s="64"/>
      <c r="F577" s="65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</row>
    <row r="578">
      <c r="A578" s="62"/>
      <c r="B578" s="63"/>
      <c r="C578" s="64"/>
      <c r="D578" s="64"/>
      <c r="E578" s="64"/>
      <c r="F578" s="65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</row>
    <row r="579">
      <c r="A579" s="62"/>
      <c r="B579" s="63"/>
      <c r="C579" s="64"/>
      <c r="D579" s="64"/>
      <c r="E579" s="64"/>
      <c r="F579" s="65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</row>
    <row r="580">
      <c r="A580" s="62"/>
      <c r="B580" s="63"/>
      <c r="C580" s="64"/>
      <c r="D580" s="64"/>
      <c r="E580" s="64"/>
      <c r="F580" s="65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</row>
    <row r="581">
      <c r="A581" s="62"/>
      <c r="B581" s="63"/>
      <c r="C581" s="64"/>
      <c r="D581" s="64"/>
      <c r="E581" s="64"/>
      <c r="F581" s="65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</row>
    <row r="582">
      <c r="A582" s="62"/>
      <c r="B582" s="63"/>
      <c r="C582" s="64"/>
      <c r="D582" s="64"/>
      <c r="E582" s="64"/>
      <c r="F582" s="65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</row>
    <row r="583">
      <c r="A583" s="62"/>
      <c r="B583" s="63"/>
      <c r="C583" s="64"/>
      <c r="D583" s="64"/>
      <c r="E583" s="64"/>
      <c r="F583" s="65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</row>
    <row r="584">
      <c r="A584" s="62"/>
      <c r="B584" s="63"/>
      <c r="C584" s="64"/>
      <c r="D584" s="64"/>
      <c r="E584" s="64"/>
      <c r="F584" s="65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</row>
    <row r="585">
      <c r="A585" s="62"/>
      <c r="B585" s="63"/>
      <c r="C585" s="64"/>
      <c r="D585" s="64"/>
      <c r="E585" s="64"/>
      <c r="F585" s="65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</row>
    <row r="586">
      <c r="A586" s="62"/>
      <c r="B586" s="63"/>
      <c r="C586" s="64"/>
      <c r="D586" s="64"/>
      <c r="E586" s="64"/>
      <c r="F586" s="65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</row>
    <row r="587">
      <c r="A587" s="62"/>
      <c r="B587" s="63"/>
      <c r="C587" s="64"/>
      <c r="D587" s="64"/>
      <c r="E587" s="64"/>
      <c r="F587" s="65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</row>
    <row r="588">
      <c r="A588" s="62"/>
      <c r="B588" s="63"/>
      <c r="C588" s="64"/>
      <c r="D588" s="64"/>
      <c r="E588" s="64"/>
      <c r="F588" s="65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</row>
    <row r="589">
      <c r="A589" s="62"/>
      <c r="B589" s="63"/>
      <c r="C589" s="64"/>
      <c r="D589" s="64"/>
      <c r="E589" s="64"/>
      <c r="F589" s="65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</row>
    <row r="590">
      <c r="A590" s="62"/>
      <c r="B590" s="63"/>
      <c r="C590" s="64"/>
      <c r="D590" s="64"/>
      <c r="E590" s="64"/>
      <c r="F590" s="65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</row>
    <row r="591">
      <c r="A591" s="62"/>
      <c r="B591" s="63"/>
      <c r="C591" s="64"/>
      <c r="D591" s="64"/>
      <c r="E591" s="64"/>
      <c r="F591" s="65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</row>
    <row r="592">
      <c r="A592" s="62"/>
      <c r="B592" s="63"/>
      <c r="C592" s="64"/>
      <c r="D592" s="64"/>
      <c r="E592" s="64"/>
      <c r="F592" s="65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</row>
    <row r="593">
      <c r="A593" s="62"/>
      <c r="B593" s="63"/>
      <c r="C593" s="64"/>
      <c r="D593" s="64"/>
      <c r="E593" s="64"/>
      <c r="F593" s="65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</row>
    <row r="594">
      <c r="A594" s="62"/>
      <c r="B594" s="63"/>
      <c r="C594" s="64"/>
      <c r="D594" s="64"/>
      <c r="E594" s="64"/>
      <c r="F594" s="65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</row>
    <row r="595">
      <c r="A595" s="62"/>
      <c r="B595" s="63"/>
      <c r="C595" s="64"/>
      <c r="D595" s="64"/>
      <c r="E595" s="64"/>
      <c r="F595" s="65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</row>
    <row r="596">
      <c r="A596" s="62"/>
      <c r="B596" s="63"/>
      <c r="C596" s="64"/>
      <c r="D596" s="64"/>
      <c r="E596" s="64"/>
      <c r="F596" s="65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</row>
    <row r="597">
      <c r="A597" s="62"/>
      <c r="B597" s="63"/>
      <c r="C597" s="64"/>
      <c r="D597" s="64"/>
      <c r="E597" s="64"/>
      <c r="F597" s="65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</row>
    <row r="598">
      <c r="A598" s="62"/>
      <c r="B598" s="63"/>
      <c r="C598" s="64"/>
      <c r="D598" s="64"/>
      <c r="E598" s="64"/>
      <c r="F598" s="65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</row>
    <row r="599">
      <c r="A599" s="62"/>
      <c r="B599" s="63"/>
      <c r="C599" s="64"/>
      <c r="D599" s="64"/>
      <c r="E599" s="64"/>
      <c r="F599" s="65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</row>
    <row r="600">
      <c r="A600" s="62"/>
      <c r="B600" s="63"/>
      <c r="C600" s="64"/>
      <c r="D600" s="64"/>
      <c r="E600" s="64"/>
      <c r="F600" s="65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</row>
    <row r="601">
      <c r="A601" s="62"/>
      <c r="B601" s="63"/>
      <c r="C601" s="64"/>
      <c r="D601" s="64"/>
      <c r="E601" s="64"/>
      <c r="F601" s="65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</row>
    <row r="602">
      <c r="A602" s="62"/>
      <c r="B602" s="63"/>
      <c r="C602" s="64"/>
      <c r="D602" s="64"/>
      <c r="E602" s="64"/>
      <c r="F602" s="65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</row>
    <row r="603">
      <c r="A603" s="62"/>
      <c r="B603" s="63"/>
      <c r="C603" s="64"/>
      <c r="D603" s="64"/>
      <c r="E603" s="64"/>
      <c r="F603" s="65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</row>
    <row r="604">
      <c r="A604" s="62"/>
      <c r="B604" s="63"/>
      <c r="C604" s="64"/>
      <c r="D604" s="64"/>
      <c r="E604" s="64"/>
      <c r="F604" s="65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</row>
    <row r="605">
      <c r="A605" s="62"/>
      <c r="B605" s="63"/>
      <c r="C605" s="64"/>
      <c r="D605" s="64"/>
      <c r="E605" s="64"/>
      <c r="F605" s="65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</row>
    <row r="606">
      <c r="A606" s="62"/>
      <c r="B606" s="63"/>
      <c r="C606" s="64"/>
      <c r="D606" s="64"/>
      <c r="E606" s="64"/>
      <c r="F606" s="65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</row>
    <row r="607">
      <c r="A607" s="62"/>
      <c r="B607" s="63"/>
      <c r="C607" s="64"/>
      <c r="D607" s="64"/>
      <c r="E607" s="64"/>
      <c r="F607" s="65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</row>
    <row r="608">
      <c r="A608" s="62"/>
      <c r="B608" s="63"/>
      <c r="C608" s="64"/>
      <c r="D608" s="64"/>
      <c r="E608" s="64"/>
      <c r="F608" s="65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</row>
    <row r="609">
      <c r="A609" s="62"/>
      <c r="B609" s="63"/>
      <c r="C609" s="64"/>
      <c r="D609" s="64"/>
      <c r="E609" s="64"/>
      <c r="F609" s="65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</row>
    <row r="610">
      <c r="A610" s="62"/>
      <c r="B610" s="63"/>
      <c r="C610" s="64"/>
      <c r="D610" s="64"/>
      <c r="E610" s="64"/>
      <c r="F610" s="65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</row>
    <row r="611">
      <c r="A611" s="62"/>
      <c r="B611" s="63"/>
      <c r="C611" s="64"/>
      <c r="D611" s="64"/>
      <c r="E611" s="64"/>
      <c r="F611" s="65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</row>
    <row r="612">
      <c r="A612" s="62"/>
      <c r="B612" s="63"/>
      <c r="C612" s="64"/>
      <c r="D612" s="64"/>
      <c r="E612" s="64"/>
      <c r="F612" s="65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</row>
    <row r="613">
      <c r="A613" s="62"/>
      <c r="B613" s="63"/>
      <c r="C613" s="64"/>
      <c r="D613" s="64"/>
      <c r="E613" s="64"/>
      <c r="F613" s="65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</row>
    <row r="614">
      <c r="A614" s="62"/>
      <c r="B614" s="63"/>
      <c r="C614" s="64"/>
      <c r="D614" s="64"/>
      <c r="E614" s="64"/>
      <c r="F614" s="65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</row>
    <row r="615">
      <c r="A615" s="62"/>
      <c r="B615" s="63"/>
      <c r="C615" s="64"/>
      <c r="D615" s="64"/>
      <c r="E615" s="64"/>
      <c r="F615" s="65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</row>
    <row r="616">
      <c r="A616" s="62"/>
      <c r="B616" s="63"/>
      <c r="C616" s="64"/>
      <c r="D616" s="64"/>
      <c r="E616" s="64"/>
      <c r="F616" s="65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</row>
    <row r="617">
      <c r="A617" s="62"/>
      <c r="B617" s="63"/>
      <c r="C617" s="64"/>
      <c r="D617" s="64"/>
      <c r="E617" s="64"/>
      <c r="F617" s="65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</row>
    <row r="618">
      <c r="A618" s="62"/>
      <c r="B618" s="63"/>
      <c r="C618" s="64"/>
      <c r="D618" s="64"/>
      <c r="E618" s="64"/>
      <c r="F618" s="65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</row>
    <row r="619">
      <c r="A619" s="62"/>
      <c r="B619" s="63"/>
      <c r="C619" s="64"/>
      <c r="D619" s="64"/>
      <c r="E619" s="64"/>
      <c r="F619" s="65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</row>
    <row r="620">
      <c r="A620" s="62"/>
      <c r="B620" s="63"/>
      <c r="C620" s="64"/>
      <c r="D620" s="64"/>
      <c r="E620" s="64"/>
      <c r="F620" s="65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</row>
    <row r="621">
      <c r="A621" s="62"/>
      <c r="B621" s="63"/>
      <c r="C621" s="64"/>
      <c r="D621" s="64"/>
      <c r="E621" s="64"/>
      <c r="F621" s="65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</row>
    <row r="622">
      <c r="A622" s="62"/>
      <c r="B622" s="63"/>
      <c r="C622" s="64"/>
      <c r="D622" s="64"/>
      <c r="E622" s="64"/>
      <c r="F622" s="65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</row>
    <row r="623">
      <c r="A623" s="62"/>
      <c r="B623" s="63"/>
      <c r="C623" s="64"/>
      <c r="D623" s="64"/>
      <c r="E623" s="64"/>
      <c r="F623" s="65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</row>
    <row r="624">
      <c r="A624" s="62"/>
      <c r="B624" s="63"/>
      <c r="C624" s="64"/>
      <c r="D624" s="64"/>
      <c r="E624" s="64"/>
      <c r="F624" s="65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</row>
    <row r="625">
      <c r="A625" s="62"/>
      <c r="B625" s="63"/>
      <c r="C625" s="64"/>
      <c r="D625" s="64"/>
      <c r="E625" s="64"/>
      <c r="F625" s="65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</row>
    <row r="626">
      <c r="A626" s="62"/>
      <c r="B626" s="63"/>
      <c r="C626" s="64"/>
      <c r="D626" s="64"/>
      <c r="E626" s="64"/>
      <c r="F626" s="65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</row>
    <row r="627">
      <c r="A627" s="62"/>
      <c r="B627" s="63"/>
      <c r="C627" s="64"/>
      <c r="D627" s="64"/>
      <c r="E627" s="64"/>
      <c r="F627" s="65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</row>
    <row r="628">
      <c r="A628" s="62"/>
      <c r="B628" s="63"/>
      <c r="C628" s="64"/>
      <c r="D628" s="64"/>
      <c r="E628" s="64"/>
      <c r="F628" s="65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</row>
    <row r="629">
      <c r="A629" s="62"/>
      <c r="B629" s="63"/>
      <c r="C629" s="64"/>
      <c r="D629" s="64"/>
      <c r="E629" s="64"/>
      <c r="F629" s="65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</row>
    <row r="630">
      <c r="A630" s="62"/>
      <c r="B630" s="63"/>
      <c r="C630" s="64"/>
      <c r="D630" s="64"/>
      <c r="E630" s="64"/>
      <c r="F630" s="65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</row>
    <row r="631">
      <c r="A631" s="62"/>
      <c r="B631" s="63"/>
      <c r="C631" s="64"/>
      <c r="D631" s="64"/>
      <c r="E631" s="64"/>
      <c r="F631" s="65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</row>
    <row r="632">
      <c r="A632" s="62"/>
      <c r="B632" s="63"/>
      <c r="C632" s="64"/>
      <c r="D632" s="64"/>
      <c r="E632" s="64"/>
      <c r="F632" s="65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</row>
    <row r="633">
      <c r="A633" s="62"/>
      <c r="B633" s="63"/>
      <c r="C633" s="64"/>
      <c r="D633" s="64"/>
      <c r="E633" s="64"/>
      <c r="F633" s="65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</row>
    <row r="634">
      <c r="A634" s="62"/>
      <c r="B634" s="63"/>
      <c r="C634" s="64"/>
      <c r="D634" s="64"/>
      <c r="E634" s="64"/>
      <c r="F634" s="65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</row>
    <row r="635">
      <c r="A635" s="62"/>
      <c r="B635" s="63"/>
      <c r="C635" s="64"/>
      <c r="D635" s="64"/>
      <c r="E635" s="64"/>
      <c r="F635" s="65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</row>
    <row r="636">
      <c r="A636" s="62"/>
      <c r="B636" s="63"/>
      <c r="C636" s="64"/>
      <c r="D636" s="64"/>
      <c r="E636" s="64"/>
      <c r="F636" s="65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</row>
    <row r="637">
      <c r="A637" s="62"/>
      <c r="B637" s="63"/>
      <c r="C637" s="64"/>
      <c r="D637" s="64"/>
      <c r="E637" s="64"/>
      <c r="F637" s="65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</row>
    <row r="638">
      <c r="A638" s="62"/>
      <c r="B638" s="63"/>
      <c r="C638" s="64"/>
      <c r="D638" s="64"/>
      <c r="E638" s="64"/>
      <c r="F638" s="65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</row>
    <row r="639">
      <c r="A639" s="62"/>
      <c r="B639" s="63"/>
      <c r="C639" s="64"/>
      <c r="D639" s="64"/>
      <c r="E639" s="64"/>
      <c r="F639" s="65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</row>
    <row r="640">
      <c r="A640" s="62"/>
      <c r="B640" s="63"/>
      <c r="C640" s="64"/>
      <c r="D640" s="64"/>
      <c r="E640" s="64"/>
      <c r="F640" s="65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</row>
    <row r="641">
      <c r="A641" s="62"/>
      <c r="B641" s="63"/>
      <c r="C641" s="64"/>
      <c r="D641" s="64"/>
      <c r="E641" s="64"/>
      <c r="F641" s="65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</row>
    <row r="642">
      <c r="A642" s="62"/>
      <c r="B642" s="63"/>
      <c r="C642" s="64"/>
      <c r="D642" s="64"/>
      <c r="E642" s="64"/>
      <c r="F642" s="65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</row>
    <row r="643">
      <c r="A643" s="62"/>
      <c r="B643" s="63"/>
      <c r="C643" s="64"/>
      <c r="D643" s="64"/>
      <c r="E643" s="64"/>
      <c r="F643" s="65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</row>
    <row r="644">
      <c r="A644" s="62"/>
      <c r="B644" s="63"/>
      <c r="C644" s="64"/>
      <c r="D644" s="64"/>
      <c r="E644" s="64"/>
      <c r="F644" s="65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</row>
    <row r="645">
      <c r="A645" s="62"/>
      <c r="B645" s="63"/>
      <c r="C645" s="64"/>
      <c r="D645" s="64"/>
      <c r="E645" s="64"/>
      <c r="F645" s="65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</row>
    <row r="646">
      <c r="A646" s="62"/>
      <c r="B646" s="63"/>
      <c r="C646" s="64"/>
      <c r="D646" s="64"/>
      <c r="E646" s="64"/>
      <c r="F646" s="65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</row>
    <row r="647">
      <c r="A647" s="62"/>
      <c r="B647" s="63"/>
      <c r="C647" s="64"/>
      <c r="D647" s="64"/>
      <c r="E647" s="64"/>
      <c r="F647" s="65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</row>
    <row r="648">
      <c r="A648" s="62"/>
      <c r="B648" s="63"/>
      <c r="C648" s="64"/>
      <c r="D648" s="64"/>
      <c r="E648" s="64"/>
      <c r="F648" s="65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</row>
    <row r="649">
      <c r="A649" s="62"/>
      <c r="B649" s="63"/>
      <c r="C649" s="64"/>
      <c r="D649" s="64"/>
      <c r="E649" s="64"/>
      <c r="F649" s="65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</row>
    <row r="650">
      <c r="A650" s="62"/>
      <c r="B650" s="63"/>
      <c r="C650" s="64"/>
      <c r="D650" s="64"/>
      <c r="E650" s="64"/>
      <c r="F650" s="65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</row>
    <row r="651">
      <c r="A651" s="62"/>
      <c r="B651" s="63"/>
      <c r="C651" s="64"/>
      <c r="D651" s="64"/>
      <c r="E651" s="64"/>
      <c r="F651" s="65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</row>
    <row r="652">
      <c r="A652" s="62"/>
      <c r="B652" s="63"/>
      <c r="C652" s="64"/>
      <c r="D652" s="64"/>
      <c r="E652" s="64"/>
      <c r="F652" s="65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</row>
    <row r="653">
      <c r="A653" s="62"/>
      <c r="B653" s="63"/>
      <c r="C653" s="64"/>
      <c r="D653" s="64"/>
      <c r="E653" s="64"/>
      <c r="F653" s="65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</row>
    <row r="654">
      <c r="A654" s="62"/>
      <c r="B654" s="63"/>
      <c r="C654" s="64"/>
      <c r="D654" s="64"/>
      <c r="E654" s="64"/>
      <c r="F654" s="65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</row>
    <row r="655">
      <c r="A655" s="62"/>
      <c r="B655" s="63"/>
      <c r="C655" s="64"/>
      <c r="D655" s="64"/>
      <c r="E655" s="64"/>
      <c r="F655" s="65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</row>
    <row r="656">
      <c r="A656" s="62"/>
      <c r="B656" s="63"/>
      <c r="C656" s="64"/>
      <c r="D656" s="64"/>
      <c r="E656" s="64"/>
      <c r="F656" s="65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</row>
    <row r="657">
      <c r="A657" s="62"/>
      <c r="B657" s="63"/>
      <c r="C657" s="64"/>
      <c r="D657" s="64"/>
      <c r="E657" s="64"/>
      <c r="F657" s="65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</row>
    <row r="658">
      <c r="A658" s="62"/>
      <c r="B658" s="63"/>
      <c r="C658" s="64"/>
      <c r="D658" s="64"/>
      <c r="E658" s="64"/>
      <c r="F658" s="65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</row>
    <row r="659">
      <c r="A659" s="62"/>
      <c r="B659" s="63"/>
      <c r="C659" s="64"/>
      <c r="D659" s="64"/>
      <c r="E659" s="64"/>
      <c r="F659" s="65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</row>
    <row r="660">
      <c r="A660" s="62"/>
      <c r="B660" s="63"/>
      <c r="C660" s="64"/>
      <c r="D660" s="64"/>
      <c r="E660" s="64"/>
      <c r="F660" s="65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</row>
    <row r="661">
      <c r="A661" s="62"/>
      <c r="B661" s="63"/>
      <c r="C661" s="64"/>
      <c r="D661" s="64"/>
      <c r="E661" s="64"/>
      <c r="F661" s="65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</row>
    <row r="662">
      <c r="A662" s="62"/>
      <c r="B662" s="63"/>
      <c r="C662" s="64"/>
      <c r="D662" s="64"/>
      <c r="E662" s="64"/>
      <c r="F662" s="65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</row>
    <row r="663">
      <c r="A663" s="62"/>
      <c r="B663" s="63"/>
      <c r="C663" s="64"/>
      <c r="D663" s="64"/>
      <c r="E663" s="64"/>
      <c r="F663" s="65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</row>
    <row r="664">
      <c r="A664" s="62"/>
      <c r="B664" s="63"/>
      <c r="C664" s="64"/>
      <c r="D664" s="64"/>
      <c r="E664" s="64"/>
      <c r="F664" s="65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</row>
    <row r="665">
      <c r="A665" s="62"/>
      <c r="B665" s="63"/>
      <c r="C665" s="64"/>
      <c r="D665" s="64"/>
      <c r="E665" s="64"/>
      <c r="F665" s="65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</row>
    <row r="666">
      <c r="A666" s="62"/>
      <c r="B666" s="63"/>
      <c r="C666" s="64"/>
      <c r="D666" s="64"/>
      <c r="E666" s="64"/>
      <c r="F666" s="65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</row>
    <row r="667">
      <c r="A667" s="62"/>
      <c r="B667" s="63"/>
      <c r="C667" s="64"/>
      <c r="D667" s="64"/>
      <c r="E667" s="64"/>
      <c r="F667" s="65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</row>
    <row r="668">
      <c r="A668" s="62"/>
      <c r="B668" s="63"/>
      <c r="C668" s="64"/>
      <c r="D668" s="64"/>
      <c r="E668" s="64"/>
      <c r="F668" s="65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</row>
    <row r="669">
      <c r="A669" s="62"/>
      <c r="B669" s="63"/>
      <c r="C669" s="64"/>
      <c r="D669" s="64"/>
      <c r="E669" s="64"/>
      <c r="F669" s="65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</row>
    <row r="670">
      <c r="A670" s="62"/>
      <c r="B670" s="63"/>
      <c r="C670" s="64"/>
      <c r="D670" s="64"/>
      <c r="E670" s="64"/>
      <c r="F670" s="65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</row>
    <row r="671">
      <c r="A671" s="62"/>
      <c r="B671" s="63"/>
      <c r="C671" s="64"/>
      <c r="D671" s="64"/>
      <c r="E671" s="64"/>
      <c r="F671" s="65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</row>
    <row r="672">
      <c r="A672" s="62"/>
      <c r="B672" s="63"/>
      <c r="C672" s="64"/>
      <c r="D672" s="64"/>
      <c r="E672" s="64"/>
      <c r="F672" s="65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</row>
    <row r="673">
      <c r="A673" s="62"/>
      <c r="B673" s="63"/>
      <c r="C673" s="64"/>
      <c r="D673" s="64"/>
      <c r="E673" s="64"/>
      <c r="F673" s="65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</row>
    <row r="674">
      <c r="A674" s="62"/>
      <c r="B674" s="63"/>
      <c r="C674" s="64"/>
      <c r="D674" s="64"/>
      <c r="E674" s="64"/>
      <c r="F674" s="65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</row>
    <row r="675">
      <c r="A675" s="62"/>
      <c r="B675" s="63"/>
      <c r="C675" s="64"/>
      <c r="D675" s="64"/>
      <c r="E675" s="64"/>
      <c r="F675" s="65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</row>
    <row r="676">
      <c r="A676" s="62"/>
      <c r="B676" s="63"/>
      <c r="C676" s="64"/>
      <c r="D676" s="64"/>
      <c r="E676" s="64"/>
      <c r="F676" s="65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</row>
    <row r="677">
      <c r="A677" s="62"/>
      <c r="B677" s="63"/>
      <c r="C677" s="64"/>
      <c r="D677" s="64"/>
      <c r="E677" s="64"/>
      <c r="F677" s="65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</row>
    <row r="678">
      <c r="A678" s="62"/>
      <c r="B678" s="63"/>
      <c r="C678" s="64"/>
      <c r="D678" s="64"/>
      <c r="E678" s="64"/>
      <c r="F678" s="65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</row>
    <row r="679">
      <c r="A679" s="62"/>
      <c r="B679" s="63"/>
      <c r="C679" s="64"/>
      <c r="D679" s="64"/>
      <c r="E679" s="64"/>
      <c r="F679" s="65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</row>
    <row r="680">
      <c r="A680" s="62"/>
      <c r="B680" s="63"/>
      <c r="C680" s="64"/>
      <c r="D680" s="64"/>
      <c r="E680" s="64"/>
      <c r="F680" s="65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</row>
    <row r="681">
      <c r="A681" s="62"/>
      <c r="B681" s="63"/>
      <c r="C681" s="64"/>
      <c r="D681" s="64"/>
      <c r="E681" s="64"/>
      <c r="F681" s="65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</row>
    <row r="682">
      <c r="A682" s="62"/>
      <c r="B682" s="63"/>
      <c r="C682" s="64"/>
      <c r="D682" s="64"/>
      <c r="E682" s="64"/>
      <c r="F682" s="65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</row>
    <row r="683">
      <c r="A683" s="62"/>
      <c r="B683" s="63"/>
      <c r="C683" s="64"/>
      <c r="D683" s="64"/>
      <c r="E683" s="64"/>
      <c r="F683" s="65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</row>
    <row r="684">
      <c r="A684" s="62"/>
      <c r="B684" s="63"/>
      <c r="C684" s="64"/>
      <c r="D684" s="64"/>
      <c r="E684" s="64"/>
      <c r="F684" s="65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</row>
    <row r="685">
      <c r="A685" s="62"/>
      <c r="B685" s="63"/>
      <c r="C685" s="64"/>
      <c r="D685" s="64"/>
      <c r="E685" s="64"/>
      <c r="F685" s="65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</row>
    <row r="686">
      <c r="A686" s="62"/>
      <c r="B686" s="63"/>
      <c r="C686" s="64"/>
      <c r="D686" s="64"/>
      <c r="E686" s="64"/>
      <c r="F686" s="65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</row>
    <row r="687">
      <c r="A687" s="62"/>
      <c r="B687" s="63"/>
      <c r="C687" s="64"/>
      <c r="D687" s="64"/>
      <c r="E687" s="64"/>
      <c r="F687" s="65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</row>
    <row r="688">
      <c r="A688" s="62"/>
      <c r="B688" s="63"/>
      <c r="C688" s="64"/>
      <c r="D688" s="64"/>
      <c r="E688" s="64"/>
      <c r="F688" s="65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</row>
    <row r="689">
      <c r="A689" s="62"/>
      <c r="B689" s="63"/>
      <c r="C689" s="64"/>
      <c r="D689" s="64"/>
      <c r="E689" s="64"/>
      <c r="F689" s="65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</row>
    <row r="690">
      <c r="A690" s="62"/>
      <c r="B690" s="63"/>
      <c r="C690" s="64"/>
      <c r="D690" s="64"/>
      <c r="E690" s="64"/>
      <c r="F690" s="65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</row>
    <row r="691">
      <c r="A691" s="62"/>
      <c r="B691" s="63"/>
      <c r="C691" s="64"/>
      <c r="D691" s="64"/>
      <c r="E691" s="64"/>
      <c r="F691" s="65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</row>
    <row r="692">
      <c r="A692" s="62"/>
      <c r="B692" s="63"/>
      <c r="C692" s="64"/>
      <c r="D692" s="64"/>
      <c r="E692" s="64"/>
      <c r="F692" s="65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</row>
    <row r="693">
      <c r="A693" s="62"/>
      <c r="B693" s="63"/>
      <c r="C693" s="64"/>
      <c r="D693" s="64"/>
      <c r="E693" s="64"/>
      <c r="F693" s="65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</row>
    <row r="694">
      <c r="A694" s="62"/>
      <c r="B694" s="63"/>
      <c r="C694" s="64"/>
      <c r="D694" s="64"/>
      <c r="E694" s="64"/>
      <c r="F694" s="65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</row>
    <row r="695">
      <c r="A695" s="62"/>
      <c r="B695" s="63"/>
      <c r="C695" s="64"/>
      <c r="D695" s="64"/>
      <c r="E695" s="64"/>
      <c r="F695" s="65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</row>
    <row r="696">
      <c r="A696" s="62"/>
      <c r="B696" s="63"/>
      <c r="C696" s="64"/>
      <c r="D696" s="64"/>
      <c r="E696" s="64"/>
      <c r="F696" s="65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</row>
    <row r="697">
      <c r="A697" s="62"/>
      <c r="B697" s="63"/>
      <c r="C697" s="64"/>
      <c r="D697" s="64"/>
      <c r="E697" s="64"/>
      <c r="F697" s="65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</row>
    <row r="698">
      <c r="A698" s="62"/>
      <c r="B698" s="63"/>
      <c r="C698" s="64"/>
      <c r="D698" s="64"/>
      <c r="E698" s="64"/>
      <c r="F698" s="65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</row>
    <row r="699">
      <c r="A699" s="62"/>
      <c r="B699" s="63"/>
      <c r="C699" s="64"/>
      <c r="D699" s="64"/>
      <c r="E699" s="64"/>
      <c r="F699" s="65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</row>
    <row r="700">
      <c r="A700" s="62"/>
      <c r="B700" s="63"/>
      <c r="C700" s="64"/>
      <c r="D700" s="64"/>
      <c r="E700" s="64"/>
      <c r="F700" s="65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</row>
    <row r="701">
      <c r="A701" s="62"/>
      <c r="B701" s="63"/>
      <c r="C701" s="64"/>
      <c r="D701" s="64"/>
      <c r="E701" s="64"/>
      <c r="F701" s="65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</row>
    <row r="702">
      <c r="A702" s="62"/>
      <c r="B702" s="63"/>
      <c r="C702" s="64"/>
      <c r="D702" s="64"/>
      <c r="E702" s="64"/>
      <c r="F702" s="65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</row>
    <row r="703">
      <c r="A703" s="62"/>
      <c r="B703" s="63"/>
      <c r="C703" s="64"/>
      <c r="D703" s="64"/>
      <c r="E703" s="64"/>
      <c r="F703" s="65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</row>
    <row r="704">
      <c r="A704" s="62"/>
      <c r="B704" s="63"/>
      <c r="C704" s="64"/>
      <c r="D704" s="64"/>
      <c r="E704" s="64"/>
      <c r="F704" s="65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</row>
    <row r="705">
      <c r="A705" s="62"/>
      <c r="B705" s="63"/>
      <c r="C705" s="64"/>
      <c r="D705" s="64"/>
      <c r="E705" s="64"/>
      <c r="F705" s="65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</row>
    <row r="706">
      <c r="A706" s="62"/>
      <c r="B706" s="63"/>
      <c r="C706" s="64"/>
      <c r="D706" s="64"/>
      <c r="E706" s="64"/>
      <c r="F706" s="65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</row>
    <row r="707">
      <c r="A707" s="62"/>
      <c r="B707" s="63"/>
      <c r="C707" s="64"/>
      <c r="D707" s="64"/>
      <c r="E707" s="64"/>
      <c r="F707" s="65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</row>
    <row r="708">
      <c r="A708" s="62"/>
      <c r="B708" s="63"/>
      <c r="C708" s="64"/>
      <c r="D708" s="64"/>
      <c r="E708" s="64"/>
      <c r="F708" s="65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</row>
    <row r="709">
      <c r="A709" s="62"/>
      <c r="B709" s="63"/>
      <c r="C709" s="64"/>
      <c r="D709" s="64"/>
      <c r="E709" s="64"/>
      <c r="F709" s="65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</row>
    <row r="710">
      <c r="A710" s="62"/>
      <c r="B710" s="63"/>
      <c r="C710" s="64"/>
      <c r="D710" s="64"/>
      <c r="E710" s="64"/>
      <c r="F710" s="65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</row>
    <row r="711">
      <c r="A711" s="62"/>
      <c r="B711" s="63"/>
      <c r="C711" s="64"/>
      <c r="D711" s="64"/>
      <c r="E711" s="64"/>
      <c r="F711" s="65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</row>
    <row r="712">
      <c r="A712" s="62"/>
      <c r="B712" s="63"/>
      <c r="C712" s="64"/>
      <c r="D712" s="64"/>
      <c r="E712" s="64"/>
      <c r="F712" s="65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</row>
    <row r="713">
      <c r="A713" s="62"/>
      <c r="B713" s="63"/>
      <c r="C713" s="64"/>
      <c r="D713" s="64"/>
      <c r="E713" s="64"/>
      <c r="F713" s="65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</row>
    <row r="714">
      <c r="A714" s="62"/>
      <c r="B714" s="63"/>
      <c r="C714" s="64"/>
      <c r="D714" s="64"/>
      <c r="E714" s="64"/>
      <c r="F714" s="65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</row>
    <row r="715">
      <c r="A715" s="62"/>
      <c r="B715" s="63"/>
      <c r="C715" s="64"/>
      <c r="D715" s="64"/>
      <c r="E715" s="64"/>
      <c r="F715" s="65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</row>
    <row r="716">
      <c r="A716" s="62"/>
      <c r="B716" s="63"/>
      <c r="C716" s="64"/>
      <c r="D716" s="64"/>
      <c r="E716" s="64"/>
      <c r="F716" s="65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</row>
    <row r="717">
      <c r="A717" s="62"/>
      <c r="B717" s="63"/>
      <c r="C717" s="64"/>
      <c r="D717" s="64"/>
      <c r="E717" s="64"/>
      <c r="F717" s="65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</row>
    <row r="718">
      <c r="A718" s="62"/>
      <c r="B718" s="63"/>
      <c r="C718" s="64"/>
      <c r="D718" s="64"/>
      <c r="E718" s="64"/>
      <c r="F718" s="65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</row>
    <row r="719">
      <c r="A719" s="62"/>
      <c r="B719" s="63"/>
      <c r="C719" s="64"/>
      <c r="D719" s="64"/>
      <c r="E719" s="64"/>
      <c r="F719" s="65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</row>
    <row r="720">
      <c r="A720" s="62"/>
      <c r="B720" s="63"/>
      <c r="C720" s="64"/>
      <c r="D720" s="64"/>
      <c r="E720" s="64"/>
      <c r="F720" s="65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</row>
    <row r="721">
      <c r="A721" s="62"/>
      <c r="B721" s="63"/>
      <c r="C721" s="64"/>
      <c r="D721" s="64"/>
      <c r="E721" s="64"/>
      <c r="F721" s="65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</row>
    <row r="722">
      <c r="A722" s="62"/>
      <c r="B722" s="63"/>
      <c r="C722" s="64"/>
      <c r="D722" s="64"/>
      <c r="E722" s="64"/>
      <c r="F722" s="65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</row>
    <row r="723">
      <c r="A723" s="62"/>
      <c r="B723" s="63"/>
      <c r="C723" s="64"/>
      <c r="D723" s="64"/>
      <c r="E723" s="64"/>
      <c r="F723" s="65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</row>
    <row r="724">
      <c r="A724" s="62"/>
      <c r="B724" s="63"/>
      <c r="C724" s="64"/>
      <c r="D724" s="64"/>
      <c r="E724" s="64"/>
      <c r="F724" s="65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</row>
    <row r="725">
      <c r="A725" s="62"/>
      <c r="B725" s="63"/>
      <c r="C725" s="64"/>
      <c r="D725" s="64"/>
      <c r="E725" s="64"/>
      <c r="F725" s="65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</row>
    <row r="726">
      <c r="A726" s="62"/>
      <c r="B726" s="63"/>
      <c r="C726" s="64"/>
      <c r="D726" s="64"/>
      <c r="E726" s="64"/>
      <c r="F726" s="65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</row>
    <row r="727">
      <c r="A727" s="62"/>
      <c r="B727" s="63"/>
      <c r="C727" s="64"/>
      <c r="D727" s="64"/>
      <c r="E727" s="64"/>
      <c r="F727" s="65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</row>
    <row r="728">
      <c r="A728" s="62"/>
      <c r="B728" s="63"/>
      <c r="C728" s="64"/>
      <c r="D728" s="64"/>
      <c r="E728" s="64"/>
      <c r="F728" s="65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</row>
    <row r="729">
      <c r="A729" s="62"/>
      <c r="B729" s="63"/>
      <c r="C729" s="64"/>
      <c r="D729" s="64"/>
      <c r="E729" s="64"/>
      <c r="F729" s="65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</row>
    <row r="730">
      <c r="A730" s="62"/>
      <c r="B730" s="63"/>
      <c r="C730" s="64"/>
      <c r="D730" s="64"/>
      <c r="E730" s="64"/>
      <c r="F730" s="65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</row>
    <row r="731">
      <c r="A731" s="62"/>
      <c r="B731" s="63"/>
      <c r="C731" s="64"/>
      <c r="D731" s="64"/>
      <c r="E731" s="64"/>
      <c r="F731" s="65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</row>
    <row r="732">
      <c r="A732" s="62"/>
      <c r="B732" s="63"/>
      <c r="C732" s="64"/>
      <c r="D732" s="64"/>
      <c r="E732" s="64"/>
      <c r="F732" s="65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</row>
    <row r="733">
      <c r="A733" s="62"/>
      <c r="B733" s="63"/>
      <c r="C733" s="64"/>
      <c r="D733" s="64"/>
      <c r="E733" s="64"/>
      <c r="F733" s="65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</row>
    <row r="734">
      <c r="A734" s="62"/>
      <c r="B734" s="63"/>
      <c r="C734" s="64"/>
      <c r="D734" s="64"/>
      <c r="E734" s="64"/>
      <c r="F734" s="65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</row>
    <row r="735">
      <c r="A735" s="62"/>
      <c r="B735" s="63"/>
      <c r="C735" s="64"/>
      <c r="D735" s="64"/>
      <c r="E735" s="64"/>
      <c r="F735" s="65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</row>
    <row r="736">
      <c r="A736" s="62"/>
      <c r="B736" s="63"/>
      <c r="C736" s="64"/>
      <c r="D736" s="64"/>
      <c r="E736" s="64"/>
      <c r="F736" s="65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</row>
    <row r="737">
      <c r="A737" s="62"/>
      <c r="B737" s="63"/>
      <c r="C737" s="64"/>
      <c r="D737" s="64"/>
      <c r="E737" s="64"/>
      <c r="F737" s="65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</row>
    <row r="738">
      <c r="A738" s="62"/>
      <c r="B738" s="63"/>
      <c r="C738" s="64"/>
      <c r="D738" s="64"/>
      <c r="E738" s="64"/>
      <c r="F738" s="65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</row>
    <row r="739">
      <c r="A739" s="62"/>
      <c r="B739" s="63"/>
      <c r="C739" s="64"/>
      <c r="D739" s="64"/>
      <c r="E739" s="64"/>
      <c r="F739" s="65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</row>
    <row r="740">
      <c r="A740" s="62"/>
      <c r="B740" s="63"/>
      <c r="C740" s="64"/>
      <c r="D740" s="64"/>
      <c r="E740" s="64"/>
      <c r="F740" s="65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</row>
    <row r="741">
      <c r="A741" s="62"/>
      <c r="B741" s="63"/>
      <c r="C741" s="64"/>
      <c r="D741" s="64"/>
      <c r="E741" s="64"/>
      <c r="F741" s="65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</row>
    <row r="742">
      <c r="A742" s="62"/>
      <c r="B742" s="63"/>
      <c r="C742" s="64"/>
      <c r="D742" s="64"/>
      <c r="E742" s="64"/>
      <c r="F742" s="65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</row>
    <row r="743">
      <c r="A743" s="62"/>
      <c r="B743" s="63"/>
      <c r="C743" s="64"/>
      <c r="D743" s="64"/>
      <c r="E743" s="64"/>
      <c r="F743" s="65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</row>
    <row r="744">
      <c r="A744" s="62"/>
      <c r="B744" s="63"/>
      <c r="C744" s="64"/>
      <c r="D744" s="64"/>
      <c r="E744" s="64"/>
      <c r="F744" s="65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</row>
    <row r="745">
      <c r="A745" s="62"/>
      <c r="B745" s="63"/>
      <c r="C745" s="64"/>
      <c r="D745" s="64"/>
      <c r="E745" s="64"/>
      <c r="F745" s="65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</row>
    <row r="746">
      <c r="A746" s="62"/>
      <c r="B746" s="63"/>
      <c r="C746" s="64"/>
      <c r="D746" s="64"/>
      <c r="E746" s="64"/>
      <c r="F746" s="65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</row>
    <row r="747">
      <c r="A747" s="62"/>
      <c r="B747" s="63"/>
      <c r="C747" s="64"/>
      <c r="D747" s="64"/>
      <c r="E747" s="64"/>
      <c r="F747" s="65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</row>
    <row r="748">
      <c r="A748" s="62"/>
      <c r="B748" s="63"/>
      <c r="C748" s="64"/>
      <c r="D748" s="64"/>
      <c r="E748" s="64"/>
      <c r="F748" s="65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</row>
    <row r="749">
      <c r="A749" s="62"/>
      <c r="B749" s="63"/>
      <c r="C749" s="64"/>
      <c r="D749" s="64"/>
      <c r="E749" s="64"/>
      <c r="F749" s="65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</row>
    <row r="750">
      <c r="A750" s="62"/>
      <c r="B750" s="63"/>
      <c r="C750" s="64"/>
      <c r="D750" s="64"/>
      <c r="E750" s="64"/>
      <c r="F750" s="65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</row>
    <row r="751">
      <c r="A751" s="62"/>
      <c r="B751" s="63"/>
      <c r="C751" s="64"/>
      <c r="D751" s="64"/>
      <c r="E751" s="64"/>
      <c r="F751" s="65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</row>
    <row r="752">
      <c r="A752" s="62"/>
      <c r="B752" s="63"/>
      <c r="C752" s="64"/>
      <c r="D752" s="64"/>
      <c r="E752" s="64"/>
      <c r="F752" s="65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</row>
    <row r="753">
      <c r="A753" s="62"/>
      <c r="B753" s="63"/>
      <c r="C753" s="64"/>
      <c r="D753" s="64"/>
      <c r="E753" s="64"/>
      <c r="F753" s="65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</row>
    <row r="754">
      <c r="A754" s="62"/>
      <c r="B754" s="63"/>
      <c r="C754" s="64"/>
      <c r="D754" s="64"/>
      <c r="E754" s="64"/>
      <c r="F754" s="65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</row>
    <row r="755">
      <c r="A755" s="62"/>
      <c r="B755" s="63"/>
      <c r="C755" s="64"/>
      <c r="D755" s="64"/>
      <c r="E755" s="64"/>
      <c r="F755" s="65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</row>
    <row r="756">
      <c r="A756" s="62"/>
      <c r="B756" s="63"/>
      <c r="C756" s="64"/>
      <c r="D756" s="64"/>
      <c r="E756" s="64"/>
      <c r="F756" s="65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</row>
    <row r="757">
      <c r="A757" s="62"/>
      <c r="B757" s="63"/>
      <c r="C757" s="64"/>
      <c r="D757" s="64"/>
      <c r="E757" s="64"/>
      <c r="F757" s="65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</row>
    <row r="758">
      <c r="A758" s="62"/>
      <c r="B758" s="63"/>
      <c r="C758" s="64"/>
      <c r="D758" s="64"/>
      <c r="E758" s="64"/>
      <c r="F758" s="65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</row>
    <row r="759">
      <c r="A759" s="62"/>
      <c r="B759" s="63"/>
      <c r="C759" s="64"/>
      <c r="D759" s="64"/>
      <c r="E759" s="64"/>
      <c r="F759" s="65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</row>
    <row r="760">
      <c r="A760" s="62"/>
      <c r="B760" s="63"/>
      <c r="C760" s="64"/>
      <c r="D760" s="64"/>
      <c r="E760" s="64"/>
      <c r="F760" s="65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</row>
    <row r="761">
      <c r="A761" s="62"/>
      <c r="B761" s="63"/>
      <c r="C761" s="64"/>
      <c r="D761" s="64"/>
      <c r="E761" s="64"/>
      <c r="F761" s="65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</row>
    <row r="762">
      <c r="A762" s="62"/>
      <c r="B762" s="63"/>
      <c r="C762" s="64"/>
      <c r="D762" s="64"/>
      <c r="E762" s="64"/>
      <c r="F762" s="65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</row>
    <row r="763">
      <c r="A763" s="62"/>
      <c r="B763" s="63"/>
      <c r="C763" s="64"/>
      <c r="D763" s="64"/>
      <c r="E763" s="64"/>
      <c r="F763" s="65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</row>
    <row r="764">
      <c r="A764" s="62"/>
      <c r="B764" s="63"/>
      <c r="C764" s="64"/>
      <c r="D764" s="64"/>
      <c r="E764" s="64"/>
      <c r="F764" s="65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</row>
    <row r="765">
      <c r="A765" s="62"/>
      <c r="B765" s="63"/>
      <c r="C765" s="64"/>
      <c r="D765" s="64"/>
      <c r="E765" s="64"/>
      <c r="F765" s="65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</row>
    <row r="766">
      <c r="A766" s="62"/>
      <c r="B766" s="63"/>
      <c r="C766" s="64"/>
      <c r="D766" s="64"/>
      <c r="E766" s="64"/>
      <c r="F766" s="65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</row>
    <row r="767">
      <c r="A767" s="62"/>
      <c r="B767" s="63"/>
      <c r="C767" s="64"/>
      <c r="D767" s="64"/>
      <c r="E767" s="64"/>
      <c r="F767" s="65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</row>
    <row r="768">
      <c r="A768" s="62"/>
      <c r="B768" s="63"/>
      <c r="C768" s="64"/>
      <c r="D768" s="64"/>
      <c r="E768" s="64"/>
      <c r="F768" s="65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</row>
    <row r="769">
      <c r="A769" s="62"/>
      <c r="B769" s="63"/>
      <c r="C769" s="64"/>
      <c r="D769" s="64"/>
      <c r="E769" s="64"/>
      <c r="F769" s="65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</row>
    <row r="770">
      <c r="A770" s="62"/>
      <c r="B770" s="63"/>
      <c r="C770" s="64"/>
      <c r="D770" s="64"/>
      <c r="E770" s="64"/>
      <c r="F770" s="65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</row>
    <row r="771">
      <c r="A771" s="62"/>
      <c r="B771" s="63"/>
      <c r="C771" s="64"/>
      <c r="D771" s="64"/>
      <c r="E771" s="64"/>
      <c r="F771" s="65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</row>
    <row r="772">
      <c r="A772" s="62"/>
      <c r="B772" s="63"/>
      <c r="C772" s="64"/>
      <c r="D772" s="64"/>
      <c r="E772" s="64"/>
      <c r="F772" s="65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</row>
    <row r="773">
      <c r="A773" s="62"/>
      <c r="B773" s="63"/>
      <c r="C773" s="64"/>
      <c r="D773" s="64"/>
      <c r="E773" s="64"/>
      <c r="F773" s="65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</row>
    <row r="774">
      <c r="A774" s="62"/>
      <c r="B774" s="63"/>
      <c r="C774" s="64"/>
      <c r="D774" s="64"/>
      <c r="E774" s="64"/>
      <c r="F774" s="65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</row>
    <row r="775">
      <c r="A775" s="62"/>
      <c r="B775" s="63"/>
      <c r="C775" s="64"/>
      <c r="D775" s="64"/>
      <c r="E775" s="64"/>
      <c r="F775" s="65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</row>
    <row r="776">
      <c r="A776" s="62"/>
      <c r="B776" s="63"/>
      <c r="C776" s="64"/>
      <c r="D776" s="64"/>
      <c r="E776" s="64"/>
      <c r="F776" s="65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</row>
    <row r="777">
      <c r="A777" s="62"/>
      <c r="B777" s="63"/>
      <c r="C777" s="64"/>
      <c r="D777" s="64"/>
      <c r="E777" s="64"/>
      <c r="F777" s="65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</row>
    <row r="778">
      <c r="A778" s="62"/>
      <c r="B778" s="63"/>
      <c r="C778" s="64"/>
      <c r="D778" s="64"/>
      <c r="E778" s="64"/>
      <c r="F778" s="65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</row>
    <row r="779">
      <c r="A779" s="62"/>
      <c r="B779" s="63"/>
      <c r="C779" s="64"/>
      <c r="D779" s="64"/>
      <c r="E779" s="64"/>
      <c r="F779" s="65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</row>
    <row r="780">
      <c r="A780" s="62"/>
      <c r="B780" s="63"/>
      <c r="C780" s="64"/>
      <c r="D780" s="64"/>
      <c r="E780" s="64"/>
      <c r="F780" s="65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</row>
    <row r="781">
      <c r="A781" s="62"/>
      <c r="B781" s="63"/>
      <c r="C781" s="64"/>
      <c r="D781" s="64"/>
      <c r="E781" s="64"/>
      <c r="F781" s="65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</row>
    <row r="782">
      <c r="A782" s="62"/>
      <c r="B782" s="63"/>
      <c r="C782" s="64"/>
      <c r="D782" s="64"/>
      <c r="E782" s="64"/>
      <c r="F782" s="65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</row>
    <row r="783">
      <c r="A783" s="62"/>
      <c r="B783" s="63"/>
      <c r="C783" s="64"/>
      <c r="D783" s="64"/>
      <c r="E783" s="64"/>
      <c r="F783" s="65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</row>
    <row r="784">
      <c r="A784" s="62"/>
      <c r="B784" s="63"/>
      <c r="C784" s="64"/>
      <c r="D784" s="64"/>
      <c r="E784" s="64"/>
      <c r="F784" s="65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</row>
    <row r="785">
      <c r="A785" s="62"/>
      <c r="B785" s="63"/>
      <c r="C785" s="64"/>
      <c r="D785" s="64"/>
      <c r="E785" s="64"/>
      <c r="F785" s="65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</row>
    <row r="786">
      <c r="A786" s="62"/>
      <c r="B786" s="63"/>
      <c r="C786" s="64"/>
      <c r="D786" s="64"/>
      <c r="E786" s="64"/>
      <c r="F786" s="65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</row>
    <row r="787">
      <c r="A787" s="62"/>
      <c r="B787" s="63"/>
      <c r="C787" s="64"/>
      <c r="D787" s="64"/>
      <c r="E787" s="64"/>
      <c r="F787" s="65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</row>
    <row r="788">
      <c r="A788" s="62"/>
      <c r="B788" s="63"/>
      <c r="C788" s="64"/>
      <c r="D788" s="64"/>
      <c r="E788" s="64"/>
      <c r="F788" s="65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</row>
    <row r="789">
      <c r="A789" s="62"/>
      <c r="B789" s="63"/>
      <c r="C789" s="64"/>
      <c r="D789" s="64"/>
      <c r="E789" s="64"/>
      <c r="F789" s="65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</row>
    <row r="790">
      <c r="A790" s="62"/>
      <c r="B790" s="63"/>
      <c r="C790" s="64"/>
      <c r="D790" s="64"/>
      <c r="E790" s="64"/>
      <c r="F790" s="65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</row>
    <row r="791">
      <c r="A791" s="62"/>
      <c r="B791" s="63"/>
      <c r="C791" s="64"/>
      <c r="D791" s="64"/>
      <c r="E791" s="64"/>
      <c r="F791" s="65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</row>
    <row r="792">
      <c r="A792" s="62"/>
      <c r="B792" s="63"/>
      <c r="C792" s="64"/>
      <c r="D792" s="64"/>
      <c r="E792" s="64"/>
      <c r="F792" s="65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</row>
    <row r="793">
      <c r="A793" s="62"/>
      <c r="B793" s="63"/>
      <c r="C793" s="64"/>
      <c r="D793" s="64"/>
      <c r="E793" s="64"/>
      <c r="F793" s="65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</row>
    <row r="794">
      <c r="A794" s="62"/>
      <c r="B794" s="63"/>
      <c r="C794" s="64"/>
      <c r="D794" s="64"/>
      <c r="E794" s="64"/>
      <c r="F794" s="65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</row>
    <row r="795">
      <c r="A795" s="62"/>
      <c r="B795" s="63"/>
      <c r="C795" s="64"/>
      <c r="D795" s="64"/>
      <c r="E795" s="64"/>
      <c r="F795" s="65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</row>
    <row r="796">
      <c r="A796" s="62"/>
      <c r="B796" s="63"/>
      <c r="C796" s="64"/>
      <c r="D796" s="64"/>
      <c r="E796" s="64"/>
      <c r="F796" s="65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</row>
    <row r="797">
      <c r="A797" s="62"/>
      <c r="B797" s="63"/>
      <c r="C797" s="64"/>
      <c r="D797" s="64"/>
      <c r="E797" s="64"/>
      <c r="F797" s="65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</row>
    <row r="798">
      <c r="A798" s="62"/>
      <c r="B798" s="63"/>
      <c r="C798" s="64"/>
      <c r="D798" s="64"/>
      <c r="E798" s="64"/>
      <c r="F798" s="65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</row>
    <row r="799">
      <c r="A799" s="62"/>
      <c r="B799" s="63"/>
      <c r="C799" s="64"/>
      <c r="D799" s="64"/>
      <c r="E799" s="64"/>
      <c r="F799" s="65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</row>
    <row r="800">
      <c r="A800" s="62"/>
      <c r="B800" s="63"/>
      <c r="C800" s="64"/>
      <c r="D800" s="64"/>
      <c r="E800" s="64"/>
      <c r="F800" s="65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</row>
    <row r="801">
      <c r="A801" s="62"/>
      <c r="B801" s="63"/>
      <c r="C801" s="64"/>
      <c r="D801" s="64"/>
      <c r="E801" s="64"/>
      <c r="F801" s="65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</row>
    <row r="802">
      <c r="A802" s="62"/>
      <c r="B802" s="63"/>
      <c r="C802" s="64"/>
      <c r="D802" s="64"/>
      <c r="E802" s="64"/>
      <c r="F802" s="65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</row>
    <row r="803">
      <c r="A803" s="62"/>
      <c r="B803" s="63"/>
      <c r="C803" s="64"/>
      <c r="D803" s="64"/>
      <c r="E803" s="64"/>
      <c r="F803" s="65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</row>
    <row r="804">
      <c r="A804" s="62"/>
      <c r="B804" s="63"/>
      <c r="C804" s="64"/>
      <c r="D804" s="64"/>
      <c r="E804" s="64"/>
      <c r="F804" s="65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</row>
    <row r="805">
      <c r="A805" s="62"/>
      <c r="B805" s="63"/>
      <c r="C805" s="64"/>
      <c r="D805" s="64"/>
      <c r="E805" s="64"/>
      <c r="F805" s="65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</row>
    <row r="806">
      <c r="A806" s="62"/>
      <c r="B806" s="63"/>
      <c r="C806" s="64"/>
      <c r="D806" s="64"/>
      <c r="E806" s="64"/>
      <c r="F806" s="65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</row>
    <row r="807">
      <c r="A807" s="62"/>
      <c r="B807" s="63"/>
      <c r="C807" s="64"/>
      <c r="D807" s="64"/>
      <c r="E807" s="64"/>
      <c r="F807" s="65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</row>
    <row r="808">
      <c r="A808" s="62"/>
      <c r="B808" s="63"/>
      <c r="C808" s="64"/>
      <c r="D808" s="64"/>
      <c r="E808" s="64"/>
      <c r="F808" s="65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</row>
    <row r="809">
      <c r="A809" s="62"/>
      <c r="B809" s="63"/>
      <c r="C809" s="64"/>
      <c r="D809" s="64"/>
      <c r="E809" s="64"/>
      <c r="F809" s="65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</row>
    <row r="810">
      <c r="A810" s="62"/>
      <c r="B810" s="63"/>
      <c r="C810" s="64"/>
      <c r="D810" s="64"/>
      <c r="E810" s="64"/>
      <c r="F810" s="65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</row>
    <row r="811">
      <c r="A811" s="62"/>
      <c r="B811" s="63"/>
      <c r="C811" s="64"/>
      <c r="D811" s="64"/>
      <c r="E811" s="64"/>
      <c r="F811" s="65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</row>
    <row r="812">
      <c r="A812" s="62"/>
      <c r="B812" s="63"/>
      <c r="C812" s="64"/>
      <c r="D812" s="64"/>
      <c r="E812" s="64"/>
      <c r="F812" s="65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</row>
    <row r="813">
      <c r="A813" s="62"/>
      <c r="B813" s="63"/>
      <c r="C813" s="64"/>
      <c r="D813" s="64"/>
      <c r="E813" s="64"/>
      <c r="F813" s="65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</row>
    <row r="814">
      <c r="A814" s="62"/>
      <c r="B814" s="63"/>
      <c r="C814" s="64"/>
      <c r="D814" s="64"/>
      <c r="E814" s="64"/>
      <c r="F814" s="65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</row>
    <row r="815">
      <c r="A815" s="62"/>
      <c r="B815" s="63"/>
      <c r="C815" s="64"/>
      <c r="D815" s="64"/>
      <c r="E815" s="64"/>
      <c r="F815" s="65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</row>
    <row r="816">
      <c r="A816" s="62"/>
      <c r="B816" s="63"/>
      <c r="C816" s="64"/>
      <c r="D816" s="64"/>
      <c r="E816" s="64"/>
      <c r="F816" s="65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</row>
    <row r="817">
      <c r="A817" s="62"/>
      <c r="B817" s="63"/>
      <c r="C817" s="64"/>
      <c r="D817" s="64"/>
      <c r="E817" s="64"/>
      <c r="F817" s="65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</row>
    <row r="818">
      <c r="A818" s="62"/>
      <c r="B818" s="63"/>
      <c r="C818" s="64"/>
      <c r="D818" s="64"/>
      <c r="E818" s="64"/>
      <c r="F818" s="65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</row>
    <row r="819">
      <c r="A819" s="62"/>
      <c r="B819" s="63"/>
      <c r="C819" s="64"/>
      <c r="D819" s="64"/>
      <c r="E819" s="64"/>
      <c r="F819" s="65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</row>
    <row r="820">
      <c r="A820" s="62"/>
      <c r="B820" s="63"/>
      <c r="C820" s="64"/>
      <c r="D820" s="64"/>
      <c r="E820" s="64"/>
      <c r="F820" s="65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</row>
    <row r="821">
      <c r="A821" s="62"/>
      <c r="B821" s="63"/>
      <c r="C821" s="64"/>
      <c r="D821" s="64"/>
      <c r="E821" s="64"/>
      <c r="F821" s="65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</row>
    <row r="822">
      <c r="A822" s="62"/>
      <c r="B822" s="63"/>
      <c r="C822" s="64"/>
      <c r="D822" s="64"/>
      <c r="E822" s="64"/>
      <c r="F822" s="65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</row>
    <row r="823">
      <c r="A823" s="62"/>
      <c r="B823" s="63"/>
      <c r="C823" s="64"/>
      <c r="D823" s="64"/>
      <c r="E823" s="64"/>
      <c r="F823" s="65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</row>
    <row r="824">
      <c r="A824" s="62"/>
      <c r="B824" s="63"/>
      <c r="C824" s="64"/>
      <c r="D824" s="64"/>
      <c r="E824" s="64"/>
      <c r="F824" s="65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</row>
    <row r="825">
      <c r="A825" s="62"/>
      <c r="B825" s="63"/>
      <c r="C825" s="64"/>
      <c r="D825" s="64"/>
      <c r="E825" s="64"/>
      <c r="F825" s="65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</row>
    <row r="826">
      <c r="A826" s="62"/>
      <c r="B826" s="63"/>
      <c r="C826" s="64"/>
      <c r="D826" s="64"/>
      <c r="E826" s="64"/>
      <c r="F826" s="65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</row>
    <row r="827">
      <c r="A827" s="62"/>
      <c r="B827" s="63"/>
      <c r="C827" s="64"/>
      <c r="D827" s="64"/>
      <c r="E827" s="64"/>
      <c r="F827" s="65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</row>
    <row r="828">
      <c r="A828" s="62"/>
      <c r="B828" s="63"/>
      <c r="C828" s="64"/>
      <c r="D828" s="64"/>
      <c r="E828" s="64"/>
      <c r="F828" s="65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</row>
    <row r="829">
      <c r="A829" s="62"/>
      <c r="B829" s="63"/>
      <c r="C829" s="64"/>
      <c r="D829" s="64"/>
      <c r="E829" s="64"/>
      <c r="F829" s="65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</row>
    <row r="830">
      <c r="A830" s="62"/>
      <c r="B830" s="63"/>
      <c r="C830" s="64"/>
      <c r="D830" s="64"/>
      <c r="E830" s="64"/>
      <c r="F830" s="65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</row>
    <row r="831">
      <c r="A831" s="62"/>
      <c r="B831" s="63"/>
      <c r="C831" s="64"/>
      <c r="D831" s="64"/>
      <c r="E831" s="64"/>
      <c r="F831" s="65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</row>
    <row r="832">
      <c r="A832" s="62"/>
      <c r="B832" s="63"/>
      <c r="C832" s="64"/>
      <c r="D832" s="64"/>
      <c r="E832" s="64"/>
      <c r="F832" s="65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</row>
    <row r="833">
      <c r="A833" s="62"/>
      <c r="B833" s="63"/>
      <c r="C833" s="64"/>
      <c r="D833" s="64"/>
      <c r="E833" s="64"/>
      <c r="F833" s="65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</row>
    <row r="834">
      <c r="A834" s="62"/>
      <c r="B834" s="63"/>
      <c r="C834" s="64"/>
      <c r="D834" s="64"/>
      <c r="E834" s="64"/>
      <c r="F834" s="65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</row>
    <row r="835">
      <c r="A835" s="62"/>
      <c r="B835" s="63"/>
      <c r="C835" s="64"/>
      <c r="D835" s="64"/>
      <c r="E835" s="64"/>
      <c r="F835" s="65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</row>
    <row r="836">
      <c r="A836" s="62"/>
      <c r="B836" s="63"/>
      <c r="C836" s="64"/>
      <c r="D836" s="64"/>
      <c r="E836" s="64"/>
      <c r="F836" s="65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</row>
    <row r="837">
      <c r="A837" s="62"/>
      <c r="B837" s="63"/>
      <c r="C837" s="64"/>
      <c r="D837" s="64"/>
      <c r="E837" s="64"/>
      <c r="F837" s="65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</row>
    <row r="838">
      <c r="A838" s="62"/>
      <c r="B838" s="63"/>
      <c r="C838" s="64"/>
      <c r="D838" s="64"/>
      <c r="E838" s="64"/>
      <c r="F838" s="65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</row>
    <row r="839">
      <c r="A839" s="62"/>
      <c r="B839" s="63"/>
      <c r="C839" s="64"/>
      <c r="D839" s="64"/>
      <c r="E839" s="64"/>
      <c r="F839" s="65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</row>
    <row r="840">
      <c r="A840" s="62"/>
      <c r="B840" s="63"/>
      <c r="C840" s="64"/>
      <c r="D840" s="64"/>
      <c r="E840" s="64"/>
      <c r="F840" s="65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</row>
    <row r="841">
      <c r="A841" s="62"/>
      <c r="B841" s="63"/>
      <c r="C841" s="64"/>
      <c r="D841" s="64"/>
      <c r="E841" s="64"/>
      <c r="F841" s="65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</row>
    <row r="842">
      <c r="A842" s="62"/>
      <c r="B842" s="63"/>
      <c r="C842" s="64"/>
      <c r="D842" s="64"/>
      <c r="E842" s="64"/>
      <c r="F842" s="65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</row>
    <row r="843">
      <c r="A843" s="62"/>
      <c r="B843" s="63"/>
      <c r="C843" s="64"/>
      <c r="D843" s="64"/>
      <c r="E843" s="64"/>
      <c r="F843" s="65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</row>
    <row r="844">
      <c r="A844" s="62"/>
      <c r="B844" s="63"/>
      <c r="C844" s="64"/>
      <c r="D844" s="64"/>
      <c r="E844" s="64"/>
      <c r="F844" s="65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</row>
    <row r="845">
      <c r="A845" s="62"/>
      <c r="B845" s="63"/>
      <c r="C845" s="64"/>
      <c r="D845" s="64"/>
      <c r="E845" s="64"/>
      <c r="F845" s="65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</row>
    <row r="846">
      <c r="A846" s="62"/>
      <c r="B846" s="63"/>
      <c r="C846" s="64"/>
      <c r="D846" s="64"/>
      <c r="E846" s="64"/>
      <c r="F846" s="65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</row>
    <row r="847">
      <c r="A847" s="62"/>
      <c r="B847" s="63"/>
      <c r="C847" s="64"/>
      <c r="D847" s="64"/>
      <c r="E847" s="64"/>
      <c r="F847" s="65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</row>
    <row r="848">
      <c r="A848" s="62"/>
      <c r="B848" s="63"/>
      <c r="C848" s="64"/>
      <c r="D848" s="64"/>
      <c r="E848" s="64"/>
      <c r="F848" s="65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</row>
    <row r="849">
      <c r="A849" s="62"/>
      <c r="B849" s="63"/>
      <c r="C849" s="64"/>
      <c r="D849" s="64"/>
      <c r="E849" s="64"/>
      <c r="F849" s="65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</row>
    <row r="850">
      <c r="A850" s="62"/>
      <c r="B850" s="63"/>
      <c r="C850" s="64"/>
      <c r="D850" s="64"/>
      <c r="E850" s="64"/>
      <c r="F850" s="65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</row>
    <row r="851">
      <c r="A851" s="62"/>
      <c r="B851" s="63"/>
      <c r="C851" s="64"/>
      <c r="D851" s="64"/>
      <c r="E851" s="64"/>
      <c r="F851" s="65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</row>
    <row r="852">
      <c r="A852" s="62"/>
      <c r="B852" s="63"/>
      <c r="C852" s="64"/>
      <c r="D852" s="64"/>
      <c r="E852" s="64"/>
      <c r="F852" s="65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</row>
    <row r="853">
      <c r="A853" s="62"/>
      <c r="B853" s="63"/>
      <c r="C853" s="64"/>
      <c r="D853" s="64"/>
      <c r="E853" s="64"/>
      <c r="F853" s="65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</row>
    <row r="854">
      <c r="A854" s="62"/>
      <c r="B854" s="63"/>
      <c r="C854" s="64"/>
      <c r="D854" s="64"/>
      <c r="E854" s="64"/>
      <c r="F854" s="65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</row>
    <row r="855">
      <c r="A855" s="62"/>
      <c r="B855" s="63"/>
      <c r="C855" s="64"/>
      <c r="D855" s="64"/>
      <c r="E855" s="64"/>
      <c r="F855" s="65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</row>
    <row r="856">
      <c r="A856" s="62"/>
      <c r="B856" s="63"/>
      <c r="C856" s="64"/>
      <c r="D856" s="64"/>
      <c r="E856" s="64"/>
      <c r="F856" s="65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</row>
    <row r="857">
      <c r="A857" s="62"/>
      <c r="B857" s="63"/>
      <c r="C857" s="64"/>
      <c r="D857" s="64"/>
      <c r="E857" s="64"/>
      <c r="F857" s="65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</row>
    <row r="858">
      <c r="A858" s="62"/>
      <c r="B858" s="63"/>
      <c r="C858" s="64"/>
      <c r="D858" s="64"/>
      <c r="E858" s="64"/>
      <c r="F858" s="65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</row>
    <row r="859">
      <c r="A859" s="62"/>
      <c r="B859" s="63"/>
      <c r="C859" s="64"/>
      <c r="D859" s="64"/>
      <c r="E859" s="64"/>
      <c r="F859" s="65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</row>
    <row r="860">
      <c r="A860" s="62"/>
      <c r="B860" s="63"/>
      <c r="C860" s="64"/>
      <c r="D860" s="64"/>
      <c r="E860" s="64"/>
      <c r="F860" s="65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</row>
    <row r="861">
      <c r="A861" s="62"/>
      <c r="B861" s="63"/>
      <c r="C861" s="64"/>
      <c r="D861" s="64"/>
      <c r="E861" s="64"/>
      <c r="F861" s="65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</row>
    <row r="862">
      <c r="A862" s="62"/>
      <c r="B862" s="63"/>
      <c r="C862" s="64"/>
      <c r="D862" s="64"/>
      <c r="E862" s="64"/>
      <c r="F862" s="65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</row>
    <row r="863">
      <c r="A863" s="62"/>
      <c r="B863" s="63"/>
      <c r="C863" s="64"/>
      <c r="D863" s="64"/>
      <c r="E863" s="64"/>
      <c r="F863" s="65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</row>
    <row r="864">
      <c r="A864" s="62"/>
      <c r="B864" s="63"/>
      <c r="C864" s="64"/>
      <c r="D864" s="64"/>
      <c r="E864" s="64"/>
      <c r="F864" s="65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</row>
    <row r="865">
      <c r="A865" s="62"/>
      <c r="B865" s="63"/>
      <c r="C865" s="64"/>
      <c r="D865" s="64"/>
      <c r="E865" s="64"/>
      <c r="F865" s="65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</row>
    <row r="866">
      <c r="A866" s="62"/>
      <c r="B866" s="63"/>
      <c r="C866" s="64"/>
      <c r="D866" s="64"/>
      <c r="E866" s="64"/>
      <c r="F866" s="65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</row>
    <row r="867">
      <c r="A867" s="62"/>
      <c r="B867" s="63"/>
      <c r="C867" s="64"/>
      <c r="D867" s="64"/>
      <c r="E867" s="64"/>
      <c r="F867" s="65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</row>
    <row r="868">
      <c r="A868" s="62"/>
      <c r="B868" s="63"/>
      <c r="C868" s="64"/>
      <c r="D868" s="64"/>
      <c r="E868" s="64"/>
      <c r="F868" s="65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</row>
    <row r="869">
      <c r="A869" s="62"/>
      <c r="B869" s="63"/>
      <c r="C869" s="64"/>
      <c r="D869" s="64"/>
      <c r="E869" s="64"/>
      <c r="F869" s="65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</row>
    <row r="870">
      <c r="A870" s="62"/>
      <c r="B870" s="63"/>
      <c r="C870" s="64"/>
      <c r="D870" s="64"/>
      <c r="E870" s="64"/>
      <c r="F870" s="65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</row>
    <row r="871">
      <c r="A871" s="62"/>
      <c r="B871" s="63"/>
      <c r="C871" s="64"/>
      <c r="D871" s="64"/>
      <c r="E871" s="64"/>
      <c r="F871" s="65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</row>
    <row r="872">
      <c r="A872" s="62"/>
      <c r="B872" s="63"/>
      <c r="C872" s="64"/>
      <c r="D872" s="64"/>
      <c r="E872" s="64"/>
      <c r="F872" s="65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</row>
    <row r="873">
      <c r="A873" s="62"/>
      <c r="B873" s="63"/>
      <c r="C873" s="64"/>
      <c r="D873" s="64"/>
      <c r="E873" s="64"/>
      <c r="F873" s="65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</row>
    <row r="874">
      <c r="A874" s="62"/>
      <c r="B874" s="63"/>
      <c r="C874" s="64"/>
      <c r="D874" s="64"/>
      <c r="E874" s="64"/>
      <c r="F874" s="65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</row>
    <row r="875">
      <c r="A875" s="62"/>
      <c r="B875" s="63"/>
      <c r="C875" s="64"/>
      <c r="D875" s="64"/>
      <c r="E875" s="64"/>
      <c r="F875" s="65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</row>
    <row r="876">
      <c r="A876" s="62"/>
      <c r="B876" s="63"/>
      <c r="C876" s="64"/>
      <c r="D876" s="64"/>
      <c r="E876" s="64"/>
      <c r="F876" s="65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</row>
    <row r="877">
      <c r="A877" s="62"/>
      <c r="B877" s="63"/>
      <c r="C877" s="64"/>
      <c r="D877" s="64"/>
      <c r="E877" s="64"/>
      <c r="F877" s="65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</row>
    <row r="878">
      <c r="A878" s="62"/>
      <c r="B878" s="63"/>
      <c r="C878" s="64"/>
      <c r="D878" s="64"/>
      <c r="E878" s="64"/>
      <c r="F878" s="65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</row>
    <row r="879">
      <c r="A879" s="62"/>
      <c r="B879" s="63"/>
      <c r="C879" s="64"/>
      <c r="D879" s="64"/>
      <c r="E879" s="64"/>
      <c r="F879" s="65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</row>
    <row r="880">
      <c r="A880" s="62"/>
      <c r="B880" s="63"/>
      <c r="C880" s="64"/>
      <c r="D880" s="64"/>
      <c r="E880" s="64"/>
      <c r="F880" s="65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</row>
    <row r="881">
      <c r="A881" s="62"/>
      <c r="B881" s="63"/>
      <c r="C881" s="64"/>
      <c r="D881" s="64"/>
      <c r="E881" s="64"/>
      <c r="F881" s="65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</row>
    <row r="882">
      <c r="A882" s="62"/>
      <c r="B882" s="63"/>
      <c r="C882" s="64"/>
      <c r="D882" s="64"/>
      <c r="E882" s="64"/>
      <c r="F882" s="65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</row>
    <row r="883">
      <c r="A883" s="62"/>
      <c r="B883" s="63"/>
      <c r="C883" s="64"/>
      <c r="D883" s="64"/>
      <c r="E883" s="64"/>
      <c r="F883" s="65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</row>
    <row r="884">
      <c r="A884" s="62"/>
      <c r="B884" s="63"/>
      <c r="C884" s="64"/>
      <c r="D884" s="64"/>
      <c r="E884" s="64"/>
      <c r="F884" s="65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</row>
    <row r="885">
      <c r="A885" s="62"/>
      <c r="B885" s="63"/>
      <c r="C885" s="64"/>
      <c r="D885" s="64"/>
      <c r="E885" s="64"/>
      <c r="F885" s="65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</row>
    <row r="886">
      <c r="A886" s="62"/>
      <c r="B886" s="63"/>
      <c r="C886" s="64"/>
      <c r="D886" s="64"/>
      <c r="E886" s="64"/>
      <c r="F886" s="65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</row>
    <row r="887">
      <c r="A887" s="62"/>
      <c r="B887" s="63"/>
      <c r="C887" s="64"/>
      <c r="D887" s="64"/>
      <c r="E887" s="64"/>
      <c r="F887" s="65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</row>
    <row r="888">
      <c r="A888" s="62"/>
      <c r="B888" s="63"/>
      <c r="C888" s="64"/>
      <c r="D888" s="64"/>
      <c r="E888" s="64"/>
      <c r="F888" s="65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</row>
    <row r="889">
      <c r="A889" s="62"/>
      <c r="B889" s="63"/>
      <c r="C889" s="64"/>
      <c r="D889" s="64"/>
      <c r="E889" s="64"/>
      <c r="F889" s="65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</row>
    <row r="890">
      <c r="A890" s="62"/>
      <c r="B890" s="63"/>
      <c r="C890" s="64"/>
      <c r="D890" s="64"/>
      <c r="E890" s="64"/>
      <c r="F890" s="65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</row>
    <row r="891">
      <c r="A891" s="62"/>
      <c r="B891" s="63"/>
      <c r="C891" s="64"/>
      <c r="D891" s="64"/>
      <c r="E891" s="64"/>
      <c r="F891" s="65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</row>
    <row r="892">
      <c r="A892" s="62"/>
      <c r="B892" s="63"/>
      <c r="C892" s="64"/>
      <c r="D892" s="64"/>
      <c r="E892" s="64"/>
      <c r="F892" s="65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</row>
    <row r="893">
      <c r="A893" s="62"/>
      <c r="B893" s="63"/>
      <c r="C893" s="64"/>
      <c r="D893" s="64"/>
      <c r="E893" s="64"/>
      <c r="F893" s="65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</row>
    <row r="894">
      <c r="A894" s="62"/>
      <c r="B894" s="63"/>
      <c r="C894" s="64"/>
      <c r="D894" s="64"/>
      <c r="E894" s="64"/>
      <c r="F894" s="65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</row>
    <row r="895">
      <c r="A895" s="62"/>
      <c r="B895" s="63"/>
      <c r="C895" s="64"/>
      <c r="D895" s="64"/>
      <c r="E895" s="64"/>
      <c r="F895" s="65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</row>
    <row r="896">
      <c r="A896" s="62"/>
      <c r="B896" s="63"/>
      <c r="C896" s="64"/>
      <c r="D896" s="64"/>
      <c r="E896" s="64"/>
      <c r="F896" s="65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</row>
    <row r="897">
      <c r="A897" s="62"/>
      <c r="B897" s="63"/>
      <c r="C897" s="64"/>
      <c r="D897" s="64"/>
      <c r="E897" s="64"/>
      <c r="F897" s="65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</row>
    <row r="898">
      <c r="A898" s="62"/>
      <c r="B898" s="63"/>
      <c r="C898" s="64"/>
      <c r="D898" s="64"/>
      <c r="E898" s="64"/>
      <c r="F898" s="65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</row>
    <row r="899">
      <c r="A899" s="62"/>
      <c r="B899" s="63"/>
      <c r="C899" s="64"/>
      <c r="D899" s="64"/>
      <c r="E899" s="64"/>
      <c r="F899" s="65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</row>
    <row r="900">
      <c r="A900" s="62"/>
      <c r="B900" s="63"/>
      <c r="C900" s="64"/>
      <c r="D900" s="64"/>
      <c r="E900" s="64"/>
      <c r="F900" s="65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</row>
    <row r="901">
      <c r="A901" s="62"/>
      <c r="B901" s="63"/>
      <c r="C901" s="64"/>
      <c r="D901" s="64"/>
      <c r="E901" s="64"/>
      <c r="F901" s="65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</row>
    <row r="902">
      <c r="A902" s="62"/>
      <c r="B902" s="63"/>
      <c r="C902" s="64"/>
      <c r="D902" s="64"/>
      <c r="E902" s="64"/>
      <c r="F902" s="65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</row>
    <row r="903">
      <c r="A903" s="62"/>
      <c r="B903" s="63"/>
      <c r="C903" s="64"/>
      <c r="D903" s="64"/>
      <c r="E903" s="64"/>
      <c r="F903" s="65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</row>
    <row r="904">
      <c r="A904" s="62"/>
      <c r="B904" s="63"/>
      <c r="C904" s="64"/>
      <c r="D904" s="64"/>
      <c r="E904" s="64"/>
      <c r="F904" s="65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</row>
    <row r="905">
      <c r="A905" s="62"/>
      <c r="B905" s="63"/>
      <c r="C905" s="64"/>
      <c r="D905" s="64"/>
      <c r="E905" s="64"/>
      <c r="F905" s="65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</row>
    <row r="906">
      <c r="A906" s="62"/>
      <c r="B906" s="63"/>
      <c r="C906" s="64"/>
      <c r="D906" s="64"/>
      <c r="E906" s="64"/>
      <c r="F906" s="65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</row>
    <row r="907">
      <c r="A907" s="62"/>
      <c r="B907" s="63"/>
      <c r="C907" s="64"/>
      <c r="D907" s="64"/>
      <c r="E907" s="64"/>
      <c r="F907" s="65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</row>
    <row r="908">
      <c r="A908" s="62"/>
      <c r="B908" s="63"/>
      <c r="C908" s="64"/>
      <c r="D908" s="64"/>
      <c r="E908" s="64"/>
      <c r="F908" s="65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</row>
    <row r="909">
      <c r="A909" s="62"/>
      <c r="B909" s="63"/>
      <c r="C909" s="64"/>
      <c r="D909" s="64"/>
      <c r="E909" s="64"/>
      <c r="F909" s="65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</row>
    <row r="910">
      <c r="A910" s="62"/>
      <c r="B910" s="63"/>
      <c r="C910" s="64"/>
      <c r="D910" s="64"/>
      <c r="E910" s="64"/>
      <c r="F910" s="65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</row>
    <row r="911">
      <c r="A911" s="62"/>
      <c r="B911" s="63"/>
      <c r="C911" s="64"/>
      <c r="D911" s="64"/>
      <c r="E911" s="64"/>
      <c r="F911" s="65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</row>
    <row r="912">
      <c r="A912" s="62"/>
      <c r="B912" s="63"/>
      <c r="C912" s="64"/>
      <c r="D912" s="64"/>
      <c r="E912" s="64"/>
      <c r="F912" s="65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</row>
    <row r="913">
      <c r="A913" s="62"/>
      <c r="B913" s="63"/>
      <c r="C913" s="64"/>
      <c r="D913" s="64"/>
      <c r="E913" s="64"/>
      <c r="F913" s="65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</row>
    <row r="914">
      <c r="A914" s="62"/>
      <c r="B914" s="63"/>
      <c r="C914" s="64"/>
      <c r="D914" s="64"/>
      <c r="E914" s="64"/>
      <c r="F914" s="65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</row>
    <row r="915">
      <c r="A915" s="62"/>
      <c r="B915" s="63"/>
      <c r="C915" s="64"/>
      <c r="D915" s="64"/>
      <c r="E915" s="64"/>
      <c r="F915" s="65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</row>
    <row r="916">
      <c r="A916" s="62"/>
      <c r="B916" s="63"/>
      <c r="C916" s="64"/>
      <c r="D916" s="64"/>
      <c r="E916" s="64"/>
      <c r="F916" s="65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</row>
    <row r="917">
      <c r="A917" s="62"/>
      <c r="B917" s="63"/>
      <c r="C917" s="64"/>
      <c r="D917" s="64"/>
      <c r="E917" s="64"/>
      <c r="F917" s="65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</row>
    <row r="918">
      <c r="A918" s="62"/>
      <c r="B918" s="63"/>
      <c r="C918" s="64"/>
      <c r="D918" s="64"/>
      <c r="E918" s="64"/>
      <c r="F918" s="65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</row>
    <row r="919">
      <c r="A919" s="62"/>
      <c r="B919" s="63"/>
      <c r="C919" s="64"/>
      <c r="D919" s="64"/>
      <c r="E919" s="64"/>
      <c r="F919" s="65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</row>
    <row r="920">
      <c r="A920" s="62"/>
      <c r="B920" s="63"/>
      <c r="C920" s="64"/>
      <c r="D920" s="64"/>
      <c r="E920" s="64"/>
      <c r="F920" s="65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</row>
    <row r="921">
      <c r="A921" s="62"/>
      <c r="B921" s="63"/>
      <c r="C921" s="64"/>
      <c r="D921" s="64"/>
      <c r="E921" s="64"/>
      <c r="F921" s="65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</row>
    <row r="922">
      <c r="A922" s="62"/>
      <c r="B922" s="63"/>
      <c r="C922" s="64"/>
      <c r="D922" s="64"/>
      <c r="E922" s="64"/>
      <c r="F922" s="65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</row>
    <row r="923">
      <c r="A923" s="62"/>
      <c r="B923" s="63"/>
      <c r="C923" s="64"/>
      <c r="D923" s="64"/>
      <c r="E923" s="64"/>
      <c r="F923" s="65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</row>
    <row r="924">
      <c r="A924" s="62"/>
      <c r="B924" s="63"/>
      <c r="C924" s="64"/>
      <c r="D924" s="64"/>
      <c r="E924" s="64"/>
      <c r="F924" s="65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</row>
    <row r="925">
      <c r="A925" s="62"/>
      <c r="B925" s="63"/>
      <c r="C925" s="64"/>
      <c r="D925" s="64"/>
      <c r="E925" s="64"/>
      <c r="F925" s="65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</row>
    <row r="926">
      <c r="A926" s="62"/>
      <c r="B926" s="63"/>
      <c r="C926" s="64"/>
      <c r="D926" s="64"/>
      <c r="E926" s="64"/>
      <c r="F926" s="65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</row>
    <row r="927">
      <c r="A927" s="62"/>
      <c r="B927" s="63"/>
      <c r="C927" s="64"/>
      <c r="D927" s="64"/>
      <c r="E927" s="64"/>
      <c r="F927" s="65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</row>
    <row r="928">
      <c r="A928" s="62"/>
      <c r="B928" s="63"/>
      <c r="C928" s="64"/>
      <c r="D928" s="64"/>
      <c r="E928" s="64"/>
      <c r="F928" s="65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</row>
    <row r="929">
      <c r="A929" s="62"/>
      <c r="B929" s="63"/>
      <c r="C929" s="64"/>
      <c r="D929" s="64"/>
      <c r="E929" s="64"/>
      <c r="F929" s="65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</row>
    <row r="930">
      <c r="A930" s="62"/>
      <c r="B930" s="63"/>
      <c r="C930" s="64"/>
      <c r="D930" s="64"/>
      <c r="E930" s="64"/>
      <c r="F930" s="65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</row>
    <row r="931">
      <c r="A931" s="62"/>
      <c r="B931" s="63"/>
      <c r="C931" s="64"/>
      <c r="D931" s="64"/>
      <c r="E931" s="64"/>
      <c r="F931" s="65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</row>
    <row r="932">
      <c r="A932" s="62"/>
      <c r="B932" s="63"/>
      <c r="C932" s="64"/>
      <c r="D932" s="64"/>
      <c r="E932" s="64"/>
      <c r="F932" s="65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</row>
    <row r="933">
      <c r="A933" s="62"/>
      <c r="B933" s="63"/>
      <c r="C933" s="64"/>
      <c r="D933" s="64"/>
      <c r="E933" s="64"/>
      <c r="F933" s="65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</row>
    <row r="934">
      <c r="A934" s="62"/>
      <c r="B934" s="63"/>
      <c r="C934" s="64"/>
      <c r="D934" s="64"/>
      <c r="E934" s="64"/>
      <c r="F934" s="65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</row>
    <row r="935">
      <c r="A935" s="62"/>
      <c r="B935" s="63"/>
      <c r="C935" s="64"/>
      <c r="D935" s="64"/>
      <c r="E935" s="64"/>
      <c r="F935" s="65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</row>
    <row r="936">
      <c r="A936" s="62"/>
      <c r="B936" s="63"/>
      <c r="C936" s="64"/>
      <c r="D936" s="64"/>
      <c r="E936" s="64"/>
      <c r="F936" s="65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</row>
    <row r="937">
      <c r="A937" s="62"/>
      <c r="B937" s="63"/>
      <c r="C937" s="64"/>
      <c r="D937" s="64"/>
      <c r="E937" s="64"/>
      <c r="F937" s="65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</row>
    <row r="938">
      <c r="A938" s="62"/>
      <c r="B938" s="63"/>
      <c r="C938" s="64"/>
      <c r="D938" s="64"/>
      <c r="E938" s="64"/>
      <c r="F938" s="65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</row>
    <row r="939">
      <c r="A939" s="62"/>
      <c r="B939" s="63"/>
      <c r="C939" s="64"/>
      <c r="D939" s="64"/>
      <c r="E939" s="64"/>
      <c r="F939" s="65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</row>
    <row r="940">
      <c r="A940" s="62"/>
      <c r="B940" s="63"/>
      <c r="C940" s="64"/>
      <c r="D940" s="64"/>
      <c r="E940" s="64"/>
      <c r="F940" s="65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</row>
    <row r="941">
      <c r="A941" s="62"/>
      <c r="B941" s="63"/>
      <c r="C941" s="64"/>
      <c r="D941" s="64"/>
      <c r="E941" s="64"/>
      <c r="F941" s="65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</row>
    <row r="942">
      <c r="A942" s="62"/>
      <c r="B942" s="63"/>
      <c r="C942" s="64"/>
      <c r="D942" s="64"/>
      <c r="E942" s="64"/>
      <c r="F942" s="65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</row>
    <row r="943">
      <c r="A943" s="62"/>
      <c r="B943" s="63"/>
      <c r="C943" s="64"/>
      <c r="D943" s="64"/>
      <c r="E943" s="64"/>
      <c r="F943" s="65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</row>
    <row r="944">
      <c r="A944" s="62"/>
      <c r="B944" s="63"/>
      <c r="C944" s="64"/>
      <c r="D944" s="64"/>
      <c r="E944" s="64"/>
      <c r="F944" s="65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</row>
    <row r="945">
      <c r="A945" s="62"/>
      <c r="B945" s="63"/>
      <c r="C945" s="64"/>
      <c r="D945" s="64"/>
      <c r="E945" s="64"/>
      <c r="F945" s="65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</row>
    <row r="946">
      <c r="A946" s="62"/>
      <c r="B946" s="63"/>
      <c r="C946" s="64"/>
      <c r="D946" s="64"/>
      <c r="E946" s="64"/>
      <c r="F946" s="65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</row>
    <row r="947">
      <c r="A947" s="62"/>
      <c r="B947" s="63"/>
      <c r="C947" s="64"/>
      <c r="D947" s="64"/>
      <c r="E947" s="64"/>
      <c r="F947" s="65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</row>
    <row r="948">
      <c r="A948" s="62"/>
      <c r="B948" s="63"/>
      <c r="C948" s="64"/>
      <c r="D948" s="64"/>
      <c r="E948" s="64"/>
      <c r="F948" s="65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</row>
    <row r="949">
      <c r="A949" s="62"/>
      <c r="B949" s="63"/>
      <c r="C949" s="64"/>
      <c r="D949" s="64"/>
      <c r="E949" s="64"/>
      <c r="F949" s="65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</row>
    <row r="950">
      <c r="A950" s="62"/>
      <c r="B950" s="63"/>
      <c r="C950" s="64"/>
      <c r="D950" s="64"/>
      <c r="E950" s="64"/>
      <c r="F950" s="65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</row>
    <row r="951">
      <c r="A951" s="62"/>
      <c r="B951" s="63"/>
      <c r="C951" s="64"/>
      <c r="D951" s="64"/>
      <c r="E951" s="64"/>
      <c r="F951" s="65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</row>
    <row r="952">
      <c r="A952" s="62"/>
      <c r="B952" s="63"/>
      <c r="C952" s="64"/>
      <c r="D952" s="64"/>
      <c r="E952" s="64"/>
      <c r="F952" s="65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</row>
    <row r="953">
      <c r="A953" s="62"/>
      <c r="B953" s="63"/>
      <c r="C953" s="64"/>
      <c r="D953" s="64"/>
      <c r="E953" s="64"/>
      <c r="F953" s="65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</row>
    <row r="954">
      <c r="A954" s="62"/>
      <c r="B954" s="63"/>
      <c r="C954" s="64"/>
      <c r="D954" s="64"/>
      <c r="E954" s="64"/>
      <c r="F954" s="65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</row>
    <row r="955">
      <c r="A955" s="62"/>
      <c r="B955" s="63"/>
      <c r="C955" s="64"/>
      <c r="D955" s="64"/>
      <c r="E955" s="64"/>
      <c r="F955" s="65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</row>
    <row r="956">
      <c r="A956" s="62"/>
      <c r="B956" s="63"/>
      <c r="C956" s="64"/>
      <c r="D956" s="64"/>
      <c r="E956" s="64"/>
      <c r="F956" s="65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</row>
    <row r="957">
      <c r="A957" s="62"/>
      <c r="B957" s="63"/>
      <c r="C957" s="64"/>
      <c r="D957" s="64"/>
      <c r="E957" s="64"/>
      <c r="F957" s="65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</row>
    <row r="958">
      <c r="A958" s="62"/>
      <c r="B958" s="63"/>
      <c r="C958" s="64"/>
      <c r="D958" s="64"/>
      <c r="E958" s="64"/>
      <c r="F958" s="65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</row>
    <row r="959">
      <c r="A959" s="62"/>
      <c r="B959" s="63"/>
      <c r="C959" s="64"/>
      <c r="D959" s="64"/>
      <c r="E959" s="64"/>
      <c r="F959" s="65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</row>
    <row r="960">
      <c r="A960" s="62"/>
      <c r="B960" s="63"/>
      <c r="C960" s="64"/>
      <c r="D960" s="64"/>
      <c r="E960" s="64"/>
      <c r="F960" s="65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</row>
    <row r="961">
      <c r="A961" s="62"/>
      <c r="B961" s="63"/>
      <c r="C961" s="64"/>
      <c r="D961" s="64"/>
      <c r="E961" s="64"/>
      <c r="F961" s="65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</row>
    <row r="962">
      <c r="A962" s="62"/>
      <c r="B962" s="63"/>
      <c r="C962" s="64"/>
      <c r="D962" s="64"/>
      <c r="E962" s="64"/>
      <c r="F962" s="65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</row>
    <row r="963">
      <c r="A963" s="62"/>
      <c r="B963" s="63"/>
      <c r="C963" s="64"/>
      <c r="D963" s="64"/>
      <c r="E963" s="64"/>
      <c r="F963" s="65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</row>
    <row r="964">
      <c r="A964" s="62"/>
      <c r="B964" s="63"/>
      <c r="C964" s="64"/>
      <c r="D964" s="64"/>
      <c r="E964" s="64"/>
      <c r="F964" s="65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</row>
    <row r="965">
      <c r="A965" s="62"/>
      <c r="B965" s="63"/>
      <c r="C965" s="64"/>
      <c r="D965" s="64"/>
      <c r="E965" s="64"/>
      <c r="F965" s="65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</row>
    <row r="966">
      <c r="A966" s="62"/>
      <c r="B966" s="63"/>
      <c r="C966" s="64"/>
      <c r="D966" s="64"/>
      <c r="E966" s="64"/>
      <c r="F966" s="65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</row>
    <row r="967">
      <c r="A967" s="62"/>
      <c r="B967" s="63"/>
      <c r="C967" s="64"/>
      <c r="D967" s="64"/>
      <c r="E967" s="64"/>
      <c r="F967" s="65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</row>
    <row r="968">
      <c r="A968" s="62"/>
      <c r="B968" s="63"/>
      <c r="C968" s="64"/>
      <c r="D968" s="64"/>
      <c r="E968" s="64"/>
      <c r="F968" s="65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</row>
    <row r="969">
      <c r="A969" s="62"/>
      <c r="B969" s="63"/>
      <c r="C969" s="64"/>
      <c r="D969" s="64"/>
      <c r="E969" s="64"/>
      <c r="F969" s="65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</row>
    <row r="970">
      <c r="A970" s="62"/>
      <c r="B970" s="63"/>
      <c r="C970" s="64"/>
      <c r="D970" s="64"/>
      <c r="E970" s="64"/>
      <c r="F970" s="65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</row>
    <row r="971">
      <c r="A971" s="62"/>
      <c r="B971" s="63"/>
      <c r="C971" s="64"/>
      <c r="D971" s="64"/>
      <c r="E971" s="64"/>
      <c r="F971" s="65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</row>
    <row r="972">
      <c r="A972" s="62"/>
      <c r="B972" s="63"/>
      <c r="C972" s="64"/>
      <c r="D972" s="64"/>
      <c r="E972" s="64"/>
      <c r="F972" s="65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</row>
    <row r="973">
      <c r="A973" s="62"/>
      <c r="B973" s="63"/>
      <c r="C973" s="64"/>
      <c r="D973" s="64"/>
      <c r="E973" s="64"/>
      <c r="F973" s="65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</row>
    <row r="974">
      <c r="A974" s="62"/>
      <c r="B974" s="63"/>
      <c r="C974" s="64"/>
      <c r="D974" s="64"/>
      <c r="E974" s="64"/>
      <c r="F974" s="65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</row>
    <row r="975">
      <c r="A975" s="62"/>
      <c r="B975" s="63"/>
      <c r="C975" s="64"/>
      <c r="D975" s="64"/>
      <c r="E975" s="64"/>
      <c r="F975" s="65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</row>
    <row r="976">
      <c r="A976" s="62"/>
      <c r="B976" s="63"/>
      <c r="C976" s="64"/>
      <c r="D976" s="64"/>
      <c r="E976" s="64"/>
      <c r="F976" s="65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</row>
    <row r="977">
      <c r="A977" s="62"/>
      <c r="B977" s="63"/>
      <c r="C977" s="64"/>
      <c r="D977" s="64"/>
      <c r="E977" s="64"/>
      <c r="F977" s="65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</row>
    <row r="978">
      <c r="A978" s="62"/>
      <c r="B978" s="63"/>
      <c r="C978" s="64"/>
      <c r="D978" s="64"/>
      <c r="E978" s="64"/>
      <c r="F978" s="65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</row>
    <row r="979">
      <c r="A979" s="62"/>
      <c r="B979" s="63"/>
      <c r="C979" s="64"/>
      <c r="D979" s="64"/>
      <c r="E979" s="64"/>
      <c r="F979" s="65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</row>
    <row r="980">
      <c r="A980" s="62"/>
      <c r="B980" s="63"/>
      <c r="C980" s="64"/>
      <c r="D980" s="64"/>
      <c r="E980" s="64"/>
      <c r="F980" s="65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</row>
    <row r="981">
      <c r="A981" s="62"/>
      <c r="B981" s="63"/>
      <c r="C981" s="64"/>
      <c r="D981" s="64"/>
      <c r="E981" s="64"/>
      <c r="F981" s="65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</row>
    <row r="982">
      <c r="A982" s="62"/>
      <c r="B982" s="63"/>
      <c r="C982" s="64"/>
      <c r="D982" s="64"/>
      <c r="E982" s="64"/>
      <c r="F982" s="65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</row>
    <row r="983">
      <c r="A983" s="62"/>
      <c r="B983" s="63"/>
      <c r="C983" s="64"/>
      <c r="D983" s="64"/>
      <c r="E983" s="64"/>
      <c r="F983" s="65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</row>
    <row r="984">
      <c r="A984" s="62"/>
      <c r="B984" s="63"/>
      <c r="C984" s="64"/>
      <c r="D984" s="64"/>
      <c r="E984" s="64"/>
      <c r="F984" s="65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</row>
    <row r="985">
      <c r="A985" s="62"/>
      <c r="B985" s="63"/>
      <c r="C985" s="64"/>
      <c r="D985" s="64"/>
      <c r="E985" s="64"/>
      <c r="F985" s="65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</row>
    <row r="986">
      <c r="A986" s="62"/>
      <c r="B986" s="63"/>
      <c r="C986" s="64"/>
      <c r="D986" s="64"/>
      <c r="E986" s="64"/>
      <c r="F986" s="65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</row>
    <row r="987">
      <c r="A987" s="62"/>
      <c r="B987" s="63"/>
      <c r="C987" s="64"/>
      <c r="D987" s="64"/>
      <c r="E987" s="64"/>
      <c r="F987" s="65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</row>
    <row r="988">
      <c r="A988" s="62"/>
      <c r="B988" s="63"/>
      <c r="C988" s="64"/>
      <c r="D988" s="64"/>
      <c r="E988" s="64"/>
      <c r="F988" s="65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</row>
    <row r="989">
      <c r="A989" s="62"/>
      <c r="B989" s="63"/>
      <c r="C989" s="64"/>
      <c r="D989" s="64"/>
      <c r="E989" s="64"/>
      <c r="F989" s="65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</row>
    <row r="990">
      <c r="A990" s="62"/>
      <c r="B990" s="63"/>
      <c r="C990" s="64"/>
      <c r="D990" s="64"/>
      <c r="E990" s="64"/>
      <c r="F990" s="65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</row>
    <row r="991">
      <c r="A991" s="62"/>
      <c r="B991" s="63"/>
      <c r="C991" s="64"/>
      <c r="D991" s="64"/>
      <c r="E991" s="64"/>
      <c r="F991" s="65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</row>
    <row r="992">
      <c r="A992" s="62"/>
      <c r="B992" s="63"/>
      <c r="C992" s="64"/>
      <c r="D992" s="64"/>
      <c r="E992" s="64"/>
      <c r="F992" s="65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</row>
    <row r="993">
      <c r="A993" s="62"/>
      <c r="B993" s="63"/>
      <c r="C993" s="64"/>
      <c r="D993" s="64"/>
      <c r="E993" s="64"/>
      <c r="F993" s="65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</row>
    <row r="994">
      <c r="A994" s="62"/>
      <c r="B994" s="63"/>
      <c r="C994" s="64"/>
      <c r="D994" s="64"/>
      <c r="E994" s="64"/>
      <c r="F994" s="65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</row>
    <row r="995">
      <c r="A995" s="62"/>
      <c r="B995" s="63"/>
      <c r="C995" s="64"/>
      <c r="D995" s="64"/>
      <c r="E995" s="64"/>
      <c r="F995" s="65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</row>
    <row r="996">
      <c r="A996" s="62"/>
      <c r="B996" s="63"/>
      <c r="C996" s="64"/>
      <c r="D996" s="64"/>
      <c r="E996" s="64"/>
      <c r="F996" s="65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</row>
    <row r="997">
      <c r="A997" s="62"/>
      <c r="B997" s="63"/>
      <c r="C997" s="64"/>
      <c r="D997" s="64"/>
      <c r="E997" s="64"/>
      <c r="F997" s="65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</row>
    <row r="998">
      <c r="A998" s="62"/>
      <c r="B998" s="63"/>
      <c r="C998" s="64"/>
      <c r="D998" s="64"/>
      <c r="E998" s="64"/>
      <c r="F998" s="65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</row>
    <row r="999">
      <c r="A999" s="62"/>
      <c r="B999" s="63"/>
      <c r="C999" s="64"/>
      <c r="D999" s="64"/>
      <c r="E999" s="64"/>
      <c r="F999" s="65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</row>
    <row r="1000">
      <c r="A1000" s="62"/>
      <c r="B1000" s="63"/>
      <c r="C1000" s="64"/>
      <c r="D1000" s="64"/>
      <c r="E1000" s="64"/>
      <c r="F1000" s="65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</row>
  </sheetData>
  <mergeCells count="1">
    <mergeCell ref="G1:J1"/>
  </mergeCells>
  <conditionalFormatting sqref="A1:F1000">
    <cfRule type="expression" dxfId="6" priority="1">
      <formula>RIGHT($A:$A,5)="total"</formula>
    </cfRule>
  </conditionalFormatting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63"/>
    <col customWidth="1" min="2" max="2" width="22.0"/>
    <col customWidth="1" min="3" max="5" width="12.75"/>
    <col customWidth="1" min="6" max="6" width="17.38"/>
    <col customWidth="1" min="7" max="10" width="12.5"/>
  </cols>
  <sheetData>
    <row r="1" ht="63.0" customHeight="1">
      <c r="F1" s="54" t="s">
        <v>11</v>
      </c>
      <c r="G1" s="4" t="s">
        <v>12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>
      <c r="F2" s="59">
        <f t="shared" ref="F2:F379" si="1">IF(AND(A2="",B2=""),"",C2/SUM(C2:E2))</f>
        <v>0.4545454545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</row>
    <row r="3">
      <c r="F3" s="59">
        <f t="shared" si="1"/>
        <v>0</v>
      </c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F4" s="59">
        <f t="shared" si="1"/>
        <v>0.3333333333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</row>
    <row r="5">
      <c r="F5" s="59">
        <f t="shared" si="1"/>
        <v>0.3333333333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>
      <c r="F6" s="59">
        <f t="shared" si="1"/>
        <v>0.3333333333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>
      <c r="F7" s="59">
        <f t="shared" si="1"/>
        <v>0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>
      <c r="F8" s="59">
        <f t="shared" si="1"/>
        <v>0.3076923077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</row>
    <row r="9">
      <c r="F9" s="59">
        <f t="shared" si="1"/>
        <v>0.5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>
      <c r="F10" s="59">
        <f t="shared" si="1"/>
        <v>0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</row>
    <row r="11">
      <c r="F11" s="59">
        <f t="shared" si="1"/>
        <v>0.4117647059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</row>
    <row r="12">
      <c r="F12" s="59">
        <f t="shared" si="1"/>
        <v>0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>
      <c r="F13" s="59">
        <f t="shared" si="1"/>
        <v>0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>
      <c r="F14" s="59">
        <f t="shared" si="1"/>
        <v>0.5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>
      <c r="F15" s="59">
        <f t="shared" si="1"/>
        <v>0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>
      <c r="F16" s="59">
        <f t="shared" si="1"/>
        <v>0.3333333333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>
      <c r="F17" s="59">
        <f t="shared" si="1"/>
        <v>0.25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>
      <c r="F18" s="59">
        <f t="shared" si="1"/>
        <v>0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>
      <c r="F19" s="59">
        <f t="shared" si="1"/>
        <v>0</v>
      </c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>
      <c r="F20" s="59">
        <f t="shared" si="1"/>
        <v>0</v>
      </c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>
      <c r="F21" s="59">
        <f t="shared" si="1"/>
        <v>0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>
      <c r="F22" s="59">
        <f t="shared" si="1"/>
        <v>0.625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>
      <c r="F23" s="59">
        <f t="shared" si="1"/>
        <v>0.3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>
      <c r="F24" s="59">
        <f t="shared" si="1"/>
        <v>0.3846153846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>
      <c r="F25" s="59">
        <f t="shared" si="1"/>
        <v>0.3846153846</v>
      </c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>
      <c r="F26" s="59">
        <f t="shared" si="1"/>
        <v>0</v>
      </c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>
      <c r="F27" s="59">
        <f t="shared" si="1"/>
        <v>0.5</v>
      </c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>
      <c r="F28" s="59">
        <f t="shared" si="1"/>
        <v>0.5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>
      <c r="F29" s="59">
        <f t="shared" si="1"/>
        <v>0.3636363636</v>
      </c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>
      <c r="F30" s="59">
        <f t="shared" si="1"/>
        <v>0</v>
      </c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</row>
    <row r="31">
      <c r="F31" s="59">
        <f t="shared" si="1"/>
        <v>0.5</v>
      </c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>
      <c r="F32" s="59">
        <f t="shared" si="1"/>
        <v>0.125</v>
      </c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>
      <c r="F33" s="59">
        <f t="shared" si="1"/>
        <v>0</v>
      </c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>
      <c r="F34" s="59">
        <f t="shared" si="1"/>
        <v>0.1428571429</v>
      </c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>
      <c r="F35" s="59">
        <f t="shared" si="1"/>
        <v>0.1666666667</v>
      </c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>
      <c r="F36" s="59">
        <f t="shared" si="1"/>
        <v>0.09090909091</v>
      </c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>
      <c r="F37" s="59">
        <f t="shared" si="1"/>
        <v>0</v>
      </c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>
      <c r="F38" s="59">
        <f t="shared" si="1"/>
        <v>0</v>
      </c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>
      <c r="F39" s="59">
        <f t="shared" si="1"/>
        <v>0.5</v>
      </c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>
      <c r="F40" s="59">
        <f t="shared" si="1"/>
        <v>0.1666666667</v>
      </c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>
      <c r="F41" s="59">
        <f t="shared" si="1"/>
        <v>0.1481481481</v>
      </c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>
      <c r="F42" s="59">
        <f t="shared" si="1"/>
        <v>0.25</v>
      </c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>
      <c r="F43" s="59">
        <f t="shared" si="1"/>
        <v>0.3333333333</v>
      </c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>
      <c r="F44" s="59">
        <f t="shared" si="1"/>
        <v>0.3076923077</v>
      </c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>
      <c r="F45" s="59">
        <f t="shared" si="1"/>
        <v>0.6</v>
      </c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>
      <c r="F46" s="59">
        <f t="shared" si="1"/>
        <v>0.6</v>
      </c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>
      <c r="F47" s="59">
        <f t="shared" si="1"/>
        <v>0</v>
      </c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>
      <c r="F48" s="59">
        <f t="shared" si="1"/>
        <v>0</v>
      </c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>
      <c r="F49" s="59">
        <f t="shared" si="1"/>
        <v>0.3333333333</v>
      </c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>
      <c r="F50" s="59">
        <f t="shared" si="1"/>
        <v>0.3333333333</v>
      </c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>
      <c r="F51" s="59">
        <f t="shared" si="1"/>
        <v>0.2222222222</v>
      </c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F52" s="59">
        <f t="shared" si="1"/>
        <v>0</v>
      </c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F53" s="59">
        <f t="shared" si="1"/>
        <v>0.5</v>
      </c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F54" s="59">
        <f t="shared" si="1"/>
        <v>0.3333333333</v>
      </c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F55" s="59">
        <f t="shared" si="1"/>
        <v>0.5</v>
      </c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F56" s="59">
        <f t="shared" si="1"/>
        <v>0.5</v>
      </c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F57" s="59">
        <f t="shared" si="1"/>
        <v>0.2857142857</v>
      </c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F58" s="59">
        <f t="shared" si="1"/>
        <v>0</v>
      </c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F59" s="59">
        <f t="shared" si="1"/>
        <v>0.2</v>
      </c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F60" s="59">
        <f t="shared" si="1"/>
        <v>0.3333333333</v>
      </c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F61" s="59">
        <f t="shared" si="1"/>
        <v>0.3333333333</v>
      </c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F62" s="59">
        <f t="shared" si="1"/>
        <v>0</v>
      </c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F63" s="59">
        <f t="shared" si="1"/>
        <v>0.25</v>
      </c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F64" s="59">
        <f t="shared" si="1"/>
        <v>0.2857142857</v>
      </c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F65" s="59">
        <f t="shared" si="1"/>
        <v>0.2857142857</v>
      </c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F66" s="59">
        <f t="shared" si="1"/>
        <v>0.3333333333</v>
      </c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F67" s="59">
        <f t="shared" si="1"/>
        <v>0</v>
      </c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>
      <c r="F68" s="59">
        <f t="shared" si="1"/>
        <v>0.1666666667</v>
      </c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F69" s="59">
        <f t="shared" si="1"/>
        <v>0.1666666667</v>
      </c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F70" s="59">
        <f t="shared" si="1"/>
        <v>0</v>
      </c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F71" s="59">
        <f t="shared" si="1"/>
        <v>0.08333333333</v>
      </c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F72" s="59">
        <f t="shared" si="1"/>
        <v>0</v>
      </c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F73" s="59">
        <f t="shared" si="1"/>
        <v>0.1428571429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F74" s="59">
        <f t="shared" si="1"/>
        <v>0</v>
      </c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F75" s="59">
        <f t="shared" si="1"/>
        <v>0.07692307692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F76" s="59">
        <f t="shared" si="1"/>
        <v>0.3333333333</v>
      </c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F77" s="59">
        <f t="shared" si="1"/>
        <v>0</v>
      </c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F78" s="59">
        <f t="shared" si="1"/>
        <v>0.25</v>
      </c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F79" s="59">
        <f t="shared" si="1"/>
        <v>0.3333333333</v>
      </c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F80" s="59">
        <f t="shared" si="1"/>
        <v>0.3333333333</v>
      </c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F81" s="59">
        <f t="shared" si="1"/>
        <v>0</v>
      </c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F82" s="59">
        <f t="shared" si="1"/>
        <v>0</v>
      </c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F83" s="59">
        <f t="shared" si="1"/>
        <v>0</v>
      </c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F84" s="59">
        <f t="shared" si="1"/>
        <v>0.1111111111</v>
      </c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F85" s="59">
        <f t="shared" si="1"/>
        <v>0.06666666667</v>
      </c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F86" s="59">
        <f t="shared" si="1"/>
        <v>0.25</v>
      </c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F87" s="59">
        <f t="shared" si="1"/>
        <v>0</v>
      </c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F88" s="59">
        <f t="shared" si="1"/>
        <v>0.1428571429</v>
      </c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F89" s="59">
        <f t="shared" si="1"/>
        <v>0.3333333333</v>
      </c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F90" s="59">
        <f t="shared" si="1"/>
        <v>0.3333333333</v>
      </c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F91" s="59">
        <f t="shared" si="1"/>
        <v>0</v>
      </c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F92" s="59">
        <f t="shared" si="1"/>
        <v>0.3333333333</v>
      </c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F93" s="59">
        <f t="shared" si="1"/>
        <v>0.2</v>
      </c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F94" s="59">
        <f t="shared" si="1"/>
        <v>0.1666666667</v>
      </c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F95" s="59">
        <f t="shared" si="1"/>
        <v>0.1666666667</v>
      </c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F96" s="59">
        <f t="shared" si="1"/>
        <v>0.3333333333</v>
      </c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F97" s="59">
        <f t="shared" si="1"/>
        <v>0.3333333333</v>
      </c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F98" s="59">
        <f t="shared" si="1"/>
        <v>0</v>
      </c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F99" s="59">
        <f t="shared" si="1"/>
        <v>0</v>
      </c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F100" s="59">
        <f t="shared" si="1"/>
        <v>0.3333333333</v>
      </c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F101" s="59">
        <f t="shared" si="1"/>
        <v>0</v>
      </c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F102" s="59">
        <f t="shared" si="1"/>
        <v>0.08333333333</v>
      </c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F103" s="59">
        <f t="shared" si="1"/>
        <v>0.3333333333</v>
      </c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F104" s="59">
        <f t="shared" si="1"/>
        <v>0.3333333333</v>
      </c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F105" s="59">
        <f t="shared" si="1"/>
        <v>0</v>
      </c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F106" s="59">
        <f t="shared" si="1"/>
        <v>0</v>
      </c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F107" s="59">
        <f t="shared" si="1"/>
        <v>0</v>
      </c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F108" s="59">
        <f t="shared" si="1"/>
        <v>0.3333333333</v>
      </c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F109" s="59">
        <f t="shared" si="1"/>
        <v>0.08333333333</v>
      </c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F110" s="59">
        <f t="shared" si="1"/>
        <v>0</v>
      </c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F111" s="59">
        <f t="shared" si="1"/>
        <v>0</v>
      </c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F112" s="59">
        <f t="shared" si="1"/>
        <v>0</v>
      </c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F113" s="59">
        <f t="shared" si="1"/>
        <v>0</v>
      </c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F114" s="59">
        <f t="shared" si="1"/>
        <v>0</v>
      </c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F115" s="59">
        <f t="shared" si="1"/>
        <v>0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F116" s="59">
        <f t="shared" si="1"/>
        <v>0</v>
      </c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F117" s="59">
        <f t="shared" si="1"/>
        <v>0</v>
      </c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F118" s="59">
        <f t="shared" si="1"/>
        <v>0</v>
      </c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F119" s="59">
        <f t="shared" si="1"/>
        <v>0</v>
      </c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F120" s="59">
        <f t="shared" si="1"/>
        <v>0</v>
      </c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F121" s="59">
        <f t="shared" si="1"/>
        <v>0</v>
      </c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F122" s="59">
        <f t="shared" si="1"/>
        <v>0</v>
      </c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</row>
    <row r="123">
      <c r="F123" s="59">
        <f t="shared" si="1"/>
        <v>0</v>
      </c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</row>
    <row r="124">
      <c r="F124" s="59">
        <f t="shared" si="1"/>
        <v>0</v>
      </c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</row>
    <row r="125">
      <c r="F125" s="59">
        <f t="shared" si="1"/>
        <v>0</v>
      </c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</row>
    <row r="126">
      <c r="F126" s="59">
        <f t="shared" si="1"/>
        <v>0</v>
      </c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</row>
    <row r="127">
      <c r="F127" s="59">
        <f t="shared" si="1"/>
        <v>0</v>
      </c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</row>
    <row r="128">
      <c r="F128" s="59">
        <f t="shared" si="1"/>
        <v>0</v>
      </c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</row>
    <row r="129">
      <c r="F129" s="59">
        <f t="shared" si="1"/>
        <v>0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</row>
    <row r="130">
      <c r="F130" s="59">
        <f t="shared" si="1"/>
        <v>0</v>
      </c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</row>
    <row r="131">
      <c r="F131" s="59">
        <f t="shared" si="1"/>
        <v>0</v>
      </c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</row>
    <row r="132">
      <c r="F132" s="59">
        <f t="shared" si="1"/>
        <v>0</v>
      </c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</row>
    <row r="133">
      <c r="F133" s="59">
        <f t="shared" si="1"/>
        <v>0</v>
      </c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</row>
    <row r="134">
      <c r="F134" s="59">
        <f t="shared" si="1"/>
        <v>0</v>
      </c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</row>
    <row r="135">
      <c r="F135" s="59">
        <f t="shared" si="1"/>
        <v>0</v>
      </c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</row>
    <row r="136">
      <c r="F136" s="59">
        <f t="shared" si="1"/>
        <v>0</v>
      </c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</row>
    <row r="137">
      <c r="F137" s="59">
        <f t="shared" si="1"/>
        <v>0</v>
      </c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>
      <c r="F138" s="59">
        <f t="shared" si="1"/>
        <v>0</v>
      </c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</row>
    <row r="139">
      <c r="F139" s="59">
        <f t="shared" si="1"/>
        <v>0</v>
      </c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>
      <c r="F140" s="59">
        <f t="shared" si="1"/>
        <v>0</v>
      </c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</row>
    <row r="141">
      <c r="F141" s="59">
        <f t="shared" si="1"/>
        <v>0</v>
      </c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</row>
    <row r="142">
      <c r="F142" s="59">
        <f t="shared" si="1"/>
        <v>0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</row>
    <row r="143">
      <c r="F143" s="59">
        <f t="shared" si="1"/>
        <v>0</v>
      </c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</row>
    <row r="144">
      <c r="F144" s="59">
        <f t="shared" si="1"/>
        <v>0</v>
      </c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>
      <c r="F145" s="59">
        <f t="shared" si="1"/>
        <v>0</v>
      </c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</row>
    <row r="146">
      <c r="F146" s="59">
        <f t="shared" si="1"/>
        <v>0</v>
      </c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  <row r="147">
      <c r="F147" s="59">
        <f t="shared" si="1"/>
        <v>0</v>
      </c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</row>
    <row r="148">
      <c r="F148" s="59">
        <f t="shared" si="1"/>
        <v>0</v>
      </c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  <row r="149">
      <c r="F149" s="59">
        <f t="shared" si="1"/>
        <v>0</v>
      </c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</row>
    <row r="150">
      <c r="F150" s="59">
        <f t="shared" si="1"/>
        <v>0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</row>
    <row r="151">
      <c r="F151" s="59">
        <f t="shared" si="1"/>
        <v>0</v>
      </c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</row>
    <row r="152">
      <c r="F152" s="59">
        <f t="shared" si="1"/>
        <v>0</v>
      </c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</row>
    <row r="153">
      <c r="F153" s="59">
        <f t="shared" si="1"/>
        <v>0</v>
      </c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</row>
    <row r="154">
      <c r="F154" s="59">
        <f t="shared" si="1"/>
        <v>0</v>
      </c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</row>
    <row r="155">
      <c r="F155" s="59">
        <f t="shared" si="1"/>
        <v>0</v>
      </c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</row>
    <row r="156">
      <c r="F156" s="59">
        <f t="shared" si="1"/>
        <v>0</v>
      </c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</row>
    <row r="157">
      <c r="F157" s="59">
        <f t="shared" si="1"/>
        <v>0</v>
      </c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</row>
    <row r="158">
      <c r="F158" s="59">
        <f t="shared" si="1"/>
        <v>0</v>
      </c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</row>
    <row r="159">
      <c r="F159" s="59">
        <f t="shared" si="1"/>
        <v>0</v>
      </c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</row>
    <row r="160">
      <c r="F160" s="59">
        <f t="shared" si="1"/>
        <v>0</v>
      </c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>
      <c r="F161" s="59">
        <f t="shared" si="1"/>
        <v>0</v>
      </c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</row>
    <row r="162">
      <c r="F162" s="59">
        <f t="shared" si="1"/>
        <v>0</v>
      </c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</row>
    <row r="163">
      <c r="F163" s="59">
        <f t="shared" si="1"/>
        <v>0</v>
      </c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</row>
    <row r="164">
      <c r="F164" s="59">
        <f t="shared" si="1"/>
        <v>0</v>
      </c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</row>
    <row r="165">
      <c r="F165" s="59">
        <f t="shared" si="1"/>
        <v>0</v>
      </c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</row>
    <row r="166">
      <c r="F166" s="59">
        <f t="shared" si="1"/>
        <v>0</v>
      </c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</row>
    <row r="167">
      <c r="F167" s="59">
        <f t="shared" si="1"/>
        <v>0</v>
      </c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</row>
    <row r="168">
      <c r="F168" s="59">
        <f t="shared" si="1"/>
        <v>0</v>
      </c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</row>
    <row r="169">
      <c r="A169" s="56"/>
      <c r="B169" s="57"/>
      <c r="C169" s="58"/>
      <c r="D169" s="58"/>
      <c r="E169" s="58"/>
      <c r="F169" s="59" t="str">
        <f t="shared" si="1"/>
        <v/>
      </c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</row>
    <row r="170">
      <c r="A170" s="56"/>
      <c r="B170" s="57"/>
      <c r="C170" s="58"/>
      <c r="D170" s="58"/>
      <c r="E170" s="58"/>
      <c r="F170" s="59" t="str">
        <f t="shared" si="1"/>
        <v/>
      </c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</row>
    <row r="171">
      <c r="A171" s="62"/>
      <c r="B171" s="63"/>
      <c r="C171" s="64"/>
      <c r="D171" s="64"/>
      <c r="E171" s="64"/>
      <c r="F171" s="65" t="str">
        <f t="shared" si="1"/>
        <v/>
      </c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</row>
    <row r="172">
      <c r="A172" s="62"/>
      <c r="B172" s="63"/>
      <c r="C172" s="64"/>
      <c r="D172" s="64"/>
      <c r="E172" s="64"/>
      <c r="F172" s="65" t="str">
        <f t="shared" si="1"/>
        <v/>
      </c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</row>
    <row r="173">
      <c r="A173" s="62"/>
      <c r="B173" s="63"/>
      <c r="C173" s="64"/>
      <c r="D173" s="64"/>
      <c r="E173" s="64"/>
      <c r="F173" s="65" t="str">
        <f t="shared" si="1"/>
        <v/>
      </c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</row>
    <row r="174">
      <c r="A174" s="62"/>
      <c r="B174" s="63"/>
      <c r="C174" s="64"/>
      <c r="D174" s="64"/>
      <c r="E174" s="64"/>
      <c r="F174" s="65" t="str">
        <f t="shared" si="1"/>
        <v/>
      </c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</row>
    <row r="175">
      <c r="A175" s="62"/>
      <c r="B175" s="63"/>
      <c r="C175" s="64"/>
      <c r="D175" s="64"/>
      <c r="E175" s="64"/>
      <c r="F175" s="65" t="str">
        <f t="shared" si="1"/>
        <v/>
      </c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</row>
    <row r="176">
      <c r="A176" s="62"/>
      <c r="B176" s="63"/>
      <c r="C176" s="64"/>
      <c r="D176" s="64"/>
      <c r="E176" s="64"/>
      <c r="F176" s="65" t="str">
        <f t="shared" si="1"/>
        <v/>
      </c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</row>
    <row r="177">
      <c r="A177" s="62"/>
      <c r="B177" s="63"/>
      <c r="C177" s="64"/>
      <c r="D177" s="64"/>
      <c r="E177" s="64"/>
      <c r="F177" s="65" t="str">
        <f t="shared" si="1"/>
        <v/>
      </c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</row>
    <row r="178">
      <c r="A178" s="62"/>
      <c r="B178" s="63"/>
      <c r="C178" s="64"/>
      <c r="D178" s="64"/>
      <c r="E178" s="64"/>
      <c r="F178" s="65" t="str">
        <f t="shared" si="1"/>
        <v/>
      </c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</row>
    <row r="179">
      <c r="A179" s="62"/>
      <c r="B179" s="63"/>
      <c r="C179" s="64"/>
      <c r="D179" s="64"/>
      <c r="E179" s="64"/>
      <c r="F179" s="65" t="str">
        <f t="shared" si="1"/>
        <v/>
      </c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</row>
    <row r="180">
      <c r="A180" s="62"/>
      <c r="B180" s="63"/>
      <c r="C180" s="64"/>
      <c r="D180" s="64"/>
      <c r="E180" s="64"/>
      <c r="F180" s="65" t="str">
        <f t="shared" si="1"/>
        <v/>
      </c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</row>
    <row r="181">
      <c r="A181" s="62"/>
      <c r="B181" s="63"/>
      <c r="C181" s="64"/>
      <c r="D181" s="64"/>
      <c r="E181" s="64"/>
      <c r="F181" s="65" t="str">
        <f t="shared" si="1"/>
        <v/>
      </c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>
      <c r="A182" s="62"/>
      <c r="B182" s="63"/>
      <c r="C182" s="64"/>
      <c r="D182" s="64"/>
      <c r="E182" s="64"/>
      <c r="F182" s="65" t="str">
        <f t="shared" si="1"/>
        <v/>
      </c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>
      <c r="A183" s="62"/>
      <c r="B183" s="63"/>
      <c r="C183" s="64"/>
      <c r="D183" s="64"/>
      <c r="E183" s="64"/>
      <c r="F183" s="65" t="str">
        <f t="shared" si="1"/>
        <v/>
      </c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>
      <c r="A184" s="62"/>
      <c r="B184" s="63"/>
      <c r="C184" s="64"/>
      <c r="D184" s="64"/>
      <c r="E184" s="64"/>
      <c r="F184" s="65" t="str">
        <f t="shared" si="1"/>
        <v/>
      </c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>
      <c r="A185" s="62"/>
      <c r="B185" s="63"/>
      <c r="C185" s="64"/>
      <c r="D185" s="64"/>
      <c r="E185" s="64"/>
      <c r="F185" s="65" t="str">
        <f t="shared" si="1"/>
        <v/>
      </c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>
      <c r="A186" s="62"/>
      <c r="B186" s="63"/>
      <c r="C186" s="64"/>
      <c r="D186" s="64"/>
      <c r="E186" s="64"/>
      <c r="F186" s="65" t="str">
        <f t="shared" si="1"/>
        <v/>
      </c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>
      <c r="A187" s="62"/>
      <c r="B187" s="63"/>
      <c r="C187" s="64"/>
      <c r="D187" s="64"/>
      <c r="E187" s="64"/>
      <c r="F187" s="65" t="str">
        <f t="shared" si="1"/>
        <v/>
      </c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>
      <c r="A188" s="62"/>
      <c r="B188" s="63"/>
      <c r="C188" s="64"/>
      <c r="D188" s="64"/>
      <c r="E188" s="64"/>
      <c r="F188" s="65" t="str">
        <f t="shared" si="1"/>
        <v/>
      </c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>
      <c r="A189" s="62"/>
      <c r="B189" s="63"/>
      <c r="C189" s="64"/>
      <c r="D189" s="64"/>
      <c r="E189" s="64"/>
      <c r="F189" s="65" t="str">
        <f t="shared" si="1"/>
        <v/>
      </c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>
      <c r="A190" s="62"/>
      <c r="B190" s="63"/>
      <c r="C190" s="64"/>
      <c r="D190" s="64"/>
      <c r="E190" s="64"/>
      <c r="F190" s="65" t="str">
        <f t="shared" si="1"/>
        <v/>
      </c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>
      <c r="A191" s="62"/>
      <c r="B191" s="63"/>
      <c r="C191" s="64"/>
      <c r="D191" s="64"/>
      <c r="E191" s="64"/>
      <c r="F191" s="65" t="str">
        <f t="shared" si="1"/>
        <v/>
      </c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>
      <c r="A192" s="62"/>
      <c r="B192" s="63"/>
      <c r="C192" s="64"/>
      <c r="D192" s="64"/>
      <c r="E192" s="64"/>
      <c r="F192" s="65" t="str">
        <f t="shared" si="1"/>
        <v/>
      </c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>
      <c r="A193" s="62"/>
      <c r="B193" s="63"/>
      <c r="C193" s="64"/>
      <c r="D193" s="64"/>
      <c r="E193" s="64"/>
      <c r="F193" s="65" t="str">
        <f t="shared" si="1"/>
        <v/>
      </c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>
      <c r="A194" s="62"/>
      <c r="B194" s="63"/>
      <c r="C194" s="64"/>
      <c r="D194" s="64"/>
      <c r="E194" s="64"/>
      <c r="F194" s="65" t="str">
        <f t="shared" si="1"/>
        <v/>
      </c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>
      <c r="A195" s="62"/>
      <c r="B195" s="63"/>
      <c r="C195" s="64"/>
      <c r="D195" s="64"/>
      <c r="E195" s="64"/>
      <c r="F195" s="65" t="str">
        <f t="shared" si="1"/>
        <v/>
      </c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>
      <c r="A196" s="62"/>
      <c r="B196" s="63"/>
      <c r="C196" s="64"/>
      <c r="D196" s="64"/>
      <c r="E196" s="64"/>
      <c r="F196" s="65" t="str">
        <f t="shared" si="1"/>
        <v/>
      </c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>
      <c r="A197" s="62"/>
      <c r="B197" s="63"/>
      <c r="C197" s="64"/>
      <c r="D197" s="64"/>
      <c r="E197" s="64"/>
      <c r="F197" s="65" t="str">
        <f t="shared" si="1"/>
        <v/>
      </c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>
      <c r="A198" s="62"/>
      <c r="B198" s="63"/>
      <c r="C198" s="64"/>
      <c r="D198" s="64"/>
      <c r="E198" s="64"/>
      <c r="F198" s="65" t="str">
        <f t="shared" si="1"/>
        <v/>
      </c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>
      <c r="A199" s="62"/>
      <c r="B199" s="63"/>
      <c r="C199" s="64"/>
      <c r="D199" s="64"/>
      <c r="E199" s="64"/>
      <c r="F199" s="65" t="str">
        <f t="shared" si="1"/>
        <v/>
      </c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>
      <c r="A200" s="62"/>
      <c r="B200" s="63"/>
      <c r="C200" s="64"/>
      <c r="D200" s="64"/>
      <c r="E200" s="64"/>
      <c r="F200" s="65" t="str">
        <f t="shared" si="1"/>
        <v/>
      </c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>
      <c r="A201" s="62"/>
      <c r="B201" s="63"/>
      <c r="C201" s="64"/>
      <c r="D201" s="64"/>
      <c r="E201" s="64"/>
      <c r="F201" s="65" t="str">
        <f t="shared" si="1"/>
        <v/>
      </c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>
      <c r="A202" s="62"/>
      <c r="B202" s="63"/>
      <c r="C202" s="64"/>
      <c r="D202" s="64"/>
      <c r="E202" s="64"/>
      <c r="F202" s="65" t="str">
        <f t="shared" si="1"/>
        <v/>
      </c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>
      <c r="A203" s="62"/>
      <c r="B203" s="63"/>
      <c r="C203" s="64"/>
      <c r="D203" s="64"/>
      <c r="E203" s="64"/>
      <c r="F203" s="65" t="str">
        <f t="shared" si="1"/>
        <v/>
      </c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>
      <c r="A204" s="62"/>
      <c r="B204" s="63"/>
      <c r="C204" s="64"/>
      <c r="D204" s="64"/>
      <c r="E204" s="64"/>
      <c r="F204" s="65" t="str">
        <f t="shared" si="1"/>
        <v/>
      </c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>
      <c r="A205" s="62"/>
      <c r="B205" s="63"/>
      <c r="C205" s="64"/>
      <c r="D205" s="64"/>
      <c r="E205" s="64"/>
      <c r="F205" s="65" t="str">
        <f t="shared" si="1"/>
        <v/>
      </c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>
      <c r="A206" s="62"/>
      <c r="B206" s="63"/>
      <c r="C206" s="64"/>
      <c r="D206" s="64"/>
      <c r="E206" s="64"/>
      <c r="F206" s="65" t="str">
        <f t="shared" si="1"/>
        <v/>
      </c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>
      <c r="A207" s="62"/>
      <c r="B207" s="63"/>
      <c r="C207" s="64"/>
      <c r="D207" s="64"/>
      <c r="E207" s="64"/>
      <c r="F207" s="65" t="str">
        <f t="shared" si="1"/>
        <v/>
      </c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>
      <c r="A208" s="62"/>
      <c r="B208" s="63"/>
      <c r="C208" s="64"/>
      <c r="D208" s="64"/>
      <c r="E208" s="64"/>
      <c r="F208" s="65" t="str">
        <f t="shared" si="1"/>
        <v/>
      </c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>
      <c r="A209" s="62"/>
      <c r="B209" s="63"/>
      <c r="C209" s="64"/>
      <c r="D209" s="64"/>
      <c r="E209" s="64"/>
      <c r="F209" s="65" t="str">
        <f t="shared" si="1"/>
        <v/>
      </c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>
      <c r="A210" s="62"/>
      <c r="B210" s="63"/>
      <c r="C210" s="64"/>
      <c r="D210" s="64"/>
      <c r="E210" s="64"/>
      <c r="F210" s="65" t="str">
        <f t="shared" si="1"/>
        <v/>
      </c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>
      <c r="A211" s="62"/>
      <c r="B211" s="63"/>
      <c r="C211" s="64"/>
      <c r="D211" s="64"/>
      <c r="E211" s="64"/>
      <c r="F211" s="65" t="str">
        <f t="shared" si="1"/>
        <v/>
      </c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>
      <c r="A212" s="62"/>
      <c r="B212" s="63"/>
      <c r="C212" s="64"/>
      <c r="D212" s="64"/>
      <c r="E212" s="64"/>
      <c r="F212" s="65" t="str">
        <f t="shared" si="1"/>
        <v/>
      </c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>
      <c r="A213" s="62"/>
      <c r="B213" s="63"/>
      <c r="C213" s="64"/>
      <c r="D213" s="64"/>
      <c r="E213" s="64"/>
      <c r="F213" s="65" t="str">
        <f t="shared" si="1"/>
        <v/>
      </c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>
      <c r="A214" s="62"/>
      <c r="B214" s="63"/>
      <c r="C214" s="64"/>
      <c r="D214" s="64"/>
      <c r="E214" s="64"/>
      <c r="F214" s="65" t="str">
        <f t="shared" si="1"/>
        <v/>
      </c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>
      <c r="A215" s="62"/>
      <c r="B215" s="63"/>
      <c r="C215" s="64"/>
      <c r="D215" s="64"/>
      <c r="E215" s="64"/>
      <c r="F215" s="65" t="str">
        <f t="shared" si="1"/>
        <v/>
      </c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>
      <c r="A216" s="62"/>
      <c r="B216" s="63"/>
      <c r="C216" s="64"/>
      <c r="D216" s="64"/>
      <c r="E216" s="64"/>
      <c r="F216" s="65" t="str">
        <f t="shared" si="1"/>
        <v/>
      </c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>
      <c r="A217" s="62"/>
      <c r="B217" s="63"/>
      <c r="C217" s="64"/>
      <c r="D217" s="64"/>
      <c r="E217" s="64"/>
      <c r="F217" s="65" t="str">
        <f t="shared" si="1"/>
        <v/>
      </c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>
      <c r="A218" s="62"/>
      <c r="B218" s="63"/>
      <c r="C218" s="64"/>
      <c r="D218" s="64"/>
      <c r="E218" s="64"/>
      <c r="F218" s="65" t="str">
        <f t="shared" si="1"/>
        <v/>
      </c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  <row r="219">
      <c r="A219" s="62"/>
      <c r="B219" s="63"/>
      <c r="C219" s="64"/>
      <c r="D219" s="64"/>
      <c r="E219" s="64"/>
      <c r="F219" s="65" t="str">
        <f t="shared" si="1"/>
        <v/>
      </c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</row>
    <row r="220">
      <c r="A220" s="62"/>
      <c r="B220" s="63"/>
      <c r="C220" s="64"/>
      <c r="D220" s="64"/>
      <c r="E220" s="64"/>
      <c r="F220" s="65" t="str">
        <f t="shared" si="1"/>
        <v/>
      </c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</row>
    <row r="221">
      <c r="A221" s="62"/>
      <c r="B221" s="63"/>
      <c r="C221" s="64"/>
      <c r="D221" s="64"/>
      <c r="E221" s="64"/>
      <c r="F221" s="65" t="str">
        <f t="shared" si="1"/>
        <v/>
      </c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</row>
    <row r="222">
      <c r="A222" s="62"/>
      <c r="B222" s="63"/>
      <c r="C222" s="64"/>
      <c r="D222" s="64"/>
      <c r="E222" s="64"/>
      <c r="F222" s="65" t="str">
        <f t="shared" si="1"/>
        <v/>
      </c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</row>
    <row r="223">
      <c r="A223" s="62"/>
      <c r="B223" s="63"/>
      <c r="C223" s="64"/>
      <c r="D223" s="64"/>
      <c r="E223" s="64"/>
      <c r="F223" s="65" t="str">
        <f t="shared" si="1"/>
        <v/>
      </c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</row>
    <row r="224">
      <c r="A224" s="62"/>
      <c r="B224" s="63"/>
      <c r="C224" s="64"/>
      <c r="D224" s="64"/>
      <c r="E224" s="64"/>
      <c r="F224" s="65" t="str">
        <f t="shared" si="1"/>
        <v/>
      </c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</row>
    <row r="225">
      <c r="A225" s="62"/>
      <c r="B225" s="63"/>
      <c r="C225" s="64"/>
      <c r="D225" s="64"/>
      <c r="E225" s="64"/>
      <c r="F225" s="65" t="str">
        <f t="shared" si="1"/>
        <v/>
      </c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</row>
    <row r="226">
      <c r="A226" s="62"/>
      <c r="B226" s="63"/>
      <c r="C226" s="64"/>
      <c r="D226" s="64"/>
      <c r="E226" s="64"/>
      <c r="F226" s="65" t="str">
        <f t="shared" si="1"/>
        <v/>
      </c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</row>
    <row r="227">
      <c r="A227" s="62"/>
      <c r="B227" s="63"/>
      <c r="C227" s="64"/>
      <c r="D227" s="64"/>
      <c r="E227" s="64"/>
      <c r="F227" s="65" t="str">
        <f t="shared" si="1"/>
        <v/>
      </c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</row>
    <row r="228">
      <c r="A228" s="62"/>
      <c r="B228" s="63"/>
      <c r="C228" s="64"/>
      <c r="D228" s="64"/>
      <c r="E228" s="64"/>
      <c r="F228" s="65" t="str">
        <f t="shared" si="1"/>
        <v/>
      </c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</row>
    <row r="229">
      <c r="A229" s="62"/>
      <c r="B229" s="63"/>
      <c r="C229" s="64"/>
      <c r="D229" s="64"/>
      <c r="E229" s="64"/>
      <c r="F229" s="65" t="str">
        <f t="shared" si="1"/>
        <v/>
      </c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</row>
    <row r="230">
      <c r="A230" s="62"/>
      <c r="B230" s="63"/>
      <c r="C230" s="64"/>
      <c r="D230" s="64"/>
      <c r="E230" s="64"/>
      <c r="F230" s="65" t="str">
        <f t="shared" si="1"/>
        <v/>
      </c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</row>
    <row r="231">
      <c r="A231" s="62"/>
      <c r="B231" s="63"/>
      <c r="C231" s="64"/>
      <c r="D231" s="64"/>
      <c r="E231" s="64"/>
      <c r="F231" s="65" t="str">
        <f t="shared" si="1"/>
        <v/>
      </c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</row>
    <row r="232">
      <c r="A232" s="62"/>
      <c r="B232" s="63"/>
      <c r="C232" s="64"/>
      <c r="D232" s="64"/>
      <c r="E232" s="64"/>
      <c r="F232" s="65" t="str">
        <f t="shared" si="1"/>
        <v/>
      </c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</row>
    <row r="233">
      <c r="A233" s="62"/>
      <c r="B233" s="63"/>
      <c r="C233" s="64"/>
      <c r="D233" s="64"/>
      <c r="E233" s="64"/>
      <c r="F233" s="65" t="str">
        <f t="shared" si="1"/>
        <v/>
      </c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</row>
    <row r="234">
      <c r="A234" s="62"/>
      <c r="B234" s="63"/>
      <c r="C234" s="64"/>
      <c r="D234" s="64"/>
      <c r="E234" s="64"/>
      <c r="F234" s="65" t="str">
        <f t="shared" si="1"/>
        <v/>
      </c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</row>
    <row r="235">
      <c r="A235" s="62"/>
      <c r="B235" s="63"/>
      <c r="C235" s="64"/>
      <c r="D235" s="64"/>
      <c r="E235" s="64"/>
      <c r="F235" s="65" t="str">
        <f t="shared" si="1"/>
        <v/>
      </c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</row>
    <row r="236">
      <c r="A236" s="62"/>
      <c r="B236" s="63"/>
      <c r="C236" s="64"/>
      <c r="D236" s="64"/>
      <c r="E236" s="64"/>
      <c r="F236" s="65" t="str">
        <f t="shared" si="1"/>
        <v/>
      </c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</row>
    <row r="237">
      <c r="A237" s="62"/>
      <c r="B237" s="63"/>
      <c r="C237" s="64"/>
      <c r="D237" s="64"/>
      <c r="E237" s="64"/>
      <c r="F237" s="65" t="str">
        <f t="shared" si="1"/>
        <v/>
      </c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</row>
    <row r="238">
      <c r="A238" s="62"/>
      <c r="B238" s="63"/>
      <c r="C238" s="64"/>
      <c r="D238" s="64"/>
      <c r="E238" s="64"/>
      <c r="F238" s="65" t="str">
        <f t="shared" si="1"/>
        <v/>
      </c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</row>
    <row r="239">
      <c r="A239" s="62"/>
      <c r="B239" s="63"/>
      <c r="C239" s="64"/>
      <c r="D239" s="64"/>
      <c r="E239" s="64"/>
      <c r="F239" s="65" t="str">
        <f t="shared" si="1"/>
        <v/>
      </c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</row>
    <row r="240">
      <c r="A240" s="62"/>
      <c r="B240" s="63"/>
      <c r="C240" s="64"/>
      <c r="D240" s="64"/>
      <c r="E240" s="64"/>
      <c r="F240" s="65" t="str">
        <f t="shared" si="1"/>
        <v/>
      </c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</row>
    <row r="241">
      <c r="A241" s="62"/>
      <c r="B241" s="63"/>
      <c r="C241" s="64"/>
      <c r="D241" s="64"/>
      <c r="E241" s="64"/>
      <c r="F241" s="65" t="str">
        <f t="shared" si="1"/>
        <v/>
      </c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</row>
    <row r="242">
      <c r="A242" s="62"/>
      <c r="B242" s="63"/>
      <c r="C242" s="64"/>
      <c r="D242" s="64"/>
      <c r="E242" s="64"/>
      <c r="F242" s="65" t="str">
        <f t="shared" si="1"/>
        <v/>
      </c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</row>
    <row r="243">
      <c r="A243" s="62"/>
      <c r="B243" s="63"/>
      <c r="C243" s="64"/>
      <c r="D243" s="64"/>
      <c r="E243" s="64"/>
      <c r="F243" s="65" t="str">
        <f t="shared" si="1"/>
        <v/>
      </c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</row>
    <row r="244">
      <c r="A244" s="62"/>
      <c r="B244" s="63"/>
      <c r="C244" s="64"/>
      <c r="D244" s="64"/>
      <c r="E244" s="64"/>
      <c r="F244" s="65" t="str">
        <f t="shared" si="1"/>
        <v/>
      </c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</row>
    <row r="245">
      <c r="A245" s="62"/>
      <c r="B245" s="63"/>
      <c r="C245" s="64"/>
      <c r="D245" s="64"/>
      <c r="E245" s="64"/>
      <c r="F245" s="65" t="str">
        <f t="shared" si="1"/>
        <v/>
      </c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</row>
    <row r="246">
      <c r="A246" s="62"/>
      <c r="B246" s="63"/>
      <c r="C246" s="64"/>
      <c r="D246" s="64"/>
      <c r="E246" s="64"/>
      <c r="F246" s="65" t="str">
        <f t="shared" si="1"/>
        <v/>
      </c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</row>
    <row r="247">
      <c r="A247" s="62"/>
      <c r="B247" s="63"/>
      <c r="C247" s="64"/>
      <c r="D247" s="64"/>
      <c r="E247" s="64"/>
      <c r="F247" s="65" t="str">
        <f t="shared" si="1"/>
        <v/>
      </c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</row>
    <row r="248">
      <c r="A248" s="62"/>
      <c r="B248" s="63"/>
      <c r="C248" s="64"/>
      <c r="D248" s="64"/>
      <c r="E248" s="64"/>
      <c r="F248" s="65" t="str">
        <f t="shared" si="1"/>
        <v/>
      </c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</row>
    <row r="249">
      <c r="A249" s="62"/>
      <c r="B249" s="63"/>
      <c r="C249" s="64"/>
      <c r="D249" s="64"/>
      <c r="E249" s="64"/>
      <c r="F249" s="65" t="str">
        <f t="shared" si="1"/>
        <v/>
      </c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</row>
    <row r="250">
      <c r="A250" s="62"/>
      <c r="B250" s="63"/>
      <c r="C250" s="64"/>
      <c r="D250" s="64"/>
      <c r="E250" s="64"/>
      <c r="F250" s="65" t="str">
        <f t="shared" si="1"/>
        <v/>
      </c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</row>
    <row r="251">
      <c r="A251" s="62"/>
      <c r="B251" s="63"/>
      <c r="C251" s="64"/>
      <c r="D251" s="64"/>
      <c r="E251" s="64"/>
      <c r="F251" s="65" t="str">
        <f t="shared" si="1"/>
        <v/>
      </c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</row>
    <row r="252">
      <c r="A252" s="62"/>
      <c r="B252" s="63"/>
      <c r="C252" s="64"/>
      <c r="D252" s="64"/>
      <c r="E252" s="64"/>
      <c r="F252" s="65" t="str">
        <f t="shared" si="1"/>
        <v/>
      </c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</row>
    <row r="253">
      <c r="A253" s="62"/>
      <c r="B253" s="63"/>
      <c r="C253" s="64"/>
      <c r="D253" s="64"/>
      <c r="E253" s="64"/>
      <c r="F253" s="65" t="str">
        <f t="shared" si="1"/>
        <v/>
      </c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</row>
    <row r="254">
      <c r="A254" s="62"/>
      <c r="B254" s="63"/>
      <c r="C254" s="64"/>
      <c r="D254" s="64"/>
      <c r="E254" s="64"/>
      <c r="F254" s="65" t="str">
        <f t="shared" si="1"/>
        <v/>
      </c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</row>
    <row r="255">
      <c r="A255" s="62"/>
      <c r="B255" s="63"/>
      <c r="C255" s="64"/>
      <c r="D255" s="64"/>
      <c r="E255" s="64"/>
      <c r="F255" s="65" t="str">
        <f t="shared" si="1"/>
        <v/>
      </c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</row>
    <row r="256">
      <c r="A256" s="62"/>
      <c r="B256" s="63"/>
      <c r="C256" s="64"/>
      <c r="D256" s="64"/>
      <c r="E256" s="64"/>
      <c r="F256" s="65" t="str">
        <f t="shared" si="1"/>
        <v/>
      </c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</row>
    <row r="257">
      <c r="A257" s="62"/>
      <c r="B257" s="63"/>
      <c r="C257" s="64"/>
      <c r="D257" s="64"/>
      <c r="E257" s="64"/>
      <c r="F257" s="65" t="str">
        <f t="shared" si="1"/>
        <v/>
      </c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</row>
    <row r="258">
      <c r="A258" s="62"/>
      <c r="B258" s="63"/>
      <c r="C258" s="64"/>
      <c r="D258" s="64"/>
      <c r="E258" s="64"/>
      <c r="F258" s="65" t="str">
        <f t="shared" si="1"/>
        <v/>
      </c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</row>
    <row r="259">
      <c r="A259" s="62"/>
      <c r="B259" s="63"/>
      <c r="C259" s="64"/>
      <c r="D259" s="64"/>
      <c r="E259" s="64"/>
      <c r="F259" s="65" t="str">
        <f t="shared" si="1"/>
        <v/>
      </c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</row>
    <row r="260">
      <c r="A260" s="62"/>
      <c r="B260" s="63"/>
      <c r="C260" s="64"/>
      <c r="D260" s="64"/>
      <c r="E260" s="64"/>
      <c r="F260" s="65" t="str">
        <f t="shared" si="1"/>
        <v/>
      </c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</row>
    <row r="261">
      <c r="A261" s="62"/>
      <c r="B261" s="63"/>
      <c r="C261" s="64"/>
      <c r="D261" s="64"/>
      <c r="E261" s="64"/>
      <c r="F261" s="65" t="str">
        <f t="shared" si="1"/>
        <v/>
      </c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</row>
    <row r="262">
      <c r="A262" s="62"/>
      <c r="B262" s="63"/>
      <c r="C262" s="64"/>
      <c r="D262" s="64"/>
      <c r="E262" s="64"/>
      <c r="F262" s="65" t="str">
        <f t="shared" si="1"/>
        <v/>
      </c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</row>
    <row r="263">
      <c r="A263" s="62"/>
      <c r="B263" s="63"/>
      <c r="C263" s="64"/>
      <c r="D263" s="64"/>
      <c r="E263" s="64"/>
      <c r="F263" s="65" t="str">
        <f t="shared" si="1"/>
        <v/>
      </c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</row>
    <row r="264">
      <c r="A264" s="62"/>
      <c r="B264" s="63"/>
      <c r="C264" s="64"/>
      <c r="D264" s="64"/>
      <c r="E264" s="64"/>
      <c r="F264" s="65" t="str">
        <f t="shared" si="1"/>
        <v/>
      </c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</row>
    <row r="265">
      <c r="A265" s="62"/>
      <c r="B265" s="63"/>
      <c r="C265" s="64"/>
      <c r="D265" s="64"/>
      <c r="E265" s="64"/>
      <c r="F265" s="65" t="str">
        <f t="shared" si="1"/>
        <v/>
      </c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</row>
    <row r="266">
      <c r="A266" s="62"/>
      <c r="B266" s="63"/>
      <c r="C266" s="64"/>
      <c r="D266" s="64"/>
      <c r="E266" s="64"/>
      <c r="F266" s="65" t="str">
        <f t="shared" si="1"/>
        <v/>
      </c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</row>
    <row r="267">
      <c r="A267" s="62"/>
      <c r="B267" s="63"/>
      <c r="C267" s="64"/>
      <c r="D267" s="64"/>
      <c r="E267" s="64"/>
      <c r="F267" s="65" t="str">
        <f t="shared" si="1"/>
        <v/>
      </c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</row>
    <row r="268">
      <c r="A268" s="62"/>
      <c r="B268" s="63"/>
      <c r="C268" s="64"/>
      <c r="D268" s="64"/>
      <c r="E268" s="64"/>
      <c r="F268" s="65" t="str">
        <f t="shared" si="1"/>
        <v/>
      </c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</row>
    <row r="269">
      <c r="A269" s="62"/>
      <c r="B269" s="63"/>
      <c r="C269" s="64"/>
      <c r="D269" s="64"/>
      <c r="E269" s="64"/>
      <c r="F269" s="65" t="str">
        <f t="shared" si="1"/>
        <v/>
      </c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</row>
    <row r="270">
      <c r="A270" s="62"/>
      <c r="B270" s="63"/>
      <c r="C270" s="64"/>
      <c r="D270" s="64"/>
      <c r="E270" s="64"/>
      <c r="F270" s="65" t="str">
        <f t="shared" si="1"/>
        <v/>
      </c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</row>
    <row r="271">
      <c r="A271" s="62"/>
      <c r="B271" s="63"/>
      <c r="C271" s="64"/>
      <c r="D271" s="64"/>
      <c r="E271" s="64"/>
      <c r="F271" s="65" t="str">
        <f t="shared" si="1"/>
        <v/>
      </c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</row>
    <row r="272">
      <c r="A272" s="62"/>
      <c r="B272" s="63"/>
      <c r="C272" s="64"/>
      <c r="D272" s="64"/>
      <c r="E272" s="64"/>
      <c r="F272" s="65" t="str">
        <f t="shared" si="1"/>
        <v/>
      </c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</row>
    <row r="273">
      <c r="A273" s="62"/>
      <c r="B273" s="63"/>
      <c r="C273" s="64"/>
      <c r="D273" s="64"/>
      <c r="E273" s="64"/>
      <c r="F273" s="65" t="str">
        <f t="shared" si="1"/>
        <v/>
      </c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</row>
    <row r="274">
      <c r="A274" s="62"/>
      <c r="B274" s="63"/>
      <c r="C274" s="64"/>
      <c r="D274" s="64"/>
      <c r="E274" s="64"/>
      <c r="F274" s="65" t="str">
        <f t="shared" si="1"/>
        <v/>
      </c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</row>
    <row r="275">
      <c r="A275" s="62"/>
      <c r="B275" s="63"/>
      <c r="C275" s="64"/>
      <c r="D275" s="64"/>
      <c r="E275" s="64"/>
      <c r="F275" s="65" t="str">
        <f t="shared" si="1"/>
        <v/>
      </c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</row>
    <row r="276">
      <c r="A276" s="62"/>
      <c r="B276" s="63"/>
      <c r="C276" s="64"/>
      <c r="D276" s="64"/>
      <c r="E276" s="64"/>
      <c r="F276" s="65" t="str">
        <f t="shared" si="1"/>
        <v/>
      </c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</row>
    <row r="277">
      <c r="A277" s="62"/>
      <c r="B277" s="63"/>
      <c r="C277" s="64"/>
      <c r="D277" s="64"/>
      <c r="E277" s="64"/>
      <c r="F277" s="65" t="str">
        <f t="shared" si="1"/>
        <v/>
      </c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</row>
    <row r="278">
      <c r="A278" s="62"/>
      <c r="B278" s="63"/>
      <c r="C278" s="64"/>
      <c r="D278" s="64"/>
      <c r="E278" s="64"/>
      <c r="F278" s="65" t="str">
        <f t="shared" si="1"/>
        <v/>
      </c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</row>
    <row r="279">
      <c r="A279" s="62"/>
      <c r="B279" s="63"/>
      <c r="C279" s="64"/>
      <c r="D279" s="64"/>
      <c r="E279" s="64"/>
      <c r="F279" s="65" t="str">
        <f t="shared" si="1"/>
        <v/>
      </c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</row>
    <row r="280">
      <c r="A280" s="62"/>
      <c r="B280" s="63"/>
      <c r="C280" s="64"/>
      <c r="D280" s="64"/>
      <c r="E280" s="64"/>
      <c r="F280" s="65" t="str">
        <f t="shared" si="1"/>
        <v/>
      </c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</row>
    <row r="281">
      <c r="A281" s="62"/>
      <c r="B281" s="63"/>
      <c r="C281" s="64"/>
      <c r="D281" s="64"/>
      <c r="E281" s="64"/>
      <c r="F281" s="65" t="str">
        <f t="shared" si="1"/>
        <v/>
      </c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</row>
    <row r="282">
      <c r="A282" s="62"/>
      <c r="B282" s="63"/>
      <c r="C282" s="64"/>
      <c r="D282" s="64"/>
      <c r="E282" s="64"/>
      <c r="F282" s="65" t="str">
        <f t="shared" si="1"/>
        <v/>
      </c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</row>
    <row r="283">
      <c r="A283" s="62"/>
      <c r="B283" s="63"/>
      <c r="C283" s="64"/>
      <c r="D283" s="64"/>
      <c r="E283" s="64"/>
      <c r="F283" s="65" t="str">
        <f t="shared" si="1"/>
        <v/>
      </c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</row>
    <row r="284">
      <c r="A284" s="62"/>
      <c r="B284" s="63"/>
      <c r="C284" s="64"/>
      <c r="D284" s="64"/>
      <c r="E284" s="64"/>
      <c r="F284" s="65" t="str">
        <f t="shared" si="1"/>
        <v/>
      </c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</row>
    <row r="285">
      <c r="A285" s="62"/>
      <c r="B285" s="63"/>
      <c r="C285" s="64"/>
      <c r="D285" s="64"/>
      <c r="E285" s="64"/>
      <c r="F285" s="65" t="str">
        <f t="shared" si="1"/>
        <v/>
      </c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</row>
    <row r="286">
      <c r="A286" s="62"/>
      <c r="B286" s="63"/>
      <c r="C286" s="64"/>
      <c r="D286" s="64"/>
      <c r="E286" s="64"/>
      <c r="F286" s="65" t="str">
        <f t="shared" si="1"/>
        <v/>
      </c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</row>
    <row r="287">
      <c r="A287" s="62"/>
      <c r="B287" s="63"/>
      <c r="C287" s="64"/>
      <c r="D287" s="64"/>
      <c r="E287" s="64"/>
      <c r="F287" s="65" t="str">
        <f t="shared" si="1"/>
        <v/>
      </c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</row>
    <row r="288">
      <c r="A288" s="62"/>
      <c r="B288" s="63"/>
      <c r="C288" s="64"/>
      <c r="D288" s="64"/>
      <c r="E288" s="64"/>
      <c r="F288" s="65" t="str">
        <f t="shared" si="1"/>
        <v/>
      </c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</row>
    <row r="289">
      <c r="A289" s="62"/>
      <c r="B289" s="63"/>
      <c r="C289" s="64"/>
      <c r="D289" s="64"/>
      <c r="E289" s="64"/>
      <c r="F289" s="65" t="str">
        <f t="shared" si="1"/>
        <v/>
      </c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</row>
    <row r="290">
      <c r="A290" s="62"/>
      <c r="B290" s="63"/>
      <c r="C290" s="64"/>
      <c r="D290" s="64"/>
      <c r="E290" s="64"/>
      <c r="F290" s="65" t="str">
        <f t="shared" si="1"/>
        <v/>
      </c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</row>
    <row r="291">
      <c r="A291" s="62"/>
      <c r="B291" s="63"/>
      <c r="C291" s="64"/>
      <c r="D291" s="64"/>
      <c r="E291" s="64"/>
      <c r="F291" s="65" t="str">
        <f t="shared" si="1"/>
        <v/>
      </c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</row>
    <row r="292">
      <c r="A292" s="62"/>
      <c r="B292" s="63"/>
      <c r="C292" s="64"/>
      <c r="D292" s="64"/>
      <c r="E292" s="64"/>
      <c r="F292" s="65" t="str">
        <f t="shared" si="1"/>
        <v/>
      </c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</row>
    <row r="293">
      <c r="A293" s="62"/>
      <c r="B293" s="63"/>
      <c r="C293" s="64"/>
      <c r="D293" s="64"/>
      <c r="E293" s="64"/>
      <c r="F293" s="65" t="str">
        <f t="shared" si="1"/>
        <v/>
      </c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</row>
    <row r="294">
      <c r="A294" s="62"/>
      <c r="B294" s="63"/>
      <c r="C294" s="64"/>
      <c r="D294" s="64"/>
      <c r="E294" s="64"/>
      <c r="F294" s="65" t="str">
        <f t="shared" si="1"/>
        <v/>
      </c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</row>
    <row r="295">
      <c r="A295" s="62"/>
      <c r="B295" s="63"/>
      <c r="C295" s="64"/>
      <c r="D295" s="64"/>
      <c r="E295" s="64"/>
      <c r="F295" s="65" t="str">
        <f t="shared" si="1"/>
        <v/>
      </c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</row>
    <row r="296">
      <c r="A296" s="62"/>
      <c r="B296" s="63"/>
      <c r="C296" s="64"/>
      <c r="D296" s="64"/>
      <c r="E296" s="64"/>
      <c r="F296" s="65" t="str">
        <f t="shared" si="1"/>
        <v/>
      </c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</row>
    <row r="297">
      <c r="A297" s="62"/>
      <c r="B297" s="63"/>
      <c r="C297" s="64"/>
      <c r="D297" s="64"/>
      <c r="E297" s="64"/>
      <c r="F297" s="65" t="str">
        <f t="shared" si="1"/>
        <v/>
      </c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</row>
    <row r="298">
      <c r="A298" s="62"/>
      <c r="B298" s="63"/>
      <c r="C298" s="64"/>
      <c r="D298" s="64"/>
      <c r="E298" s="64"/>
      <c r="F298" s="65" t="str">
        <f t="shared" si="1"/>
        <v/>
      </c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</row>
    <row r="299">
      <c r="A299" s="62"/>
      <c r="B299" s="63"/>
      <c r="C299" s="64"/>
      <c r="D299" s="64"/>
      <c r="E299" s="64"/>
      <c r="F299" s="65" t="str">
        <f t="shared" si="1"/>
        <v/>
      </c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</row>
    <row r="300">
      <c r="A300" s="62"/>
      <c r="B300" s="63"/>
      <c r="C300" s="64"/>
      <c r="D300" s="64"/>
      <c r="E300" s="64"/>
      <c r="F300" s="65" t="str">
        <f t="shared" si="1"/>
        <v/>
      </c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</row>
    <row r="301">
      <c r="A301" s="62"/>
      <c r="B301" s="63"/>
      <c r="C301" s="64"/>
      <c r="D301" s="64"/>
      <c r="E301" s="64"/>
      <c r="F301" s="65" t="str">
        <f t="shared" si="1"/>
        <v/>
      </c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</row>
    <row r="302">
      <c r="A302" s="62"/>
      <c r="B302" s="63"/>
      <c r="C302" s="64"/>
      <c r="D302" s="64"/>
      <c r="E302" s="64"/>
      <c r="F302" s="65" t="str">
        <f t="shared" si="1"/>
        <v/>
      </c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</row>
    <row r="303">
      <c r="A303" s="62"/>
      <c r="B303" s="63"/>
      <c r="C303" s="64"/>
      <c r="D303" s="64"/>
      <c r="E303" s="64"/>
      <c r="F303" s="65" t="str">
        <f t="shared" si="1"/>
        <v/>
      </c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</row>
    <row r="304">
      <c r="A304" s="62"/>
      <c r="B304" s="63"/>
      <c r="C304" s="64"/>
      <c r="D304" s="64"/>
      <c r="E304" s="64"/>
      <c r="F304" s="65" t="str">
        <f t="shared" si="1"/>
        <v/>
      </c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</row>
    <row r="305">
      <c r="A305" s="62"/>
      <c r="B305" s="63"/>
      <c r="C305" s="64"/>
      <c r="D305" s="64"/>
      <c r="E305" s="64"/>
      <c r="F305" s="65" t="str">
        <f t="shared" si="1"/>
        <v/>
      </c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</row>
    <row r="306">
      <c r="A306" s="62"/>
      <c r="B306" s="63"/>
      <c r="C306" s="64"/>
      <c r="D306" s="64"/>
      <c r="E306" s="64"/>
      <c r="F306" s="65" t="str">
        <f t="shared" si="1"/>
        <v/>
      </c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</row>
    <row r="307">
      <c r="A307" s="62"/>
      <c r="B307" s="63"/>
      <c r="C307" s="64"/>
      <c r="D307" s="64"/>
      <c r="E307" s="64"/>
      <c r="F307" s="65" t="str">
        <f t="shared" si="1"/>
        <v/>
      </c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</row>
    <row r="308">
      <c r="A308" s="62"/>
      <c r="B308" s="63"/>
      <c r="C308" s="64"/>
      <c r="D308" s="64"/>
      <c r="E308" s="64"/>
      <c r="F308" s="65" t="str">
        <f t="shared" si="1"/>
        <v/>
      </c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</row>
    <row r="309">
      <c r="A309" s="62"/>
      <c r="B309" s="63"/>
      <c r="C309" s="64"/>
      <c r="D309" s="64"/>
      <c r="E309" s="64"/>
      <c r="F309" s="65" t="str">
        <f t="shared" si="1"/>
        <v/>
      </c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</row>
    <row r="310">
      <c r="A310" s="62"/>
      <c r="B310" s="63"/>
      <c r="C310" s="64"/>
      <c r="D310" s="64"/>
      <c r="E310" s="64"/>
      <c r="F310" s="65" t="str">
        <f t="shared" si="1"/>
        <v/>
      </c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</row>
    <row r="311">
      <c r="A311" s="62"/>
      <c r="B311" s="63"/>
      <c r="C311" s="64"/>
      <c r="D311" s="64"/>
      <c r="E311" s="64"/>
      <c r="F311" s="65" t="str">
        <f t="shared" si="1"/>
        <v/>
      </c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</row>
    <row r="312">
      <c r="A312" s="62"/>
      <c r="B312" s="63"/>
      <c r="C312" s="64"/>
      <c r="D312" s="64"/>
      <c r="E312" s="64"/>
      <c r="F312" s="65" t="str">
        <f t="shared" si="1"/>
        <v/>
      </c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</row>
    <row r="313">
      <c r="A313" s="62"/>
      <c r="B313" s="63"/>
      <c r="C313" s="64"/>
      <c r="D313" s="64"/>
      <c r="E313" s="64"/>
      <c r="F313" s="65" t="str">
        <f t="shared" si="1"/>
        <v/>
      </c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</row>
    <row r="314">
      <c r="A314" s="62"/>
      <c r="B314" s="63"/>
      <c r="C314" s="64"/>
      <c r="D314" s="64"/>
      <c r="E314" s="64"/>
      <c r="F314" s="65" t="str">
        <f t="shared" si="1"/>
        <v/>
      </c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</row>
    <row r="315">
      <c r="A315" s="62"/>
      <c r="B315" s="63"/>
      <c r="C315" s="64"/>
      <c r="D315" s="64"/>
      <c r="E315" s="64"/>
      <c r="F315" s="65" t="str">
        <f t="shared" si="1"/>
        <v/>
      </c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</row>
    <row r="316">
      <c r="A316" s="62"/>
      <c r="B316" s="63"/>
      <c r="C316" s="64"/>
      <c r="D316" s="64"/>
      <c r="E316" s="64"/>
      <c r="F316" s="65" t="str">
        <f t="shared" si="1"/>
        <v/>
      </c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</row>
    <row r="317">
      <c r="A317" s="62"/>
      <c r="B317" s="63"/>
      <c r="C317" s="64"/>
      <c r="D317" s="64"/>
      <c r="E317" s="64"/>
      <c r="F317" s="65" t="str">
        <f t="shared" si="1"/>
        <v/>
      </c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</row>
    <row r="318">
      <c r="A318" s="62"/>
      <c r="B318" s="63"/>
      <c r="C318" s="64"/>
      <c r="D318" s="64"/>
      <c r="E318" s="64"/>
      <c r="F318" s="65" t="str">
        <f t="shared" si="1"/>
        <v/>
      </c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</row>
    <row r="319">
      <c r="A319" s="62"/>
      <c r="B319" s="63"/>
      <c r="C319" s="64"/>
      <c r="D319" s="64"/>
      <c r="E319" s="64"/>
      <c r="F319" s="65" t="str">
        <f t="shared" si="1"/>
        <v/>
      </c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</row>
    <row r="320">
      <c r="A320" s="62"/>
      <c r="B320" s="63"/>
      <c r="C320" s="64"/>
      <c r="D320" s="64"/>
      <c r="E320" s="64"/>
      <c r="F320" s="65" t="str">
        <f t="shared" si="1"/>
        <v/>
      </c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</row>
    <row r="321">
      <c r="A321" s="62"/>
      <c r="B321" s="63"/>
      <c r="C321" s="64"/>
      <c r="D321" s="64"/>
      <c r="E321" s="64"/>
      <c r="F321" s="65" t="str">
        <f t="shared" si="1"/>
        <v/>
      </c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</row>
    <row r="322">
      <c r="A322" s="62"/>
      <c r="B322" s="63"/>
      <c r="C322" s="64"/>
      <c r="D322" s="64"/>
      <c r="E322" s="64"/>
      <c r="F322" s="65" t="str">
        <f t="shared" si="1"/>
        <v/>
      </c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</row>
    <row r="323">
      <c r="A323" s="62"/>
      <c r="B323" s="63"/>
      <c r="C323" s="64"/>
      <c r="D323" s="64"/>
      <c r="E323" s="64"/>
      <c r="F323" s="65" t="str">
        <f t="shared" si="1"/>
        <v/>
      </c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</row>
    <row r="324">
      <c r="A324" s="62"/>
      <c r="B324" s="63"/>
      <c r="C324" s="64"/>
      <c r="D324" s="64"/>
      <c r="E324" s="64"/>
      <c r="F324" s="65" t="str">
        <f t="shared" si="1"/>
        <v/>
      </c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</row>
    <row r="325">
      <c r="A325" s="62"/>
      <c r="B325" s="63"/>
      <c r="C325" s="64"/>
      <c r="D325" s="64"/>
      <c r="E325" s="64"/>
      <c r="F325" s="65" t="str">
        <f t="shared" si="1"/>
        <v/>
      </c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</row>
    <row r="326">
      <c r="A326" s="62"/>
      <c r="B326" s="63"/>
      <c r="C326" s="64"/>
      <c r="D326" s="64"/>
      <c r="E326" s="64"/>
      <c r="F326" s="65" t="str">
        <f t="shared" si="1"/>
        <v/>
      </c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</row>
    <row r="327">
      <c r="A327" s="62"/>
      <c r="B327" s="63"/>
      <c r="C327" s="64"/>
      <c r="D327" s="64"/>
      <c r="E327" s="64"/>
      <c r="F327" s="65" t="str">
        <f t="shared" si="1"/>
        <v/>
      </c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</row>
    <row r="328">
      <c r="A328" s="62"/>
      <c r="B328" s="63"/>
      <c r="C328" s="64"/>
      <c r="D328" s="64"/>
      <c r="E328" s="64"/>
      <c r="F328" s="65" t="str">
        <f t="shared" si="1"/>
        <v/>
      </c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</row>
    <row r="329">
      <c r="A329" s="62"/>
      <c r="B329" s="63"/>
      <c r="C329" s="64"/>
      <c r="D329" s="64"/>
      <c r="E329" s="64"/>
      <c r="F329" s="65" t="str">
        <f t="shared" si="1"/>
        <v/>
      </c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</row>
    <row r="330">
      <c r="A330" s="62"/>
      <c r="B330" s="63"/>
      <c r="C330" s="64"/>
      <c r="D330" s="64"/>
      <c r="E330" s="64"/>
      <c r="F330" s="65" t="str">
        <f t="shared" si="1"/>
        <v/>
      </c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</row>
    <row r="331">
      <c r="A331" s="62"/>
      <c r="B331" s="63"/>
      <c r="C331" s="64"/>
      <c r="D331" s="64"/>
      <c r="E331" s="64"/>
      <c r="F331" s="65" t="str">
        <f t="shared" si="1"/>
        <v/>
      </c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</row>
    <row r="332">
      <c r="A332" s="62"/>
      <c r="B332" s="63"/>
      <c r="C332" s="64"/>
      <c r="D332" s="64"/>
      <c r="E332" s="64"/>
      <c r="F332" s="65" t="str">
        <f t="shared" si="1"/>
        <v/>
      </c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</row>
    <row r="333">
      <c r="A333" s="62"/>
      <c r="B333" s="63"/>
      <c r="C333" s="64"/>
      <c r="D333" s="64"/>
      <c r="E333" s="64"/>
      <c r="F333" s="65" t="str">
        <f t="shared" si="1"/>
        <v/>
      </c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</row>
    <row r="334">
      <c r="A334" s="62"/>
      <c r="B334" s="63"/>
      <c r="C334" s="64"/>
      <c r="D334" s="64"/>
      <c r="E334" s="64"/>
      <c r="F334" s="65" t="str">
        <f t="shared" si="1"/>
        <v/>
      </c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</row>
    <row r="335">
      <c r="A335" s="62"/>
      <c r="B335" s="63"/>
      <c r="C335" s="64"/>
      <c r="D335" s="64"/>
      <c r="E335" s="64"/>
      <c r="F335" s="65" t="str">
        <f t="shared" si="1"/>
        <v/>
      </c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</row>
    <row r="336">
      <c r="A336" s="62"/>
      <c r="B336" s="63"/>
      <c r="C336" s="64"/>
      <c r="D336" s="64"/>
      <c r="E336" s="64"/>
      <c r="F336" s="65" t="str">
        <f t="shared" si="1"/>
        <v/>
      </c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</row>
    <row r="337">
      <c r="A337" s="62"/>
      <c r="B337" s="63"/>
      <c r="C337" s="64"/>
      <c r="D337" s="64"/>
      <c r="E337" s="64"/>
      <c r="F337" s="65" t="str">
        <f t="shared" si="1"/>
        <v/>
      </c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</row>
    <row r="338">
      <c r="A338" s="62"/>
      <c r="B338" s="63"/>
      <c r="C338" s="64"/>
      <c r="D338" s="64"/>
      <c r="E338" s="64"/>
      <c r="F338" s="65" t="str">
        <f t="shared" si="1"/>
        <v/>
      </c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</row>
    <row r="339">
      <c r="A339" s="62"/>
      <c r="B339" s="63"/>
      <c r="C339" s="64"/>
      <c r="D339" s="64"/>
      <c r="E339" s="64"/>
      <c r="F339" s="65" t="str">
        <f t="shared" si="1"/>
        <v/>
      </c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</row>
    <row r="340">
      <c r="A340" s="62"/>
      <c r="B340" s="63"/>
      <c r="C340" s="64"/>
      <c r="D340" s="64"/>
      <c r="E340" s="64"/>
      <c r="F340" s="65" t="str">
        <f t="shared" si="1"/>
        <v/>
      </c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</row>
    <row r="341">
      <c r="A341" s="62"/>
      <c r="B341" s="63"/>
      <c r="C341" s="64"/>
      <c r="D341" s="64"/>
      <c r="E341" s="64"/>
      <c r="F341" s="65" t="str">
        <f t="shared" si="1"/>
        <v/>
      </c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</row>
    <row r="342">
      <c r="A342" s="62"/>
      <c r="B342" s="63"/>
      <c r="C342" s="64"/>
      <c r="D342" s="64"/>
      <c r="E342" s="64"/>
      <c r="F342" s="65" t="str">
        <f t="shared" si="1"/>
        <v/>
      </c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</row>
    <row r="343">
      <c r="A343" s="62"/>
      <c r="B343" s="63"/>
      <c r="C343" s="64"/>
      <c r="D343" s="64"/>
      <c r="E343" s="64"/>
      <c r="F343" s="65" t="str">
        <f t="shared" si="1"/>
        <v/>
      </c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</row>
    <row r="344">
      <c r="A344" s="62"/>
      <c r="B344" s="63"/>
      <c r="C344" s="64"/>
      <c r="D344" s="64"/>
      <c r="E344" s="64"/>
      <c r="F344" s="65" t="str">
        <f t="shared" si="1"/>
        <v/>
      </c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</row>
    <row r="345">
      <c r="A345" s="62"/>
      <c r="B345" s="63"/>
      <c r="C345" s="64"/>
      <c r="D345" s="64"/>
      <c r="E345" s="64"/>
      <c r="F345" s="65" t="str">
        <f t="shared" si="1"/>
        <v/>
      </c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</row>
    <row r="346">
      <c r="A346" s="62"/>
      <c r="B346" s="63"/>
      <c r="C346" s="64"/>
      <c r="D346" s="64"/>
      <c r="E346" s="64"/>
      <c r="F346" s="65" t="str">
        <f t="shared" si="1"/>
        <v/>
      </c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</row>
    <row r="347">
      <c r="A347" s="62"/>
      <c r="B347" s="63"/>
      <c r="C347" s="64"/>
      <c r="D347" s="64"/>
      <c r="E347" s="64"/>
      <c r="F347" s="65" t="str">
        <f t="shared" si="1"/>
        <v/>
      </c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</row>
    <row r="348">
      <c r="A348" s="62"/>
      <c r="B348" s="63"/>
      <c r="C348" s="64"/>
      <c r="D348" s="64"/>
      <c r="E348" s="64"/>
      <c r="F348" s="65" t="str">
        <f t="shared" si="1"/>
        <v/>
      </c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</row>
    <row r="349">
      <c r="A349" s="62"/>
      <c r="B349" s="63"/>
      <c r="C349" s="64"/>
      <c r="D349" s="64"/>
      <c r="E349" s="64"/>
      <c r="F349" s="65" t="str">
        <f t="shared" si="1"/>
        <v/>
      </c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</row>
    <row r="350">
      <c r="A350" s="62"/>
      <c r="B350" s="63"/>
      <c r="C350" s="64"/>
      <c r="D350" s="64"/>
      <c r="E350" s="64"/>
      <c r="F350" s="65" t="str">
        <f t="shared" si="1"/>
        <v/>
      </c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</row>
    <row r="351">
      <c r="A351" s="62"/>
      <c r="B351" s="63"/>
      <c r="C351" s="64"/>
      <c r="D351" s="64"/>
      <c r="E351" s="64"/>
      <c r="F351" s="65" t="str">
        <f t="shared" si="1"/>
        <v/>
      </c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</row>
    <row r="352">
      <c r="A352" s="62"/>
      <c r="B352" s="63"/>
      <c r="C352" s="64"/>
      <c r="D352" s="64"/>
      <c r="E352" s="64"/>
      <c r="F352" s="65" t="str">
        <f t="shared" si="1"/>
        <v/>
      </c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</row>
    <row r="353">
      <c r="A353" s="62"/>
      <c r="B353" s="63"/>
      <c r="C353" s="64"/>
      <c r="D353" s="64"/>
      <c r="E353" s="64"/>
      <c r="F353" s="65" t="str">
        <f t="shared" si="1"/>
        <v/>
      </c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</row>
    <row r="354">
      <c r="A354" s="62"/>
      <c r="B354" s="63"/>
      <c r="C354" s="64"/>
      <c r="D354" s="64"/>
      <c r="E354" s="64"/>
      <c r="F354" s="65" t="str">
        <f t="shared" si="1"/>
        <v/>
      </c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</row>
    <row r="355">
      <c r="A355" s="62"/>
      <c r="B355" s="63"/>
      <c r="C355" s="64"/>
      <c r="D355" s="64"/>
      <c r="E355" s="64"/>
      <c r="F355" s="65" t="str">
        <f t="shared" si="1"/>
        <v/>
      </c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</row>
    <row r="356">
      <c r="A356" s="62"/>
      <c r="B356" s="63"/>
      <c r="C356" s="64"/>
      <c r="D356" s="64"/>
      <c r="E356" s="64"/>
      <c r="F356" s="65" t="str">
        <f t="shared" si="1"/>
        <v/>
      </c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</row>
    <row r="357">
      <c r="A357" s="62"/>
      <c r="B357" s="63"/>
      <c r="C357" s="64"/>
      <c r="D357" s="64"/>
      <c r="E357" s="64"/>
      <c r="F357" s="65" t="str">
        <f t="shared" si="1"/>
        <v/>
      </c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</row>
    <row r="358">
      <c r="A358" s="62"/>
      <c r="B358" s="63"/>
      <c r="C358" s="64"/>
      <c r="D358" s="64"/>
      <c r="E358" s="64"/>
      <c r="F358" s="65" t="str">
        <f t="shared" si="1"/>
        <v/>
      </c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</row>
    <row r="359">
      <c r="A359" s="62"/>
      <c r="B359" s="63"/>
      <c r="C359" s="64"/>
      <c r="D359" s="64"/>
      <c r="E359" s="64"/>
      <c r="F359" s="65" t="str">
        <f t="shared" si="1"/>
        <v/>
      </c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</row>
    <row r="360">
      <c r="A360" s="62"/>
      <c r="B360" s="63"/>
      <c r="C360" s="64"/>
      <c r="D360" s="64"/>
      <c r="E360" s="64"/>
      <c r="F360" s="65" t="str">
        <f t="shared" si="1"/>
        <v/>
      </c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</row>
    <row r="361">
      <c r="A361" s="62"/>
      <c r="B361" s="63"/>
      <c r="C361" s="64"/>
      <c r="D361" s="64"/>
      <c r="E361" s="64"/>
      <c r="F361" s="65" t="str">
        <f t="shared" si="1"/>
        <v/>
      </c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</row>
    <row r="362">
      <c r="A362" s="62"/>
      <c r="B362" s="63"/>
      <c r="C362" s="64"/>
      <c r="D362" s="64"/>
      <c r="E362" s="64"/>
      <c r="F362" s="65" t="str">
        <f t="shared" si="1"/>
        <v/>
      </c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</row>
    <row r="363">
      <c r="A363" s="62"/>
      <c r="B363" s="63"/>
      <c r="C363" s="64"/>
      <c r="D363" s="64"/>
      <c r="E363" s="64"/>
      <c r="F363" s="65" t="str">
        <f t="shared" si="1"/>
        <v/>
      </c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</row>
    <row r="364">
      <c r="A364" s="62"/>
      <c r="B364" s="63"/>
      <c r="C364" s="64"/>
      <c r="D364" s="64"/>
      <c r="E364" s="64"/>
      <c r="F364" s="65" t="str">
        <f t="shared" si="1"/>
        <v/>
      </c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</row>
    <row r="365">
      <c r="A365" s="62"/>
      <c r="B365" s="63"/>
      <c r="C365" s="64"/>
      <c r="D365" s="64"/>
      <c r="E365" s="64"/>
      <c r="F365" s="65" t="str">
        <f t="shared" si="1"/>
        <v/>
      </c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</row>
    <row r="366">
      <c r="A366" s="62"/>
      <c r="B366" s="63"/>
      <c r="C366" s="64"/>
      <c r="D366" s="64"/>
      <c r="E366" s="64"/>
      <c r="F366" s="65" t="str">
        <f t="shared" si="1"/>
        <v/>
      </c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</row>
    <row r="367">
      <c r="A367" s="62"/>
      <c r="B367" s="63"/>
      <c r="C367" s="64"/>
      <c r="D367" s="64"/>
      <c r="E367" s="64"/>
      <c r="F367" s="65" t="str">
        <f t="shared" si="1"/>
        <v/>
      </c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</row>
    <row r="368">
      <c r="A368" s="62"/>
      <c r="B368" s="63"/>
      <c r="C368" s="64"/>
      <c r="D368" s="64"/>
      <c r="E368" s="64"/>
      <c r="F368" s="65" t="str">
        <f t="shared" si="1"/>
        <v/>
      </c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</row>
    <row r="369">
      <c r="A369" s="62"/>
      <c r="B369" s="63"/>
      <c r="C369" s="64"/>
      <c r="D369" s="64"/>
      <c r="E369" s="64"/>
      <c r="F369" s="65" t="str">
        <f t="shared" si="1"/>
        <v/>
      </c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</row>
    <row r="370">
      <c r="A370" s="62"/>
      <c r="B370" s="63"/>
      <c r="C370" s="64"/>
      <c r="D370" s="64"/>
      <c r="E370" s="64"/>
      <c r="F370" s="65" t="str">
        <f t="shared" si="1"/>
        <v/>
      </c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</row>
    <row r="371">
      <c r="A371" s="62"/>
      <c r="B371" s="63"/>
      <c r="C371" s="64"/>
      <c r="D371" s="64"/>
      <c r="E371" s="64"/>
      <c r="F371" s="65" t="str">
        <f t="shared" si="1"/>
        <v/>
      </c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</row>
    <row r="372">
      <c r="A372" s="62"/>
      <c r="B372" s="63"/>
      <c r="C372" s="64"/>
      <c r="D372" s="64"/>
      <c r="E372" s="64"/>
      <c r="F372" s="65" t="str">
        <f t="shared" si="1"/>
        <v/>
      </c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</row>
    <row r="373">
      <c r="A373" s="62"/>
      <c r="B373" s="63"/>
      <c r="C373" s="64"/>
      <c r="D373" s="64"/>
      <c r="E373" s="64"/>
      <c r="F373" s="65" t="str">
        <f t="shared" si="1"/>
        <v/>
      </c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</row>
    <row r="374">
      <c r="A374" s="62"/>
      <c r="B374" s="63"/>
      <c r="C374" s="64"/>
      <c r="D374" s="64"/>
      <c r="E374" s="64"/>
      <c r="F374" s="65" t="str">
        <f t="shared" si="1"/>
        <v/>
      </c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</row>
    <row r="375">
      <c r="A375" s="62"/>
      <c r="B375" s="63"/>
      <c r="C375" s="64"/>
      <c r="D375" s="64"/>
      <c r="E375" s="64"/>
      <c r="F375" s="65" t="str">
        <f t="shared" si="1"/>
        <v/>
      </c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</row>
    <row r="376">
      <c r="A376" s="62"/>
      <c r="B376" s="63"/>
      <c r="C376" s="64"/>
      <c r="D376" s="64"/>
      <c r="E376" s="64"/>
      <c r="F376" s="65" t="str">
        <f t="shared" si="1"/>
        <v/>
      </c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</row>
    <row r="377">
      <c r="A377" s="62"/>
      <c r="B377" s="63"/>
      <c r="C377" s="64"/>
      <c r="D377" s="64"/>
      <c r="E377" s="64"/>
      <c r="F377" s="65" t="str">
        <f t="shared" si="1"/>
        <v/>
      </c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</row>
    <row r="378">
      <c r="A378" s="62"/>
      <c r="B378" s="63"/>
      <c r="C378" s="64"/>
      <c r="D378" s="64"/>
      <c r="E378" s="64"/>
      <c r="F378" s="65" t="str">
        <f t="shared" si="1"/>
        <v/>
      </c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</row>
    <row r="379">
      <c r="A379" s="62"/>
      <c r="B379" s="63"/>
      <c r="C379" s="64"/>
      <c r="D379" s="64"/>
      <c r="E379" s="64"/>
      <c r="F379" s="65" t="str">
        <f t="shared" si="1"/>
        <v/>
      </c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</row>
    <row r="380">
      <c r="A380" s="62"/>
      <c r="B380" s="63"/>
      <c r="C380" s="64"/>
      <c r="D380" s="64"/>
      <c r="E380" s="64"/>
      <c r="F380" s="65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</row>
    <row r="381">
      <c r="A381" s="62"/>
      <c r="B381" s="63"/>
      <c r="C381" s="64"/>
      <c r="D381" s="64"/>
      <c r="E381" s="64"/>
      <c r="F381" s="65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</row>
    <row r="382">
      <c r="A382" s="62"/>
      <c r="B382" s="63"/>
      <c r="C382" s="64"/>
      <c r="D382" s="64"/>
      <c r="E382" s="64"/>
      <c r="F382" s="65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</row>
    <row r="383">
      <c r="A383" s="62"/>
      <c r="B383" s="63"/>
      <c r="C383" s="64"/>
      <c r="D383" s="64"/>
      <c r="E383" s="64"/>
      <c r="F383" s="65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</row>
    <row r="384">
      <c r="A384" s="62"/>
      <c r="B384" s="63"/>
      <c r="C384" s="64"/>
      <c r="D384" s="64"/>
      <c r="E384" s="64"/>
      <c r="F384" s="65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</row>
    <row r="385">
      <c r="A385" s="62"/>
      <c r="B385" s="63"/>
      <c r="C385" s="64"/>
      <c r="D385" s="64"/>
      <c r="E385" s="64"/>
      <c r="F385" s="65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</row>
    <row r="386">
      <c r="A386" s="62"/>
      <c r="B386" s="63"/>
      <c r="C386" s="64"/>
      <c r="D386" s="64"/>
      <c r="E386" s="64"/>
      <c r="F386" s="65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</row>
    <row r="387">
      <c r="A387" s="62"/>
      <c r="B387" s="63"/>
      <c r="C387" s="64"/>
      <c r="D387" s="64"/>
      <c r="E387" s="64"/>
      <c r="F387" s="65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</row>
    <row r="388">
      <c r="A388" s="62"/>
      <c r="B388" s="63"/>
      <c r="C388" s="64"/>
      <c r="D388" s="64"/>
      <c r="E388" s="64"/>
      <c r="F388" s="65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</row>
    <row r="389">
      <c r="A389" s="62"/>
      <c r="B389" s="63"/>
      <c r="C389" s="64"/>
      <c r="D389" s="64"/>
      <c r="E389" s="64"/>
      <c r="F389" s="65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</row>
    <row r="390">
      <c r="A390" s="62"/>
      <c r="B390" s="63"/>
      <c r="C390" s="64"/>
      <c r="D390" s="64"/>
      <c r="E390" s="64"/>
      <c r="F390" s="65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</row>
    <row r="391">
      <c r="A391" s="62"/>
      <c r="B391" s="63"/>
      <c r="C391" s="64"/>
      <c r="D391" s="64"/>
      <c r="E391" s="64"/>
      <c r="F391" s="65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</row>
    <row r="392">
      <c r="A392" s="62"/>
      <c r="B392" s="63"/>
      <c r="C392" s="64"/>
      <c r="D392" s="64"/>
      <c r="E392" s="64"/>
      <c r="F392" s="65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</row>
    <row r="393">
      <c r="A393" s="62"/>
      <c r="B393" s="63"/>
      <c r="C393" s="64"/>
      <c r="D393" s="64"/>
      <c r="E393" s="64"/>
      <c r="F393" s="65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</row>
    <row r="394">
      <c r="A394" s="62"/>
      <c r="B394" s="63"/>
      <c r="C394" s="64"/>
      <c r="D394" s="64"/>
      <c r="E394" s="64"/>
      <c r="F394" s="65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</row>
    <row r="395">
      <c r="A395" s="62"/>
      <c r="B395" s="63"/>
      <c r="C395" s="64"/>
      <c r="D395" s="64"/>
      <c r="E395" s="64"/>
      <c r="F395" s="65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</row>
    <row r="396">
      <c r="A396" s="62"/>
      <c r="B396" s="63"/>
      <c r="C396" s="64"/>
      <c r="D396" s="64"/>
      <c r="E396" s="64"/>
      <c r="F396" s="65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</row>
    <row r="397">
      <c r="A397" s="62"/>
      <c r="B397" s="63"/>
      <c r="C397" s="64"/>
      <c r="D397" s="64"/>
      <c r="E397" s="64"/>
      <c r="F397" s="65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</row>
    <row r="398">
      <c r="A398" s="62"/>
      <c r="B398" s="63"/>
      <c r="C398" s="64"/>
      <c r="D398" s="64"/>
      <c r="E398" s="64"/>
      <c r="F398" s="65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</row>
    <row r="399">
      <c r="A399" s="62"/>
      <c r="B399" s="63"/>
      <c r="C399" s="64"/>
      <c r="D399" s="64"/>
      <c r="E399" s="64"/>
      <c r="F399" s="65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</row>
    <row r="400">
      <c r="A400" s="62"/>
      <c r="B400" s="63"/>
      <c r="C400" s="64"/>
      <c r="D400" s="64"/>
      <c r="E400" s="64"/>
      <c r="F400" s="65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</row>
    <row r="401">
      <c r="A401" s="62"/>
      <c r="B401" s="63"/>
      <c r="C401" s="64"/>
      <c r="D401" s="64"/>
      <c r="E401" s="64"/>
      <c r="F401" s="65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</row>
    <row r="402">
      <c r="A402" s="62"/>
      <c r="B402" s="63"/>
      <c r="C402" s="64"/>
      <c r="D402" s="64"/>
      <c r="E402" s="64"/>
      <c r="F402" s="65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</row>
    <row r="403">
      <c r="A403" s="62"/>
      <c r="B403" s="63"/>
      <c r="C403" s="64"/>
      <c r="D403" s="64"/>
      <c r="E403" s="64"/>
      <c r="F403" s="65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</row>
    <row r="404">
      <c r="A404" s="62"/>
      <c r="B404" s="63"/>
      <c r="C404" s="64"/>
      <c r="D404" s="64"/>
      <c r="E404" s="64"/>
      <c r="F404" s="65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</row>
    <row r="405">
      <c r="A405" s="62"/>
      <c r="B405" s="63"/>
      <c r="C405" s="64"/>
      <c r="D405" s="64"/>
      <c r="E405" s="64"/>
      <c r="F405" s="65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</row>
    <row r="406">
      <c r="A406" s="62"/>
      <c r="B406" s="63"/>
      <c r="C406" s="64"/>
      <c r="D406" s="64"/>
      <c r="E406" s="64"/>
      <c r="F406" s="65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</row>
    <row r="407">
      <c r="A407" s="62"/>
      <c r="B407" s="63"/>
      <c r="C407" s="64"/>
      <c r="D407" s="64"/>
      <c r="E407" s="64"/>
      <c r="F407" s="65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</row>
    <row r="408">
      <c r="A408" s="62"/>
      <c r="B408" s="63"/>
      <c r="C408" s="64"/>
      <c r="D408" s="64"/>
      <c r="E408" s="64"/>
      <c r="F408" s="65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</row>
    <row r="409">
      <c r="A409" s="62"/>
      <c r="B409" s="63"/>
      <c r="C409" s="64"/>
      <c r="D409" s="64"/>
      <c r="E409" s="64"/>
      <c r="F409" s="65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</row>
    <row r="410">
      <c r="A410" s="62"/>
      <c r="B410" s="63"/>
      <c r="C410" s="64"/>
      <c r="D410" s="64"/>
      <c r="E410" s="64"/>
      <c r="F410" s="65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</row>
    <row r="411">
      <c r="A411" s="62"/>
      <c r="B411" s="63"/>
      <c r="C411" s="64"/>
      <c r="D411" s="64"/>
      <c r="E411" s="64"/>
      <c r="F411" s="65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</row>
    <row r="412">
      <c r="A412" s="62"/>
      <c r="B412" s="63"/>
      <c r="C412" s="64"/>
      <c r="D412" s="64"/>
      <c r="E412" s="64"/>
      <c r="F412" s="65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</row>
    <row r="413">
      <c r="A413" s="62"/>
      <c r="B413" s="63"/>
      <c r="C413" s="64"/>
      <c r="D413" s="64"/>
      <c r="E413" s="64"/>
      <c r="F413" s="65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</row>
    <row r="414">
      <c r="A414" s="62"/>
      <c r="B414" s="63"/>
      <c r="C414" s="64"/>
      <c r="D414" s="64"/>
      <c r="E414" s="64"/>
      <c r="F414" s="65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</row>
    <row r="415">
      <c r="A415" s="62"/>
      <c r="B415" s="63"/>
      <c r="C415" s="64"/>
      <c r="D415" s="64"/>
      <c r="E415" s="64"/>
      <c r="F415" s="65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</row>
    <row r="416">
      <c r="A416" s="62"/>
      <c r="B416" s="63"/>
      <c r="C416" s="64"/>
      <c r="D416" s="64"/>
      <c r="E416" s="64"/>
      <c r="F416" s="65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</row>
    <row r="417">
      <c r="A417" s="62"/>
      <c r="B417" s="63"/>
      <c r="C417" s="64"/>
      <c r="D417" s="64"/>
      <c r="E417" s="64"/>
      <c r="F417" s="65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</row>
    <row r="418">
      <c r="A418" s="62"/>
      <c r="B418" s="63"/>
      <c r="C418" s="64"/>
      <c r="D418" s="64"/>
      <c r="E418" s="64"/>
      <c r="F418" s="65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</row>
    <row r="419">
      <c r="A419" s="62"/>
      <c r="B419" s="63"/>
      <c r="C419" s="64"/>
      <c r="D419" s="64"/>
      <c r="E419" s="64"/>
      <c r="F419" s="65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</row>
    <row r="420">
      <c r="A420" s="62"/>
      <c r="B420" s="63"/>
      <c r="C420" s="64"/>
      <c r="D420" s="64"/>
      <c r="E420" s="64"/>
      <c r="F420" s="65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</row>
    <row r="421">
      <c r="A421" s="62"/>
      <c r="B421" s="63"/>
      <c r="C421" s="64"/>
      <c r="D421" s="64"/>
      <c r="E421" s="64"/>
      <c r="F421" s="65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</row>
    <row r="422">
      <c r="A422" s="62"/>
      <c r="B422" s="63"/>
      <c r="C422" s="64"/>
      <c r="D422" s="64"/>
      <c r="E422" s="64"/>
      <c r="F422" s="65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</row>
    <row r="423">
      <c r="A423" s="62"/>
      <c r="B423" s="63"/>
      <c r="C423" s="64"/>
      <c r="D423" s="64"/>
      <c r="E423" s="64"/>
      <c r="F423" s="65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</row>
    <row r="424">
      <c r="A424" s="62"/>
      <c r="B424" s="63"/>
      <c r="C424" s="64"/>
      <c r="D424" s="64"/>
      <c r="E424" s="64"/>
      <c r="F424" s="65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</row>
    <row r="425">
      <c r="A425" s="62"/>
      <c r="B425" s="63"/>
      <c r="C425" s="64"/>
      <c r="D425" s="64"/>
      <c r="E425" s="64"/>
      <c r="F425" s="65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</row>
    <row r="426">
      <c r="A426" s="62"/>
      <c r="B426" s="63"/>
      <c r="C426" s="64"/>
      <c r="D426" s="64"/>
      <c r="E426" s="64"/>
      <c r="F426" s="65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</row>
    <row r="427">
      <c r="A427" s="62"/>
      <c r="B427" s="63"/>
      <c r="C427" s="64"/>
      <c r="D427" s="64"/>
      <c r="E427" s="64"/>
      <c r="F427" s="65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</row>
    <row r="428">
      <c r="A428" s="62"/>
      <c r="B428" s="63"/>
      <c r="C428" s="64"/>
      <c r="D428" s="64"/>
      <c r="E428" s="64"/>
      <c r="F428" s="65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</row>
    <row r="429">
      <c r="A429" s="62"/>
      <c r="B429" s="63"/>
      <c r="C429" s="64"/>
      <c r="D429" s="64"/>
      <c r="E429" s="64"/>
      <c r="F429" s="65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</row>
    <row r="430">
      <c r="A430" s="62"/>
      <c r="B430" s="63"/>
      <c r="C430" s="64"/>
      <c r="D430" s="64"/>
      <c r="E430" s="64"/>
      <c r="F430" s="65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</row>
    <row r="431">
      <c r="A431" s="62"/>
      <c r="B431" s="63"/>
      <c r="C431" s="64"/>
      <c r="D431" s="64"/>
      <c r="E431" s="64"/>
      <c r="F431" s="65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</row>
    <row r="432">
      <c r="A432" s="62"/>
      <c r="B432" s="63"/>
      <c r="C432" s="64"/>
      <c r="D432" s="64"/>
      <c r="E432" s="64"/>
      <c r="F432" s="65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</row>
    <row r="433">
      <c r="A433" s="62"/>
      <c r="B433" s="63"/>
      <c r="C433" s="64"/>
      <c r="D433" s="64"/>
      <c r="E433" s="64"/>
      <c r="F433" s="65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</row>
    <row r="434">
      <c r="A434" s="62"/>
      <c r="B434" s="63"/>
      <c r="C434" s="64"/>
      <c r="D434" s="64"/>
      <c r="E434" s="64"/>
      <c r="F434" s="65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</row>
    <row r="435">
      <c r="A435" s="62"/>
      <c r="B435" s="63"/>
      <c r="C435" s="64"/>
      <c r="D435" s="64"/>
      <c r="E435" s="64"/>
      <c r="F435" s="65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</row>
    <row r="436">
      <c r="A436" s="62"/>
      <c r="B436" s="63"/>
      <c r="C436" s="64"/>
      <c r="D436" s="64"/>
      <c r="E436" s="64"/>
      <c r="F436" s="65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</row>
    <row r="437">
      <c r="A437" s="62"/>
      <c r="B437" s="63"/>
      <c r="C437" s="64"/>
      <c r="D437" s="64"/>
      <c r="E437" s="64"/>
      <c r="F437" s="65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</row>
    <row r="438">
      <c r="A438" s="62"/>
      <c r="B438" s="63"/>
      <c r="C438" s="64"/>
      <c r="D438" s="64"/>
      <c r="E438" s="64"/>
      <c r="F438" s="65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</row>
    <row r="439">
      <c r="A439" s="62"/>
      <c r="B439" s="63"/>
      <c r="C439" s="64"/>
      <c r="D439" s="64"/>
      <c r="E439" s="64"/>
      <c r="F439" s="65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</row>
    <row r="440">
      <c r="A440" s="62"/>
      <c r="B440" s="63"/>
      <c r="C440" s="64"/>
      <c r="D440" s="64"/>
      <c r="E440" s="64"/>
      <c r="F440" s="65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</row>
    <row r="441">
      <c r="A441" s="62"/>
      <c r="B441" s="63"/>
      <c r="C441" s="64"/>
      <c r="D441" s="64"/>
      <c r="E441" s="64"/>
      <c r="F441" s="65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</row>
    <row r="442">
      <c r="A442" s="62"/>
      <c r="B442" s="63"/>
      <c r="C442" s="64"/>
      <c r="D442" s="64"/>
      <c r="E442" s="64"/>
      <c r="F442" s="65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</row>
    <row r="443">
      <c r="A443" s="62"/>
      <c r="B443" s="63"/>
      <c r="C443" s="64"/>
      <c r="D443" s="64"/>
      <c r="E443" s="64"/>
      <c r="F443" s="65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</row>
    <row r="444">
      <c r="A444" s="62"/>
      <c r="B444" s="63"/>
      <c r="C444" s="64"/>
      <c r="D444" s="64"/>
      <c r="E444" s="64"/>
      <c r="F444" s="65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</row>
    <row r="445">
      <c r="A445" s="62"/>
      <c r="B445" s="63"/>
      <c r="C445" s="64"/>
      <c r="D445" s="64"/>
      <c r="E445" s="64"/>
      <c r="F445" s="65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</row>
    <row r="446">
      <c r="A446" s="62"/>
      <c r="B446" s="63"/>
      <c r="C446" s="64"/>
      <c r="D446" s="64"/>
      <c r="E446" s="64"/>
      <c r="F446" s="65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</row>
    <row r="447">
      <c r="A447" s="62"/>
      <c r="B447" s="63"/>
      <c r="C447" s="64"/>
      <c r="D447" s="64"/>
      <c r="E447" s="64"/>
      <c r="F447" s="65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</row>
    <row r="448">
      <c r="A448" s="62"/>
      <c r="B448" s="63"/>
      <c r="C448" s="64"/>
      <c r="D448" s="64"/>
      <c r="E448" s="64"/>
      <c r="F448" s="65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</row>
    <row r="449">
      <c r="A449" s="62"/>
      <c r="B449" s="63"/>
      <c r="C449" s="64"/>
      <c r="D449" s="64"/>
      <c r="E449" s="64"/>
      <c r="F449" s="65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</row>
    <row r="450">
      <c r="A450" s="62"/>
      <c r="B450" s="63"/>
      <c r="C450" s="64"/>
      <c r="D450" s="64"/>
      <c r="E450" s="64"/>
      <c r="F450" s="65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</row>
    <row r="451">
      <c r="A451" s="62"/>
      <c r="B451" s="63"/>
      <c r="C451" s="64"/>
      <c r="D451" s="64"/>
      <c r="E451" s="64"/>
      <c r="F451" s="65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</row>
    <row r="452">
      <c r="A452" s="62"/>
      <c r="B452" s="63"/>
      <c r="C452" s="64"/>
      <c r="D452" s="64"/>
      <c r="E452" s="64"/>
      <c r="F452" s="65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</row>
    <row r="453">
      <c r="A453" s="62"/>
      <c r="B453" s="63"/>
      <c r="C453" s="64"/>
      <c r="D453" s="64"/>
      <c r="E453" s="64"/>
      <c r="F453" s="65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</row>
    <row r="454">
      <c r="A454" s="62"/>
      <c r="B454" s="63"/>
      <c r="C454" s="64"/>
      <c r="D454" s="64"/>
      <c r="E454" s="64"/>
      <c r="F454" s="65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</row>
    <row r="455">
      <c r="A455" s="62"/>
      <c r="B455" s="63"/>
      <c r="C455" s="64"/>
      <c r="D455" s="64"/>
      <c r="E455" s="64"/>
      <c r="F455" s="65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</row>
    <row r="456">
      <c r="A456" s="62"/>
      <c r="B456" s="63"/>
      <c r="C456" s="64"/>
      <c r="D456" s="64"/>
      <c r="E456" s="64"/>
      <c r="F456" s="65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</row>
    <row r="457">
      <c r="A457" s="62"/>
      <c r="B457" s="63"/>
      <c r="C457" s="64"/>
      <c r="D457" s="64"/>
      <c r="E457" s="64"/>
      <c r="F457" s="65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</row>
    <row r="458">
      <c r="A458" s="62"/>
      <c r="B458" s="63"/>
      <c r="C458" s="64"/>
      <c r="D458" s="64"/>
      <c r="E458" s="64"/>
      <c r="F458" s="65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</row>
    <row r="459">
      <c r="A459" s="62"/>
      <c r="B459" s="63"/>
      <c r="C459" s="64"/>
      <c r="D459" s="64"/>
      <c r="E459" s="64"/>
      <c r="F459" s="65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</row>
    <row r="460">
      <c r="A460" s="62"/>
      <c r="B460" s="63"/>
      <c r="C460" s="64"/>
      <c r="D460" s="64"/>
      <c r="E460" s="64"/>
      <c r="F460" s="65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</row>
    <row r="461">
      <c r="A461" s="62"/>
      <c r="B461" s="63"/>
      <c r="C461" s="64"/>
      <c r="D461" s="64"/>
      <c r="E461" s="64"/>
      <c r="F461" s="65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</row>
    <row r="462">
      <c r="A462" s="62"/>
      <c r="B462" s="63"/>
      <c r="C462" s="64"/>
      <c r="D462" s="64"/>
      <c r="E462" s="64"/>
      <c r="F462" s="65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</row>
    <row r="463">
      <c r="A463" s="62"/>
      <c r="B463" s="63"/>
      <c r="C463" s="64"/>
      <c r="D463" s="64"/>
      <c r="E463" s="64"/>
      <c r="F463" s="65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</row>
    <row r="464">
      <c r="A464" s="62"/>
      <c r="B464" s="63"/>
      <c r="C464" s="64"/>
      <c r="D464" s="64"/>
      <c r="E464" s="64"/>
      <c r="F464" s="65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</row>
    <row r="465">
      <c r="A465" s="62"/>
      <c r="B465" s="63"/>
      <c r="C465" s="64"/>
      <c r="D465" s="64"/>
      <c r="E465" s="64"/>
      <c r="F465" s="65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</row>
    <row r="466">
      <c r="A466" s="62"/>
      <c r="B466" s="63"/>
      <c r="C466" s="64"/>
      <c r="D466" s="64"/>
      <c r="E466" s="64"/>
      <c r="F466" s="65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</row>
    <row r="467">
      <c r="A467" s="62"/>
      <c r="B467" s="63"/>
      <c r="C467" s="64"/>
      <c r="D467" s="64"/>
      <c r="E467" s="64"/>
      <c r="F467" s="65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</row>
    <row r="468">
      <c r="A468" s="62"/>
      <c r="B468" s="63"/>
      <c r="C468" s="64"/>
      <c r="D468" s="64"/>
      <c r="E468" s="64"/>
      <c r="F468" s="65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</row>
    <row r="469">
      <c r="A469" s="62"/>
      <c r="B469" s="63"/>
      <c r="C469" s="64"/>
      <c r="D469" s="64"/>
      <c r="E469" s="64"/>
      <c r="F469" s="65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</row>
    <row r="470">
      <c r="A470" s="62"/>
      <c r="B470" s="63"/>
      <c r="C470" s="64"/>
      <c r="D470" s="64"/>
      <c r="E470" s="64"/>
      <c r="F470" s="65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</row>
    <row r="471">
      <c r="A471" s="62"/>
      <c r="B471" s="63"/>
      <c r="C471" s="64"/>
      <c r="D471" s="64"/>
      <c r="E471" s="64"/>
      <c r="F471" s="65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</row>
    <row r="472">
      <c r="A472" s="62"/>
      <c r="B472" s="63"/>
      <c r="C472" s="64"/>
      <c r="D472" s="64"/>
      <c r="E472" s="64"/>
      <c r="F472" s="65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</row>
    <row r="473">
      <c r="A473" s="62"/>
      <c r="B473" s="63"/>
      <c r="C473" s="64"/>
      <c r="D473" s="64"/>
      <c r="E473" s="64"/>
      <c r="F473" s="65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</row>
    <row r="474">
      <c r="A474" s="62"/>
      <c r="B474" s="63"/>
      <c r="C474" s="64"/>
      <c r="D474" s="64"/>
      <c r="E474" s="64"/>
      <c r="F474" s="65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</row>
    <row r="475">
      <c r="A475" s="62"/>
      <c r="B475" s="63"/>
      <c r="C475" s="64"/>
      <c r="D475" s="64"/>
      <c r="E475" s="64"/>
      <c r="F475" s="65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</row>
    <row r="476">
      <c r="A476" s="62"/>
      <c r="B476" s="63"/>
      <c r="C476" s="64"/>
      <c r="D476" s="64"/>
      <c r="E476" s="64"/>
      <c r="F476" s="65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</row>
    <row r="477">
      <c r="A477" s="62"/>
      <c r="B477" s="63"/>
      <c r="C477" s="64"/>
      <c r="D477" s="64"/>
      <c r="E477" s="64"/>
      <c r="F477" s="65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</row>
    <row r="478">
      <c r="A478" s="62"/>
      <c r="B478" s="63"/>
      <c r="C478" s="64"/>
      <c r="D478" s="64"/>
      <c r="E478" s="64"/>
      <c r="F478" s="65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</row>
    <row r="479">
      <c r="A479" s="62"/>
      <c r="B479" s="63"/>
      <c r="C479" s="64"/>
      <c r="D479" s="64"/>
      <c r="E479" s="64"/>
      <c r="F479" s="65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</row>
    <row r="480">
      <c r="A480" s="62"/>
      <c r="B480" s="63"/>
      <c r="C480" s="64"/>
      <c r="D480" s="64"/>
      <c r="E480" s="64"/>
      <c r="F480" s="65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</row>
    <row r="481">
      <c r="A481" s="62"/>
      <c r="B481" s="63"/>
      <c r="C481" s="64"/>
      <c r="D481" s="64"/>
      <c r="E481" s="64"/>
      <c r="F481" s="65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</row>
    <row r="482">
      <c r="A482" s="62"/>
      <c r="B482" s="63"/>
      <c r="C482" s="64"/>
      <c r="D482" s="64"/>
      <c r="E482" s="64"/>
      <c r="F482" s="65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</row>
    <row r="483">
      <c r="A483" s="62"/>
      <c r="B483" s="63"/>
      <c r="C483" s="64"/>
      <c r="D483" s="64"/>
      <c r="E483" s="64"/>
      <c r="F483" s="65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</row>
    <row r="484">
      <c r="A484" s="62"/>
      <c r="B484" s="63"/>
      <c r="C484" s="64"/>
      <c r="D484" s="64"/>
      <c r="E484" s="64"/>
      <c r="F484" s="65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</row>
    <row r="485">
      <c r="A485" s="62"/>
      <c r="B485" s="63"/>
      <c r="C485" s="64"/>
      <c r="D485" s="64"/>
      <c r="E485" s="64"/>
      <c r="F485" s="65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</row>
    <row r="486">
      <c r="A486" s="62"/>
      <c r="B486" s="63"/>
      <c r="C486" s="64"/>
      <c r="D486" s="64"/>
      <c r="E486" s="64"/>
      <c r="F486" s="65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</row>
    <row r="487">
      <c r="A487" s="62"/>
      <c r="B487" s="63"/>
      <c r="C487" s="64"/>
      <c r="D487" s="64"/>
      <c r="E487" s="64"/>
      <c r="F487" s="65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</row>
    <row r="488">
      <c r="A488" s="62"/>
      <c r="B488" s="63"/>
      <c r="C488" s="64"/>
      <c r="D488" s="64"/>
      <c r="E488" s="64"/>
      <c r="F488" s="65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</row>
    <row r="489">
      <c r="A489" s="62"/>
      <c r="B489" s="63"/>
      <c r="C489" s="64"/>
      <c r="D489" s="64"/>
      <c r="E489" s="64"/>
      <c r="F489" s="65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</row>
    <row r="490">
      <c r="A490" s="62"/>
      <c r="B490" s="63"/>
      <c r="C490" s="64"/>
      <c r="D490" s="64"/>
      <c r="E490" s="64"/>
      <c r="F490" s="65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</row>
    <row r="491">
      <c r="A491" s="62"/>
      <c r="B491" s="63"/>
      <c r="C491" s="64"/>
      <c r="D491" s="64"/>
      <c r="E491" s="64"/>
      <c r="F491" s="65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</row>
    <row r="492">
      <c r="A492" s="62"/>
      <c r="B492" s="63"/>
      <c r="C492" s="64"/>
      <c r="D492" s="64"/>
      <c r="E492" s="64"/>
      <c r="F492" s="65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</row>
    <row r="493">
      <c r="A493" s="62"/>
      <c r="B493" s="63"/>
      <c r="C493" s="64"/>
      <c r="D493" s="64"/>
      <c r="E493" s="64"/>
      <c r="F493" s="65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</row>
    <row r="494">
      <c r="A494" s="62"/>
      <c r="B494" s="63"/>
      <c r="C494" s="64"/>
      <c r="D494" s="64"/>
      <c r="E494" s="64"/>
      <c r="F494" s="65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</row>
    <row r="495">
      <c r="A495" s="62"/>
      <c r="B495" s="63"/>
      <c r="C495" s="64"/>
      <c r="D495" s="64"/>
      <c r="E495" s="64"/>
      <c r="F495" s="65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</row>
    <row r="496">
      <c r="A496" s="62"/>
      <c r="B496" s="63"/>
      <c r="C496" s="64"/>
      <c r="D496" s="64"/>
      <c r="E496" s="64"/>
      <c r="F496" s="65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</row>
    <row r="497">
      <c r="A497" s="62"/>
      <c r="B497" s="63"/>
      <c r="C497" s="64"/>
      <c r="D497" s="64"/>
      <c r="E497" s="64"/>
      <c r="F497" s="65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</row>
    <row r="498">
      <c r="A498" s="62"/>
      <c r="B498" s="63"/>
      <c r="C498" s="64"/>
      <c r="D498" s="64"/>
      <c r="E498" s="64"/>
      <c r="F498" s="65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</row>
    <row r="499">
      <c r="A499" s="62"/>
      <c r="B499" s="63"/>
      <c r="C499" s="64"/>
      <c r="D499" s="64"/>
      <c r="E499" s="64"/>
      <c r="F499" s="65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</row>
    <row r="500">
      <c r="A500" s="62"/>
      <c r="B500" s="63"/>
      <c r="C500" s="64"/>
      <c r="D500" s="64"/>
      <c r="E500" s="64"/>
      <c r="F500" s="65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</row>
    <row r="501">
      <c r="A501" s="62"/>
      <c r="B501" s="63"/>
      <c r="C501" s="64"/>
      <c r="D501" s="64"/>
      <c r="E501" s="64"/>
      <c r="F501" s="65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</row>
    <row r="502">
      <c r="A502" s="62"/>
      <c r="B502" s="63"/>
      <c r="C502" s="64"/>
      <c r="D502" s="64"/>
      <c r="E502" s="64"/>
      <c r="F502" s="65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</row>
    <row r="503">
      <c r="A503" s="62"/>
      <c r="B503" s="63"/>
      <c r="C503" s="64"/>
      <c r="D503" s="64"/>
      <c r="E503" s="64"/>
      <c r="F503" s="65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</row>
    <row r="504">
      <c r="A504" s="62"/>
      <c r="B504" s="63"/>
      <c r="C504" s="64"/>
      <c r="D504" s="64"/>
      <c r="E504" s="64"/>
      <c r="F504" s="65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</row>
    <row r="505">
      <c r="A505" s="62"/>
      <c r="B505" s="63"/>
      <c r="C505" s="64"/>
      <c r="D505" s="64"/>
      <c r="E505" s="64"/>
      <c r="F505" s="65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</row>
    <row r="506">
      <c r="A506" s="62"/>
      <c r="B506" s="63"/>
      <c r="C506" s="64"/>
      <c r="D506" s="64"/>
      <c r="E506" s="64"/>
      <c r="F506" s="65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</row>
    <row r="507">
      <c r="A507" s="62"/>
      <c r="B507" s="63"/>
      <c r="C507" s="64"/>
      <c r="D507" s="64"/>
      <c r="E507" s="64"/>
      <c r="F507" s="65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</row>
    <row r="508">
      <c r="A508" s="62"/>
      <c r="B508" s="63"/>
      <c r="C508" s="64"/>
      <c r="D508" s="64"/>
      <c r="E508" s="64"/>
      <c r="F508" s="65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</row>
    <row r="509">
      <c r="A509" s="62"/>
      <c r="B509" s="63"/>
      <c r="C509" s="64"/>
      <c r="D509" s="64"/>
      <c r="E509" s="64"/>
      <c r="F509" s="65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</row>
    <row r="510">
      <c r="A510" s="62"/>
      <c r="B510" s="63"/>
      <c r="C510" s="64"/>
      <c r="D510" s="64"/>
      <c r="E510" s="64"/>
      <c r="F510" s="65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</row>
    <row r="511">
      <c r="A511" s="62"/>
      <c r="B511" s="63"/>
      <c r="C511" s="64"/>
      <c r="D511" s="64"/>
      <c r="E511" s="64"/>
      <c r="F511" s="65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</row>
    <row r="512">
      <c r="A512" s="62"/>
      <c r="B512" s="63"/>
      <c r="C512" s="64"/>
      <c r="D512" s="64"/>
      <c r="E512" s="64"/>
      <c r="F512" s="65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</row>
    <row r="513">
      <c r="A513" s="62"/>
      <c r="B513" s="63"/>
      <c r="C513" s="64"/>
      <c r="D513" s="64"/>
      <c r="E513" s="64"/>
      <c r="F513" s="65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</row>
    <row r="514">
      <c r="A514" s="62"/>
      <c r="B514" s="63"/>
      <c r="C514" s="64"/>
      <c r="D514" s="64"/>
      <c r="E514" s="64"/>
      <c r="F514" s="65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</row>
    <row r="515">
      <c r="A515" s="62"/>
      <c r="B515" s="63"/>
      <c r="C515" s="64"/>
      <c r="D515" s="64"/>
      <c r="E515" s="64"/>
      <c r="F515" s="65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</row>
    <row r="516">
      <c r="A516" s="62"/>
      <c r="B516" s="63"/>
      <c r="C516" s="64"/>
      <c r="D516" s="64"/>
      <c r="E516" s="64"/>
      <c r="F516" s="65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</row>
    <row r="517">
      <c r="A517" s="62"/>
      <c r="B517" s="63"/>
      <c r="C517" s="64"/>
      <c r="D517" s="64"/>
      <c r="E517" s="64"/>
      <c r="F517" s="65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</row>
    <row r="518">
      <c r="A518" s="62"/>
      <c r="B518" s="63"/>
      <c r="C518" s="64"/>
      <c r="D518" s="64"/>
      <c r="E518" s="64"/>
      <c r="F518" s="65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</row>
    <row r="519">
      <c r="A519" s="62"/>
      <c r="B519" s="63"/>
      <c r="C519" s="64"/>
      <c r="D519" s="64"/>
      <c r="E519" s="64"/>
      <c r="F519" s="65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</row>
    <row r="520">
      <c r="A520" s="62"/>
      <c r="B520" s="63"/>
      <c r="C520" s="64"/>
      <c r="D520" s="64"/>
      <c r="E520" s="64"/>
      <c r="F520" s="65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</row>
    <row r="521">
      <c r="A521" s="62"/>
      <c r="B521" s="63"/>
      <c r="C521" s="64"/>
      <c r="D521" s="64"/>
      <c r="E521" s="64"/>
      <c r="F521" s="65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</row>
    <row r="522">
      <c r="A522" s="62"/>
      <c r="B522" s="63"/>
      <c r="C522" s="64"/>
      <c r="D522" s="64"/>
      <c r="E522" s="64"/>
      <c r="F522" s="65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</row>
    <row r="523">
      <c r="A523" s="62"/>
      <c r="B523" s="63"/>
      <c r="C523" s="64"/>
      <c r="D523" s="64"/>
      <c r="E523" s="64"/>
      <c r="F523" s="65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</row>
    <row r="524">
      <c r="A524" s="62"/>
      <c r="B524" s="63"/>
      <c r="C524" s="64"/>
      <c r="D524" s="64"/>
      <c r="E524" s="64"/>
      <c r="F524" s="65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</row>
    <row r="525">
      <c r="A525" s="62"/>
      <c r="B525" s="63"/>
      <c r="C525" s="64"/>
      <c r="D525" s="64"/>
      <c r="E525" s="64"/>
      <c r="F525" s="65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</row>
    <row r="526">
      <c r="A526" s="62"/>
      <c r="B526" s="63"/>
      <c r="C526" s="64"/>
      <c r="D526" s="64"/>
      <c r="E526" s="64"/>
      <c r="F526" s="65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</row>
    <row r="527">
      <c r="A527" s="62"/>
      <c r="B527" s="63"/>
      <c r="C527" s="64"/>
      <c r="D527" s="64"/>
      <c r="E527" s="64"/>
      <c r="F527" s="65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</row>
    <row r="528">
      <c r="A528" s="62"/>
      <c r="B528" s="63"/>
      <c r="C528" s="64"/>
      <c r="D528" s="64"/>
      <c r="E528" s="64"/>
      <c r="F528" s="65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</row>
    <row r="529">
      <c r="A529" s="62"/>
      <c r="B529" s="63"/>
      <c r="C529" s="64"/>
      <c r="D529" s="64"/>
      <c r="E529" s="64"/>
      <c r="F529" s="65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</row>
    <row r="530">
      <c r="A530" s="62"/>
      <c r="B530" s="63"/>
      <c r="C530" s="64"/>
      <c r="D530" s="64"/>
      <c r="E530" s="64"/>
      <c r="F530" s="65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</row>
    <row r="531">
      <c r="A531" s="62"/>
      <c r="B531" s="63"/>
      <c r="C531" s="64"/>
      <c r="D531" s="64"/>
      <c r="E531" s="64"/>
      <c r="F531" s="65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</row>
    <row r="532">
      <c r="A532" s="62"/>
      <c r="B532" s="63"/>
      <c r="C532" s="64"/>
      <c r="D532" s="64"/>
      <c r="E532" s="64"/>
      <c r="F532" s="65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</row>
    <row r="533">
      <c r="A533" s="62"/>
      <c r="B533" s="63"/>
      <c r="C533" s="64"/>
      <c r="D533" s="64"/>
      <c r="E533" s="64"/>
      <c r="F533" s="65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</row>
    <row r="534">
      <c r="A534" s="62"/>
      <c r="B534" s="63"/>
      <c r="C534" s="64"/>
      <c r="D534" s="64"/>
      <c r="E534" s="64"/>
      <c r="F534" s="65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</row>
    <row r="535">
      <c r="A535" s="62"/>
      <c r="B535" s="63"/>
      <c r="C535" s="64"/>
      <c r="D535" s="64"/>
      <c r="E535" s="64"/>
      <c r="F535" s="65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</row>
    <row r="536">
      <c r="A536" s="62"/>
      <c r="B536" s="63"/>
      <c r="C536" s="64"/>
      <c r="D536" s="64"/>
      <c r="E536" s="64"/>
      <c r="F536" s="65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</row>
    <row r="537">
      <c r="A537" s="62"/>
      <c r="B537" s="63"/>
      <c r="C537" s="64"/>
      <c r="D537" s="64"/>
      <c r="E537" s="64"/>
      <c r="F537" s="65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</row>
    <row r="538">
      <c r="A538" s="62"/>
      <c r="B538" s="63"/>
      <c r="C538" s="64"/>
      <c r="D538" s="64"/>
      <c r="E538" s="64"/>
      <c r="F538" s="65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</row>
    <row r="539">
      <c r="A539" s="62"/>
      <c r="B539" s="63"/>
      <c r="C539" s="64"/>
      <c r="D539" s="64"/>
      <c r="E539" s="64"/>
      <c r="F539" s="65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</row>
    <row r="540">
      <c r="A540" s="62"/>
      <c r="B540" s="63"/>
      <c r="C540" s="64"/>
      <c r="D540" s="64"/>
      <c r="E540" s="64"/>
      <c r="F540" s="65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</row>
    <row r="541">
      <c r="A541" s="62"/>
      <c r="B541" s="63"/>
      <c r="C541" s="64"/>
      <c r="D541" s="64"/>
      <c r="E541" s="64"/>
      <c r="F541" s="65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</row>
    <row r="542">
      <c r="A542" s="62"/>
      <c r="B542" s="63"/>
      <c r="C542" s="64"/>
      <c r="D542" s="64"/>
      <c r="E542" s="64"/>
      <c r="F542" s="65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</row>
    <row r="543">
      <c r="A543" s="62"/>
      <c r="B543" s="63"/>
      <c r="C543" s="64"/>
      <c r="D543" s="64"/>
      <c r="E543" s="64"/>
      <c r="F543" s="65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</row>
    <row r="544">
      <c r="A544" s="62"/>
      <c r="B544" s="63"/>
      <c r="C544" s="64"/>
      <c r="D544" s="64"/>
      <c r="E544" s="64"/>
      <c r="F544" s="65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</row>
    <row r="545">
      <c r="A545" s="62"/>
      <c r="B545" s="63"/>
      <c r="C545" s="64"/>
      <c r="D545" s="64"/>
      <c r="E545" s="64"/>
      <c r="F545" s="65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</row>
    <row r="546">
      <c r="A546" s="62"/>
      <c r="B546" s="63"/>
      <c r="C546" s="64"/>
      <c r="D546" s="64"/>
      <c r="E546" s="64"/>
      <c r="F546" s="65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</row>
    <row r="547">
      <c r="A547" s="62"/>
      <c r="B547" s="63"/>
      <c r="C547" s="64"/>
      <c r="D547" s="64"/>
      <c r="E547" s="64"/>
      <c r="F547" s="65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</row>
    <row r="548">
      <c r="A548" s="62"/>
      <c r="B548" s="63"/>
      <c r="C548" s="64"/>
      <c r="D548" s="64"/>
      <c r="E548" s="64"/>
      <c r="F548" s="65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</row>
    <row r="549">
      <c r="A549" s="62"/>
      <c r="B549" s="63"/>
      <c r="C549" s="64"/>
      <c r="D549" s="64"/>
      <c r="E549" s="64"/>
      <c r="F549" s="65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</row>
    <row r="550">
      <c r="A550" s="62"/>
      <c r="B550" s="63"/>
      <c r="C550" s="64"/>
      <c r="D550" s="64"/>
      <c r="E550" s="64"/>
      <c r="F550" s="65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</row>
    <row r="551">
      <c r="A551" s="62"/>
      <c r="B551" s="63"/>
      <c r="C551" s="64"/>
      <c r="D551" s="64"/>
      <c r="E551" s="64"/>
      <c r="F551" s="65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</row>
    <row r="552">
      <c r="A552" s="62"/>
      <c r="B552" s="63"/>
      <c r="C552" s="64"/>
      <c r="D552" s="64"/>
      <c r="E552" s="64"/>
      <c r="F552" s="65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</row>
    <row r="553">
      <c r="A553" s="62"/>
      <c r="B553" s="63"/>
      <c r="C553" s="64"/>
      <c r="D553" s="64"/>
      <c r="E553" s="64"/>
      <c r="F553" s="65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</row>
    <row r="554">
      <c r="A554" s="62"/>
      <c r="B554" s="63"/>
      <c r="C554" s="64"/>
      <c r="D554" s="64"/>
      <c r="E554" s="64"/>
      <c r="F554" s="65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</row>
    <row r="555">
      <c r="A555" s="62"/>
      <c r="B555" s="63"/>
      <c r="C555" s="64"/>
      <c r="D555" s="64"/>
      <c r="E555" s="64"/>
      <c r="F555" s="65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</row>
    <row r="556">
      <c r="A556" s="62"/>
      <c r="B556" s="63"/>
      <c r="C556" s="64"/>
      <c r="D556" s="64"/>
      <c r="E556" s="64"/>
      <c r="F556" s="65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</row>
    <row r="557">
      <c r="A557" s="62"/>
      <c r="B557" s="63"/>
      <c r="C557" s="64"/>
      <c r="D557" s="64"/>
      <c r="E557" s="64"/>
      <c r="F557" s="65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</row>
    <row r="558">
      <c r="A558" s="62"/>
      <c r="B558" s="63"/>
      <c r="C558" s="64"/>
      <c r="D558" s="64"/>
      <c r="E558" s="64"/>
      <c r="F558" s="65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</row>
    <row r="559">
      <c r="A559" s="62"/>
      <c r="B559" s="63"/>
      <c r="C559" s="64"/>
      <c r="D559" s="64"/>
      <c r="E559" s="64"/>
      <c r="F559" s="65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</row>
    <row r="560">
      <c r="A560" s="62"/>
      <c r="B560" s="63"/>
      <c r="C560" s="64"/>
      <c r="D560" s="64"/>
      <c r="E560" s="64"/>
      <c r="F560" s="65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</row>
    <row r="561">
      <c r="A561" s="62"/>
      <c r="B561" s="63"/>
      <c r="C561" s="64"/>
      <c r="D561" s="64"/>
      <c r="E561" s="64"/>
      <c r="F561" s="65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</row>
    <row r="562">
      <c r="A562" s="62"/>
      <c r="B562" s="63"/>
      <c r="C562" s="64"/>
      <c r="D562" s="64"/>
      <c r="E562" s="64"/>
      <c r="F562" s="65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</row>
    <row r="563">
      <c r="A563" s="62"/>
      <c r="B563" s="63"/>
      <c r="C563" s="64"/>
      <c r="D563" s="64"/>
      <c r="E563" s="64"/>
      <c r="F563" s="65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</row>
    <row r="564">
      <c r="A564" s="62"/>
      <c r="B564" s="63"/>
      <c r="C564" s="64"/>
      <c r="D564" s="64"/>
      <c r="E564" s="64"/>
      <c r="F564" s="65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</row>
    <row r="565">
      <c r="A565" s="62"/>
      <c r="B565" s="63"/>
      <c r="C565" s="64"/>
      <c r="D565" s="64"/>
      <c r="E565" s="64"/>
      <c r="F565" s="65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</row>
    <row r="566">
      <c r="A566" s="62"/>
      <c r="B566" s="63"/>
      <c r="C566" s="64"/>
      <c r="D566" s="64"/>
      <c r="E566" s="64"/>
      <c r="F566" s="65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</row>
    <row r="567">
      <c r="A567" s="62"/>
      <c r="B567" s="63"/>
      <c r="C567" s="64"/>
      <c r="D567" s="64"/>
      <c r="E567" s="64"/>
      <c r="F567" s="65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</row>
    <row r="568">
      <c r="A568" s="62"/>
      <c r="B568" s="63"/>
      <c r="C568" s="64"/>
      <c r="D568" s="64"/>
      <c r="E568" s="64"/>
      <c r="F568" s="65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</row>
    <row r="569">
      <c r="A569" s="62"/>
      <c r="B569" s="63"/>
      <c r="C569" s="64"/>
      <c r="D569" s="64"/>
      <c r="E569" s="64"/>
      <c r="F569" s="65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</row>
    <row r="570">
      <c r="A570" s="62"/>
      <c r="B570" s="63"/>
      <c r="C570" s="64"/>
      <c r="D570" s="64"/>
      <c r="E570" s="64"/>
      <c r="F570" s="65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</row>
    <row r="571">
      <c r="A571" s="62"/>
      <c r="B571" s="63"/>
      <c r="C571" s="64"/>
      <c r="D571" s="64"/>
      <c r="E571" s="64"/>
      <c r="F571" s="65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</row>
    <row r="572">
      <c r="A572" s="62"/>
      <c r="B572" s="63"/>
      <c r="C572" s="64"/>
      <c r="D572" s="64"/>
      <c r="E572" s="64"/>
      <c r="F572" s="65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</row>
    <row r="573">
      <c r="A573" s="62"/>
      <c r="B573" s="63"/>
      <c r="C573" s="64"/>
      <c r="D573" s="64"/>
      <c r="E573" s="64"/>
      <c r="F573" s="65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</row>
    <row r="574">
      <c r="A574" s="62"/>
      <c r="B574" s="63"/>
      <c r="C574" s="64"/>
      <c r="D574" s="64"/>
      <c r="E574" s="64"/>
      <c r="F574" s="65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</row>
    <row r="575">
      <c r="A575" s="62"/>
      <c r="B575" s="63"/>
      <c r="C575" s="64"/>
      <c r="D575" s="64"/>
      <c r="E575" s="64"/>
      <c r="F575" s="65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</row>
    <row r="576">
      <c r="A576" s="62"/>
      <c r="B576" s="63"/>
      <c r="C576" s="64"/>
      <c r="D576" s="64"/>
      <c r="E576" s="64"/>
      <c r="F576" s="65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</row>
    <row r="577">
      <c r="A577" s="62"/>
      <c r="B577" s="63"/>
      <c r="C577" s="64"/>
      <c r="D577" s="64"/>
      <c r="E577" s="64"/>
      <c r="F577" s="65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</row>
    <row r="578">
      <c r="A578" s="62"/>
      <c r="B578" s="63"/>
      <c r="C578" s="64"/>
      <c r="D578" s="64"/>
      <c r="E578" s="64"/>
      <c r="F578" s="65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</row>
    <row r="579">
      <c r="A579" s="62"/>
      <c r="B579" s="63"/>
      <c r="C579" s="64"/>
      <c r="D579" s="64"/>
      <c r="E579" s="64"/>
      <c r="F579" s="65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</row>
    <row r="580">
      <c r="A580" s="62"/>
      <c r="B580" s="63"/>
      <c r="C580" s="64"/>
      <c r="D580" s="64"/>
      <c r="E580" s="64"/>
      <c r="F580" s="65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</row>
    <row r="581">
      <c r="A581" s="62"/>
      <c r="B581" s="63"/>
      <c r="C581" s="64"/>
      <c r="D581" s="64"/>
      <c r="E581" s="64"/>
      <c r="F581" s="65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</row>
    <row r="582">
      <c r="A582" s="62"/>
      <c r="B582" s="63"/>
      <c r="C582" s="64"/>
      <c r="D582" s="64"/>
      <c r="E582" s="64"/>
      <c r="F582" s="65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</row>
    <row r="583">
      <c r="A583" s="62"/>
      <c r="B583" s="63"/>
      <c r="C583" s="64"/>
      <c r="D583" s="64"/>
      <c r="E583" s="64"/>
      <c r="F583" s="65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</row>
    <row r="584">
      <c r="A584" s="62"/>
      <c r="B584" s="63"/>
      <c r="C584" s="64"/>
      <c r="D584" s="64"/>
      <c r="E584" s="64"/>
      <c r="F584" s="65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</row>
    <row r="585">
      <c r="A585" s="62"/>
      <c r="B585" s="63"/>
      <c r="C585" s="64"/>
      <c r="D585" s="64"/>
      <c r="E585" s="64"/>
      <c r="F585" s="65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</row>
    <row r="586">
      <c r="A586" s="62"/>
      <c r="B586" s="63"/>
      <c r="C586" s="64"/>
      <c r="D586" s="64"/>
      <c r="E586" s="64"/>
      <c r="F586" s="65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</row>
    <row r="587">
      <c r="A587" s="62"/>
      <c r="B587" s="63"/>
      <c r="C587" s="64"/>
      <c r="D587" s="64"/>
      <c r="E587" s="64"/>
      <c r="F587" s="65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</row>
    <row r="588">
      <c r="A588" s="62"/>
      <c r="B588" s="63"/>
      <c r="C588" s="64"/>
      <c r="D588" s="64"/>
      <c r="E588" s="64"/>
      <c r="F588" s="65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</row>
    <row r="589">
      <c r="A589" s="62"/>
      <c r="B589" s="63"/>
      <c r="C589" s="64"/>
      <c r="D589" s="64"/>
      <c r="E589" s="64"/>
      <c r="F589" s="65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</row>
    <row r="590">
      <c r="A590" s="62"/>
      <c r="B590" s="63"/>
      <c r="C590" s="64"/>
      <c r="D590" s="64"/>
      <c r="E590" s="64"/>
      <c r="F590" s="65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</row>
    <row r="591">
      <c r="A591" s="62"/>
      <c r="B591" s="63"/>
      <c r="C591" s="64"/>
      <c r="D591" s="64"/>
      <c r="E591" s="64"/>
      <c r="F591" s="65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</row>
    <row r="592">
      <c r="A592" s="62"/>
      <c r="B592" s="63"/>
      <c r="C592" s="64"/>
      <c r="D592" s="64"/>
      <c r="E592" s="64"/>
      <c r="F592" s="65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</row>
    <row r="593">
      <c r="A593" s="62"/>
      <c r="B593" s="63"/>
      <c r="C593" s="64"/>
      <c r="D593" s="64"/>
      <c r="E593" s="64"/>
      <c r="F593" s="65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</row>
    <row r="594">
      <c r="A594" s="62"/>
      <c r="B594" s="63"/>
      <c r="C594" s="64"/>
      <c r="D594" s="64"/>
      <c r="E594" s="64"/>
      <c r="F594" s="65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</row>
    <row r="595">
      <c r="A595" s="62"/>
      <c r="B595" s="63"/>
      <c r="C595" s="64"/>
      <c r="D595" s="64"/>
      <c r="E595" s="64"/>
      <c r="F595" s="65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</row>
    <row r="596">
      <c r="A596" s="62"/>
      <c r="B596" s="63"/>
      <c r="C596" s="64"/>
      <c r="D596" s="64"/>
      <c r="E596" s="64"/>
      <c r="F596" s="65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</row>
    <row r="597">
      <c r="A597" s="62"/>
      <c r="B597" s="63"/>
      <c r="C597" s="64"/>
      <c r="D597" s="64"/>
      <c r="E597" s="64"/>
      <c r="F597" s="65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</row>
    <row r="598">
      <c r="A598" s="62"/>
      <c r="B598" s="63"/>
      <c r="C598" s="64"/>
      <c r="D598" s="64"/>
      <c r="E598" s="64"/>
      <c r="F598" s="65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</row>
    <row r="599">
      <c r="A599" s="62"/>
      <c r="B599" s="63"/>
      <c r="C599" s="64"/>
      <c r="D599" s="64"/>
      <c r="E599" s="64"/>
      <c r="F599" s="65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</row>
    <row r="600">
      <c r="A600" s="62"/>
      <c r="B600" s="63"/>
      <c r="C600" s="64"/>
      <c r="D600" s="64"/>
      <c r="E600" s="64"/>
      <c r="F600" s="65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</row>
    <row r="601">
      <c r="A601" s="62"/>
      <c r="B601" s="63"/>
      <c r="C601" s="64"/>
      <c r="D601" s="64"/>
      <c r="E601" s="64"/>
      <c r="F601" s="65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</row>
    <row r="602">
      <c r="A602" s="62"/>
      <c r="B602" s="63"/>
      <c r="C602" s="64"/>
      <c r="D602" s="64"/>
      <c r="E602" s="64"/>
      <c r="F602" s="65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</row>
    <row r="603">
      <c r="A603" s="62"/>
      <c r="B603" s="63"/>
      <c r="C603" s="64"/>
      <c r="D603" s="64"/>
      <c r="E603" s="64"/>
      <c r="F603" s="65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</row>
    <row r="604">
      <c r="A604" s="62"/>
      <c r="B604" s="63"/>
      <c r="C604" s="64"/>
      <c r="D604" s="64"/>
      <c r="E604" s="64"/>
      <c r="F604" s="65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</row>
    <row r="605">
      <c r="A605" s="62"/>
      <c r="B605" s="63"/>
      <c r="C605" s="64"/>
      <c r="D605" s="64"/>
      <c r="E605" s="64"/>
      <c r="F605" s="65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</row>
    <row r="606">
      <c r="A606" s="62"/>
      <c r="B606" s="63"/>
      <c r="C606" s="64"/>
      <c r="D606" s="64"/>
      <c r="E606" s="64"/>
      <c r="F606" s="65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</row>
    <row r="607">
      <c r="A607" s="62"/>
      <c r="B607" s="63"/>
      <c r="C607" s="64"/>
      <c r="D607" s="64"/>
      <c r="E607" s="64"/>
      <c r="F607" s="65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</row>
    <row r="608">
      <c r="A608" s="62"/>
      <c r="B608" s="63"/>
      <c r="C608" s="64"/>
      <c r="D608" s="64"/>
      <c r="E608" s="64"/>
      <c r="F608" s="65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</row>
    <row r="609">
      <c r="A609" s="62"/>
      <c r="B609" s="63"/>
      <c r="C609" s="64"/>
      <c r="D609" s="64"/>
      <c r="E609" s="64"/>
      <c r="F609" s="65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</row>
    <row r="610">
      <c r="A610" s="62"/>
      <c r="B610" s="63"/>
      <c r="C610" s="64"/>
      <c r="D610" s="64"/>
      <c r="E610" s="64"/>
      <c r="F610" s="65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</row>
    <row r="611">
      <c r="A611" s="62"/>
      <c r="B611" s="63"/>
      <c r="C611" s="64"/>
      <c r="D611" s="64"/>
      <c r="E611" s="64"/>
      <c r="F611" s="65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</row>
    <row r="612">
      <c r="A612" s="62"/>
      <c r="B612" s="63"/>
      <c r="C612" s="64"/>
      <c r="D612" s="64"/>
      <c r="E612" s="64"/>
      <c r="F612" s="65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</row>
    <row r="613">
      <c r="A613" s="62"/>
      <c r="B613" s="63"/>
      <c r="C613" s="64"/>
      <c r="D613" s="64"/>
      <c r="E613" s="64"/>
      <c r="F613" s="65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</row>
    <row r="614">
      <c r="A614" s="62"/>
      <c r="B614" s="63"/>
      <c r="C614" s="64"/>
      <c r="D614" s="64"/>
      <c r="E614" s="64"/>
      <c r="F614" s="65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</row>
    <row r="615">
      <c r="A615" s="62"/>
      <c r="B615" s="63"/>
      <c r="C615" s="64"/>
      <c r="D615" s="64"/>
      <c r="E615" s="64"/>
      <c r="F615" s="65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</row>
    <row r="616">
      <c r="A616" s="62"/>
      <c r="B616" s="63"/>
      <c r="C616" s="64"/>
      <c r="D616" s="64"/>
      <c r="E616" s="64"/>
      <c r="F616" s="65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</row>
    <row r="617">
      <c r="A617" s="62"/>
      <c r="B617" s="63"/>
      <c r="C617" s="64"/>
      <c r="D617" s="64"/>
      <c r="E617" s="64"/>
      <c r="F617" s="65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</row>
    <row r="618">
      <c r="A618" s="62"/>
      <c r="B618" s="63"/>
      <c r="C618" s="64"/>
      <c r="D618" s="64"/>
      <c r="E618" s="64"/>
      <c r="F618" s="65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</row>
    <row r="619">
      <c r="A619" s="62"/>
      <c r="B619" s="63"/>
      <c r="C619" s="64"/>
      <c r="D619" s="64"/>
      <c r="E619" s="64"/>
      <c r="F619" s="65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</row>
    <row r="620">
      <c r="A620" s="62"/>
      <c r="B620" s="63"/>
      <c r="C620" s="64"/>
      <c r="D620" s="64"/>
      <c r="E620" s="64"/>
      <c r="F620" s="65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</row>
    <row r="621">
      <c r="A621" s="62"/>
      <c r="B621" s="63"/>
      <c r="C621" s="64"/>
      <c r="D621" s="64"/>
      <c r="E621" s="64"/>
      <c r="F621" s="65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</row>
    <row r="622">
      <c r="A622" s="62"/>
      <c r="B622" s="63"/>
      <c r="C622" s="64"/>
      <c r="D622" s="64"/>
      <c r="E622" s="64"/>
      <c r="F622" s="65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</row>
    <row r="623">
      <c r="A623" s="62"/>
      <c r="B623" s="63"/>
      <c r="C623" s="64"/>
      <c r="D623" s="64"/>
      <c r="E623" s="64"/>
      <c r="F623" s="65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</row>
    <row r="624">
      <c r="A624" s="62"/>
      <c r="B624" s="63"/>
      <c r="C624" s="64"/>
      <c r="D624" s="64"/>
      <c r="E624" s="64"/>
      <c r="F624" s="65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</row>
    <row r="625">
      <c r="A625" s="62"/>
      <c r="B625" s="63"/>
      <c r="C625" s="64"/>
      <c r="D625" s="64"/>
      <c r="E625" s="64"/>
      <c r="F625" s="65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</row>
    <row r="626">
      <c r="A626" s="62"/>
      <c r="B626" s="63"/>
      <c r="C626" s="64"/>
      <c r="D626" s="64"/>
      <c r="E626" s="64"/>
      <c r="F626" s="65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</row>
    <row r="627">
      <c r="A627" s="62"/>
      <c r="B627" s="63"/>
      <c r="C627" s="64"/>
      <c r="D627" s="64"/>
      <c r="E627" s="64"/>
      <c r="F627" s="65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</row>
    <row r="628">
      <c r="A628" s="62"/>
      <c r="B628" s="63"/>
      <c r="C628" s="64"/>
      <c r="D628" s="64"/>
      <c r="E628" s="64"/>
      <c r="F628" s="65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</row>
    <row r="629">
      <c r="A629" s="62"/>
      <c r="B629" s="63"/>
      <c r="C629" s="64"/>
      <c r="D629" s="64"/>
      <c r="E629" s="64"/>
      <c r="F629" s="65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</row>
    <row r="630">
      <c r="A630" s="62"/>
      <c r="B630" s="63"/>
      <c r="C630" s="64"/>
      <c r="D630" s="64"/>
      <c r="E630" s="64"/>
      <c r="F630" s="65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</row>
    <row r="631">
      <c r="A631" s="62"/>
      <c r="B631" s="63"/>
      <c r="C631" s="64"/>
      <c r="D631" s="64"/>
      <c r="E631" s="64"/>
      <c r="F631" s="65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</row>
    <row r="632">
      <c r="A632" s="62"/>
      <c r="B632" s="63"/>
      <c r="C632" s="64"/>
      <c r="D632" s="64"/>
      <c r="E632" s="64"/>
      <c r="F632" s="65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</row>
    <row r="633">
      <c r="A633" s="62"/>
      <c r="B633" s="63"/>
      <c r="C633" s="64"/>
      <c r="D633" s="64"/>
      <c r="E633" s="64"/>
      <c r="F633" s="65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</row>
    <row r="634">
      <c r="A634" s="62"/>
      <c r="B634" s="63"/>
      <c r="C634" s="64"/>
      <c r="D634" s="64"/>
      <c r="E634" s="64"/>
      <c r="F634" s="65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</row>
    <row r="635">
      <c r="A635" s="62"/>
      <c r="B635" s="63"/>
      <c r="C635" s="64"/>
      <c r="D635" s="64"/>
      <c r="E635" s="64"/>
      <c r="F635" s="65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</row>
    <row r="636">
      <c r="A636" s="62"/>
      <c r="B636" s="63"/>
      <c r="C636" s="64"/>
      <c r="D636" s="64"/>
      <c r="E636" s="64"/>
      <c r="F636" s="65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</row>
    <row r="637">
      <c r="A637" s="62"/>
      <c r="B637" s="63"/>
      <c r="C637" s="64"/>
      <c r="D637" s="64"/>
      <c r="E637" s="64"/>
      <c r="F637" s="65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</row>
    <row r="638">
      <c r="A638" s="62"/>
      <c r="B638" s="63"/>
      <c r="C638" s="64"/>
      <c r="D638" s="64"/>
      <c r="E638" s="64"/>
      <c r="F638" s="65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</row>
    <row r="639">
      <c r="A639" s="62"/>
      <c r="B639" s="63"/>
      <c r="C639" s="64"/>
      <c r="D639" s="64"/>
      <c r="E639" s="64"/>
      <c r="F639" s="65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</row>
    <row r="640">
      <c r="A640" s="62"/>
      <c r="B640" s="63"/>
      <c r="C640" s="64"/>
      <c r="D640" s="64"/>
      <c r="E640" s="64"/>
      <c r="F640" s="65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</row>
    <row r="641">
      <c r="A641" s="62"/>
      <c r="B641" s="63"/>
      <c r="C641" s="64"/>
      <c r="D641" s="64"/>
      <c r="E641" s="64"/>
      <c r="F641" s="65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</row>
    <row r="642">
      <c r="A642" s="62"/>
      <c r="B642" s="63"/>
      <c r="C642" s="64"/>
      <c r="D642" s="64"/>
      <c r="E642" s="64"/>
      <c r="F642" s="65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</row>
    <row r="643">
      <c r="A643" s="62"/>
      <c r="B643" s="63"/>
      <c r="C643" s="64"/>
      <c r="D643" s="64"/>
      <c r="E643" s="64"/>
      <c r="F643" s="65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</row>
    <row r="644">
      <c r="A644" s="62"/>
      <c r="B644" s="63"/>
      <c r="C644" s="64"/>
      <c r="D644" s="64"/>
      <c r="E644" s="64"/>
      <c r="F644" s="65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</row>
    <row r="645">
      <c r="A645" s="62"/>
      <c r="B645" s="63"/>
      <c r="C645" s="64"/>
      <c r="D645" s="64"/>
      <c r="E645" s="64"/>
      <c r="F645" s="65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</row>
    <row r="646">
      <c r="A646" s="62"/>
      <c r="B646" s="63"/>
      <c r="C646" s="64"/>
      <c r="D646" s="64"/>
      <c r="E646" s="64"/>
      <c r="F646" s="65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</row>
    <row r="647">
      <c r="A647" s="62"/>
      <c r="B647" s="63"/>
      <c r="C647" s="64"/>
      <c r="D647" s="64"/>
      <c r="E647" s="64"/>
      <c r="F647" s="65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</row>
    <row r="648">
      <c r="A648" s="62"/>
      <c r="B648" s="63"/>
      <c r="C648" s="64"/>
      <c r="D648" s="64"/>
      <c r="E648" s="64"/>
      <c r="F648" s="65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</row>
    <row r="649">
      <c r="A649" s="62"/>
      <c r="B649" s="63"/>
      <c r="C649" s="64"/>
      <c r="D649" s="64"/>
      <c r="E649" s="64"/>
      <c r="F649" s="65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</row>
    <row r="650">
      <c r="A650" s="62"/>
      <c r="B650" s="63"/>
      <c r="C650" s="64"/>
      <c r="D650" s="64"/>
      <c r="E650" s="64"/>
      <c r="F650" s="65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</row>
    <row r="651">
      <c r="A651" s="62"/>
      <c r="B651" s="63"/>
      <c r="C651" s="64"/>
      <c r="D651" s="64"/>
      <c r="E651" s="64"/>
      <c r="F651" s="65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</row>
    <row r="652">
      <c r="A652" s="62"/>
      <c r="B652" s="63"/>
      <c r="C652" s="64"/>
      <c r="D652" s="64"/>
      <c r="E652" s="64"/>
      <c r="F652" s="65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</row>
    <row r="653">
      <c r="A653" s="62"/>
      <c r="B653" s="63"/>
      <c r="C653" s="64"/>
      <c r="D653" s="64"/>
      <c r="E653" s="64"/>
      <c r="F653" s="65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</row>
    <row r="654">
      <c r="A654" s="62"/>
      <c r="B654" s="63"/>
      <c r="C654" s="64"/>
      <c r="D654" s="64"/>
      <c r="E654" s="64"/>
      <c r="F654" s="65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</row>
    <row r="655">
      <c r="A655" s="62"/>
      <c r="B655" s="63"/>
      <c r="C655" s="64"/>
      <c r="D655" s="64"/>
      <c r="E655" s="64"/>
      <c r="F655" s="65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</row>
    <row r="656">
      <c r="A656" s="62"/>
      <c r="B656" s="63"/>
      <c r="C656" s="64"/>
      <c r="D656" s="64"/>
      <c r="E656" s="64"/>
      <c r="F656" s="65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</row>
    <row r="657">
      <c r="A657" s="62"/>
      <c r="B657" s="63"/>
      <c r="C657" s="64"/>
      <c r="D657" s="64"/>
      <c r="E657" s="64"/>
      <c r="F657" s="65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</row>
    <row r="658">
      <c r="A658" s="62"/>
      <c r="B658" s="63"/>
      <c r="C658" s="64"/>
      <c r="D658" s="64"/>
      <c r="E658" s="64"/>
      <c r="F658" s="65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</row>
    <row r="659">
      <c r="A659" s="62"/>
      <c r="B659" s="63"/>
      <c r="C659" s="64"/>
      <c r="D659" s="64"/>
      <c r="E659" s="64"/>
      <c r="F659" s="65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</row>
    <row r="660">
      <c r="A660" s="62"/>
      <c r="B660" s="63"/>
      <c r="C660" s="64"/>
      <c r="D660" s="64"/>
      <c r="E660" s="64"/>
      <c r="F660" s="65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</row>
    <row r="661">
      <c r="A661" s="62"/>
      <c r="B661" s="63"/>
      <c r="C661" s="64"/>
      <c r="D661" s="64"/>
      <c r="E661" s="64"/>
      <c r="F661" s="65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</row>
    <row r="662">
      <c r="A662" s="62"/>
      <c r="B662" s="63"/>
      <c r="C662" s="64"/>
      <c r="D662" s="64"/>
      <c r="E662" s="64"/>
      <c r="F662" s="65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</row>
    <row r="663">
      <c r="A663" s="62"/>
      <c r="B663" s="63"/>
      <c r="C663" s="64"/>
      <c r="D663" s="64"/>
      <c r="E663" s="64"/>
      <c r="F663" s="65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</row>
    <row r="664">
      <c r="A664" s="62"/>
      <c r="B664" s="63"/>
      <c r="C664" s="64"/>
      <c r="D664" s="64"/>
      <c r="E664" s="64"/>
      <c r="F664" s="65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</row>
    <row r="665">
      <c r="A665" s="62"/>
      <c r="B665" s="63"/>
      <c r="C665" s="64"/>
      <c r="D665" s="64"/>
      <c r="E665" s="64"/>
      <c r="F665" s="65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</row>
    <row r="666">
      <c r="A666" s="62"/>
      <c r="B666" s="63"/>
      <c r="C666" s="64"/>
      <c r="D666" s="64"/>
      <c r="E666" s="64"/>
      <c r="F666" s="65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</row>
    <row r="667">
      <c r="A667" s="62"/>
      <c r="B667" s="63"/>
      <c r="C667" s="64"/>
      <c r="D667" s="64"/>
      <c r="E667" s="64"/>
      <c r="F667" s="65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</row>
    <row r="668">
      <c r="A668" s="62"/>
      <c r="B668" s="63"/>
      <c r="C668" s="64"/>
      <c r="D668" s="64"/>
      <c r="E668" s="64"/>
      <c r="F668" s="65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</row>
    <row r="669">
      <c r="A669" s="62"/>
      <c r="B669" s="63"/>
      <c r="C669" s="64"/>
      <c r="D669" s="64"/>
      <c r="E669" s="64"/>
      <c r="F669" s="65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</row>
    <row r="670">
      <c r="A670" s="62"/>
      <c r="B670" s="63"/>
      <c r="C670" s="64"/>
      <c r="D670" s="64"/>
      <c r="E670" s="64"/>
      <c r="F670" s="65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</row>
    <row r="671">
      <c r="A671" s="62"/>
      <c r="B671" s="63"/>
      <c r="C671" s="64"/>
      <c r="D671" s="64"/>
      <c r="E671" s="64"/>
      <c r="F671" s="65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</row>
    <row r="672">
      <c r="A672" s="62"/>
      <c r="B672" s="63"/>
      <c r="C672" s="64"/>
      <c r="D672" s="64"/>
      <c r="E672" s="64"/>
      <c r="F672" s="65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</row>
    <row r="673">
      <c r="A673" s="62"/>
      <c r="B673" s="63"/>
      <c r="C673" s="64"/>
      <c r="D673" s="64"/>
      <c r="E673" s="64"/>
      <c r="F673" s="65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</row>
    <row r="674">
      <c r="A674" s="62"/>
      <c r="B674" s="63"/>
      <c r="C674" s="64"/>
      <c r="D674" s="64"/>
      <c r="E674" s="64"/>
      <c r="F674" s="65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</row>
    <row r="675">
      <c r="A675" s="62"/>
      <c r="B675" s="63"/>
      <c r="C675" s="64"/>
      <c r="D675" s="64"/>
      <c r="E675" s="64"/>
      <c r="F675" s="65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</row>
    <row r="676">
      <c r="A676" s="62"/>
      <c r="B676" s="63"/>
      <c r="C676" s="64"/>
      <c r="D676" s="64"/>
      <c r="E676" s="64"/>
      <c r="F676" s="65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</row>
    <row r="677">
      <c r="A677" s="62"/>
      <c r="B677" s="63"/>
      <c r="C677" s="64"/>
      <c r="D677" s="64"/>
      <c r="E677" s="64"/>
      <c r="F677" s="65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</row>
    <row r="678">
      <c r="A678" s="62"/>
      <c r="B678" s="63"/>
      <c r="C678" s="64"/>
      <c r="D678" s="64"/>
      <c r="E678" s="64"/>
      <c r="F678" s="65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</row>
    <row r="679">
      <c r="A679" s="62"/>
      <c r="B679" s="63"/>
      <c r="C679" s="64"/>
      <c r="D679" s="64"/>
      <c r="E679" s="64"/>
      <c r="F679" s="65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</row>
    <row r="680">
      <c r="A680" s="62"/>
      <c r="B680" s="63"/>
      <c r="C680" s="64"/>
      <c r="D680" s="64"/>
      <c r="E680" s="64"/>
      <c r="F680" s="65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</row>
    <row r="681">
      <c r="A681" s="62"/>
      <c r="B681" s="63"/>
      <c r="C681" s="64"/>
      <c r="D681" s="64"/>
      <c r="E681" s="64"/>
      <c r="F681" s="65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</row>
    <row r="682">
      <c r="A682" s="62"/>
      <c r="B682" s="63"/>
      <c r="C682" s="64"/>
      <c r="D682" s="64"/>
      <c r="E682" s="64"/>
      <c r="F682" s="65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</row>
    <row r="683">
      <c r="A683" s="62"/>
      <c r="B683" s="63"/>
      <c r="C683" s="64"/>
      <c r="D683" s="64"/>
      <c r="E683" s="64"/>
      <c r="F683" s="65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</row>
    <row r="684">
      <c r="A684" s="62"/>
      <c r="B684" s="63"/>
      <c r="C684" s="64"/>
      <c r="D684" s="64"/>
      <c r="E684" s="64"/>
      <c r="F684" s="65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</row>
    <row r="685">
      <c r="A685" s="62"/>
      <c r="B685" s="63"/>
      <c r="C685" s="64"/>
      <c r="D685" s="64"/>
      <c r="E685" s="64"/>
      <c r="F685" s="65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</row>
    <row r="686">
      <c r="A686" s="62"/>
      <c r="B686" s="63"/>
      <c r="C686" s="64"/>
      <c r="D686" s="64"/>
      <c r="E686" s="64"/>
      <c r="F686" s="65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</row>
    <row r="687">
      <c r="A687" s="62"/>
      <c r="B687" s="63"/>
      <c r="C687" s="64"/>
      <c r="D687" s="64"/>
      <c r="E687" s="64"/>
      <c r="F687" s="65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</row>
    <row r="688">
      <c r="A688" s="62"/>
      <c r="B688" s="63"/>
      <c r="C688" s="64"/>
      <c r="D688" s="64"/>
      <c r="E688" s="64"/>
      <c r="F688" s="65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</row>
    <row r="689">
      <c r="A689" s="62"/>
      <c r="B689" s="63"/>
      <c r="C689" s="64"/>
      <c r="D689" s="64"/>
      <c r="E689" s="64"/>
      <c r="F689" s="65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</row>
    <row r="690">
      <c r="A690" s="62"/>
      <c r="B690" s="63"/>
      <c r="C690" s="64"/>
      <c r="D690" s="64"/>
      <c r="E690" s="64"/>
      <c r="F690" s="65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</row>
    <row r="691">
      <c r="A691" s="62"/>
      <c r="B691" s="63"/>
      <c r="C691" s="64"/>
      <c r="D691" s="64"/>
      <c r="E691" s="64"/>
      <c r="F691" s="65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</row>
    <row r="692">
      <c r="A692" s="62"/>
      <c r="B692" s="63"/>
      <c r="C692" s="64"/>
      <c r="D692" s="64"/>
      <c r="E692" s="64"/>
      <c r="F692" s="65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</row>
    <row r="693">
      <c r="A693" s="62"/>
      <c r="B693" s="63"/>
      <c r="C693" s="64"/>
      <c r="D693" s="64"/>
      <c r="E693" s="64"/>
      <c r="F693" s="65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</row>
    <row r="694">
      <c r="A694" s="62"/>
      <c r="B694" s="63"/>
      <c r="C694" s="64"/>
      <c r="D694" s="64"/>
      <c r="E694" s="64"/>
      <c r="F694" s="65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</row>
    <row r="695">
      <c r="A695" s="62"/>
      <c r="B695" s="63"/>
      <c r="C695" s="64"/>
      <c r="D695" s="64"/>
      <c r="E695" s="64"/>
      <c r="F695" s="65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</row>
    <row r="696">
      <c r="A696" s="62"/>
      <c r="B696" s="63"/>
      <c r="C696" s="64"/>
      <c r="D696" s="64"/>
      <c r="E696" s="64"/>
      <c r="F696" s="65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</row>
    <row r="697">
      <c r="A697" s="62"/>
      <c r="B697" s="63"/>
      <c r="C697" s="64"/>
      <c r="D697" s="64"/>
      <c r="E697" s="64"/>
      <c r="F697" s="65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</row>
    <row r="698">
      <c r="A698" s="62"/>
      <c r="B698" s="63"/>
      <c r="C698" s="64"/>
      <c r="D698" s="64"/>
      <c r="E698" s="64"/>
      <c r="F698" s="65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</row>
    <row r="699">
      <c r="A699" s="62"/>
      <c r="B699" s="63"/>
      <c r="C699" s="64"/>
      <c r="D699" s="64"/>
      <c r="E699" s="64"/>
      <c r="F699" s="65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</row>
    <row r="700">
      <c r="A700" s="62"/>
      <c r="B700" s="63"/>
      <c r="C700" s="64"/>
      <c r="D700" s="64"/>
      <c r="E700" s="64"/>
      <c r="F700" s="65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</row>
    <row r="701">
      <c r="A701" s="62"/>
      <c r="B701" s="63"/>
      <c r="C701" s="64"/>
      <c r="D701" s="64"/>
      <c r="E701" s="64"/>
      <c r="F701" s="65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</row>
    <row r="702">
      <c r="A702" s="62"/>
      <c r="B702" s="63"/>
      <c r="C702" s="64"/>
      <c r="D702" s="64"/>
      <c r="E702" s="64"/>
      <c r="F702" s="65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</row>
    <row r="703">
      <c r="A703" s="62"/>
      <c r="B703" s="63"/>
      <c r="C703" s="64"/>
      <c r="D703" s="64"/>
      <c r="E703" s="64"/>
      <c r="F703" s="65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</row>
    <row r="704">
      <c r="A704" s="62"/>
      <c r="B704" s="63"/>
      <c r="C704" s="64"/>
      <c r="D704" s="64"/>
      <c r="E704" s="64"/>
      <c r="F704" s="65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</row>
    <row r="705">
      <c r="A705" s="62"/>
      <c r="B705" s="63"/>
      <c r="C705" s="64"/>
      <c r="D705" s="64"/>
      <c r="E705" s="64"/>
      <c r="F705" s="65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</row>
    <row r="706">
      <c r="A706" s="62"/>
      <c r="B706" s="63"/>
      <c r="C706" s="64"/>
      <c r="D706" s="64"/>
      <c r="E706" s="64"/>
      <c r="F706" s="65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</row>
    <row r="707">
      <c r="A707" s="62"/>
      <c r="B707" s="63"/>
      <c r="C707" s="64"/>
      <c r="D707" s="64"/>
      <c r="E707" s="64"/>
      <c r="F707" s="65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</row>
    <row r="708">
      <c r="A708" s="62"/>
      <c r="B708" s="63"/>
      <c r="C708" s="64"/>
      <c r="D708" s="64"/>
      <c r="E708" s="64"/>
      <c r="F708" s="65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</row>
    <row r="709">
      <c r="A709" s="62"/>
      <c r="B709" s="63"/>
      <c r="C709" s="64"/>
      <c r="D709" s="64"/>
      <c r="E709" s="64"/>
      <c r="F709" s="65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</row>
    <row r="710">
      <c r="A710" s="62"/>
      <c r="B710" s="63"/>
      <c r="C710" s="64"/>
      <c r="D710" s="64"/>
      <c r="E710" s="64"/>
      <c r="F710" s="65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</row>
    <row r="711">
      <c r="A711" s="62"/>
      <c r="B711" s="63"/>
      <c r="C711" s="64"/>
      <c r="D711" s="64"/>
      <c r="E711" s="64"/>
      <c r="F711" s="65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</row>
    <row r="712">
      <c r="A712" s="62"/>
      <c r="B712" s="63"/>
      <c r="C712" s="64"/>
      <c r="D712" s="64"/>
      <c r="E712" s="64"/>
      <c r="F712" s="65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</row>
    <row r="713">
      <c r="A713" s="62"/>
      <c r="B713" s="63"/>
      <c r="C713" s="64"/>
      <c r="D713" s="64"/>
      <c r="E713" s="64"/>
      <c r="F713" s="65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</row>
    <row r="714">
      <c r="A714" s="62"/>
      <c r="B714" s="63"/>
      <c r="C714" s="64"/>
      <c r="D714" s="64"/>
      <c r="E714" s="64"/>
      <c r="F714" s="65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</row>
    <row r="715">
      <c r="A715" s="62"/>
      <c r="B715" s="63"/>
      <c r="C715" s="64"/>
      <c r="D715" s="64"/>
      <c r="E715" s="64"/>
      <c r="F715" s="65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</row>
    <row r="716">
      <c r="A716" s="62"/>
      <c r="B716" s="63"/>
      <c r="C716" s="64"/>
      <c r="D716" s="64"/>
      <c r="E716" s="64"/>
      <c r="F716" s="65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</row>
    <row r="717">
      <c r="A717" s="62"/>
      <c r="B717" s="63"/>
      <c r="C717" s="64"/>
      <c r="D717" s="64"/>
      <c r="E717" s="64"/>
      <c r="F717" s="65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</row>
    <row r="718">
      <c r="A718" s="62"/>
      <c r="B718" s="63"/>
      <c r="C718" s="64"/>
      <c r="D718" s="64"/>
      <c r="E718" s="64"/>
      <c r="F718" s="65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</row>
    <row r="719">
      <c r="A719" s="62"/>
      <c r="B719" s="63"/>
      <c r="C719" s="64"/>
      <c r="D719" s="64"/>
      <c r="E719" s="64"/>
      <c r="F719" s="65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</row>
    <row r="720">
      <c r="A720" s="62"/>
      <c r="B720" s="63"/>
      <c r="C720" s="64"/>
      <c r="D720" s="64"/>
      <c r="E720" s="64"/>
      <c r="F720" s="65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</row>
    <row r="721">
      <c r="A721" s="62"/>
      <c r="B721" s="63"/>
      <c r="C721" s="64"/>
      <c r="D721" s="64"/>
      <c r="E721" s="64"/>
      <c r="F721" s="65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</row>
    <row r="722">
      <c r="A722" s="62"/>
      <c r="B722" s="63"/>
      <c r="C722" s="64"/>
      <c r="D722" s="64"/>
      <c r="E722" s="64"/>
      <c r="F722" s="65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</row>
    <row r="723">
      <c r="A723" s="62"/>
      <c r="B723" s="63"/>
      <c r="C723" s="64"/>
      <c r="D723" s="64"/>
      <c r="E723" s="64"/>
      <c r="F723" s="65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</row>
    <row r="724">
      <c r="A724" s="62"/>
      <c r="B724" s="63"/>
      <c r="C724" s="64"/>
      <c r="D724" s="64"/>
      <c r="E724" s="64"/>
      <c r="F724" s="65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</row>
    <row r="725">
      <c r="A725" s="62"/>
      <c r="B725" s="63"/>
      <c r="C725" s="64"/>
      <c r="D725" s="64"/>
      <c r="E725" s="64"/>
      <c r="F725" s="65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</row>
    <row r="726">
      <c r="A726" s="62"/>
      <c r="B726" s="63"/>
      <c r="C726" s="64"/>
      <c r="D726" s="64"/>
      <c r="E726" s="64"/>
      <c r="F726" s="65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</row>
    <row r="727">
      <c r="A727" s="62"/>
      <c r="B727" s="63"/>
      <c r="C727" s="64"/>
      <c r="D727" s="64"/>
      <c r="E727" s="64"/>
      <c r="F727" s="65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</row>
    <row r="728">
      <c r="A728" s="62"/>
      <c r="B728" s="63"/>
      <c r="C728" s="64"/>
      <c r="D728" s="64"/>
      <c r="E728" s="64"/>
      <c r="F728" s="65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</row>
    <row r="729">
      <c r="A729" s="62"/>
      <c r="B729" s="63"/>
      <c r="C729" s="64"/>
      <c r="D729" s="64"/>
      <c r="E729" s="64"/>
      <c r="F729" s="65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</row>
    <row r="730">
      <c r="A730" s="62"/>
      <c r="B730" s="63"/>
      <c r="C730" s="64"/>
      <c r="D730" s="64"/>
      <c r="E730" s="64"/>
      <c r="F730" s="65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</row>
    <row r="731">
      <c r="A731" s="62"/>
      <c r="B731" s="63"/>
      <c r="C731" s="64"/>
      <c r="D731" s="64"/>
      <c r="E731" s="64"/>
      <c r="F731" s="65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</row>
    <row r="732">
      <c r="A732" s="62"/>
      <c r="B732" s="63"/>
      <c r="C732" s="64"/>
      <c r="D732" s="64"/>
      <c r="E732" s="64"/>
      <c r="F732" s="65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</row>
    <row r="733">
      <c r="A733" s="62"/>
      <c r="B733" s="63"/>
      <c r="C733" s="64"/>
      <c r="D733" s="64"/>
      <c r="E733" s="64"/>
      <c r="F733" s="65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</row>
    <row r="734">
      <c r="A734" s="62"/>
      <c r="B734" s="63"/>
      <c r="C734" s="64"/>
      <c r="D734" s="64"/>
      <c r="E734" s="64"/>
      <c r="F734" s="65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</row>
    <row r="735">
      <c r="A735" s="62"/>
      <c r="B735" s="63"/>
      <c r="C735" s="64"/>
      <c r="D735" s="64"/>
      <c r="E735" s="64"/>
      <c r="F735" s="65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</row>
    <row r="736">
      <c r="A736" s="62"/>
      <c r="B736" s="63"/>
      <c r="C736" s="64"/>
      <c r="D736" s="64"/>
      <c r="E736" s="64"/>
      <c r="F736" s="65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</row>
    <row r="737">
      <c r="A737" s="62"/>
      <c r="B737" s="63"/>
      <c r="C737" s="64"/>
      <c r="D737" s="64"/>
      <c r="E737" s="64"/>
      <c r="F737" s="65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</row>
    <row r="738">
      <c r="A738" s="62"/>
      <c r="B738" s="63"/>
      <c r="C738" s="64"/>
      <c r="D738" s="64"/>
      <c r="E738" s="64"/>
      <c r="F738" s="65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</row>
    <row r="739">
      <c r="A739" s="62"/>
      <c r="B739" s="63"/>
      <c r="C739" s="64"/>
      <c r="D739" s="64"/>
      <c r="E739" s="64"/>
      <c r="F739" s="65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</row>
    <row r="740">
      <c r="A740" s="62"/>
      <c r="B740" s="63"/>
      <c r="C740" s="64"/>
      <c r="D740" s="64"/>
      <c r="E740" s="64"/>
      <c r="F740" s="65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</row>
    <row r="741">
      <c r="A741" s="62"/>
      <c r="B741" s="63"/>
      <c r="C741" s="64"/>
      <c r="D741" s="64"/>
      <c r="E741" s="64"/>
      <c r="F741" s="65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</row>
    <row r="742">
      <c r="A742" s="62"/>
      <c r="B742" s="63"/>
      <c r="C742" s="64"/>
      <c r="D742" s="64"/>
      <c r="E742" s="64"/>
      <c r="F742" s="65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</row>
    <row r="743">
      <c r="A743" s="62"/>
      <c r="B743" s="63"/>
      <c r="C743" s="64"/>
      <c r="D743" s="64"/>
      <c r="E743" s="64"/>
      <c r="F743" s="65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</row>
    <row r="744">
      <c r="A744" s="62"/>
      <c r="B744" s="63"/>
      <c r="C744" s="64"/>
      <c r="D744" s="64"/>
      <c r="E744" s="64"/>
      <c r="F744" s="65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</row>
    <row r="745">
      <c r="A745" s="62"/>
      <c r="B745" s="63"/>
      <c r="C745" s="64"/>
      <c r="D745" s="64"/>
      <c r="E745" s="64"/>
      <c r="F745" s="65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</row>
    <row r="746">
      <c r="A746" s="62"/>
      <c r="B746" s="63"/>
      <c r="C746" s="64"/>
      <c r="D746" s="64"/>
      <c r="E746" s="64"/>
      <c r="F746" s="65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</row>
    <row r="747">
      <c r="A747" s="62"/>
      <c r="B747" s="63"/>
      <c r="C747" s="64"/>
      <c r="D747" s="64"/>
      <c r="E747" s="64"/>
      <c r="F747" s="65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</row>
    <row r="748">
      <c r="A748" s="62"/>
      <c r="B748" s="63"/>
      <c r="C748" s="64"/>
      <c r="D748" s="64"/>
      <c r="E748" s="64"/>
      <c r="F748" s="65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</row>
    <row r="749">
      <c r="A749" s="62"/>
      <c r="B749" s="63"/>
      <c r="C749" s="64"/>
      <c r="D749" s="64"/>
      <c r="E749" s="64"/>
      <c r="F749" s="65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</row>
    <row r="750">
      <c r="A750" s="62"/>
      <c r="B750" s="63"/>
      <c r="C750" s="64"/>
      <c r="D750" s="64"/>
      <c r="E750" s="64"/>
      <c r="F750" s="65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</row>
    <row r="751">
      <c r="A751" s="62"/>
      <c r="B751" s="63"/>
      <c r="C751" s="64"/>
      <c r="D751" s="64"/>
      <c r="E751" s="64"/>
      <c r="F751" s="65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</row>
    <row r="752">
      <c r="A752" s="62"/>
      <c r="B752" s="63"/>
      <c r="C752" s="64"/>
      <c r="D752" s="64"/>
      <c r="E752" s="64"/>
      <c r="F752" s="65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</row>
    <row r="753">
      <c r="A753" s="62"/>
      <c r="B753" s="63"/>
      <c r="C753" s="64"/>
      <c r="D753" s="64"/>
      <c r="E753" s="64"/>
      <c r="F753" s="65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</row>
    <row r="754">
      <c r="A754" s="62"/>
      <c r="B754" s="63"/>
      <c r="C754" s="64"/>
      <c r="D754" s="64"/>
      <c r="E754" s="64"/>
      <c r="F754" s="65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</row>
    <row r="755">
      <c r="A755" s="62"/>
      <c r="B755" s="63"/>
      <c r="C755" s="64"/>
      <c r="D755" s="64"/>
      <c r="E755" s="64"/>
      <c r="F755" s="65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</row>
    <row r="756">
      <c r="A756" s="62"/>
      <c r="B756" s="63"/>
      <c r="C756" s="64"/>
      <c r="D756" s="64"/>
      <c r="E756" s="64"/>
      <c r="F756" s="65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</row>
    <row r="757">
      <c r="A757" s="62"/>
      <c r="B757" s="63"/>
      <c r="C757" s="64"/>
      <c r="D757" s="64"/>
      <c r="E757" s="64"/>
      <c r="F757" s="65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</row>
    <row r="758">
      <c r="A758" s="62"/>
      <c r="B758" s="63"/>
      <c r="C758" s="64"/>
      <c r="D758" s="64"/>
      <c r="E758" s="64"/>
      <c r="F758" s="65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</row>
    <row r="759">
      <c r="A759" s="62"/>
      <c r="B759" s="63"/>
      <c r="C759" s="64"/>
      <c r="D759" s="64"/>
      <c r="E759" s="64"/>
      <c r="F759" s="65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</row>
    <row r="760">
      <c r="A760" s="62"/>
      <c r="B760" s="63"/>
      <c r="C760" s="64"/>
      <c r="D760" s="64"/>
      <c r="E760" s="64"/>
      <c r="F760" s="65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</row>
    <row r="761">
      <c r="A761" s="62"/>
      <c r="B761" s="63"/>
      <c r="C761" s="64"/>
      <c r="D761" s="64"/>
      <c r="E761" s="64"/>
      <c r="F761" s="65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</row>
    <row r="762">
      <c r="A762" s="62"/>
      <c r="B762" s="63"/>
      <c r="C762" s="64"/>
      <c r="D762" s="64"/>
      <c r="E762" s="64"/>
      <c r="F762" s="65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</row>
    <row r="763">
      <c r="A763" s="62"/>
      <c r="B763" s="63"/>
      <c r="C763" s="64"/>
      <c r="D763" s="64"/>
      <c r="E763" s="64"/>
      <c r="F763" s="65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</row>
    <row r="764">
      <c r="A764" s="62"/>
      <c r="B764" s="63"/>
      <c r="C764" s="64"/>
      <c r="D764" s="64"/>
      <c r="E764" s="64"/>
      <c r="F764" s="65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</row>
    <row r="765">
      <c r="A765" s="62"/>
      <c r="B765" s="63"/>
      <c r="C765" s="64"/>
      <c r="D765" s="64"/>
      <c r="E765" s="64"/>
      <c r="F765" s="65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</row>
    <row r="766">
      <c r="A766" s="62"/>
      <c r="B766" s="63"/>
      <c r="C766" s="64"/>
      <c r="D766" s="64"/>
      <c r="E766" s="64"/>
      <c r="F766" s="65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</row>
    <row r="767">
      <c r="A767" s="62"/>
      <c r="B767" s="63"/>
      <c r="C767" s="64"/>
      <c r="D767" s="64"/>
      <c r="E767" s="64"/>
      <c r="F767" s="65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</row>
    <row r="768">
      <c r="A768" s="62"/>
      <c r="B768" s="63"/>
      <c r="C768" s="64"/>
      <c r="D768" s="64"/>
      <c r="E768" s="64"/>
      <c r="F768" s="65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</row>
    <row r="769">
      <c r="A769" s="62"/>
      <c r="B769" s="63"/>
      <c r="C769" s="64"/>
      <c r="D769" s="64"/>
      <c r="E769" s="64"/>
      <c r="F769" s="65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</row>
    <row r="770">
      <c r="A770" s="62"/>
      <c r="B770" s="63"/>
      <c r="C770" s="64"/>
      <c r="D770" s="64"/>
      <c r="E770" s="64"/>
      <c r="F770" s="65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</row>
    <row r="771">
      <c r="A771" s="62"/>
      <c r="B771" s="63"/>
      <c r="C771" s="64"/>
      <c r="D771" s="64"/>
      <c r="E771" s="64"/>
      <c r="F771" s="65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</row>
    <row r="772">
      <c r="A772" s="62"/>
      <c r="B772" s="63"/>
      <c r="C772" s="64"/>
      <c r="D772" s="64"/>
      <c r="E772" s="64"/>
      <c r="F772" s="65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</row>
    <row r="773">
      <c r="A773" s="62"/>
      <c r="B773" s="63"/>
      <c r="C773" s="64"/>
      <c r="D773" s="64"/>
      <c r="E773" s="64"/>
      <c r="F773" s="65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</row>
    <row r="774">
      <c r="A774" s="62"/>
      <c r="B774" s="63"/>
      <c r="C774" s="64"/>
      <c r="D774" s="64"/>
      <c r="E774" s="64"/>
      <c r="F774" s="65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</row>
    <row r="775">
      <c r="A775" s="62"/>
      <c r="B775" s="63"/>
      <c r="C775" s="64"/>
      <c r="D775" s="64"/>
      <c r="E775" s="64"/>
      <c r="F775" s="65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</row>
    <row r="776">
      <c r="A776" s="62"/>
      <c r="B776" s="63"/>
      <c r="C776" s="64"/>
      <c r="D776" s="64"/>
      <c r="E776" s="64"/>
      <c r="F776" s="65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</row>
    <row r="777">
      <c r="A777" s="62"/>
      <c r="B777" s="63"/>
      <c r="C777" s="64"/>
      <c r="D777" s="64"/>
      <c r="E777" s="64"/>
      <c r="F777" s="65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</row>
    <row r="778">
      <c r="A778" s="62"/>
      <c r="B778" s="63"/>
      <c r="C778" s="64"/>
      <c r="D778" s="64"/>
      <c r="E778" s="64"/>
      <c r="F778" s="65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</row>
    <row r="779">
      <c r="A779" s="62"/>
      <c r="B779" s="63"/>
      <c r="C779" s="64"/>
      <c r="D779" s="64"/>
      <c r="E779" s="64"/>
      <c r="F779" s="65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</row>
    <row r="780">
      <c r="A780" s="62"/>
      <c r="B780" s="63"/>
      <c r="C780" s="64"/>
      <c r="D780" s="64"/>
      <c r="E780" s="64"/>
      <c r="F780" s="65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</row>
    <row r="781">
      <c r="A781" s="62"/>
      <c r="B781" s="63"/>
      <c r="C781" s="64"/>
      <c r="D781" s="64"/>
      <c r="E781" s="64"/>
      <c r="F781" s="65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</row>
    <row r="782">
      <c r="A782" s="62"/>
      <c r="B782" s="63"/>
      <c r="C782" s="64"/>
      <c r="D782" s="64"/>
      <c r="E782" s="64"/>
      <c r="F782" s="65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</row>
    <row r="783">
      <c r="A783" s="62"/>
      <c r="B783" s="63"/>
      <c r="C783" s="64"/>
      <c r="D783" s="64"/>
      <c r="E783" s="64"/>
      <c r="F783" s="65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</row>
    <row r="784">
      <c r="A784" s="62"/>
      <c r="B784" s="63"/>
      <c r="C784" s="64"/>
      <c r="D784" s="64"/>
      <c r="E784" s="64"/>
      <c r="F784" s="65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</row>
    <row r="785">
      <c r="A785" s="62"/>
      <c r="B785" s="63"/>
      <c r="C785" s="64"/>
      <c r="D785" s="64"/>
      <c r="E785" s="64"/>
      <c r="F785" s="65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</row>
    <row r="786">
      <c r="A786" s="62"/>
      <c r="B786" s="63"/>
      <c r="C786" s="64"/>
      <c r="D786" s="64"/>
      <c r="E786" s="64"/>
      <c r="F786" s="65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</row>
    <row r="787">
      <c r="A787" s="62"/>
      <c r="B787" s="63"/>
      <c r="C787" s="64"/>
      <c r="D787" s="64"/>
      <c r="E787" s="64"/>
      <c r="F787" s="65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</row>
    <row r="788">
      <c r="A788" s="62"/>
      <c r="B788" s="63"/>
      <c r="C788" s="64"/>
      <c r="D788" s="64"/>
      <c r="E788" s="64"/>
      <c r="F788" s="65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</row>
    <row r="789">
      <c r="A789" s="62"/>
      <c r="B789" s="63"/>
      <c r="C789" s="64"/>
      <c r="D789" s="64"/>
      <c r="E789" s="64"/>
      <c r="F789" s="65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</row>
    <row r="790">
      <c r="A790" s="62"/>
      <c r="B790" s="63"/>
      <c r="C790" s="64"/>
      <c r="D790" s="64"/>
      <c r="E790" s="64"/>
      <c r="F790" s="65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</row>
    <row r="791">
      <c r="A791" s="62"/>
      <c r="B791" s="63"/>
      <c r="C791" s="64"/>
      <c r="D791" s="64"/>
      <c r="E791" s="64"/>
      <c r="F791" s="65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</row>
    <row r="792">
      <c r="A792" s="62"/>
      <c r="B792" s="63"/>
      <c r="C792" s="64"/>
      <c r="D792" s="64"/>
      <c r="E792" s="64"/>
      <c r="F792" s="65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</row>
    <row r="793">
      <c r="A793" s="62"/>
      <c r="B793" s="63"/>
      <c r="C793" s="64"/>
      <c r="D793" s="64"/>
      <c r="E793" s="64"/>
      <c r="F793" s="65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</row>
    <row r="794">
      <c r="A794" s="62"/>
      <c r="B794" s="63"/>
      <c r="C794" s="64"/>
      <c r="D794" s="64"/>
      <c r="E794" s="64"/>
      <c r="F794" s="65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</row>
    <row r="795">
      <c r="A795" s="62"/>
      <c r="B795" s="63"/>
      <c r="C795" s="64"/>
      <c r="D795" s="64"/>
      <c r="E795" s="64"/>
      <c r="F795" s="65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</row>
    <row r="796">
      <c r="A796" s="62"/>
      <c r="B796" s="63"/>
      <c r="C796" s="64"/>
      <c r="D796" s="64"/>
      <c r="E796" s="64"/>
      <c r="F796" s="65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</row>
    <row r="797">
      <c r="A797" s="62"/>
      <c r="B797" s="63"/>
      <c r="C797" s="64"/>
      <c r="D797" s="64"/>
      <c r="E797" s="64"/>
      <c r="F797" s="65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</row>
    <row r="798">
      <c r="A798" s="62"/>
      <c r="B798" s="63"/>
      <c r="C798" s="64"/>
      <c r="D798" s="64"/>
      <c r="E798" s="64"/>
      <c r="F798" s="65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</row>
    <row r="799">
      <c r="A799" s="62"/>
      <c r="B799" s="63"/>
      <c r="C799" s="64"/>
      <c r="D799" s="64"/>
      <c r="E799" s="64"/>
      <c r="F799" s="65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</row>
    <row r="800">
      <c r="A800" s="62"/>
      <c r="B800" s="63"/>
      <c r="C800" s="64"/>
      <c r="D800" s="64"/>
      <c r="E800" s="64"/>
      <c r="F800" s="65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</row>
    <row r="801">
      <c r="A801" s="62"/>
      <c r="B801" s="63"/>
      <c r="C801" s="64"/>
      <c r="D801" s="64"/>
      <c r="E801" s="64"/>
      <c r="F801" s="65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</row>
    <row r="802">
      <c r="A802" s="62"/>
      <c r="B802" s="63"/>
      <c r="C802" s="64"/>
      <c r="D802" s="64"/>
      <c r="E802" s="64"/>
      <c r="F802" s="65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</row>
    <row r="803">
      <c r="A803" s="62"/>
      <c r="B803" s="63"/>
      <c r="C803" s="64"/>
      <c r="D803" s="64"/>
      <c r="E803" s="64"/>
      <c r="F803" s="65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</row>
    <row r="804">
      <c r="A804" s="62"/>
      <c r="B804" s="63"/>
      <c r="C804" s="64"/>
      <c r="D804" s="64"/>
      <c r="E804" s="64"/>
      <c r="F804" s="65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</row>
    <row r="805">
      <c r="A805" s="62"/>
      <c r="B805" s="63"/>
      <c r="C805" s="64"/>
      <c r="D805" s="64"/>
      <c r="E805" s="64"/>
      <c r="F805" s="65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</row>
    <row r="806">
      <c r="A806" s="62"/>
      <c r="B806" s="63"/>
      <c r="C806" s="64"/>
      <c r="D806" s="64"/>
      <c r="E806" s="64"/>
      <c r="F806" s="65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</row>
    <row r="807">
      <c r="A807" s="62"/>
      <c r="B807" s="63"/>
      <c r="C807" s="64"/>
      <c r="D807" s="64"/>
      <c r="E807" s="64"/>
      <c r="F807" s="65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</row>
    <row r="808">
      <c r="A808" s="62"/>
      <c r="B808" s="63"/>
      <c r="C808" s="64"/>
      <c r="D808" s="64"/>
      <c r="E808" s="64"/>
      <c r="F808" s="65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</row>
    <row r="809">
      <c r="A809" s="62"/>
      <c r="B809" s="63"/>
      <c r="C809" s="64"/>
      <c r="D809" s="64"/>
      <c r="E809" s="64"/>
      <c r="F809" s="65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</row>
    <row r="810">
      <c r="A810" s="62"/>
      <c r="B810" s="63"/>
      <c r="C810" s="64"/>
      <c r="D810" s="64"/>
      <c r="E810" s="64"/>
      <c r="F810" s="65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</row>
    <row r="811">
      <c r="A811" s="62"/>
      <c r="B811" s="63"/>
      <c r="C811" s="64"/>
      <c r="D811" s="64"/>
      <c r="E811" s="64"/>
      <c r="F811" s="65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</row>
    <row r="812">
      <c r="A812" s="62"/>
      <c r="B812" s="63"/>
      <c r="C812" s="64"/>
      <c r="D812" s="64"/>
      <c r="E812" s="64"/>
      <c r="F812" s="65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</row>
    <row r="813">
      <c r="A813" s="62"/>
      <c r="B813" s="63"/>
      <c r="C813" s="64"/>
      <c r="D813" s="64"/>
      <c r="E813" s="64"/>
      <c r="F813" s="65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</row>
    <row r="814">
      <c r="A814" s="62"/>
      <c r="B814" s="63"/>
      <c r="C814" s="64"/>
      <c r="D814" s="64"/>
      <c r="E814" s="64"/>
      <c r="F814" s="65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</row>
    <row r="815">
      <c r="A815" s="62"/>
      <c r="B815" s="63"/>
      <c r="C815" s="64"/>
      <c r="D815" s="64"/>
      <c r="E815" s="64"/>
      <c r="F815" s="65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</row>
    <row r="816">
      <c r="A816" s="62"/>
      <c r="B816" s="63"/>
      <c r="C816" s="64"/>
      <c r="D816" s="64"/>
      <c r="E816" s="64"/>
      <c r="F816" s="65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</row>
    <row r="817">
      <c r="A817" s="62"/>
      <c r="B817" s="63"/>
      <c r="C817" s="64"/>
      <c r="D817" s="64"/>
      <c r="E817" s="64"/>
      <c r="F817" s="65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</row>
    <row r="818">
      <c r="A818" s="62"/>
      <c r="B818" s="63"/>
      <c r="C818" s="64"/>
      <c r="D818" s="64"/>
      <c r="E818" s="64"/>
      <c r="F818" s="65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</row>
    <row r="819">
      <c r="A819" s="62"/>
      <c r="B819" s="63"/>
      <c r="C819" s="64"/>
      <c r="D819" s="64"/>
      <c r="E819" s="64"/>
      <c r="F819" s="65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</row>
    <row r="820">
      <c r="A820" s="62"/>
      <c r="B820" s="63"/>
      <c r="C820" s="64"/>
      <c r="D820" s="64"/>
      <c r="E820" s="64"/>
      <c r="F820" s="65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</row>
    <row r="821">
      <c r="A821" s="62"/>
      <c r="B821" s="63"/>
      <c r="C821" s="64"/>
      <c r="D821" s="64"/>
      <c r="E821" s="64"/>
      <c r="F821" s="65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</row>
    <row r="822">
      <c r="A822" s="62"/>
      <c r="B822" s="63"/>
      <c r="C822" s="64"/>
      <c r="D822" s="64"/>
      <c r="E822" s="64"/>
      <c r="F822" s="65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</row>
    <row r="823">
      <c r="A823" s="62"/>
      <c r="B823" s="63"/>
      <c r="C823" s="64"/>
      <c r="D823" s="64"/>
      <c r="E823" s="64"/>
      <c r="F823" s="65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</row>
    <row r="824">
      <c r="A824" s="62"/>
      <c r="B824" s="63"/>
      <c r="C824" s="64"/>
      <c r="D824" s="64"/>
      <c r="E824" s="64"/>
      <c r="F824" s="65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</row>
    <row r="825">
      <c r="A825" s="62"/>
      <c r="B825" s="63"/>
      <c r="C825" s="64"/>
      <c r="D825" s="64"/>
      <c r="E825" s="64"/>
      <c r="F825" s="65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</row>
    <row r="826">
      <c r="A826" s="62"/>
      <c r="B826" s="63"/>
      <c r="C826" s="64"/>
      <c r="D826" s="64"/>
      <c r="E826" s="64"/>
      <c r="F826" s="65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</row>
    <row r="827">
      <c r="A827" s="62"/>
      <c r="B827" s="63"/>
      <c r="C827" s="64"/>
      <c r="D827" s="64"/>
      <c r="E827" s="64"/>
      <c r="F827" s="65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</row>
    <row r="828">
      <c r="A828" s="62"/>
      <c r="B828" s="63"/>
      <c r="C828" s="64"/>
      <c r="D828" s="64"/>
      <c r="E828" s="64"/>
      <c r="F828" s="65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</row>
    <row r="829">
      <c r="A829" s="62"/>
      <c r="B829" s="63"/>
      <c r="C829" s="64"/>
      <c r="D829" s="64"/>
      <c r="E829" s="64"/>
      <c r="F829" s="65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</row>
    <row r="830">
      <c r="A830" s="62"/>
      <c r="B830" s="63"/>
      <c r="C830" s="64"/>
      <c r="D830" s="64"/>
      <c r="E830" s="64"/>
      <c r="F830" s="65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</row>
    <row r="831">
      <c r="A831" s="62"/>
      <c r="B831" s="63"/>
      <c r="C831" s="64"/>
      <c r="D831" s="64"/>
      <c r="E831" s="64"/>
      <c r="F831" s="65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</row>
    <row r="832">
      <c r="A832" s="62"/>
      <c r="B832" s="63"/>
      <c r="C832" s="64"/>
      <c r="D832" s="64"/>
      <c r="E832" s="64"/>
      <c r="F832" s="65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</row>
    <row r="833">
      <c r="A833" s="62"/>
      <c r="B833" s="63"/>
      <c r="C833" s="64"/>
      <c r="D833" s="64"/>
      <c r="E833" s="64"/>
      <c r="F833" s="65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</row>
    <row r="834">
      <c r="A834" s="62"/>
      <c r="B834" s="63"/>
      <c r="C834" s="64"/>
      <c r="D834" s="64"/>
      <c r="E834" s="64"/>
      <c r="F834" s="65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</row>
    <row r="835">
      <c r="A835" s="62"/>
      <c r="B835" s="63"/>
      <c r="C835" s="64"/>
      <c r="D835" s="64"/>
      <c r="E835" s="64"/>
      <c r="F835" s="65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</row>
    <row r="836">
      <c r="A836" s="62"/>
      <c r="B836" s="63"/>
      <c r="C836" s="64"/>
      <c r="D836" s="64"/>
      <c r="E836" s="64"/>
      <c r="F836" s="65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</row>
    <row r="837">
      <c r="A837" s="62"/>
      <c r="B837" s="63"/>
      <c r="C837" s="64"/>
      <c r="D837" s="64"/>
      <c r="E837" s="64"/>
      <c r="F837" s="65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</row>
    <row r="838">
      <c r="A838" s="62"/>
      <c r="B838" s="63"/>
      <c r="C838" s="64"/>
      <c r="D838" s="64"/>
      <c r="E838" s="64"/>
      <c r="F838" s="65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</row>
    <row r="839">
      <c r="A839" s="62"/>
      <c r="B839" s="63"/>
      <c r="C839" s="64"/>
      <c r="D839" s="64"/>
      <c r="E839" s="64"/>
      <c r="F839" s="65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</row>
    <row r="840">
      <c r="A840" s="62"/>
      <c r="B840" s="63"/>
      <c r="C840" s="64"/>
      <c r="D840" s="64"/>
      <c r="E840" s="64"/>
      <c r="F840" s="65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</row>
    <row r="841">
      <c r="A841" s="62"/>
      <c r="B841" s="63"/>
      <c r="C841" s="64"/>
      <c r="D841" s="64"/>
      <c r="E841" s="64"/>
      <c r="F841" s="65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</row>
    <row r="842">
      <c r="A842" s="62"/>
      <c r="B842" s="63"/>
      <c r="C842" s="64"/>
      <c r="D842" s="64"/>
      <c r="E842" s="64"/>
      <c r="F842" s="65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</row>
    <row r="843">
      <c r="A843" s="62"/>
      <c r="B843" s="63"/>
      <c r="C843" s="64"/>
      <c r="D843" s="64"/>
      <c r="E843" s="64"/>
      <c r="F843" s="65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</row>
    <row r="844">
      <c r="A844" s="62"/>
      <c r="B844" s="63"/>
      <c r="C844" s="64"/>
      <c r="D844" s="64"/>
      <c r="E844" s="64"/>
      <c r="F844" s="65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</row>
    <row r="845">
      <c r="A845" s="62"/>
      <c r="B845" s="63"/>
      <c r="C845" s="64"/>
      <c r="D845" s="64"/>
      <c r="E845" s="64"/>
      <c r="F845" s="65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</row>
    <row r="846">
      <c r="A846" s="62"/>
      <c r="B846" s="63"/>
      <c r="C846" s="64"/>
      <c r="D846" s="64"/>
      <c r="E846" s="64"/>
      <c r="F846" s="65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</row>
    <row r="847">
      <c r="A847" s="62"/>
      <c r="B847" s="63"/>
      <c r="C847" s="64"/>
      <c r="D847" s="64"/>
      <c r="E847" s="64"/>
      <c r="F847" s="65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</row>
    <row r="848">
      <c r="A848" s="62"/>
      <c r="B848" s="63"/>
      <c r="C848" s="64"/>
      <c r="D848" s="64"/>
      <c r="E848" s="64"/>
      <c r="F848" s="65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</row>
    <row r="849">
      <c r="A849" s="62"/>
      <c r="B849" s="63"/>
      <c r="C849" s="64"/>
      <c r="D849" s="64"/>
      <c r="E849" s="64"/>
      <c r="F849" s="65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</row>
    <row r="850">
      <c r="A850" s="62"/>
      <c r="B850" s="63"/>
      <c r="C850" s="64"/>
      <c r="D850" s="64"/>
      <c r="E850" s="64"/>
      <c r="F850" s="65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</row>
    <row r="851">
      <c r="A851" s="62"/>
      <c r="B851" s="63"/>
      <c r="C851" s="64"/>
      <c r="D851" s="64"/>
      <c r="E851" s="64"/>
      <c r="F851" s="65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</row>
    <row r="852">
      <c r="A852" s="62"/>
      <c r="B852" s="63"/>
      <c r="C852" s="64"/>
      <c r="D852" s="64"/>
      <c r="E852" s="64"/>
      <c r="F852" s="65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</row>
    <row r="853">
      <c r="A853" s="62"/>
      <c r="B853" s="63"/>
      <c r="C853" s="64"/>
      <c r="D853" s="64"/>
      <c r="E853" s="64"/>
      <c r="F853" s="65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</row>
    <row r="854">
      <c r="A854" s="62"/>
      <c r="B854" s="63"/>
      <c r="C854" s="64"/>
      <c r="D854" s="64"/>
      <c r="E854" s="64"/>
      <c r="F854" s="65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</row>
    <row r="855">
      <c r="A855" s="62"/>
      <c r="B855" s="63"/>
      <c r="C855" s="64"/>
      <c r="D855" s="64"/>
      <c r="E855" s="64"/>
      <c r="F855" s="65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</row>
    <row r="856">
      <c r="A856" s="62"/>
      <c r="B856" s="63"/>
      <c r="C856" s="64"/>
      <c r="D856" s="64"/>
      <c r="E856" s="64"/>
      <c r="F856" s="65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</row>
    <row r="857">
      <c r="A857" s="62"/>
      <c r="B857" s="63"/>
      <c r="C857" s="64"/>
      <c r="D857" s="64"/>
      <c r="E857" s="64"/>
      <c r="F857" s="65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</row>
    <row r="858">
      <c r="A858" s="62"/>
      <c r="B858" s="63"/>
      <c r="C858" s="64"/>
      <c r="D858" s="64"/>
      <c r="E858" s="64"/>
      <c r="F858" s="65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</row>
    <row r="859">
      <c r="A859" s="62"/>
      <c r="B859" s="63"/>
      <c r="C859" s="64"/>
      <c r="D859" s="64"/>
      <c r="E859" s="64"/>
      <c r="F859" s="65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</row>
    <row r="860">
      <c r="A860" s="62"/>
      <c r="B860" s="63"/>
      <c r="C860" s="64"/>
      <c r="D860" s="64"/>
      <c r="E860" s="64"/>
      <c r="F860" s="65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</row>
    <row r="861">
      <c r="A861" s="62"/>
      <c r="B861" s="63"/>
      <c r="C861" s="64"/>
      <c r="D861" s="64"/>
      <c r="E861" s="64"/>
      <c r="F861" s="65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</row>
    <row r="862">
      <c r="A862" s="62"/>
      <c r="B862" s="63"/>
      <c r="C862" s="64"/>
      <c r="D862" s="64"/>
      <c r="E862" s="64"/>
      <c r="F862" s="65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</row>
    <row r="863">
      <c r="A863" s="62"/>
      <c r="B863" s="63"/>
      <c r="C863" s="64"/>
      <c r="D863" s="64"/>
      <c r="E863" s="64"/>
      <c r="F863" s="65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</row>
    <row r="864">
      <c r="A864" s="62"/>
      <c r="B864" s="63"/>
      <c r="C864" s="64"/>
      <c r="D864" s="64"/>
      <c r="E864" s="64"/>
      <c r="F864" s="65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</row>
    <row r="865">
      <c r="A865" s="62"/>
      <c r="B865" s="63"/>
      <c r="C865" s="64"/>
      <c r="D865" s="64"/>
      <c r="E865" s="64"/>
      <c r="F865" s="65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</row>
    <row r="866">
      <c r="A866" s="62"/>
      <c r="B866" s="63"/>
      <c r="C866" s="64"/>
      <c r="D866" s="64"/>
      <c r="E866" s="64"/>
      <c r="F866" s="65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</row>
    <row r="867">
      <c r="A867" s="62"/>
      <c r="B867" s="63"/>
      <c r="C867" s="64"/>
      <c r="D867" s="64"/>
      <c r="E867" s="64"/>
      <c r="F867" s="65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</row>
    <row r="868">
      <c r="A868" s="62"/>
      <c r="B868" s="63"/>
      <c r="C868" s="64"/>
      <c r="D868" s="64"/>
      <c r="E868" s="64"/>
      <c r="F868" s="65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</row>
    <row r="869">
      <c r="A869" s="62"/>
      <c r="B869" s="63"/>
      <c r="C869" s="64"/>
      <c r="D869" s="64"/>
      <c r="E869" s="64"/>
      <c r="F869" s="65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</row>
    <row r="870">
      <c r="A870" s="62"/>
      <c r="B870" s="63"/>
      <c r="C870" s="64"/>
      <c r="D870" s="64"/>
      <c r="E870" s="64"/>
      <c r="F870" s="65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</row>
    <row r="871">
      <c r="A871" s="62"/>
      <c r="B871" s="63"/>
      <c r="C871" s="64"/>
      <c r="D871" s="64"/>
      <c r="E871" s="64"/>
      <c r="F871" s="65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</row>
    <row r="872">
      <c r="A872" s="62"/>
      <c r="B872" s="63"/>
      <c r="C872" s="64"/>
      <c r="D872" s="64"/>
      <c r="E872" s="64"/>
      <c r="F872" s="65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</row>
    <row r="873">
      <c r="A873" s="62"/>
      <c r="B873" s="63"/>
      <c r="C873" s="64"/>
      <c r="D873" s="64"/>
      <c r="E873" s="64"/>
      <c r="F873" s="65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</row>
    <row r="874">
      <c r="A874" s="62"/>
      <c r="B874" s="63"/>
      <c r="C874" s="64"/>
      <c r="D874" s="64"/>
      <c r="E874" s="64"/>
      <c r="F874" s="65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</row>
    <row r="875">
      <c r="A875" s="62"/>
      <c r="B875" s="63"/>
      <c r="C875" s="64"/>
      <c r="D875" s="64"/>
      <c r="E875" s="64"/>
      <c r="F875" s="65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</row>
    <row r="876">
      <c r="A876" s="62"/>
      <c r="B876" s="63"/>
      <c r="C876" s="64"/>
      <c r="D876" s="64"/>
      <c r="E876" s="64"/>
      <c r="F876" s="65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</row>
    <row r="877">
      <c r="A877" s="62"/>
      <c r="B877" s="63"/>
      <c r="C877" s="64"/>
      <c r="D877" s="64"/>
      <c r="E877" s="64"/>
      <c r="F877" s="65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</row>
    <row r="878">
      <c r="A878" s="62"/>
      <c r="B878" s="63"/>
      <c r="C878" s="64"/>
      <c r="D878" s="64"/>
      <c r="E878" s="64"/>
      <c r="F878" s="65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</row>
    <row r="879">
      <c r="A879" s="62"/>
      <c r="B879" s="63"/>
      <c r="C879" s="64"/>
      <c r="D879" s="64"/>
      <c r="E879" s="64"/>
      <c r="F879" s="65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</row>
    <row r="880">
      <c r="A880" s="62"/>
      <c r="B880" s="63"/>
      <c r="C880" s="64"/>
      <c r="D880" s="64"/>
      <c r="E880" s="64"/>
      <c r="F880" s="65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</row>
    <row r="881">
      <c r="A881" s="62"/>
      <c r="B881" s="63"/>
      <c r="C881" s="64"/>
      <c r="D881" s="64"/>
      <c r="E881" s="64"/>
      <c r="F881" s="65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</row>
    <row r="882">
      <c r="A882" s="62"/>
      <c r="B882" s="63"/>
      <c r="C882" s="64"/>
      <c r="D882" s="64"/>
      <c r="E882" s="64"/>
      <c r="F882" s="65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</row>
    <row r="883">
      <c r="A883" s="62"/>
      <c r="B883" s="63"/>
      <c r="C883" s="64"/>
      <c r="D883" s="64"/>
      <c r="E883" s="64"/>
      <c r="F883" s="65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</row>
    <row r="884">
      <c r="A884" s="62"/>
      <c r="B884" s="63"/>
      <c r="C884" s="64"/>
      <c r="D884" s="64"/>
      <c r="E884" s="64"/>
      <c r="F884" s="65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</row>
    <row r="885">
      <c r="A885" s="62"/>
      <c r="B885" s="63"/>
      <c r="C885" s="64"/>
      <c r="D885" s="64"/>
      <c r="E885" s="64"/>
      <c r="F885" s="65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</row>
    <row r="886">
      <c r="A886" s="62"/>
      <c r="B886" s="63"/>
      <c r="C886" s="64"/>
      <c r="D886" s="64"/>
      <c r="E886" s="64"/>
      <c r="F886" s="65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</row>
    <row r="887">
      <c r="A887" s="62"/>
      <c r="B887" s="63"/>
      <c r="C887" s="64"/>
      <c r="D887" s="64"/>
      <c r="E887" s="64"/>
      <c r="F887" s="65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</row>
    <row r="888">
      <c r="A888" s="62"/>
      <c r="B888" s="63"/>
      <c r="C888" s="64"/>
      <c r="D888" s="64"/>
      <c r="E888" s="64"/>
      <c r="F888" s="65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</row>
    <row r="889">
      <c r="A889" s="62"/>
      <c r="B889" s="63"/>
      <c r="C889" s="64"/>
      <c r="D889" s="64"/>
      <c r="E889" s="64"/>
      <c r="F889" s="65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</row>
    <row r="890">
      <c r="A890" s="62"/>
      <c r="B890" s="63"/>
      <c r="C890" s="64"/>
      <c r="D890" s="64"/>
      <c r="E890" s="64"/>
      <c r="F890" s="65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</row>
    <row r="891">
      <c r="A891" s="62"/>
      <c r="B891" s="63"/>
      <c r="C891" s="64"/>
      <c r="D891" s="64"/>
      <c r="E891" s="64"/>
      <c r="F891" s="65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</row>
    <row r="892">
      <c r="A892" s="62"/>
      <c r="B892" s="63"/>
      <c r="C892" s="64"/>
      <c r="D892" s="64"/>
      <c r="E892" s="64"/>
      <c r="F892" s="65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</row>
    <row r="893">
      <c r="A893" s="62"/>
      <c r="B893" s="63"/>
      <c r="C893" s="64"/>
      <c r="D893" s="64"/>
      <c r="E893" s="64"/>
      <c r="F893" s="65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</row>
    <row r="894">
      <c r="A894" s="62"/>
      <c r="B894" s="63"/>
      <c r="C894" s="64"/>
      <c r="D894" s="64"/>
      <c r="E894" s="64"/>
      <c r="F894" s="65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</row>
    <row r="895">
      <c r="A895" s="62"/>
      <c r="B895" s="63"/>
      <c r="C895" s="64"/>
      <c r="D895" s="64"/>
      <c r="E895" s="64"/>
      <c r="F895" s="65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</row>
    <row r="896">
      <c r="A896" s="62"/>
      <c r="B896" s="63"/>
      <c r="C896" s="64"/>
      <c r="D896" s="64"/>
      <c r="E896" s="64"/>
      <c r="F896" s="65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</row>
    <row r="897">
      <c r="A897" s="62"/>
      <c r="B897" s="63"/>
      <c r="C897" s="64"/>
      <c r="D897" s="64"/>
      <c r="E897" s="64"/>
      <c r="F897" s="65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</row>
    <row r="898">
      <c r="A898" s="62"/>
      <c r="B898" s="63"/>
      <c r="C898" s="64"/>
      <c r="D898" s="64"/>
      <c r="E898" s="64"/>
      <c r="F898" s="65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</row>
    <row r="899">
      <c r="A899" s="62"/>
      <c r="B899" s="63"/>
      <c r="C899" s="64"/>
      <c r="D899" s="64"/>
      <c r="E899" s="64"/>
      <c r="F899" s="65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</row>
    <row r="900">
      <c r="A900" s="62"/>
      <c r="B900" s="63"/>
      <c r="C900" s="64"/>
      <c r="D900" s="64"/>
      <c r="E900" s="64"/>
      <c r="F900" s="65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</row>
    <row r="901">
      <c r="A901" s="62"/>
      <c r="B901" s="63"/>
      <c r="C901" s="64"/>
      <c r="D901" s="64"/>
      <c r="E901" s="64"/>
      <c r="F901" s="65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</row>
    <row r="902">
      <c r="A902" s="62"/>
      <c r="B902" s="63"/>
      <c r="C902" s="64"/>
      <c r="D902" s="64"/>
      <c r="E902" s="64"/>
      <c r="F902" s="65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</row>
    <row r="903">
      <c r="A903" s="62"/>
      <c r="B903" s="63"/>
      <c r="C903" s="64"/>
      <c r="D903" s="64"/>
      <c r="E903" s="64"/>
      <c r="F903" s="65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</row>
    <row r="904">
      <c r="A904" s="62"/>
      <c r="B904" s="63"/>
      <c r="C904" s="64"/>
      <c r="D904" s="64"/>
      <c r="E904" s="64"/>
      <c r="F904" s="65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</row>
    <row r="905">
      <c r="A905" s="62"/>
      <c r="B905" s="63"/>
      <c r="C905" s="64"/>
      <c r="D905" s="64"/>
      <c r="E905" s="64"/>
      <c r="F905" s="65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</row>
    <row r="906">
      <c r="A906" s="62"/>
      <c r="B906" s="63"/>
      <c r="C906" s="64"/>
      <c r="D906" s="64"/>
      <c r="E906" s="64"/>
      <c r="F906" s="65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</row>
    <row r="907">
      <c r="A907" s="62"/>
      <c r="B907" s="63"/>
      <c r="C907" s="64"/>
      <c r="D907" s="64"/>
      <c r="E907" s="64"/>
      <c r="F907" s="65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</row>
    <row r="908">
      <c r="A908" s="62"/>
      <c r="B908" s="63"/>
      <c r="C908" s="64"/>
      <c r="D908" s="64"/>
      <c r="E908" s="64"/>
      <c r="F908" s="65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</row>
    <row r="909">
      <c r="A909" s="62"/>
      <c r="B909" s="63"/>
      <c r="C909" s="64"/>
      <c r="D909" s="64"/>
      <c r="E909" s="64"/>
      <c r="F909" s="65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</row>
    <row r="910">
      <c r="A910" s="62"/>
      <c r="B910" s="63"/>
      <c r="C910" s="64"/>
      <c r="D910" s="64"/>
      <c r="E910" s="64"/>
      <c r="F910" s="65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</row>
    <row r="911">
      <c r="A911" s="62"/>
      <c r="B911" s="63"/>
      <c r="C911" s="64"/>
      <c r="D911" s="64"/>
      <c r="E911" s="64"/>
      <c r="F911" s="65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</row>
    <row r="912">
      <c r="A912" s="62"/>
      <c r="B912" s="63"/>
      <c r="C912" s="64"/>
      <c r="D912" s="64"/>
      <c r="E912" s="64"/>
      <c r="F912" s="65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</row>
    <row r="913">
      <c r="A913" s="62"/>
      <c r="B913" s="63"/>
      <c r="C913" s="64"/>
      <c r="D913" s="64"/>
      <c r="E913" s="64"/>
      <c r="F913" s="65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</row>
    <row r="914">
      <c r="A914" s="62"/>
      <c r="B914" s="63"/>
      <c r="C914" s="64"/>
      <c r="D914" s="64"/>
      <c r="E914" s="64"/>
      <c r="F914" s="65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</row>
    <row r="915">
      <c r="A915" s="62"/>
      <c r="B915" s="63"/>
      <c r="C915" s="64"/>
      <c r="D915" s="64"/>
      <c r="E915" s="64"/>
      <c r="F915" s="65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</row>
    <row r="916">
      <c r="A916" s="62"/>
      <c r="B916" s="63"/>
      <c r="C916" s="64"/>
      <c r="D916" s="64"/>
      <c r="E916" s="64"/>
      <c r="F916" s="65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</row>
    <row r="917">
      <c r="A917" s="62"/>
      <c r="B917" s="63"/>
      <c r="C917" s="64"/>
      <c r="D917" s="64"/>
      <c r="E917" s="64"/>
      <c r="F917" s="65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</row>
    <row r="918">
      <c r="A918" s="62"/>
      <c r="B918" s="63"/>
      <c r="C918" s="64"/>
      <c r="D918" s="64"/>
      <c r="E918" s="64"/>
      <c r="F918" s="65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</row>
    <row r="919">
      <c r="A919" s="62"/>
      <c r="B919" s="63"/>
      <c r="C919" s="64"/>
      <c r="D919" s="64"/>
      <c r="E919" s="64"/>
      <c r="F919" s="65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</row>
    <row r="920">
      <c r="A920" s="62"/>
      <c r="B920" s="63"/>
      <c r="C920" s="64"/>
      <c r="D920" s="64"/>
      <c r="E920" s="64"/>
      <c r="F920" s="65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</row>
    <row r="921">
      <c r="A921" s="62"/>
      <c r="B921" s="63"/>
      <c r="C921" s="64"/>
      <c r="D921" s="64"/>
      <c r="E921" s="64"/>
      <c r="F921" s="65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</row>
    <row r="922">
      <c r="A922" s="62"/>
      <c r="B922" s="63"/>
      <c r="C922" s="64"/>
      <c r="D922" s="64"/>
      <c r="E922" s="64"/>
      <c r="F922" s="65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</row>
    <row r="923">
      <c r="A923" s="62"/>
      <c r="B923" s="63"/>
      <c r="C923" s="64"/>
      <c r="D923" s="64"/>
      <c r="E923" s="64"/>
      <c r="F923" s="65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</row>
    <row r="924">
      <c r="A924" s="62"/>
      <c r="B924" s="63"/>
      <c r="C924" s="64"/>
      <c r="D924" s="64"/>
      <c r="E924" s="64"/>
      <c r="F924" s="65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</row>
    <row r="925">
      <c r="A925" s="62"/>
      <c r="B925" s="63"/>
      <c r="C925" s="64"/>
      <c r="D925" s="64"/>
      <c r="E925" s="64"/>
      <c r="F925" s="65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</row>
    <row r="926">
      <c r="A926" s="62"/>
      <c r="B926" s="63"/>
      <c r="C926" s="64"/>
      <c r="D926" s="64"/>
      <c r="E926" s="64"/>
      <c r="F926" s="65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</row>
    <row r="927">
      <c r="A927" s="62"/>
      <c r="B927" s="63"/>
      <c r="C927" s="64"/>
      <c r="D927" s="64"/>
      <c r="E927" s="64"/>
      <c r="F927" s="65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</row>
    <row r="928">
      <c r="A928" s="62"/>
      <c r="B928" s="63"/>
      <c r="C928" s="64"/>
      <c r="D928" s="64"/>
      <c r="E928" s="64"/>
      <c r="F928" s="65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</row>
    <row r="929">
      <c r="A929" s="62"/>
      <c r="B929" s="63"/>
      <c r="C929" s="64"/>
      <c r="D929" s="64"/>
      <c r="E929" s="64"/>
      <c r="F929" s="65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</row>
    <row r="930">
      <c r="A930" s="62"/>
      <c r="B930" s="63"/>
      <c r="C930" s="64"/>
      <c r="D930" s="64"/>
      <c r="E930" s="64"/>
      <c r="F930" s="65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</row>
    <row r="931">
      <c r="A931" s="62"/>
      <c r="B931" s="63"/>
      <c r="C931" s="64"/>
      <c r="D931" s="64"/>
      <c r="E931" s="64"/>
      <c r="F931" s="65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</row>
    <row r="932">
      <c r="A932" s="62"/>
      <c r="B932" s="63"/>
      <c r="C932" s="64"/>
      <c r="D932" s="64"/>
      <c r="E932" s="64"/>
      <c r="F932" s="65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</row>
    <row r="933">
      <c r="A933" s="62"/>
      <c r="B933" s="63"/>
      <c r="C933" s="64"/>
      <c r="D933" s="64"/>
      <c r="E933" s="64"/>
      <c r="F933" s="65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</row>
    <row r="934">
      <c r="A934" s="62"/>
      <c r="B934" s="63"/>
      <c r="C934" s="64"/>
      <c r="D934" s="64"/>
      <c r="E934" s="64"/>
      <c r="F934" s="65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</row>
    <row r="935">
      <c r="A935" s="62"/>
      <c r="B935" s="63"/>
      <c r="C935" s="64"/>
      <c r="D935" s="64"/>
      <c r="E935" s="64"/>
      <c r="F935" s="65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</row>
    <row r="936">
      <c r="A936" s="62"/>
      <c r="B936" s="63"/>
      <c r="C936" s="64"/>
      <c r="D936" s="64"/>
      <c r="E936" s="64"/>
      <c r="F936" s="65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</row>
    <row r="937">
      <c r="A937" s="62"/>
      <c r="B937" s="63"/>
      <c r="C937" s="64"/>
      <c r="D937" s="64"/>
      <c r="E937" s="64"/>
      <c r="F937" s="65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</row>
    <row r="938">
      <c r="A938" s="62"/>
      <c r="B938" s="63"/>
      <c r="C938" s="64"/>
      <c r="D938" s="64"/>
      <c r="E938" s="64"/>
      <c r="F938" s="65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</row>
    <row r="939">
      <c r="A939" s="62"/>
      <c r="B939" s="63"/>
      <c r="C939" s="64"/>
      <c r="D939" s="64"/>
      <c r="E939" s="64"/>
      <c r="F939" s="65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</row>
    <row r="940">
      <c r="A940" s="62"/>
      <c r="B940" s="63"/>
      <c r="C940" s="64"/>
      <c r="D940" s="64"/>
      <c r="E940" s="64"/>
      <c r="F940" s="65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</row>
    <row r="941">
      <c r="A941" s="62"/>
      <c r="B941" s="63"/>
      <c r="C941" s="64"/>
      <c r="D941" s="64"/>
      <c r="E941" s="64"/>
      <c r="F941" s="65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</row>
    <row r="942">
      <c r="A942" s="62"/>
      <c r="B942" s="63"/>
      <c r="C942" s="64"/>
      <c r="D942" s="64"/>
      <c r="E942" s="64"/>
      <c r="F942" s="65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</row>
    <row r="943">
      <c r="A943" s="62"/>
      <c r="B943" s="63"/>
      <c r="C943" s="64"/>
      <c r="D943" s="64"/>
      <c r="E943" s="64"/>
      <c r="F943" s="65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</row>
    <row r="944">
      <c r="A944" s="62"/>
      <c r="B944" s="63"/>
      <c r="C944" s="64"/>
      <c r="D944" s="64"/>
      <c r="E944" s="64"/>
      <c r="F944" s="65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</row>
    <row r="945">
      <c r="A945" s="62"/>
      <c r="B945" s="63"/>
      <c r="C945" s="64"/>
      <c r="D945" s="64"/>
      <c r="E945" s="64"/>
      <c r="F945" s="65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</row>
    <row r="946">
      <c r="A946" s="62"/>
      <c r="B946" s="63"/>
      <c r="C946" s="64"/>
      <c r="D946" s="64"/>
      <c r="E946" s="64"/>
      <c r="F946" s="65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</row>
    <row r="947">
      <c r="A947" s="62"/>
      <c r="B947" s="63"/>
      <c r="C947" s="64"/>
      <c r="D947" s="64"/>
      <c r="E947" s="64"/>
      <c r="F947" s="65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</row>
    <row r="948">
      <c r="A948" s="62"/>
      <c r="B948" s="63"/>
      <c r="C948" s="64"/>
      <c r="D948" s="64"/>
      <c r="E948" s="64"/>
      <c r="F948" s="65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</row>
    <row r="949">
      <c r="A949" s="62"/>
      <c r="B949" s="63"/>
      <c r="C949" s="64"/>
      <c r="D949" s="64"/>
      <c r="E949" s="64"/>
      <c r="F949" s="65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</row>
    <row r="950">
      <c r="A950" s="62"/>
      <c r="B950" s="63"/>
      <c r="C950" s="64"/>
      <c r="D950" s="64"/>
      <c r="E950" s="64"/>
      <c r="F950" s="65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</row>
    <row r="951">
      <c r="A951" s="62"/>
      <c r="B951" s="63"/>
      <c r="C951" s="64"/>
      <c r="D951" s="64"/>
      <c r="E951" s="64"/>
      <c r="F951" s="65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</row>
    <row r="952">
      <c r="A952" s="62"/>
      <c r="B952" s="63"/>
      <c r="C952" s="64"/>
      <c r="D952" s="64"/>
      <c r="E952" s="64"/>
      <c r="F952" s="65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</row>
    <row r="953">
      <c r="A953" s="62"/>
      <c r="B953" s="63"/>
      <c r="C953" s="64"/>
      <c r="D953" s="64"/>
      <c r="E953" s="64"/>
      <c r="F953" s="65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</row>
    <row r="954">
      <c r="A954" s="62"/>
      <c r="B954" s="63"/>
      <c r="C954" s="64"/>
      <c r="D954" s="64"/>
      <c r="E954" s="64"/>
      <c r="F954" s="65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</row>
    <row r="955">
      <c r="A955" s="62"/>
      <c r="B955" s="63"/>
      <c r="C955" s="64"/>
      <c r="D955" s="64"/>
      <c r="E955" s="64"/>
      <c r="F955" s="65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</row>
    <row r="956">
      <c r="A956" s="62"/>
      <c r="B956" s="63"/>
      <c r="C956" s="64"/>
      <c r="D956" s="64"/>
      <c r="E956" s="64"/>
      <c r="F956" s="65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</row>
    <row r="957">
      <c r="A957" s="62"/>
      <c r="B957" s="63"/>
      <c r="C957" s="64"/>
      <c r="D957" s="64"/>
      <c r="E957" s="64"/>
      <c r="F957" s="65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</row>
    <row r="958">
      <c r="A958" s="62"/>
      <c r="B958" s="63"/>
      <c r="C958" s="64"/>
      <c r="D958" s="64"/>
      <c r="E958" s="64"/>
      <c r="F958" s="65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</row>
    <row r="959">
      <c r="A959" s="62"/>
      <c r="B959" s="63"/>
      <c r="C959" s="64"/>
      <c r="D959" s="64"/>
      <c r="E959" s="64"/>
      <c r="F959" s="65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</row>
    <row r="960">
      <c r="A960" s="62"/>
      <c r="B960" s="63"/>
      <c r="C960" s="64"/>
      <c r="D960" s="64"/>
      <c r="E960" s="64"/>
      <c r="F960" s="65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</row>
    <row r="961">
      <c r="A961" s="62"/>
      <c r="B961" s="63"/>
      <c r="C961" s="64"/>
      <c r="D961" s="64"/>
      <c r="E961" s="64"/>
      <c r="F961" s="65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</row>
    <row r="962">
      <c r="A962" s="62"/>
      <c r="B962" s="63"/>
      <c r="C962" s="64"/>
      <c r="D962" s="64"/>
      <c r="E962" s="64"/>
      <c r="F962" s="65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</row>
    <row r="963">
      <c r="A963" s="62"/>
      <c r="B963" s="63"/>
      <c r="C963" s="64"/>
      <c r="D963" s="64"/>
      <c r="E963" s="64"/>
      <c r="F963" s="65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</row>
    <row r="964">
      <c r="A964" s="62"/>
      <c r="B964" s="63"/>
      <c r="C964" s="64"/>
      <c r="D964" s="64"/>
      <c r="E964" s="64"/>
      <c r="F964" s="65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</row>
    <row r="965">
      <c r="A965" s="62"/>
      <c r="B965" s="63"/>
      <c r="C965" s="64"/>
      <c r="D965" s="64"/>
      <c r="E965" s="64"/>
      <c r="F965" s="65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</row>
    <row r="966">
      <c r="A966" s="62"/>
      <c r="B966" s="63"/>
      <c r="C966" s="64"/>
      <c r="D966" s="64"/>
      <c r="E966" s="64"/>
      <c r="F966" s="65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</row>
    <row r="967">
      <c r="A967" s="62"/>
      <c r="B967" s="63"/>
      <c r="C967" s="64"/>
      <c r="D967" s="64"/>
      <c r="E967" s="64"/>
      <c r="F967" s="65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</row>
    <row r="968">
      <c r="A968" s="62"/>
      <c r="B968" s="63"/>
      <c r="C968" s="64"/>
      <c r="D968" s="64"/>
      <c r="E968" s="64"/>
      <c r="F968" s="65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</row>
    <row r="969">
      <c r="A969" s="62"/>
      <c r="B969" s="63"/>
      <c r="C969" s="64"/>
      <c r="D969" s="64"/>
      <c r="E969" s="64"/>
      <c r="F969" s="65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</row>
    <row r="970">
      <c r="A970" s="62"/>
      <c r="B970" s="63"/>
      <c r="C970" s="64"/>
      <c r="D970" s="64"/>
      <c r="E970" s="64"/>
      <c r="F970" s="65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</row>
    <row r="971">
      <c r="A971" s="62"/>
      <c r="B971" s="63"/>
      <c r="C971" s="64"/>
      <c r="D971" s="64"/>
      <c r="E971" s="64"/>
      <c r="F971" s="65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</row>
    <row r="972">
      <c r="A972" s="62"/>
      <c r="B972" s="63"/>
      <c r="C972" s="64"/>
      <c r="D972" s="64"/>
      <c r="E972" s="64"/>
      <c r="F972" s="65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</row>
    <row r="973">
      <c r="A973" s="62"/>
      <c r="B973" s="63"/>
      <c r="C973" s="64"/>
      <c r="D973" s="64"/>
      <c r="E973" s="64"/>
      <c r="F973" s="65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</row>
    <row r="974">
      <c r="A974" s="62"/>
      <c r="B974" s="63"/>
      <c r="C974" s="64"/>
      <c r="D974" s="64"/>
      <c r="E974" s="64"/>
      <c r="F974" s="65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</row>
    <row r="975">
      <c r="A975" s="62"/>
      <c r="B975" s="63"/>
      <c r="C975" s="64"/>
      <c r="D975" s="64"/>
      <c r="E975" s="64"/>
      <c r="F975" s="65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</row>
    <row r="976">
      <c r="A976" s="62"/>
      <c r="B976" s="63"/>
      <c r="C976" s="64"/>
      <c r="D976" s="64"/>
      <c r="E976" s="64"/>
      <c r="F976" s="65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</row>
    <row r="977">
      <c r="A977" s="62"/>
      <c r="B977" s="63"/>
      <c r="C977" s="64"/>
      <c r="D977" s="64"/>
      <c r="E977" s="64"/>
      <c r="F977" s="65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</row>
    <row r="978">
      <c r="A978" s="62"/>
      <c r="B978" s="63"/>
      <c r="C978" s="64"/>
      <c r="D978" s="64"/>
      <c r="E978" s="64"/>
      <c r="F978" s="65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</row>
    <row r="979">
      <c r="A979" s="62"/>
      <c r="B979" s="63"/>
      <c r="C979" s="64"/>
      <c r="D979" s="64"/>
      <c r="E979" s="64"/>
      <c r="F979" s="65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</row>
    <row r="980">
      <c r="A980" s="62"/>
      <c r="B980" s="63"/>
      <c r="C980" s="64"/>
      <c r="D980" s="64"/>
      <c r="E980" s="64"/>
      <c r="F980" s="65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</row>
    <row r="981">
      <c r="A981" s="62"/>
      <c r="B981" s="63"/>
      <c r="C981" s="64"/>
      <c r="D981" s="64"/>
      <c r="E981" s="64"/>
      <c r="F981" s="65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</row>
    <row r="982">
      <c r="A982" s="62"/>
      <c r="B982" s="63"/>
      <c r="C982" s="64"/>
      <c r="D982" s="64"/>
      <c r="E982" s="64"/>
      <c r="F982" s="65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</row>
    <row r="983">
      <c r="A983" s="62"/>
      <c r="B983" s="63"/>
      <c r="C983" s="64"/>
      <c r="D983" s="64"/>
      <c r="E983" s="64"/>
      <c r="F983" s="65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</row>
    <row r="984">
      <c r="A984" s="62"/>
      <c r="B984" s="63"/>
      <c r="C984" s="64"/>
      <c r="D984" s="64"/>
      <c r="E984" s="64"/>
      <c r="F984" s="65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</row>
    <row r="985">
      <c r="A985" s="62"/>
      <c r="B985" s="63"/>
      <c r="C985" s="64"/>
      <c r="D985" s="64"/>
      <c r="E985" s="64"/>
      <c r="F985" s="65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</row>
    <row r="986">
      <c r="A986" s="62"/>
      <c r="B986" s="63"/>
      <c r="C986" s="64"/>
      <c r="D986" s="64"/>
      <c r="E986" s="64"/>
      <c r="F986" s="65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</row>
    <row r="987">
      <c r="A987" s="62"/>
      <c r="B987" s="63"/>
      <c r="C987" s="64"/>
      <c r="D987" s="64"/>
      <c r="E987" s="64"/>
      <c r="F987" s="65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</row>
    <row r="988">
      <c r="A988" s="62"/>
      <c r="B988" s="63"/>
      <c r="C988" s="64"/>
      <c r="D988" s="64"/>
      <c r="E988" s="64"/>
      <c r="F988" s="65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</row>
    <row r="989">
      <c r="A989" s="62"/>
      <c r="B989" s="63"/>
      <c r="C989" s="64"/>
      <c r="D989" s="64"/>
      <c r="E989" s="64"/>
      <c r="F989" s="65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</row>
    <row r="990">
      <c r="A990" s="62"/>
      <c r="B990" s="63"/>
      <c r="C990" s="64"/>
      <c r="D990" s="64"/>
      <c r="E990" s="64"/>
      <c r="F990" s="65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</row>
    <row r="991">
      <c r="A991" s="62"/>
      <c r="B991" s="63"/>
      <c r="C991" s="64"/>
      <c r="D991" s="64"/>
      <c r="E991" s="64"/>
      <c r="F991" s="65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</row>
    <row r="992">
      <c r="A992" s="62"/>
      <c r="B992" s="63"/>
      <c r="C992" s="64"/>
      <c r="D992" s="64"/>
      <c r="E992" s="64"/>
      <c r="F992" s="65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</row>
    <row r="993">
      <c r="A993" s="62"/>
      <c r="B993" s="63"/>
      <c r="C993" s="64"/>
      <c r="D993" s="64"/>
      <c r="E993" s="64"/>
      <c r="F993" s="65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</row>
    <row r="994">
      <c r="A994" s="62"/>
      <c r="B994" s="63"/>
      <c r="C994" s="64"/>
      <c r="D994" s="64"/>
      <c r="E994" s="64"/>
      <c r="F994" s="65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</row>
    <row r="995">
      <c r="A995" s="62"/>
      <c r="B995" s="63"/>
      <c r="C995" s="64"/>
      <c r="D995" s="64"/>
      <c r="E995" s="64"/>
      <c r="F995" s="65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</row>
    <row r="996">
      <c r="A996" s="62"/>
      <c r="B996" s="63"/>
      <c r="C996" s="64"/>
      <c r="D996" s="64"/>
      <c r="E996" s="64"/>
      <c r="F996" s="65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</row>
    <row r="997">
      <c r="A997" s="62"/>
      <c r="B997" s="63"/>
      <c r="C997" s="64"/>
      <c r="D997" s="64"/>
      <c r="E997" s="64"/>
      <c r="F997" s="65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</row>
    <row r="998">
      <c r="A998" s="62"/>
      <c r="B998" s="63"/>
      <c r="C998" s="64"/>
      <c r="D998" s="64"/>
      <c r="E998" s="64"/>
      <c r="F998" s="65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</row>
    <row r="999">
      <c r="A999" s="62"/>
      <c r="B999" s="63"/>
      <c r="C999" s="64"/>
      <c r="D999" s="64"/>
      <c r="E999" s="64"/>
      <c r="F999" s="65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</row>
    <row r="1000">
      <c r="A1000" s="62"/>
      <c r="B1000" s="63"/>
      <c r="C1000" s="64"/>
      <c r="D1000" s="64"/>
      <c r="E1000" s="64"/>
      <c r="F1000" s="65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</row>
  </sheetData>
  <mergeCells count="1">
    <mergeCell ref="G1:J1"/>
  </mergeCells>
  <conditionalFormatting sqref="A1:F1000">
    <cfRule type="expression" dxfId="6" priority="1">
      <formula>RIGHT($A:$A,5)="total"</formula>
    </cfRule>
  </conditionalFormatting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88"/>
    <col customWidth="1" min="2" max="2" width="11.88"/>
    <col customWidth="1" min="3" max="3" width="9.38"/>
    <col customWidth="1" min="4" max="4" width="6.0"/>
    <col customWidth="1" min="5" max="6" width="5.75"/>
    <col customWidth="1" min="7" max="7" width="6.5"/>
    <col customWidth="1" min="8" max="8" width="10.13"/>
    <col customWidth="1" min="9" max="9" width="7.0"/>
    <col customWidth="1" min="10" max="10" width="9.63"/>
    <col customWidth="1" min="11" max="11" width="7.38"/>
    <col customWidth="1" min="12" max="12" width="10.13"/>
    <col customWidth="1" min="13" max="13" width="7.63"/>
    <col customWidth="1" min="14" max="14" width="8.38"/>
    <col customWidth="1" min="15" max="15" width="5.13"/>
    <col customWidth="1" min="16" max="16" width="7.38"/>
    <col customWidth="1" min="17" max="17" width="8.5"/>
    <col customWidth="1" min="18" max="18" width="8.25"/>
    <col customWidth="1" min="19" max="19" width="10.5"/>
    <col customWidth="1" min="20" max="20" width="10.75"/>
    <col customWidth="1" min="21" max="21" width="6.88"/>
    <col customWidth="1" min="22" max="22" width="9.63"/>
    <col customWidth="1" min="23" max="23" width="6.25"/>
    <col customWidth="1" min="24" max="24" width="8.25"/>
    <col customWidth="1" min="25" max="25" width="5.63"/>
    <col customWidth="1" min="26" max="26" width="8.13"/>
    <col customWidth="1" min="27" max="27" width="7.13"/>
    <col customWidth="1" min="28" max="28" width="5.13"/>
    <col customWidth="1" min="29" max="29" width="7.5"/>
    <col customWidth="1" min="30" max="30" width="6.88"/>
    <col customWidth="1" min="31" max="31" width="7.5"/>
    <col customWidth="1" min="32" max="32" width="7.63"/>
    <col customWidth="1" min="33" max="33" width="11.13"/>
    <col customWidth="1" min="34" max="34" width="8.63"/>
    <col customWidth="1" min="35" max="35" width="5.63"/>
    <col customWidth="1" min="36" max="36" width="8.0"/>
    <col customWidth="1" min="37" max="37" width="8.5"/>
    <col customWidth="1" min="38" max="38" width="6.88"/>
    <col customWidth="1" min="39" max="39" width="8.25"/>
    <col customWidth="1" min="40" max="40" width="7.88"/>
    <col customWidth="1" min="41" max="42" width="8.63"/>
    <col customWidth="1" min="43" max="43" width="9.0"/>
    <col customWidth="1" min="44" max="44" width="8.75"/>
    <col customWidth="1" min="45" max="45" width="9.25"/>
    <col customWidth="1" min="46" max="46" width="6.13"/>
    <col customWidth="1" min="47" max="47" width="6.0"/>
    <col customWidth="1" min="48" max="49" width="11.13"/>
    <col customWidth="1" min="50" max="50" width="11.75"/>
    <col customWidth="1" min="51" max="51" width="6.0"/>
    <col customWidth="1" min="52" max="52" width="6.5"/>
    <col customWidth="1" min="53" max="53" width="11.5"/>
    <col customWidth="1" min="54" max="54" width="9.13"/>
    <col customWidth="1" min="55" max="55" width="11.13"/>
    <col customWidth="1" min="56" max="56" width="6.63"/>
  </cols>
  <sheetData>
    <row r="1">
      <c r="A1" s="66" t="str">
        <f>IFERROR(__xludf.DUMMYFUNCTION("IMPORTRANGE(""https://docs.google.com/spreadsheets/d/1a0LQVvC7fbgDeBJKsHxrCV4h_m3RijC2QSYwdDga1WU/edit?gid=533432220#gid=533432220&amp;range=A2"",""Confrontos Decks!A2:BV75"")"),"Nº Vitórias do Deck da Coluna Abaixo (↓) sobre os decks da linha à Direita (→)")</f>
        <v>Nº Vitórias do Deck da Coluna Abaixo (↓) sobre os decks da linha à Direita (→)</v>
      </c>
      <c r="B1" s="67" t="str">
        <f>IFERROR(__xludf.DUMMYFUNCTION("""COMPUTED_VALUE"""),"Soma Resultados")</f>
        <v>Soma Resultados</v>
      </c>
      <c r="C1" s="68" t="str">
        <f>IFERROR(__xludf.DUMMYFUNCTION("""COMPUTED_VALUE"""),"Ahoy Mateys")</f>
        <v>Ahoy Mateys</v>
      </c>
      <c r="D1" s="68" t="str">
        <f>IFERROR(__xludf.DUMMYFUNCTION("""COMPUTED_VALUE"""),"Animated Army")</f>
        <v>Animated Army</v>
      </c>
      <c r="E1" s="68" t="str">
        <f>IFERROR(__xludf.DUMMYFUNCTION("""COMPUTED_VALUE"""),"Arcane Maelstrom")</f>
        <v>Arcane Maelstrom</v>
      </c>
      <c r="F1" s="68" t="str">
        <f>IFERROR(__xludf.DUMMYFUNCTION("""COMPUTED_VALUE"""),"Blame Game")</f>
        <v>Blame Game</v>
      </c>
      <c r="G1" s="68" t="str">
        <f>IFERROR(__xludf.DUMMYFUNCTION("""COMPUTED_VALUE"""),"Blight Curse")</f>
        <v>Blight Curse</v>
      </c>
      <c r="H1" s="68" t="str">
        <f>IFERROR(__xludf.DUMMYFUNCTION("""COMPUTED_VALUE"""),"Blood Rites")</f>
        <v>Blood Rites</v>
      </c>
      <c r="I1" s="68" t="str">
        <f>IFERROR(__xludf.DUMMYFUNCTION("""COMPUTED_VALUE"""),"Buckle Up")</f>
        <v>Buckle Up</v>
      </c>
      <c r="J1" s="68" t="str">
        <f>IFERROR(__xludf.DUMMYFUNCTION("""COMPUTED_VALUE"""),"Cabaretti Cacophony")</f>
        <v>Cabaretti Cacophony</v>
      </c>
      <c r="K1" s="68" t="str">
        <f>IFERROR(__xludf.DUMMYFUNCTION("""COMPUTED_VALUE"""),"Cavalry Charge")</f>
        <v>Cavalry Charge</v>
      </c>
      <c r="L1" s="68" t="str">
        <f>IFERROR(__xludf.DUMMYFUNCTION("""COMPUTED_VALUE"""),"Corrupting Influence")</f>
        <v>Corrupting Influence</v>
      </c>
      <c r="M1" s="68" t="str">
        <f>IFERROR(__xludf.DUMMYFUNCTION("""COMPUTED_VALUE"""),"Counter Blitz")</f>
        <v>Counter Blitz</v>
      </c>
      <c r="N1" s="68" t="str">
        <f>IFERROR(__xludf.DUMMYFUNCTION("""COMPUTED_VALUE"""),"Counter Intelligence")</f>
        <v>Counter Intelligence</v>
      </c>
      <c r="O1" s="68" t="str">
        <f>IFERROR(__xludf.DUMMYFUNCTION("""COMPUTED_VALUE"""),"Creative Energy")</f>
        <v>Creative Energy</v>
      </c>
      <c r="P1" s="68" t="str">
        <f>IFERROR(__xludf.DUMMYFUNCTION("""COMPUTED_VALUE"""),"Dance of the Elements")</f>
        <v>Dance of the Elements</v>
      </c>
      <c r="Q1" s="68" t="str">
        <f>IFERROR(__xludf.DUMMYFUNCTION("""COMPUTED_VALUE"""),"Deep Clue Sea")</f>
        <v>Deep Clue Sea</v>
      </c>
      <c r="R1" s="68" t="str">
        <f>IFERROR(__xludf.DUMMYFUNCTION("""COMPUTED_VALUE"""),"Doom Prevails")</f>
        <v>Doom Prevails</v>
      </c>
      <c r="S1" s="68" t="str">
        <f>IFERROR(__xludf.DUMMYFUNCTION("""COMPUTED_VALUE"""),"Eldrazi Incursion")</f>
        <v>Eldrazi Incursion</v>
      </c>
      <c r="T1" s="68" t="str">
        <f>IFERROR(__xludf.DUMMYFUNCTION("""COMPUTED_VALUE"""),"Eldrazi Unbound")</f>
        <v>Eldrazi Unbound</v>
      </c>
      <c r="U1" s="68" t="str">
        <f>IFERROR(__xludf.DUMMYFUNCTION("""COMPUTED_VALUE"""),"Endless Punishment")</f>
        <v>Endless Punishment</v>
      </c>
      <c r="V1" s="68" t="str">
        <f>IFERROR(__xludf.DUMMYFUNCTION("""COMPUTED_VALUE"""),"Enduring Enchantments")</f>
        <v>Enduring Enchantments</v>
      </c>
      <c r="W1" s="68" t="str">
        <f>IFERROR(__xludf.DUMMYFUNCTION("""COMPUTED_VALUE"""),"Explorers of the Deep")</f>
        <v>Explorers of the Deep</v>
      </c>
      <c r="X1" s="68" t="str">
        <f>IFERROR(__xludf.DUMMYFUNCTION("""COMPUTED_VALUE"""),"Family Matters")</f>
        <v>Family Matters</v>
      </c>
      <c r="Y1" s="68" t="str">
        <f>IFERROR(__xludf.DUMMYFUNCTION("""COMPUTED_VALUE"""),"Food and Fellowship")</f>
        <v>Food and Fellowship</v>
      </c>
      <c r="Z1" s="68" t="str">
        <f>IFERROR(__xludf.DUMMYFUNCTION("""COMPUTED_VALUE"""),"Jeskai Striker")</f>
        <v>Jeskai Striker</v>
      </c>
      <c r="AA1" s="68" t="str">
        <f>IFERROR(__xludf.DUMMYFUNCTION("""COMPUTED_VALUE"""),"Legends' Legacy")</f>
        <v>Legends' Legacy</v>
      </c>
      <c r="AB1" s="68" t="str">
        <f>IFERROR(__xludf.DUMMYFUNCTION("""COMPUTED_VALUE"""),"Limit Break")</f>
        <v>Limit Break</v>
      </c>
      <c r="AC1" s="68" t="str">
        <f>IFERROR(__xludf.DUMMYFUNCTION("""COMPUTED_VALUE"""),"Lorehold Spirit")</f>
        <v>Lorehold Spirit</v>
      </c>
      <c r="AD1" s="68" t="str">
        <f>IFERROR(__xludf.DUMMYFUNCTION("""COMPUTED_VALUE"""),"Mutant Menace")</f>
        <v>Mutant Menace</v>
      </c>
      <c r="AE1" s="68" t="str">
        <f>IFERROR(__xludf.DUMMYFUNCTION("""COMPUTED_VALUE"""),"Party Time")</f>
        <v>Party Time</v>
      </c>
      <c r="AF1" s="68" t="str">
        <f>IFERROR(__xludf.DUMMYFUNCTION("""COMPUTED_VALUE"""),"Peace Offering")</f>
        <v>Peace Offering</v>
      </c>
      <c r="AG1" s="68" t="str">
        <f>IFERROR(__xludf.DUMMYFUNCTION("""COMPUTED_VALUE"""),"Power Hungry")</f>
        <v>Power Hungry</v>
      </c>
      <c r="AH1" s="68" t="str">
        <f>IFERROR(__xludf.DUMMYFUNCTION("""COMPUTED_VALUE"""),"Primal Genesis")</f>
        <v>Primal Genesis</v>
      </c>
      <c r="AI1" s="68" t="str">
        <f>IFERROR(__xludf.DUMMYFUNCTION("""COMPUTED_VALUE"""),"Prismari Artistry")</f>
        <v>Prismari Artistry</v>
      </c>
      <c r="AJ1" s="68" t="str">
        <f>IFERROR(__xludf.DUMMYFUNCTION("""COMPUTED_VALUE"""),"Prismari Performance")</f>
        <v>Prismari Performance</v>
      </c>
      <c r="AK1" s="68" t="str">
        <f>IFERROR(__xludf.DUMMYFUNCTION("""COMPUTED_VALUE"""),"Quandrix Unlimited")</f>
        <v>Quandrix Unlimited</v>
      </c>
      <c r="AL1" s="68" t="str">
        <f>IFERROR(__xludf.DUMMYFUNCTION("""COMPUTED_VALUE"""),"Quick Draw")</f>
        <v>Quick Draw</v>
      </c>
      <c r="AM1" s="68" t="str">
        <f>IFERROR(__xludf.DUMMYFUNCTION("""COMPUTED_VALUE"""),"Reap the Tides")</f>
        <v>Reap the Tides</v>
      </c>
      <c r="AN1" s="68" t="str">
        <f>IFERROR(__xludf.DUMMYFUNCTION("""COMPUTED_VALUE"""),"Rebellion Rising")</f>
        <v>Rebellion Rising</v>
      </c>
      <c r="AO1" s="68" t="str">
        <f>IFERROR(__xludf.DUMMYFUNCTION("""COMPUTED_VALUE"""),"Revival Trance")</f>
        <v>Revival Trance</v>
      </c>
      <c r="AP1" s="68" t="str">
        <f>IFERROR(__xludf.DUMMYFUNCTION("""COMPUTED_VALUE"""),"Riders of Rohan")</f>
        <v>Riders of Rohan</v>
      </c>
      <c r="AQ1" s="68" t="str">
        <f>IFERROR(__xludf.DUMMYFUNCTION("""COMPUTED_VALUE"""),"Science!")</f>
        <v>Science!</v>
      </c>
      <c r="AR1" s="68" t="str">
        <f>IFERROR(__xludf.DUMMYFUNCTION("""COMPUTED_VALUE"""),"Scions &amp; Spellcraft")</f>
        <v>Scions &amp; Spellcraft</v>
      </c>
      <c r="AS1" s="68" t="str">
        <f>IFERROR(__xludf.DUMMYFUNCTION("""COMPUTED_VALUE"""),"Scrappy Survivors")</f>
        <v>Scrappy Survivors</v>
      </c>
      <c r="AT1" s="68" t="str">
        <f>IFERROR(__xludf.DUMMYFUNCTION("""COMPUTED_VALUE"""),"Silverquill Influence")</f>
        <v>Silverquill Influence</v>
      </c>
      <c r="AU1" s="68" t="str">
        <f>IFERROR(__xludf.DUMMYFUNCTION("""COMPUTED_VALUE"""),"Spirit Squadron")</f>
        <v>Spirit Squadron</v>
      </c>
      <c r="AV1" s="68" t="str">
        <f>IFERROR(__xludf.DUMMYFUNCTION("""COMPUTED_VALUE"""),"Squirreled Away")</f>
        <v>Squirreled Away</v>
      </c>
      <c r="AW1" s="68" t="str">
        <f>IFERROR(__xludf.DUMMYFUNCTION("""COMPUTED_VALUE"""),"Sultai Arisen")</f>
        <v>Sultai Arisen</v>
      </c>
      <c r="AX1" s="68" t="str">
        <f>IFERROR(__xludf.DUMMYFUNCTION("""COMPUTED_VALUE"""),"Temur Roar")</f>
        <v>Temur Roar</v>
      </c>
      <c r="AY1" s="68" t="str">
        <f>IFERROR(__xludf.DUMMYFUNCTION("""COMPUTED_VALUE"""),"The Hosts of Mordor")</f>
        <v>The Hosts of Mordor</v>
      </c>
      <c r="AZ1" s="68" t="str">
        <f>IFERROR(__xludf.DUMMYFUNCTION("""COMPUTED_VALUE"""),"The Ruinous Powers")</f>
        <v>The Ruinous Powers</v>
      </c>
      <c r="BA1" s="68" t="str">
        <f>IFERROR(__xludf.DUMMYFUNCTION("""COMPUTED_VALUE"""),"Timey-Wimey")</f>
        <v>Timey-Wimey</v>
      </c>
      <c r="BB1" s="68" t="str">
        <f>IFERROR(__xludf.DUMMYFUNCTION("""COMPUTED_VALUE"""),"Tinker Time")</f>
        <v>Tinker Time</v>
      </c>
      <c r="BC1" s="68" t="str">
        <f>IFERROR(__xludf.DUMMYFUNCTION("""COMPUTED_VALUE"""),"Turtle Power!")</f>
        <v>Turtle Power!</v>
      </c>
      <c r="BD1" s="68" t="str">
        <f>IFERROR(__xludf.DUMMYFUNCTION("""COMPUTED_VALUE"""),"Veloci-ramp-tor")</f>
        <v>Veloci-ramp-tor</v>
      </c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</row>
    <row r="2">
      <c r="A2" s="70" t="str">
        <f>IFERROR(__xludf.DUMMYFUNCTION("""COMPUTED_VALUE"""),"Ahoy Mateys")</f>
        <v>Ahoy Mateys</v>
      </c>
      <c r="B2" s="71">
        <f>IFERROR(__xludf.DUMMYFUNCTION("""COMPUTED_VALUE"""),-1.0)</f>
        <v>-1</v>
      </c>
      <c r="C2" s="72" t="str">
        <f>IFERROR(__xludf.DUMMYFUNCTION("""COMPUTED_VALUE"""),"")</f>
        <v/>
      </c>
      <c r="D2" s="72">
        <f>IFERROR(__xludf.DUMMYFUNCTION("""COMPUTED_VALUE"""),0.0)</f>
        <v>0</v>
      </c>
      <c r="E2" s="72">
        <f>IFERROR(__xludf.DUMMYFUNCTION("""COMPUTED_VALUE"""),0.0)</f>
        <v>0</v>
      </c>
      <c r="F2" s="72">
        <f>IFERROR(__xludf.DUMMYFUNCTION("""COMPUTED_VALUE"""),-1.0)</f>
        <v>-1</v>
      </c>
      <c r="G2" s="72">
        <f>IFERROR(__xludf.DUMMYFUNCTION("""COMPUTED_VALUE"""),0.0)</f>
        <v>0</v>
      </c>
      <c r="H2" s="72">
        <f>IFERROR(__xludf.DUMMYFUNCTION("""COMPUTED_VALUE"""),0.0)</f>
        <v>0</v>
      </c>
      <c r="I2" s="72">
        <f>IFERROR(__xludf.DUMMYFUNCTION("""COMPUTED_VALUE"""),0.0)</f>
        <v>0</v>
      </c>
      <c r="J2" s="72">
        <f>IFERROR(__xludf.DUMMYFUNCTION("""COMPUTED_VALUE"""),0.0)</f>
        <v>0</v>
      </c>
      <c r="K2" s="72">
        <f>IFERROR(__xludf.DUMMYFUNCTION("""COMPUTED_VALUE"""),0.0)</f>
        <v>0</v>
      </c>
      <c r="L2" s="72">
        <f>IFERROR(__xludf.DUMMYFUNCTION("""COMPUTED_VALUE"""),0.0)</f>
        <v>0</v>
      </c>
      <c r="M2" s="72">
        <f>IFERROR(__xludf.DUMMYFUNCTION("""COMPUTED_VALUE"""),0.0)</f>
        <v>0</v>
      </c>
      <c r="N2" s="72">
        <f>IFERROR(__xludf.DUMMYFUNCTION("""COMPUTED_VALUE"""),0.0)</f>
        <v>0</v>
      </c>
      <c r="O2" s="72">
        <f>IFERROR(__xludf.DUMMYFUNCTION("""COMPUTED_VALUE"""),0.0)</f>
        <v>0</v>
      </c>
      <c r="P2" s="72">
        <f>IFERROR(__xludf.DUMMYFUNCTION("""COMPUTED_VALUE"""),0.0)</f>
        <v>0</v>
      </c>
      <c r="Q2" s="72">
        <f>IFERROR(__xludf.DUMMYFUNCTION("""COMPUTED_VALUE"""),0.0)</f>
        <v>0</v>
      </c>
      <c r="R2" s="72">
        <f>IFERROR(__xludf.DUMMYFUNCTION("""COMPUTED_VALUE"""),0.0)</f>
        <v>0</v>
      </c>
      <c r="S2" s="72">
        <f>IFERROR(__xludf.DUMMYFUNCTION("""COMPUTED_VALUE"""),0.0)</f>
        <v>0</v>
      </c>
      <c r="T2" s="72">
        <f>IFERROR(__xludf.DUMMYFUNCTION("""COMPUTED_VALUE"""),0.0)</f>
        <v>0</v>
      </c>
      <c r="U2" s="72">
        <f>IFERROR(__xludf.DUMMYFUNCTION("""COMPUTED_VALUE"""),0.0)</f>
        <v>0</v>
      </c>
      <c r="V2" s="72">
        <f>IFERROR(__xludf.DUMMYFUNCTION("""COMPUTED_VALUE"""),0.0)</f>
        <v>0</v>
      </c>
      <c r="W2" s="72">
        <f>IFERROR(__xludf.DUMMYFUNCTION("""COMPUTED_VALUE"""),0.0)</f>
        <v>0</v>
      </c>
      <c r="X2" s="72">
        <f>IFERROR(__xludf.DUMMYFUNCTION("""COMPUTED_VALUE"""),0.0)</f>
        <v>0</v>
      </c>
      <c r="Y2" s="72">
        <f>IFERROR(__xludf.DUMMYFUNCTION("""COMPUTED_VALUE"""),0.0)</f>
        <v>0</v>
      </c>
      <c r="Z2" s="72">
        <f>IFERROR(__xludf.DUMMYFUNCTION("""COMPUTED_VALUE"""),0.0)</f>
        <v>0</v>
      </c>
      <c r="AA2" s="72">
        <f>IFERROR(__xludf.DUMMYFUNCTION("""COMPUTED_VALUE"""),0.0)</f>
        <v>0</v>
      </c>
      <c r="AB2" s="72">
        <f>IFERROR(__xludf.DUMMYFUNCTION("""COMPUTED_VALUE"""),0.0)</f>
        <v>0</v>
      </c>
      <c r="AC2" s="72">
        <f>IFERROR(__xludf.DUMMYFUNCTION("""COMPUTED_VALUE"""),0.0)</f>
        <v>0</v>
      </c>
      <c r="AD2" s="72">
        <f>IFERROR(__xludf.DUMMYFUNCTION("""COMPUTED_VALUE"""),0.0)</f>
        <v>0</v>
      </c>
      <c r="AE2" s="72">
        <f>IFERROR(__xludf.DUMMYFUNCTION("""COMPUTED_VALUE"""),0.0)</f>
        <v>0</v>
      </c>
      <c r="AF2" s="72">
        <f>IFERROR(__xludf.DUMMYFUNCTION("""COMPUTED_VALUE"""),0.0)</f>
        <v>0</v>
      </c>
      <c r="AG2" s="72">
        <f>IFERROR(__xludf.DUMMYFUNCTION("""COMPUTED_VALUE"""),0.0)</f>
        <v>0</v>
      </c>
      <c r="AH2" s="72">
        <f>IFERROR(__xludf.DUMMYFUNCTION("""COMPUTED_VALUE"""),0.0)</f>
        <v>0</v>
      </c>
      <c r="AI2" s="72">
        <f>IFERROR(__xludf.DUMMYFUNCTION("""COMPUTED_VALUE"""),0.0)</f>
        <v>0</v>
      </c>
      <c r="AJ2" s="72">
        <f>IFERROR(__xludf.DUMMYFUNCTION("""COMPUTED_VALUE"""),0.0)</f>
        <v>0</v>
      </c>
      <c r="AK2" s="72">
        <f>IFERROR(__xludf.DUMMYFUNCTION("""COMPUTED_VALUE"""),0.0)</f>
        <v>0</v>
      </c>
      <c r="AL2" s="72">
        <f>IFERROR(__xludf.DUMMYFUNCTION("""COMPUTED_VALUE"""),0.0)</f>
        <v>0</v>
      </c>
      <c r="AM2" s="72">
        <f>IFERROR(__xludf.DUMMYFUNCTION("""COMPUTED_VALUE"""),0.0)</f>
        <v>0</v>
      </c>
      <c r="AN2" s="72">
        <f>IFERROR(__xludf.DUMMYFUNCTION("""COMPUTED_VALUE"""),0.0)</f>
        <v>0</v>
      </c>
      <c r="AO2" s="72">
        <f>IFERROR(__xludf.DUMMYFUNCTION("""COMPUTED_VALUE"""),0.0)</f>
        <v>0</v>
      </c>
      <c r="AP2" s="72">
        <f>IFERROR(__xludf.DUMMYFUNCTION("""COMPUTED_VALUE"""),0.0)</f>
        <v>0</v>
      </c>
      <c r="AQ2" s="72">
        <f>IFERROR(__xludf.DUMMYFUNCTION("""COMPUTED_VALUE"""),0.0)</f>
        <v>0</v>
      </c>
      <c r="AR2" s="72">
        <f>IFERROR(__xludf.DUMMYFUNCTION("""COMPUTED_VALUE"""),0.0)</f>
        <v>0</v>
      </c>
      <c r="AS2" s="72">
        <f>IFERROR(__xludf.DUMMYFUNCTION("""COMPUTED_VALUE"""),0.0)</f>
        <v>0</v>
      </c>
      <c r="AT2" s="72">
        <f>IFERROR(__xludf.DUMMYFUNCTION("""COMPUTED_VALUE"""),0.0)</f>
        <v>0</v>
      </c>
      <c r="AU2" s="72">
        <f>IFERROR(__xludf.DUMMYFUNCTION("""COMPUTED_VALUE"""),0.0)</f>
        <v>0</v>
      </c>
      <c r="AV2" s="72">
        <f>IFERROR(__xludf.DUMMYFUNCTION("""COMPUTED_VALUE"""),0.0)</f>
        <v>0</v>
      </c>
      <c r="AW2" s="72">
        <f>IFERROR(__xludf.DUMMYFUNCTION("""COMPUTED_VALUE"""),0.0)</f>
        <v>0</v>
      </c>
      <c r="AX2" s="72">
        <f>IFERROR(__xludf.DUMMYFUNCTION("""COMPUTED_VALUE"""),0.0)</f>
        <v>0</v>
      </c>
      <c r="AY2" s="72">
        <f>IFERROR(__xludf.DUMMYFUNCTION("""COMPUTED_VALUE"""),0.0)</f>
        <v>0</v>
      </c>
      <c r="AZ2" s="72">
        <f>IFERROR(__xludf.DUMMYFUNCTION("""COMPUTED_VALUE"""),0.0)</f>
        <v>0</v>
      </c>
      <c r="BA2" s="72">
        <f>IFERROR(__xludf.DUMMYFUNCTION("""COMPUTED_VALUE"""),0.0)</f>
        <v>0</v>
      </c>
      <c r="BB2" s="72">
        <f>IFERROR(__xludf.DUMMYFUNCTION("""COMPUTED_VALUE"""),0.0)</f>
        <v>0</v>
      </c>
      <c r="BC2" s="72">
        <f>IFERROR(__xludf.DUMMYFUNCTION("""COMPUTED_VALUE"""),0.0)</f>
        <v>0</v>
      </c>
      <c r="BD2" s="69">
        <f>IFERROR(__xludf.DUMMYFUNCTION("""COMPUTED_VALUE"""),0.0)</f>
        <v>0</v>
      </c>
      <c r="BE2" s="69" t="str">
        <f>IFERROR(__xludf.DUMMYFUNCTION("""COMPUTED_VALUE"""),"")</f>
        <v/>
      </c>
      <c r="BF2" s="69" t="str">
        <f>IFERROR(__xludf.DUMMYFUNCTION("""COMPUTED_VALUE"""),"")</f>
        <v/>
      </c>
      <c r="BG2" s="69" t="str">
        <f>IFERROR(__xludf.DUMMYFUNCTION("""COMPUTED_VALUE"""),"")</f>
        <v/>
      </c>
      <c r="BH2" s="69" t="str">
        <f>IFERROR(__xludf.DUMMYFUNCTION("""COMPUTED_VALUE"""),"")</f>
        <v/>
      </c>
      <c r="BI2" s="69" t="str">
        <f>IFERROR(__xludf.DUMMYFUNCTION("""COMPUTED_VALUE"""),"")</f>
        <v/>
      </c>
      <c r="BJ2" s="69" t="str">
        <f>IFERROR(__xludf.DUMMYFUNCTION("""COMPUTED_VALUE"""),"")</f>
        <v/>
      </c>
      <c r="BK2" s="69" t="str">
        <f>IFERROR(__xludf.DUMMYFUNCTION("""COMPUTED_VALUE"""),"")</f>
        <v/>
      </c>
      <c r="BL2" s="69" t="str">
        <f>IFERROR(__xludf.DUMMYFUNCTION("""COMPUTED_VALUE"""),"")</f>
        <v/>
      </c>
      <c r="BM2" s="69" t="str">
        <f>IFERROR(__xludf.DUMMYFUNCTION("""COMPUTED_VALUE"""),"")</f>
        <v/>
      </c>
      <c r="BN2" s="69" t="str">
        <f>IFERROR(__xludf.DUMMYFUNCTION("""COMPUTED_VALUE"""),"")</f>
        <v/>
      </c>
      <c r="BO2" s="69" t="str">
        <f>IFERROR(__xludf.DUMMYFUNCTION("""COMPUTED_VALUE"""),"")</f>
        <v/>
      </c>
      <c r="BP2" s="69" t="str">
        <f>IFERROR(__xludf.DUMMYFUNCTION("""COMPUTED_VALUE"""),"")</f>
        <v/>
      </c>
      <c r="BQ2" s="69" t="str">
        <f>IFERROR(__xludf.DUMMYFUNCTION("""COMPUTED_VALUE"""),"")</f>
        <v/>
      </c>
      <c r="BR2" s="69" t="str">
        <f>IFERROR(__xludf.DUMMYFUNCTION("""COMPUTED_VALUE"""),"")</f>
        <v/>
      </c>
      <c r="BS2" s="69" t="str">
        <f>IFERROR(__xludf.DUMMYFUNCTION("""COMPUTED_VALUE"""),"")</f>
        <v/>
      </c>
      <c r="BT2" s="69" t="str">
        <f>IFERROR(__xludf.DUMMYFUNCTION("""COMPUTED_VALUE"""),"")</f>
        <v/>
      </c>
      <c r="BU2" s="69" t="str">
        <f>IFERROR(__xludf.DUMMYFUNCTION("""COMPUTED_VALUE"""),"")</f>
        <v/>
      </c>
      <c r="BV2" s="69" t="str">
        <f>IFERROR(__xludf.DUMMYFUNCTION("""COMPUTED_VALUE"""),"")</f>
        <v/>
      </c>
      <c r="BW2" s="69"/>
      <c r="BX2" s="69"/>
      <c r="BY2" s="69"/>
      <c r="BZ2" s="69"/>
      <c r="CA2" s="69"/>
      <c r="CB2" s="69"/>
      <c r="CC2" s="69"/>
      <c r="CD2" s="69"/>
      <c r="CE2" s="69"/>
      <c r="CF2" s="69"/>
    </row>
    <row r="3">
      <c r="A3" s="70" t="str">
        <f>IFERROR(__xludf.DUMMYFUNCTION("""COMPUTED_VALUE"""),"Animated Army")</f>
        <v>Animated Army</v>
      </c>
      <c r="B3" s="71">
        <f>IFERROR(__xludf.DUMMYFUNCTION("""COMPUTED_VALUE"""),0.0)</f>
        <v>0</v>
      </c>
      <c r="C3" s="72">
        <f>IFERROR(__xludf.DUMMYFUNCTION("""COMPUTED_VALUE"""),0.0)</f>
        <v>0</v>
      </c>
      <c r="D3" s="72" t="str">
        <f>IFERROR(__xludf.DUMMYFUNCTION("""COMPUTED_VALUE"""),"")</f>
        <v/>
      </c>
      <c r="E3" s="72">
        <f>IFERROR(__xludf.DUMMYFUNCTION("""COMPUTED_VALUE"""),0.0)</f>
        <v>0</v>
      </c>
      <c r="F3" s="72">
        <f>IFERROR(__xludf.DUMMYFUNCTION("""COMPUTED_VALUE"""),0.0)</f>
        <v>0</v>
      </c>
      <c r="G3" s="72">
        <f>IFERROR(__xludf.DUMMYFUNCTION("""COMPUTED_VALUE"""),0.0)</f>
        <v>0</v>
      </c>
      <c r="H3" s="72">
        <f>IFERROR(__xludf.DUMMYFUNCTION("""COMPUTED_VALUE"""),0.0)</f>
        <v>0</v>
      </c>
      <c r="I3" s="72">
        <f>IFERROR(__xludf.DUMMYFUNCTION("""COMPUTED_VALUE"""),0.0)</f>
        <v>0</v>
      </c>
      <c r="J3" s="72">
        <f>IFERROR(__xludf.DUMMYFUNCTION("""COMPUTED_VALUE"""),0.0)</f>
        <v>0</v>
      </c>
      <c r="K3" s="72">
        <f>IFERROR(__xludf.DUMMYFUNCTION("""COMPUTED_VALUE"""),0.0)</f>
        <v>0</v>
      </c>
      <c r="L3" s="72">
        <f>IFERROR(__xludf.DUMMYFUNCTION("""COMPUTED_VALUE"""),0.0)</f>
        <v>0</v>
      </c>
      <c r="M3" s="72">
        <f>IFERROR(__xludf.DUMMYFUNCTION("""COMPUTED_VALUE"""),0.0)</f>
        <v>0</v>
      </c>
      <c r="N3" s="72">
        <f>IFERROR(__xludf.DUMMYFUNCTION("""COMPUTED_VALUE"""),0.0)</f>
        <v>0</v>
      </c>
      <c r="O3" s="72">
        <f>IFERROR(__xludf.DUMMYFUNCTION("""COMPUTED_VALUE"""),0.0)</f>
        <v>0</v>
      </c>
      <c r="P3" s="72">
        <f>IFERROR(__xludf.DUMMYFUNCTION("""COMPUTED_VALUE"""),0.0)</f>
        <v>0</v>
      </c>
      <c r="Q3" s="72">
        <f>IFERROR(__xludf.DUMMYFUNCTION("""COMPUTED_VALUE"""),0.0)</f>
        <v>0</v>
      </c>
      <c r="R3" s="72">
        <f>IFERROR(__xludf.DUMMYFUNCTION("""COMPUTED_VALUE"""),0.0)</f>
        <v>0</v>
      </c>
      <c r="S3" s="72">
        <f>IFERROR(__xludf.DUMMYFUNCTION("""COMPUTED_VALUE"""),0.0)</f>
        <v>0</v>
      </c>
      <c r="T3" s="72">
        <f>IFERROR(__xludf.DUMMYFUNCTION("""COMPUTED_VALUE"""),0.0)</f>
        <v>0</v>
      </c>
      <c r="U3" s="72">
        <f>IFERROR(__xludf.DUMMYFUNCTION("""COMPUTED_VALUE"""),0.0)</f>
        <v>0</v>
      </c>
      <c r="V3" s="72">
        <f>IFERROR(__xludf.DUMMYFUNCTION("""COMPUTED_VALUE"""),0.0)</f>
        <v>0</v>
      </c>
      <c r="W3" s="72">
        <f>IFERROR(__xludf.DUMMYFUNCTION("""COMPUTED_VALUE"""),0.0)</f>
        <v>0</v>
      </c>
      <c r="X3" s="72">
        <f>IFERROR(__xludf.DUMMYFUNCTION("""COMPUTED_VALUE"""),0.0)</f>
        <v>0</v>
      </c>
      <c r="Y3" s="72">
        <f>IFERROR(__xludf.DUMMYFUNCTION("""COMPUTED_VALUE"""),0.0)</f>
        <v>0</v>
      </c>
      <c r="Z3" s="72">
        <f>IFERROR(__xludf.DUMMYFUNCTION("""COMPUTED_VALUE"""),0.0)</f>
        <v>0</v>
      </c>
      <c r="AA3" s="72">
        <f>IFERROR(__xludf.DUMMYFUNCTION("""COMPUTED_VALUE"""),0.0)</f>
        <v>0</v>
      </c>
      <c r="AB3" s="72">
        <f>IFERROR(__xludf.DUMMYFUNCTION("""COMPUTED_VALUE"""),0.0)</f>
        <v>0</v>
      </c>
      <c r="AC3" s="72">
        <f>IFERROR(__xludf.DUMMYFUNCTION("""COMPUTED_VALUE"""),0.0)</f>
        <v>0</v>
      </c>
      <c r="AD3" s="72">
        <f>IFERROR(__xludf.DUMMYFUNCTION("""COMPUTED_VALUE"""),0.0)</f>
        <v>0</v>
      </c>
      <c r="AE3" s="72">
        <f>IFERROR(__xludf.DUMMYFUNCTION("""COMPUTED_VALUE"""),0.0)</f>
        <v>0</v>
      </c>
      <c r="AF3" s="72">
        <f>IFERROR(__xludf.DUMMYFUNCTION("""COMPUTED_VALUE"""),0.0)</f>
        <v>0</v>
      </c>
      <c r="AG3" s="72">
        <f>IFERROR(__xludf.DUMMYFUNCTION("""COMPUTED_VALUE"""),0.0)</f>
        <v>0</v>
      </c>
      <c r="AH3" s="72">
        <f>IFERROR(__xludf.DUMMYFUNCTION("""COMPUTED_VALUE"""),0.0)</f>
        <v>0</v>
      </c>
      <c r="AI3" s="72">
        <f>IFERROR(__xludf.DUMMYFUNCTION("""COMPUTED_VALUE"""),0.0)</f>
        <v>0</v>
      </c>
      <c r="AJ3" s="72">
        <f>IFERROR(__xludf.DUMMYFUNCTION("""COMPUTED_VALUE"""),0.0)</f>
        <v>0</v>
      </c>
      <c r="AK3" s="72">
        <f>IFERROR(__xludf.DUMMYFUNCTION("""COMPUTED_VALUE"""),0.0)</f>
        <v>0</v>
      </c>
      <c r="AL3" s="72">
        <f>IFERROR(__xludf.DUMMYFUNCTION("""COMPUTED_VALUE"""),0.0)</f>
        <v>0</v>
      </c>
      <c r="AM3" s="72">
        <f>IFERROR(__xludf.DUMMYFUNCTION("""COMPUTED_VALUE"""),0.0)</f>
        <v>0</v>
      </c>
      <c r="AN3" s="72">
        <f>IFERROR(__xludf.DUMMYFUNCTION("""COMPUTED_VALUE"""),0.0)</f>
        <v>0</v>
      </c>
      <c r="AO3" s="72">
        <f>IFERROR(__xludf.DUMMYFUNCTION("""COMPUTED_VALUE"""),0.0)</f>
        <v>0</v>
      </c>
      <c r="AP3" s="72">
        <f>IFERROR(__xludf.DUMMYFUNCTION("""COMPUTED_VALUE"""),0.0)</f>
        <v>0</v>
      </c>
      <c r="AQ3" s="72">
        <f>IFERROR(__xludf.DUMMYFUNCTION("""COMPUTED_VALUE"""),0.0)</f>
        <v>0</v>
      </c>
      <c r="AR3" s="72">
        <f>IFERROR(__xludf.DUMMYFUNCTION("""COMPUTED_VALUE"""),0.0)</f>
        <v>0</v>
      </c>
      <c r="AS3" s="72">
        <f>IFERROR(__xludf.DUMMYFUNCTION("""COMPUTED_VALUE"""),0.0)</f>
        <v>0</v>
      </c>
      <c r="AT3" s="72">
        <f>IFERROR(__xludf.DUMMYFUNCTION("""COMPUTED_VALUE"""),0.0)</f>
        <v>0</v>
      </c>
      <c r="AU3" s="72">
        <f>IFERROR(__xludf.DUMMYFUNCTION("""COMPUTED_VALUE"""),0.0)</f>
        <v>0</v>
      </c>
      <c r="AV3" s="72">
        <f>IFERROR(__xludf.DUMMYFUNCTION("""COMPUTED_VALUE"""),0.0)</f>
        <v>0</v>
      </c>
      <c r="AW3" s="72">
        <f>IFERROR(__xludf.DUMMYFUNCTION("""COMPUTED_VALUE"""),0.0)</f>
        <v>0</v>
      </c>
      <c r="AX3" s="72">
        <f>IFERROR(__xludf.DUMMYFUNCTION("""COMPUTED_VALUE"""),0.0)</f>
        <v>0</v>
      </c>
      <c r="AY3" s="72">
        <f>IFERROR(__xludf.DUMMYFUNCTION("""COMPUTED_VALUE"""),0.0)</f>
        <v>0</v>
      </c>
      <c r="AZ3" s="72">
        <f>IFERROR(__xludf.DUMMYFUNCTION("""COMPUTED_VALUE"""),0.0)</f>
        <v>0</v>
      </c>
      <c r="BA3" s="72">
        <f>IFERROR(__xludf.DUMMYFUNCTION("""COMPUTED_VALUE"""),0.0)</f>
        <v>0</v>
      </c>
      <c r="BB3" s="72">
        <f>IFERROR(__xludf.DUMMYFUNCTION("""COMPUTED_VALUE"""),0.0)</f>
        <v>0</v>
      </c>
      <c r="BC3" s="72">
        <f>IFERROR(__xludf.DUMMYFUNCTION("""COMPUTED_VALUE"""),0.0)</f>
        <v>0</v>
      </c>
      <c r="BD3" s="69">
        <f>IFERROR(__xludf.DUMMYFUNCTION("""COMPUTED_VALUE"""),0.0)</f>
        <v>0</v>
      </c>
      <c r="BE3" s="69" t="str">
        <f>IFERROR(__xludf.DUMMYFUNCTION("""COMPUTED_VALUE"""),"")</f>
        <v/>
      </c>
      <c r="BF3" s="69" t="str">
        <f>IFERROR(__xludf.DUMMYFUNCTION("""COMPUTED_VALUE"""),"")</f>
        <v/>
      </c>
      <c r="BG3" s="69" t="str">
        <f>IFERROR(__xludf.DUMMYFUNCTION("""COMPUTED_VALUE"""),"")</f>
        <v/>
      </c>
      <c r="BH3" s="69" t="str">
        <f>IFERROR(__xludf.DUMMYFUNCTION("""COMPUTED_VALUE"""),"")</f>
        <v/>
      </c>
      <c r="BI3" s="69" t="str">
        <f>IFERROR(__xludf.DUMMYFUNCTION("""COMPUTED_VALUE"""),"")</f>
        <v/>
      </c>
      <c r="BJ3" s="69" t="str">
        <f>IFERROR(__xludf.DUMMYFUNCTION("""COMPUTED_VALUE"""),"")</f>
        <v/>
      </c>
      <c r="BK3" s="69" t="str">
        <f>IFERROR(__xludf.DUMMYFUNCTION("""COMPUTED_VALUE"""),"")</f>
        <v/>
      </c>
      <c r="BL3" s="69" t="str">
        <f>IFERROR(__xludf.DUMMYFUNCTION("""COMPUTED_VALUE"""),"")</f>
        <v/>
      </c>
      <c r="BM3" s="69" t="str">
        <f>IFERROR(__xludf.DUMMYFUNCTION("""COMPUTED_VALUE"""),"")</f>
        <v/>
      </c>
      <c r="BN3" s="69" t="str">
        <f>IFERROR(__xludf.DUMMYFUNCTION("""COMPUTED_VALUE"""),"")</f>
        <v/>
      </c>
      <c r="BO3" s="69" t="str">
        <f>IFERROR(__xludf.DUMMYFUNCTION("""COMPUTED_VALUE"""),"")</f>
        <v/>
      </c>
      <c r="BP3" s="69" t="str">
        <f>IFERROR(__xludf.DUMMYFUNCTION("""COMPUTED_VALUE"""),"")</f>
        <v/>
      </c>
      <c r="BQ3" s="69" t="str">
        <f>IFERROR(__xludf.DUMMYFUNCTION("""COMPUTED_VALUE"""),"")</f>
        <v/>
      </c>
      <c r="BR3" s="69" t="str">
        <f>IFERROR(__xludf.DUMMYFUNCTION("""COMPUTED_VALUE"""),"")</f>
        <v/>
      </c>
      <c r="BS3" s="69" t="str">
        <f>IFERROR(__xludf.DUMMYFUNCTION("""COMPUTED_VALUE"""),"")</f>
        <v/>
      </c>
      <c r="BT3" s="69" t="str">
        <f>IFERROR(__xludf.DUMMYFUNCTION("""COMPUTED_VALUE"""),"")</f>
        <v/>
      </c>
      <c r="BU3" s="69" t="str">
        <f>IFERROR(__xludf.DUMMYFUNCTION("""COMPUTED_VALUE"""),"")</f>
        <v/>
      </c>
      <c r="BV3" s="69" t="str">
        <f>IFERROR(__xludf.DUMMYFUNCTION("""COMPUTED_VALUE"""),"")</f>
        <v/>
      </c>
      <c r="BW3" s="69"/>
      <c r="BX3" s="69"/>
      <c r="BY3" s="69"/>
      <c r="BZ3" s="69"/>
      <c r="CA3" s="69"/>
      <c r="CB3" s="69"/>
      <c r="CC3" s="69"/>
      <c r="CD3" s="69"/>
      <c r="CE3" s="69"/>
      <c r="CF3" s="69"/>
    </row>
    <row r="4">
      <c r="A4" s="70" t="str">
        <f>IFERROR(__xludf.DUMMYFUNCTION("""COMPUTED_VALUE"""),"Arcane Maelstrom")</f>
        <v>Arcane Maelstrom</v>
      </c>
      <c r="B4" s="71">
        <f>IFERROR(__xludf.DUMMYFUNCTION("""COMPUTED_VALUE"""),-3.0)</f>
        <v>-3</v>
      </c>
      <c r="C4" s="72">
        <f>IFERROR(__xludf.DUMMYFUNCTION("""COMPUTED_VALUE"""),0.0)</f>
        <v>0</v>
      </c>
      <c r="D4" s="72">
        <f>IFERROR(__xludf.DUMMYFUNCTION("""COMPUTED_VALUE"""),0.0)</f>
        <v>0</v>
      </c>
      <c r="E4" s="72" t="str">
        <f>IFERROR(__xludf.DUMMYFUNCTION("""COMPUTED_VALUE"""),"")</f>
        <v/>
      </c>
      <c r="F4" s="72">
        <f>IFERROR(__xludf.DUMMYFUNCTION("""COMPUTED_VALUE"""),0.0)</f>
        <v>0</v>
      </c>
      <c r="G4" s="72">
        <f>IFERROR(__xludf.DUMMYFUNCTION("""COMPUTED_VALUE"""),0.0)</f>
        <v>0</v>
      </c>
      <c r="H4" s="72">
        <f>IFERROR(__xludf.DUMMYFUNCTION("""COMPUTED_VALUE"""),0.0)</f>
        <v>0</v>
      </c>
      <c r="I4" s="72">
        <f>IFERROR(__xludf.DUMMYFUNCTION("""COMPUTED_VALUE"""),0.0)</f>
        <v>0</v>
      </c>
      <c r="J4" s="72">
        <f>IFERROR(__xludf.DUMMYFUNCTION("""COMPUTED_VALUE"""),0.0)</f>
        <v>0</v>
      </c>
      <c r="K4" s="72">
        <f>IFERROR(__xludf.DUMMYFUNCTION("""COMPUTED_VALUE"""),0.0)</f>
        <v>0</v>
      </c>
      <c r="L4" s="72">
        <f>IFERROR(__xludf.DUMMYFUNCTION("""COMPUTED_VALUE"""),0.0)</f>
        <v>0</v>
      </c>
      <c r="M4" s="72">
        <f>IFERROR(__xludf.DUMMYFUNCTION("""COMPUTED_VALUE"""),0.0)</f>
        <v>0</v>
      </c>
      <c r="N4" s="72">
        <f>IFERROR(__xludf.DUMMYFUNCTION("""COMPUTED_VALUE"""),0.0)</f>
        <v>0</v>
      </c>
      <c r="O4" s="72">
        <f>IFERROR(__xludf.DUMMYFUNCTION("""COMPUTED_VALUE"""),0.0)</f>
        <v>0</v>
      </c>
      <c r="P4" s="72">
        <f>IFERROR(__xludf.DUMMYFUNCTION("""COMPUTED_VALUE"""),0.0)</f>
        <v>0</v>
      </c>
      <c r="Q4" s="72">
        <f>IFERROR(__xludf.DUMMYFUNCTION("""COMPUTED_VALUE"""),0.0)</f>
        <v>0</v>
      </c>
      <c r="R4" s="72">
        <f>IFERROR(__xludf.DUMMYFUNCTION("""COMPUTED_VALUE"""),0.0)</f>
        <v>0</v>
      </c>
      <c r="S4" s="72">
        <f>IFERROR(__xludf.DUMMYFUNCTION("""COMPUTED_VALUE"""),0.0)</f>
        <v>0</v>
      </c>
      <c r="T4" s="72">
        <f>IFERROR(__xludf.DUMMYFUNCTION("""COMPUTED_VALUE"""),0.0)</f>
        <v>0</v>
      </c>
      <c r="U4" s="72">
        <f>IFERROR(__xludf.DUMMYFUNCTION("""COMPUTED_VALUE"""),0.0)</f>
        <v>0</v>
      </c>
      <c r="V4" s="72">
        <f>IFERROR(__xludf.DUMMYFUNCTION("""COMPUTED_VALUE"""),0.0)</f>
        <v>0</v>
      </c>
      <c r="W4" s="72">
        <f>IFERROR(__xludf.DUMMYFUNCTION("""COMPUTED_VALUE"""),0.0)</f>
        <v>0</v>
      </c>
      <c r="X4" s="72">
        <f>IFERROR(__xludf.DUMMYFUNCTION("""COMPUTED_VALUE"""),0.0)</f>
        <v>0</v>
      </c>
      <c r="Y4" s="72">
        <f>IFERROR(__xludf.DUMMYFUNCTION("""COMPUTED_VALUE"""),0.0)</f>
        <v>0</v>
      </c>
      <c r="Z4" s="72">
        <f>IFERROR(__xludf.DUMMYFUNCTION("""COMPUTED_VALUE"""),0.0)</f>
        <v>0</v>
      </c>
      <c r="AA4" s="72">
        <f>IFERROR(__xludf.DUMMYFUNCTION("""COMPUTED_VALUE"""),0.0)</f>
        <v>0</v>
      </c>
      <c r="AB4" s="72">
        <f>IFERROR(__xludf.DUMMYFUNCTION("""COMPUTED_VALUE"""),0.0)</f>
        <v>0</v>
      </c>
      <c r="AC4" s="72">
        <f>IFERROR(__xludf.DUMMYFUNCTION("""COMPUTED_VALUE"""),0.0)</f>
        <v>0</v>
      </c>
      <c r="AD4" s="72">
        <f>IFERROR(__xludf.DUMMYFUNCTION("""COMPUTED_VALUE"""),0.0)</f>
        <v>0</v>
      </c>
      <c r="AE4" s="72">
        <f>IFERROR(__xludf.DUMMYFUNCTION("""COMPUTED_VALUE"""),0.0)</f>
        <v>0</v>
      </c>
      <c r="AF4" s="72">
        <f>IFERROR(__xludf.DUMMYFUNCTION("""COMPUTED_VALUE"""),0.0)</f>
        <v>0</v>
      </c>
      <c r="AG4" s="72">
        <f>IFERROR(__xludf.DUMMYFUNCTION("""COMPUTED_VALUE"""),0.0)</f>
        <v>0</v>
      </c>
      <c r="AH4" s="72">
        <f>IFERROR(__xludf.DUMMYFUNCTION("""COMPUTED_VALUE"""),0.0)</f>
        <v>0</v>
      </c>
      <c r="AI4" s="72">
        <f>IFERROR(__xludf.DUMMYFUNCTION("""COMPUTED_VALUE"""),0.0)</f>
        <v>0</v>
      </c>
      <c r="AJ4" s="72">
        <f>IFERROR(__xludf.DUMMYFUNCTION("""COMPUTED_VALUE"""),0.0)</f>
        <v>0</v>
      </c>
      <c r="AK4" s="72">
        <f>IFERROR(__xludf.DUMMYFUNCTION("""COMPUTED_VALUE"""),0.0)</f>
        <v>0</v>
      </c>
      <c r="AL4" s="72">
        <f>IFERROR(__xludf.DUMMYFUNCTION("""COMPUTED_VALUE"""),0.0)</f>
        <v>0</v>
      </c>
      <c r="AM4" s="72">
        <f>IFERROR(__xludf.DUMMYFUNCTION("""COMPUTED_VALUE"""),0.0)</f>
        <v>0</v>
      </c>
      <c r="AN4" s="72">
        <f>IFERROR(__xludf.DUMMYFUNCTION("""COMPUTED_VALUE"""),0.0)</f>
        <v>0</v>
      </c>
      <c r="AO4" s="72">
        <f>IFERROR(__xludf.DUMMYFUNCTION("""COMPUTED_VALUE"""),0.0)</f>
        <v>0</v>
      </c>
      <c r="AP4" s="72">
        <f>IFERROR(__xludf.DUMMYFUNCTION("""COMPUTED_VALUE"""),0.0)</f>
        <v>0</v>
      </c>
      <c r="AQ4" s="72">
        <f>IFERROR(__xludf.DUMMYFUNCTION("""COMPUTED_VALUE"""),0.0)</f>
        <v>0</v>
      </c>
      <c r="AR4" s="72">
        <f>IFERROR(__xludf.DUMMYFUNCTION("""COMPUTED_VALUE"""),0.0)</f>
        <v>0</v>
      </c>
      <c r="AS4" s="72">
        <f>IFERROR(__xludf.DUMMYFUNCTION("""COMPUTED_VALUE"""),-1.0)</f>
        <v>-1</v>
      </c>
      <c r="AT4" s="72">
        <f>IFERROR(__xludf.DUMMYFUNCTION("""COMPUTED_VALUE"""),0.0)</f>
        <v>0</v>
      </c>
      <c r="AU4" s="72">
        <f>IFERROR(__xludf.DUMMYFUNCTION("""COMPUTED_VALUE"""),0.0)</f>
        <v>0</v>
      </c>
      <c r="AV4" s="72">
        <f>IFERROR(__xludf.DUMMYFUNCTION("""COMPUTED_VALUE"""),-1.0)</f>
        <v>-1</v>
      </c>
      <c r="AW4" s="72">
        <f>IFERROR(__xludf.DUMMYFUNCTION("""COMPUTED_VALUE"""),0.0)</f>
        <v>0</v>
      </c>
      <c r="AX4" s="72">
        <f>IFERROR(__xludf.DUMMYFUNCTION("""COMPUTED_VALUE"""),-1.0)</f>
        <v>-1</v>
      </c>
      <c r="AY4" s="72">
        <f>IFERROR(__xludf.DUMMYFUNCTION("""COMPUTED_VALUE"""),0.0)</f>
        <v>0</v>
      </c>
      <c r="AZ4" s="72">
        <f>IFERROR(__xludf.DUMMYFUNCTION("""COMPUTED_VALUE"""),0.0)</f>
        <v>0</v>
      </c>
      <c r="BA4" s="72">
        <f>IFERROR(__xludf.DUMMYFUNCTION("""COMPUTED_VALUE"""),0.0)</f>
        <v>0</v>
      </c>
      <c r="BB4" s="72">
        <f>IFERROR(__xludf.DUMMYFUNCTION("""COMPUTED_VALUE"""),0.0)</f>
        <v>0</v>
      </c>
      <c r="BC4" s="72">
        <f>IFERROR(__xludf.DUMMYFUNCTION("""COMPUTED_VALUE"""),0.0)</f>
        <v>0</v>
      </c>
      <c r="BD4" s="69">
        <f>IFERROR(__xludf.DUMMYFUNCTION("""COMPUTED_VALUE"""),0.0)</f>
        <v>0</v>
      </c>
      <c r="BE4" s="69" t="str">
        <f>IFERROR(__xludf.DUMMYFUNCTION("""COMPUTED_VALUE"""),"")</f>
        <v/>
      </c>
      <c r="BF4" s="69" t="str">
        <f>IFERROR(__xludf.DUMMYFUNCTION("""COMPUTED_VALUE"""),"")</f>
        <v/>
      </c>
      <c r="BG4" s="69" t="str">
        <f>IFERROR(__xludf.DUMMYFUNCTION("""COMPUTED_VALUE"""),"")</f>
        <v/>
      </c>
      <c r="BH4" s="69" t="str">
        <f>IFERROR(__xludf.DUMMYFUNCTION("""COMPUTED_VALUE"""),"")</f>
        <v/>
      </c>
      <c r="BI4" s="69" t="str">
        <f>IFERROR(__xludf.DUMMYFUNCTION("""COMPUTED_VALUE"""),"")</f>
        <v/>
      </c>
      <c r="BJ4" s="69" t="str">
        <f>IFERROR(__xludf.DUMMYFUNCTION("""COMPUTED_VALUE"""),"")</f>
        <v/>
      </c>
      <c r="BK4" s="69" t="str">
        <f>IFERROR(__xludf.DUMMYFUNCTION("""COMPUTED_VALUE"""),"")</f>
        <v/>
      </c>
      <c r="BL4" s="69" t="str">
        <f>IFERROR(__xludf.DUMMYFUNCTION("""COMPUTED_VALUE"""),"")</f>
        <v/>
      </c>
      <c r="BM4" s="69" t="str">
        <f>IFERROR(__xludf.DUMMYFUNCTION("""COMPUTED_VALUE"""),"")</f>
        <v/>
      </c>
      <c r="BN4" s="69" t="str">
        <f>IFERROR(__xludf.DUMMYFUNCTION("""COMPUTED_VALUE"""),"")</f>
        <v/>
      </c>
      <c r="BO4" s="69" t="str">
        <f>IFERROR(__xludf.DUMMYFUNCTION("""COMPUTED_VALUE"""),"")</f>
        <v/>
      </c>
      <c r="BP4" s="69" t="str">
        <f>IFERROR(__xludf.DUMMYFUNCTION("""COMPUTED_VALUE"""),"")</f>
        <v/>
      </c>
      <c r="BQ4" s="69" t="str">
        <f>IFERROR(__xludf.DUMMYFUNCTION("""COMPUTED_VALUE"""),"")</f>
        <v/>
      </c>
      <c r="BR4" s="69" t="str">
        <f>IFERROR(__xludf.DUMMYFUNCTION("""COMPUTED_VALUE"""),"")</f>
        <v/>
      </c>
      <c r="BS4" s="69" t="str">
        <f>IFERROR(__xludf.DUMMYFUNCTION("""COMPUTED_VALUE"""),"")</f>
        <v/>
      </c>
      <c r="BT4" s="69" t="str">
        <f>IFERROR(__xludf.DUMMYFUNCTION("""COMPUTED_VALUE"""),"")</f>
        <v/>
      </c>
      <c r="BU4" s="69" t="str">
        <f>IFERROR(__xludf.DUMMYFUNCTION("""COMPUTED_VALUE"""),"")</f>
        <v/>
      </c>
      <c r="BV4" s="69" t="str">
        <f>IFERROR(__xludf.DUMMYFUNCTION("""COMPUTED_VALUE"""),"")</f>
        <v/>
      </c>
      <c r="BW4" s="69"/>
      <c r="BX4" s="69"/>
      <c r="BY4" s="69"/>
      <c r="BZ4" s="69"/>
      <c r="CA4" s="69"/>
      <c r="CB4" s="69"/>
      <c r="CC4" s="69"/>
      <c r="CD4" s="69"/>
      <c r="CE4" s="69"/>
      <c r="CF4" s="69"/>
    </row>
    <row r="5">
      <c r="A5" s="70" t="str">
        <f>IFERROR(__xludf.DUMMYFUNCTION("""COMPUTED_VALUE"""),"Blame Game")</f>
        <v>Blame Game</v>
      </c>
      <c r="B5" s="71">
        <f>IFERROR(__xludf.DUMMYFUNCTION("""COMPUTED_VALUE"""),1.0)</f>
        <v>1</v>
      </c>
      <c r="C5" s="72">
        <f>IFERROR(__xludf.DUMMYFUNCTION("""COMPUTED_VALUE"""),1.0)</f>
        <v>1</v>
      </c>
      <c r="D5" s="72">
        <f>IFERROR(__xludf.DUMMYFUNCTION("""COMPUTED_VALUE"""),0.0)</f>
        <v>0</v>
      </c>
      <c r="E5" s="72">
        <f>IFERROR(__xludf.DUMMYFUNCTION("""COMPUTED_VALUE"""),0.0)</f>
        <v>0</v>
      </c>
      <c r="F5" s="72" t="str">
        <f>IFERROR(__xludf.DUMMYFUNCTION("""COMPUTED_VALUE"""),"")</f>
        <v/>
      </c>
      <c r="G5" s="72">
        <f>IFERROR(__xludf.DUMMYFUNCTION("""COMPUTED_VALUE"""),1.0)</f>
        <v>1</v>
      </c>
      <c r="H5" s="72">
        <f>IFERROR(__xludf.DUMMYFUNCTION("""COMPUTED_VALUE"""),0.0)</f>
        <v>0</v>
      </c>
      <c r="I5" s="72">
        <f>IFERROR(__xludf.DUMMYFUNCTION("""COMPUTED_VALUE"""),0.0)</f>
        <v>0</v>
      </c>
      <c r="J5" s="72">
        <f>IFERROR(__xludf.DUMMYFUNCTION("""COMPUTED_VALUE"""),0.0)</f>
        <v>0</v>
      </c>
      <c r="K5" s="72">
        <f>IFERROR(__xludf.DUMMYFUNCTION("""COMPUTED_VALUE"""),1.0)</f>
        <v>1</v>
      </c>
      <c r="L5" s="72">
        <f>IFERROR(__xludf.DUMMYFUNCTION("""COMPUTED_VALUE"""),0.0)</f>
        <v>0</v>
      </c>
      <c r="M5" s="72">
        <f>IFERROR(__xludf.DUMMYFUNCTION("""COMPUTED_VALUE"""),0.0)</f>
        <v>0</v>
      </c>
      <c r="N5" s="72">
        <f>IFERROR(__xludf.DUMMYFUNCTION("""COMPUTED_VALUE"""),0.0)</f>
        <v>0</v>
      </c>
      <c r="O5" s="72">
        <f>IFERROR(__xludf.DUMMYFUNCTION("""COMPUTED_VALUE"""),0.0)</f>
        <v>0</v>
      </c>
      <c r="P5" s="72">
        <f>IFERROR(__xludf.DUMMYFUNCTION("""COMPUTED_VALUE"""),-1.0)</f>
        <v>-1</v>
      </c>
      <c r="Q5" s="72">
        <f>IFERROR(__xludf.DUMMYFUNCTION("""COMPUTED_VALUE"""),0.0)</f>
        <v>0</v>
      </c>
      <c r="R5" s="72">
        <f>IFERROR(__xludf.DUMMYFUNCTION("""COMPUTED_VALUE"""),0.0)</f>
        <v>0</v>
      </c>
      <c r="S5" s="72">
        <f>IFERROR(__xludf.DUMMYFUNCTION("""COMPUTED_VALUE"""),0.0)</f>
        <v>0</v>
      </c>
      <c r="T5" s="72">
        <f>IFERROR(__xludf.DUMMYFUNCTION("""COMPUTED_VALUE"""),0.0)</f>
        <v>0</v>
      </c>
      <c r="U5" s="72">
        <f>IFERROR(__xludf.DUMMYFUNCTION("""COMPUTED_VALUE"""),0.0)</f>
        <v>0</v>
      </c>
      <c r="V5" s="72">
        <f>IFERROR(__xludf.DUMMYFUNCTION("""COMPUTED_VALUE"""),0.0)</f>
        <v>0</v>
      </c>
      <c r="W5" s="72">
        <f>IFERROR(__xludf.DUMMYFUNCTION("""COMPUTED_VALUE"""),0.0)</f>
        <v>0</v>
      </c>
      <c r="X5" s="72">
        <f>IFERROR(__xludf.DUMMYFUNCTION("""COMPUTED_VALUE"""),0.0)</f>
        <v>0</v>
      </c>
      <c r="Y5" s="72">
        <f>IFERROR(__xludf.DUMMYFUNCTION("""COMPUTED_VALUE"""),0.0)</f>
        <v>0</v>
      </c>
      <c r="Z5" s="72">
        <f>IFERROR(__xludf.DUMMYFUNCTION("""COMPUTED_VALUE"""),0.0)</f>
        <v>0</v>
      </c>
      <c r="AA5" s="72">
        <f>IFERROR(__xludf.DUMMYFUNCTION("""COMPUTED_VALUE"""),0.0)</f>
        <v>0</v>
      </c>
      <c r="AB5" s="72">
        <f>IFERROR(__xludf.DUMMYFUNCTION("""COMPUTED_VALUE"""),0.0)</f>
        <v>0</v>
      </c>
      <c r="AC5" s="72">
        <f>IFERROR(__xludf.DUMMYFUNCTION("""COMPUTED_VALUE"""),0.0)</f>
        <v>0</v>
      </c>
      <c r="AD5" s="72">
        <f>IFERROR(__xludf.DUMMYFUNCTION("""COMPUTED_VALUE"""),0.0)</f>
        <v>0</v>
      </c>
      <c r="AE5" s="72">
        <f>IFERROR(__xludf.DUMMYFUNCTION("""COMPUTED_VALUE"""),0.0)</f>
        <v>0</v>
      </c>
      <c r="AF5" s="72">
        <f>IFERROR(__xludf.DUMMYFUNCTION("""COMPUTED_VALUE"""),0.0)</f>
        <v>0</v>
      </c>
      <c r="AG5" s="72">
        <f>IFERROR(__xludf.DUMMYFUNCTION("""COMPUTED_VALUE"""),0.0)</f>
        <v>0</v>
      </c>
      <c r="AH5" s="72">
        <f>IFERROR(__xludf.DUMMYFUNCTION("""COMPUTED_VALUE"""),0.0)</f>
        <v>0</v>
      </c>
      <c r="AI5" s="72">
        <f>IFERROR(__xludf.DUMMYFUNCTION("""COMPUTED_VALUE"""),0.0)</f>
        <v>0</v>
      </c>
      <c r="AJ5" s="72">
        <f>IFERROR(__xludf.DUMMYFUNCTION("""COMPUTED_VALUE"""),0.0)</f>
        <v>0</v>
      </c>
      <c r="AK5" s="72">
        <f>IFERROR(__xludf.DUMMYFUNCTION("""COMPUTED_VALUE"""),0.0)</f>
        <v>0</v>
      </c>
      <c r="AL5" s="72">
        <f>IFERROR(__xludf.DUMMYFUNCTION("""COMPUTED_VALUE"""),0.0)</f>
        <v>0</v>
      </c>
      <c r="AM5" s="72">
        <f>IFERROR(__xludf.DUMMYFUNCTION("""COMPUTED_VALUE"""),0.0)</f>
        <v>0</v>
      </c>
      <c r="AN5" s="72">
        <f>IFERROR(__xludf.DUMMYFUNCTION("""COMPUTED_VALUE"""),-1.0)</f>
        <v>-1</v>
      </c>
      <c r="AO5" s="72">
        <f>IFERROR(__xludf.DUMMYFUNCTION("""COMPUTED_VALUE"""),0.0)</f>
        <v>0</v>
      </c>
      <c r="AP5" s="72">
        <f>IFERROR(__xludf.DUMMYFUNCTION("""COMPUTED_VALUE"""),0.0)</f>
        <v>0</v>
      </c>
      <c r="AQ5" s="72">
        <f>IFERROR(__xludf.DUMMYFUNCTION("""COMPUTED_VALUE"""),0.0)</f>
        <v>0</v>
      </c>
      <c r="AR5" s="72">
        <f>IFERROR(__xludf.DUMMYFUNCTION("""COMPUTED_VALUE"""),0.0)</f>
        <v>0</v>
      </c>
      <c r="AS5" s="72">
        <f>IFERROR(__xludf.DUMMYFUNCTION("""COMPUTED_VALUE"""),0.0)</f>
        <v>0</v>
      </c>
      <c r="AT5" s="72">
        <f>IFERROR(__xludf.DUMMYFUNCTION("""COMPUTED_VALUE"""),0.0)</f>
        <v>0</v>
      </c>
      <c r="AU5" s="72">
        <f>IFERROR(__xludf.DUMMYFUNCTION("""COMPUTED_VALUE"""),0.0)</f>
        <v>0</v>
      </c>
      <c r="AV5" s="72">
        <f>IFERROR(__xludf.DUMMYFUNCTION("""COMPUTED_VALUE"""),0.0)</f>
        <v>0</v>
      </c>
      <c r="AW5" s="72">
        <f>IFERROR(__xludf.DUMMYFUNCTION("""COMPUTED_VALUE"""),0.0)</f>
        <v>0</v>
      </c>
      <c r="AX5" s="72">
        <f>IFERROR(__xludf.DUMMYFUNCTION("""COMPUTED_VALUE"""),0.0)</f>
        <v>0</v>
      </c>
      <c r="AY5" s="72">
        <f>IFERROR(__xludf.DUMMYFUNCTION("""COMPUTED_VALUE"""),0.0)</f>
        <v>0</v>
      </c>
      <c r="AZ5" s="72">
        <f>IFERROR(__xludf.DUMMYFUNCTION("""COMPUTED_VALUE"""),0.0)</f>
        <v>0</v>
      </c>
      <c r="BA5" s="72">
        <f>IFERROR(__xludf.DUMMYFUNCTION("""COMPUTED_VALUE"""),0.0)</f>
        <v>0</v>
      </c>
      <c r="BB5" s="72">
        <f>IFERROR(__xludf.DUMMYFUNCTION("""COMPUTED_VALUE"""),0.0)</f>
        <v>0</v>
      </c>
      <c r="BC5" s="72">
        <f>IFERROR(__xludf.DUMMYFUNCTION("""COMPUTED_VALUE"""),0.0)</f>
        <v>0</v>
      </c>
      <c r="BD5" s="69">
        <f>IFERROR(__xludf.DUMMYFUNCTION("""COMPUTED_VALUE"""),0.0)</f>
        <v>0</v>
      </c>
      <c r="BE5" s="69" t="str">
        <f>IFERROR(__xludf.DUMMYFUNCTION("""COMPUTED_VALUE"""),"")</f>
        <v/>
      </c>
      <c r="BF5" s="69" t="str">
        <f>IFERROR(__xludf.DUMMYFUNCTION("""COMPUTED_VALUE"""),"")</f>
        <v/>
      </c>
      <c r="BG5" s="69" t="str">
        <f>IFERROR(__xludf.DUMMYFUNCTION("""COMPUTED_VALUE"""),"")</f>
        <v/>
      </c>
      <c r="BH5" s="69" t="str">
        <f>IFERROR(__xludf.DUMMYFUNCTION("""COMPUTED_VALUE"""),"")</f>
        <v/>
      </c>
      <c r="BI5" s="69" t="str">
        <f>IFERROR(__xludf.DUMMYFUNCTION("""COMPUTED_VALUE"""),"")</f>
        <v/>
      </c>
      <c r="BJ5" s="69" t="str">
        <f>IFERROR(__xludf.DUMMYFUNCTION("""COMPUTED_VALUE"""),"")</f>
        <v/>
      </c>
      <c r="BK5" s="69" t="str">
        <f>IFERROR(__xludf.DUMMYFUNCTION("""COMPUTED_VALUE"""),"")</f>
        <v/>
      </c>
      <c r="BL5" s="69" t="str">
        <f>IFERROR(__xludf.DUMMYFUNCTION("""COMPUTED_VALUE"""),"")</f>
        <v/>
      </c>
      <c r="BM5" s="69" t="str">
        <f>IFERROR(__xludf.DUMMYFUNCTION("""COMPUTED_VALUE"""),"")</f>
        <v/>
      </c>
      <c r="BN5" s="69" t="str">
        <f>IFERROR(__xludf.DUMMYFUNCTION("""COMPUTED_VALUE"""),"")</f>
        <v/>
      </c>
      <c r="BO5" s="69" t="str">
        <f>IFERROR(__xludf.DUMMYFUNCTION("""COMPUTED_VALUE"""),"")</f>
        <v/>
      </c>
      <c r="BP5" s="69" t="str">
        <f>IFERROR(__xludf.DUMMYFUNCTION("""COMPUTED_VALUE"""),"")</f>
        <v/>
      </c>
      <c r="BQ5" s="69" t="str">
        <f>IFERROR(__xludf.DUMMYFUNCTION("""COMPUTED_VALUE"""),"")</f>
        <v/>
      </c>
      <c r="BR5" s="69" t="str">
        <f>IFERROR(__xludf.DUMMYFUNCTION("""COMPUTED_VALUE"""),"")</f>
        <v/>
      </c>
      <c r="BS5" s="69" t="str">
        <f>IFERROR(__xludf.DUMMYFUNCTION("""COMPUTED_VALUE"""),"")</f>
        <v/>
      </c>
      <c r="BT5" s="69" t="str">
        <f>IFERROR(__xludf.DUMMYFUNCTION("""COMPUTED_VALUE"""),"")</f>
        <v/>
      </c>
      <c r="BU5" s="69" t="str">
        <f>IFERROR(__xludf.DUMMYFUNCTION("""COMPUTED_VALUE"""),"")</f>
        <v/>
      </c>
      <c r="BV5" s="69" t="str">
        <f>IFERROR(__xludf.DUMMYFUNCTION("""COMPUTED_VALUE"""),"")</f>
        <v/>
      </c>
      <c r="BW5" s="69"/>
      <c r="BX5" s="69"/>
      <c r="BY5" s="69"/>
      <c r="BZ5" s="69"/>
      <c r="CA5" s="69"/>
      <c r="CB5" s="69"/>
      <c r="CC5" s="69"/>
      <c r="CD5" s="69"/>
      <c r="CE5" s="69"/>
      <c r="CF5" s="69"/>
    </row>
    <row r="6">
      <c r="A6" s="70" t="str">
        <f>IFERROR(__xludf.DUMMYFUNCTION("""COMPUTED_VALUE"""),"Blight Curse")</f>
        <v>Blight Curse</v>
      </c>
      <c r="B6" s="71">
        <f>IFERROR(__xludf.DUMMYFUNCTION("""COMPUTED_VALUE"""),-6.0)</f>
        <v>-6</v>
      </c>
      <c r="C6" s="72">
        <f>IFERROR(__xludf.DUMMYFUNCTION("""COMPUTED_VALUE"""),0.0)</f>
        <v>0</v>
      </c>
      <c r="D6" s="72">
        <f>IFERROR(__xludf.DUMMYFUNCTION("""COMPUTED_VALUE"""),0.0)</f>
        <v>0</v>
      </c>
      <c r="E6" s="72">
        <f>IFERROR(__xludf.DUMMYFUNCTION("""COMPUTED_VALUE"""),0.0)</f>
        <v>0</v>
      </c>
      <c r="F6" s="72">
        <f>IFERROR(__xludf.DUMMYFUNCTION("""COMPUTED_VALUE"""),-1.0)</f>
        <v>-1</v>
      </c>
      <c r="G6" s="72" t="str">
        <f>IFERROR(__xludf.DUMMYFUNCTION("""COMPUTED_VALUE"""),"")</f>
        <v/>
      </c>
      <c r="H6" s="72">
        <f>IFERROR(__xludf.DUMMYFUNCTION("""COMPUTED_VALUE"""),0.0)</f>
        <v>0</v>
      </c>
      <c r="I6" s="72">
        <f>IFERROR(__xludf.DUMMYFUNCTION("""COMPUTED_VALUE"""),0.0)</f>
        <v>0</v>
      </c>
      <c r="J6" s="72">
        <f>IFERROR(__xludf.DUMMYFUNCTION("""COMPUTED_VALUE"""),0.0)</f>
        <v>0</v>
      </c>
      <c r="K6" s="72">
        <f>IFERROR(__xludf.DUMMYFUNCTION("""COMPUTED_VALUE"""),0.0)</f>
        <v>0</v>
      </c>
      <c r="L6" s="72">
        <f>IFERROR(__xludf.DUMMYFUNCTION("""COMPUTED_VALUE"""),-1.0)</f>
        <v>-1</v>
      </c>
      <c r="M6" s="72">
        <f>IFERROR(__xludf.DUMMYFUNCTION("""COMPUTED_VALUE"""),0.0)</f>
        <v>0</v>
      </c>
      <c r="N6" s="72">
        <f>IFERROR(__xludf.DUMMYFUNCTION("""COMPUTED_VALUE"""),1.0)</f>
        <v>1</v>
      </c>
      <c r="O6" s="72">
        <f>IFERROR(__xludf.DUMMYFUNCTION("""COMPUTED_VALUE"""),0.0)</f>
        <v>0</v>
      </c>
      <c r="P6" s="72">
        <f>IFERROR(__xludf.DUMMYFUNCTION("""COMPUTED_VALUE"""),0.0)</f>
        <v>0</v>
      </c>
      <c r="Q6" s="72">
        <f>IFERROR(__xludf.DUMMYFUNCTION("""COMPUTED_VALUE"""),0.0)</f>
        <v>0</v>
      </c>
      <c r="R6" s="72">
        <f>IFERROR(__xludf.DUMMYFUNCTION("""COMPUTED_VALUE"""),0.0)</f>
        <v>0</v>
      </c>
      <c r="S6" s="72">
        <f>IFERROR(__xludf.DUMMYFUNCTION("""COMPUTED_VALUE"""),0.0)</f>
        <v>0</v>
      </c>
      <c r="T6" s="72">
        <f>IFERROR(__xludf.DUMMYFUNCTION("""COMPUTED_VALUE"""),0.0)</f>
        <v>0</v>
      </c>
      <c r="U6" s="72">
        <f>IFERROR(__xludf.DUMMYFUNCTION("""COMPUTED_VALUE"""),-2.0)</f>
        <v>-2</v>
      </c>
      <c r="V6" s="72">
        <f>IFERROR(__xludf.DUMMYFUNCTION("""COMPUTED_VALUE"""),0.0)</f>
        <v>0</v>
      </c>
      <c r="W6" s="72">
        <f>IFERROR(__xludf.DUMMYFUNCTION("""COMPUTED_VALUE"""),0.0)</f>
        <v>0</v>
      </c>
      <c r="X6" s="72">
        <f>IFERROR(__xludf.DUMMYFUNCTION("""COMPUTED_VALUE"""),0.0)</f>
        <v>0</v>
      </c>
      <c r="Y6" s="72">
        <f>IFERROR(__xludf.DUMMYFUNCTION("""COMPUTED_VALUE"""),0.0)</f>
        <v>0</v>
      </c>
      <c r="Z6" s="72">
        <f>IFERROR(__xludf.DUMMYFUNCTION("""COMPUTED_VALUE"""),-1.0)</f>
        <v>-1</v>
      </c>
      <c r="AA6" s="72">
        <f>IFERROR(__xludf.DUMMYFUNCTION("""COMPUTED_VALUE"""),0.0)</f>
        <v>0</v>
      </c>
      <c r="AB6" s="72">
        <f>IFERROR(__xludf.DUMMYFUNCTION("""COMPUTED_VALUE"""),0.0)</f>
        <v>0</v>
      </c>
      <c r="AC6" s="72">
        <f>IFERROR(__xludf.DUMMYFUNCTION("""COMPUTED_VALUE"""),-1.0)</f>
        <v>-1</v>
      </c>
      <c r="AD6" s="72">
        <f>IFERROR(__xludf.DUMMYFUNCTION("""COMPUTED_VALUE"""),0.0)</f>
        <v>0</v>
      </c>
      <c r="AE6" s="72">
        <f>IFERROR(__xludf.DUMMYFUNCTION("""COMPUTED_VALUE"""),0.0)</f>
        <v>0</v>
      </c>
      <c r="AF6" s="72">
        <f>IFERROR(__xludf.DUMMYFUNCTION("""COMPUTED_VALUE"""),0.0)</f>
        <v>0</v>
      </c>
      <c r="AG6" s="72">
        <f>IFERROR(__xludf.DUMMYFUNCTION("""COMPUTED_VALUE"""),0.0)</f>
        <v>0</v>
      </c>
      <c r="AH6" s="72">
        <f>IFERROR(__xludf.DUMMYFUNCTION("""COMPUTED_VALUE"""),0.0)</f>
        <v>0</v>
      </c>
      <c r="AI6" s="72">
        <f>IFERROR(__xludf.DUMMYFUNCTION("""COMPUTED_VALUE"""),0.0)</f>
        <v>0</v>
      </c>
      <c r="AJ6" s="72">
        <f>IFERROR(__xludf.DUMMYFUNCTION("""COMPUTED_VALUE"""),0.0)</f>
        <v>0</v>
      </c>
      <c r="AK6" s="72">
        <f>IFERROR(__xludf.DUMMYFUNCTION("""COMPUTED_VALUE"""),-1.0)</f>
        <v>-1</v>
      </c>
      <c r="AL6" s="72">
        <f>IFERROR(__xludf.DUMMYFUNCTION("""COMPUTED_VALUE"""),0.0)</f>
        <v>0</v>
      </c>
      <c r="AM6" s="72">
        <f>IFERROR(__xludf.DUMMYFUNCTION("""COMPUTED_VALUE"""),0.0)</f>
        <v>0</v>
      </c>
      <c r="AN6" s="72">
        <f>IFERROR(__xludf.DUMMYFUNCTION("""COMPUTED_VALUE"""),0.0)</f>
        <v>0</v>
      </c>
      <c r="AO6" s="72">
        <f>IFERROR(__xludf.DUMMYFUNCTION("""COMPUTED_VALUE"""),-1.0)</f>
        <v>-1</v>
      </c>
      <c r="AP6" s="72">
        <f>IFERROR(__xludf.DUMMYFUNCTION("""COMPUTED_VALUE"""),0.0)</f>
        <v>0</v>
      </c>
      <c r="AQ6" s="72">
        <f>IFERROR(__xludf.DUMMYFUNCTION("""COMPUTED_VALUE"""),0.0)</f>
        <v>0</v>
      </c>
      <c r="AR6" s="72">
        <f>IFERROR(__xludf.DUMMYFUNCTION("""COMPUTED_VALUE"""),1.0)</f>
        <v>1</v>
      </c>
      <c r="AS6" s="72">
        <f>IFERROR(__xludf.DUMMYFUNCTION("""COMPUTED_VALUE"""),0.0)</f>
        <v>0</v>
      </c>
      <c r="AT6" s="72">
        <f>IFERROR(__xludf.DUMMYFUNCTION("""COMPUTED_VALUE"""),0.0)</f>
        <v>0</v>
      </c>
      <c r="AU6" s="72">
        <f>IFERROR(__xludf.DUMMYFUNCTION("""COMPUTED_VALUE"""),0.0)</f>
        <v>0</v>
      </c>
      <c r="AV6" s="72">
        <f>IFERROR(__xludf.DUMMYFUNCTION("""COMPUTED_VALUE"""),0.0)</f>
        <v>0</v>
      </c>
      <c r="AW6" s="72">
        <f>IFERROR(__xludf.DUMMYFUNCTION("""COMPUTED_VALUE"""),0.0)</f>
        <v>0</v>
      </c>
      <c r="AX6" s="72">
        <f>IFERROR(__xludf.DUMMYFUNCTION("""COMPUTED_VALUE"""),0.0)</f>
        <v>0</v>
      </c>
      <c r="AY6" s="72">
        <f>IFERROR(__xludf.DUMMYFUNCTION("""COMPUTED_VALUE"""),0.0)</f>
        <v>0</v>
      </c>
      <c r="AZ6" s="72">
        <f>IFERROR(__xludf.DUMMYFUNCTION("""COMPUTED_VALUE"""),0.0)</f>
        <v>0</v>
      </c>
      <c r="BA6" s="72">
        <f>IFERROR(__xludf.DUMMYFUNCTION("""COMPUTED_VALUE"""),0.0)</f>
        <v>0</v>
      </c>
      <c r="BB6" s="72">
        <f>IFERROR(__xludf.DUMMYFUNCTION("""COMPUTED_VALUE"""),0.0)</f>
        <v>0</v>
      </c>
      <c r="BC6" s="72">
        <f>IFERROR(__xludf.DUMMYFUNCTION("""COMPUTED_VALUE"""),0.0)</f>
        <v>0</v>
      </c>
      <c r="BD6" s="69">
        <f>IFERROR(__xludf.DUMMYFUNCTION("""COMPUTED_VALUE"""),0.0)</f>
        <v>0</v>
      </c>
      <c r="BE6" s="69" t="str">
        <f>IFERROR(__xludf.DUMMYFUNCTION("""COMPUTED_VALUE"""),"")</f>
        <v/>
      </c>
      <c r="BF6" s="69" t="str">
        <f>IFERROR(__xludf.DUMMYFUNCTION("""COMPUTED_VALUE"""),"")</f>
        <v/>
      </c>
      <c r="BG6" s="69" t="str">
        <f>IFERROR(__xludf.DUMMYFUNCTION("""COMPUTED_VALUE"""),"")</f>
        <v/>
      </c>
      <c r="BH6" s="69" t="str">
        <f>IFERROR(__xludf.DUMMYFUNCTION("""COMPUTED_VALUE"""),"")</f>
        <v/>
      </c>
      <c r="BI6" s="69" t="str">
        <f>IFERROR(__xludf.DUMMYFUNCTION("""COMPUTED_VALUE"""),"")</f>
        <v/>
      </c>
      <c r="BJ6" s="69" t="str">
        <f>IFERROR(__xludf.DUMMYFUNCTION("""COMPUTED_VALUE"""),"")</f>
        <v/>
      </c>
      <c r="BK6" s="69" t="str">
        <f>IFERROR(__xludf.DUMMYFUNCTION("""COMPUTED_VALUE"""),"")</f>
        <v/>
      </c>
      <c r="BL6" s="69" t="str">
        <f>IFERROR(__xludf.DUMMYFUNCTION("""COMPUTED_VALUE"""),"")</f>
        <v/>
      </c>
      <c r="BM6" s="69" t="str">
        <f>IFERROR(__xludf.DUMMYFUNCTION("""COMPUTED_VALUE"""),"")</f>
        <v/>
      </c>
      <c r="BN6" s="69" t="str">
        <f>IFERROR(__xludf.DUMMYFUNCTION("""COMPUTED_VALUE"""),"")</f>
        <v/>
      </c>
      <c r="BO6" s="69" t="str">
        <f>IFERROR(__xludf.DUMMYFUNCTION("""COMPUTED_VALUE"""),"")</f>
        <v/>
      </c>
      <c r="BP6" s="69" t="str">
        <f>IFERROR(__xludf.DUMMYFUNCTION("""COMPUTED_VALUE"""),"")</f>
        <v/>
      </c>
      <c r="BQ6" s="69" t="str">
        <f>IFERROR(__xludf.DUMMYFUNCTION("""COMPUTED_VALUE"""),"")</f>
        <v/>
      </c>
      <c r="BR6" s="69" t="str">
        <f>IFERROR(__xludf.DUMMYFUNCTION("""COMPUTED_VALUE"""),"")</f>
        <v/>
      </c>
      <c r="BS6" s="69" t="str">
        <f>IFERROR(__xludf.DUMMYFUNCTION("""COMPUTED_VALUE"""),"")</f>
        <v/>
      </c>
      <c r="BT6" s="69" t="str">
        <f>IFERROR(__xludf.DUMMYFUNCTION("""COMPUTED_VALUE"""),"")</f>
        <v/>
      </c>
      <c r="BU6" s="69" t="str">
        <f>IFERROR(__xludf.DUMMYFUNCTION("""COMPUTED_VALUE"""),"")</f>
        <v/>
      </c>
      <c r="BV6" s="69" t="str">
        <f>IFERROR(__xludf.DUMMYFUNCTION("""COMPUTED_VALUE"""),"")</f>
        <v/>
      </c>
      <c r="BW6" s="69"/>
      <c r="BX6" s="69"/>
      <c r="BY6" s="69"/>
      <c r="BZ6" s="69"/>
      <c r="CA6" s="69"/>
      <c r="CB6" s="69"/>
      <c r="CC6" s="69"/>
      <c r="CD6" s="69"/>
      <c r="CE6" s="69"/>
      <c r="CF6" s="69"/>
    </row>
    <row r="7">
      <c r="A7" s="70" t="str">
        <f>IFERROR(__xludf.DUMMYFUNCTION("""COMPUTED_VALUE"""),"Blood Rites")</f>
        <v>Blood Rites</v>
      </c>
      <c r="B7" s="71">
        <f>IFERROR(__xludf.DUMMYFUNCTION("""COMPUTED_VALUE"""),-8.0)</f>
        <v>-8</v>
      </c>
      <c r="C7" s="72">
        <f>IFERROR(__xludf.DUMMYFUNCTION("""COMPUTED_VALUE"""),0.0)</f>
        <v>0</v>
      </c>
      <c r="D7" s="72">
        <f>IFERROR(__xludf.DUMMYFUNCTION("""COMPUTED_VALUE"""),0.0)</f>
        <v>0</v>
      </c>
      <c r="E7" s="72">
        <f>IFERROR(__xludf.DUMMYFUNCTION("""COMPUTED_VALUE"""),0.0)</f>
        <v>0</v>
      </c>
      <c r="F7" s="72">
        <f>IFERROR(__xludf.DUMMYFUNCTION("""COMPUTED_VALUE"""),0.0)</f>
        <v>0</v>
      </c>
      <c r="G7" s="72">
        <f>IFERROR(__xludf.DUMMYFUNCTION("""COMPUTED_VALUE"""),0.0)</f>
        <v>0</v>
      </c>
      <c r="H7" s="72" t="str">
        <f>IFERROR(__xludf.DUMMYFUNCTION("""COMPUTED_VALUE"""),"")</f>
        <v/>
      </c>
      <c r="I7" s="72">
        <f>IFERROR(__xludf.DUMMYFUNCTION("""COMPUTED_VALUE"""),0.0)</f>
        <v>0</v>
      </c>
      <c r="J7" s="72">
        <f>IFERROR(__xludf.DUMMYFUNCTION("""COMPUTED_VALUE"""),-1.0)</f>
        <v>-1</v>
      </c>
      <c r="K7" s="72">
        <f>IFERROR(__xludf.DUMMYFUNCTION("""COMPUTED_VALUE"""),-1.0)</f>
        <v>-1</v>
      </c>
      <c r="L7" s="72">
        <f>IFERROR(__xludf.DUMMYFUNCTION("""COMPUTED_VALUE"""),0.0)</f>
        <v>0</v>
      </c>
      <c r="M7" s="72">
        <f>IFERROR(__xludf.DUMMYFUNCTION("""COMPUTED_VALUE"""),0.0)</f>
        <v>0</v>
      </c>
      <c r="N7" s="72">
        <f>IFERROR(__xludf.DUMMYFUNCTION("""COMPUTED_VALUE"""),0.0)</f>
        <v>0</v>
      </c>
      <c r="O7" s="72">
        <f>IFERROR(__xludf.DUMMYFUNCTION("""COMPUTED_VALUE"""),0.0)</f>
        <v>0</v>
      </c>
      <c r="P7" s="72">
        <f>IFERROR(__xludf.DUMMYFUNCTION("""COMPUTED_VALUE"""),-1.0)</f>
        <v>-1</v>
      </c>
      <c r="Q7" s="72">
        <f>IFERROR(__xludf.DUMMYFUNCTION("""COMPUTED_VALUE"""),0.0)</f>
        <v>0</v>
      </c>
      <c r="R7" s="72">
        <f>IFERROR(__xludf.DUMMYFUNCTION("""COMPUTED_VALUE"""),0.0)</f>
        <v>0</v>
      </c>
      <c r="S7" s="72">
        <f>IFERROR(__xludf.DUMMYFUNCTION("""COMPUTED_VALUE"""),0.0)</f>
        <v>0</v>
      </c>
      <c r="T7" s="72">
        <f>IFERROR(__xludf.DUMMYFUNCTION("""COMPUTED_VALUE"""),0.0)</f>
        <v>0</v>
      </c>
      <c r="U7" s="72">
        <f>IFERROR(__xludf.DUMMYFUNCTION("""COMPUTED_VALUE"""),0.0)</f>
        <v>0</v>
      </c>
      <c r="V7" s="72">
        <f>IFERROR(__xludf.DUMMYFUNCTION("""COMPUTED_VALUE"""),0.0)</f>
        <v>0</v>
      </c>
      <c r="W7" s="72">
        <f>IFERROR(__xludf.DUMMYFUNCTION("""COMPUTED_VALUE"""),0.0)</f>
        <v>0</v>
      </c>
      <c r="X7" s="72">
        <f>IFERROR(__xludf.DUMMYFUNCTION("""COMPUTED_VALUE"""),-1.0)</f>
        <v>-1</v>
      </c>
      <c r="Y7" s="72">
        <f>IFERROR(__xludf.DUMMYFUNCTION("""COMPUTED_VALUE"""),0.0)</f>
        <v>0</v>
      </c>
      <c r="Z7" s="72">
        <f>IFERROR(__xludf.DUMMYFUNCTION("""COMPUTED_VALUE"""),0.0)</f>
        <v>0</v>
      </c>
      <c r="AA7" s="72">
        <f>IFERROR(__xludf.DUMMYFUNCTION("""COMPUTED_VALUE"""),0.0)</f>
        <v>0</v>
      </c>
      <c r="AB7" s="72">
        <f>IFERROR(__xludf.DUMMYFUNCTION("""COMPUTED_VALUE"""),0.0)</f>
        <v>0</v>
      </c>
      <c r="AC7" s="72">
        <f>IFERROR(__xludf.DUMMYFUNCTION("""COMPUTED_VALUE"""),-2.0)</f>
        <v>-2</v>
      </c>
      <c r="AD7" s="72">
        <f>IFERROR(__xludf.DUMMYFUNCTION("""COMPUTED_VALUE"""),0.0)</f>
        <v>0</v>
      </c>
      <c r="AE7" s="72">
        <f>IFERROR(__xludf.DUMMYFUNCTION("""COMPUTED_VALUE"""),0.0)</f>
        <v>0</v>
      </c>
      <c r="AF7" s="72">
        <f>IFERROR(__xludf.DUMMYFUNCTION("""COMPUTED_VALUE"""),0.0)</f>
        <v>0</v>
      </c>
      <c r="AG7" s="72">
        <f>IFERROR(__xludf.DUMMYFUNCTION("""COMPUTED_VALUE"""),0.0)</f>
        <v>0</v>
      </c>
      <c r="AH7" s="72">
        <f>IFERROR(__xludf.DUMMYFUNCTION("""COMPUTED_VALUE"""),0.0)</f>
        <v>0</v>
      </c>
      <c r="AI7" s="72">
        <f>IFERROR(__xludf.DUMMYFUNCTION("""COMPUTED_VALUE"""),0.0)</f>
        <v>0</v>
      </c>
      <c r="AJ7" s="72">
        <f>IFERROR(__xludf.DUMMYFUNCTION("""COMPUTED_VALUE"""),0.0)</f>
        <v>0</v>
      </c>
      <c r="AK7" s="72">
        <f>IFERROR(__xludf.DUMMYFUNCTION("""COMPUTED_VALUE"""),0.0)</f>
        <v>0</v>
      </c>
      <c r="AL7" s="72">
        <f>IFERROR(__xludf.DUMMYFUNCTION("""COMPUTED_VALUE"""),-2.0)</f>
        <v>-2</v>
      </c>
      <c r="AM7" s="72">
        <f>IFERROR(__xludf.DUMMYFUNCTION("""COMPUTED_VALUE"""),0.0)</f>
        <v>0</v>
      </c>
      <c r="AN7" s="72">
        <f>IFERROR(__xludf.DUMMYFUNCTION("""COMPUTED_VALUE"""),0.0)</f>
        <v>0</v>
      </c>
      <c r="AO7" s="72">
        <f>IFERROR(__xludf.DUMMYFUNCTION("""COMPUTED_VALUE"""),0.0)</f>
        <v>0</v>
      </c>
      <c r="AP7" s="72">
        <f>IFERROR(__xludf.DUMMYFUNCTION("""COMPUTED_VALUE"""),0.0)</f>
        <v>0</v>
      </c>
      <c r="AQ7" s="72">
        <f>IFERROR(__xludf.DUMMYFUNCTION("""COMPUTED_VALUE"""),0.0)</f>
        <v>0</v>
      </c>
      <c r="AR7" s="72">
        <f>IFERROR(__xludf.DUMMYFUNCTION("""COMPUTED_VALUE"""),0.0)</f>
        <v>0</v>
      </c>
      <c r="AS7" s="72">
        <f>IFERROR(__xludf.DUMMYFUNCTION("""COMPUTED_VALUE"""),0.0)</f>
        <v>0</v>
      </c>
      <c r="AT7" s="72">
        <f>IFERROR(__xludf.DUMMYFUNCTION("""COMPUTED_VALUE"""),0.0)</f>
        <v>0</v>
      </c>
      <c r="AU7" s="72">
        <f>IFERROR(__xludf.DUMMYFUNCTION("""COMPUTED_VALUE"""),0.0)</f>
        <v>0</v>
      </c>
      <c r="AV7" s="72">
        <f>IFERROR(__xludf.DUMMYFUNCTION("""COMPUTED_VALUE"""),0.0)</f>
        <v>0</v>
      </c>
      <c r="AW7" s="72">
        <f>IFERROR(__xludf.DUMMYFUNCTION("""COMPUTED_VALUE"""),0.0)</f>
        <v>0</v>
      </c>
      <c r="AX7" s="72">
        <f>IFERROR(__xludf.DUMMYFUNCTION("""COMPUTED_VALUE"""),0.0)</f>
        <v>0</v>
      </c>
      <c r="AY7" s="72">
        <f>IFERROR(__xludf.DUMMYFUNCTION("""COMPUTED_VALUE"""),0.0)</f>
        <v>0</v>
      </c>
      <c r="AZ7" s="72">
        <f>IFERROR(__xludf.DUMMYFUNCTION("""COMPUTED_VALUE"""),0.0)</f>
        <v>0</v>
      </c>
      <c r="BA7" s="72">
        <f>IFERROR(__xludf.DUMMYFUNCTION("""COMPUTED_VALUE"""),0.0)</f>
        <v>0</v>
      </c>
      <c r="BB7" s="72">
        <f>IFERROR(__xludf.DUMMYFUNCTION("""COMPUTED_VALUE"""),0.0)</f>
        <v>0</v>
      </c>
      <c r="BC7" s="72">
        <f>IFERROR(__xludf.DUMMYFUNCTION("""COMPUTED_VALUE"""),0.0)</f>
        <v>0</v>
      </c>
      <c r="BD7" s="69">
        <f>IFERROR(__xludf.DUMMYFUNCTION("""COMPUTED_VALUE"""),0.0)</f>
        <v>0</v>
      </c>
      <c r="BE7" s="69" t="str">
        <f>IFERROR(__xludf.DUMMYFUNCTION("""COMPUTED_VALUE"""),"")</f>
        <v/>
      </c>
      <c r="BF7" s="69" t="str">
        <f>IFERROR(__xludf.DUMMYFUNCTION("""COMPUTED_VALUE"""),"")</f>
        <v/>
      </c>
      <c r="BG7" s="69" t="str">
        <f>IFERROR(__xludf.DUMMYFUNCTION("""COMPUTED_VALUE"""),"")</f>
        <v/>
      </c>
      <c r="BH7" s="69" t="str">
        <f>IFERROR(__xludf.DUMMYFUNCTION("""COMPUTED_VALUE"""),"")</f>
        <v/>
      </c>
      <c r="BI7" s="69" t="str">
        <f>IFERROR(__xludf.DUMMYFUNCTION("""COMPUTED_VALUE"""),"")</f>
        <v/>
      </c>
      <c r="BJ7" s="69" t="str">
        <f>IFERROR(__xludf.DUMMYFUNCTION("""COMPUTED_VALUE"""),"")</f>
        <v/>
      </c>
      <c r="BK7" s="69" t="str">
        <f>IFERROR(__xludf.DUMMYFUNCTION("""COMPUTED_VALUE"""),"")</f>
        <v/>
      </c>
      <c r="BL7" s="69" t="str">
        <f>IFERROR(__xludf.DUMMYFUNCTION("""COMPUTED_VALUE"""),"")</f>
        <v/>
      </c>
      <c r="BM7" s="69" t="str">
        <f>IFERROR(__xludf.DUMMYFUNCTION("""COMPUTED_VALUE"""),"")</f>
        <v/>
      </c>
      <c r="BN7" s="69" t="str">
        <f>IFERROR(__xludf.DUMMYFUNCTION("""COMPUTED_VALUE"""),"")</f>
        <v/>
      </c>
      <c r="BO7" s="69" t="str">
        <f>IFERROR(__xludf.DUMMYFUNCTION("""COMPUTED_VALUE"""),"")</f>
        <v/>
      </c>
      <c r="BP7" s="69" t="str">
        <f>IFERROR(__xludf.DUMMYFUNCTION("""COMPUTED_VALUE"""),"")</f>
        <v/>
      </c>
      <c r="BQ7" s="69" t="str">
        <f>IFERROR(__xludf.DUMMYFUNCTION("""COMPUTED_VALUE"""),"")</f>
        <v/>
      </c>
      <c r="BR7" s="69" t="str">
        <f>IFERROR(__xludf.DUMMYFUNCTION("""COMPUTED_VALUE"""),"")</f>
        <v/>
      </c>
      <c r="BS7" s="69" t="str">
        <f>IFERROR(__xludf.DUMMYFUNCTION("""COMPUTED_VALUE"""),"")</f>
        <v/>
      </c>
      <c r="BT7" s="69" t="str">
        <f>IFERROR(__xludf.DUMMYFUNCTION("""COMPUTED_VALUE"""),"")</f>
        <v/>
      </c>
      <c r="BU7" s="69" t="str">
        <f>IFERROR(__xludf.DUMMYFUNCTION("""COMPUTED_VALUE"""),"")</f>
        <v/>
      </c>
      <c r="BV7" s="69" t="str">
        <f>IFERROR(__xludf.DUMMYFUNCTION("""COMPUTED_VALUE"""),"")</f>
        <v/>
      </c>
      <c r="BW7" s="69"/>
      <c r="BX7" s="69"/>
      <c r="BY7" s="69"/>
      <c r="BZ7" s="69"/>
      <c r="CA7" s="69"/>
      <c r="CB7" s="69"/>
      <c r="CC7" s="69"/>
      <c r="CD7" s="69"/>
      <c r="CE7" s="69"/>
      <c r="CF7" s="69"/>
    </row>
    <row r="8">
      <c r="A8" s="70" t="str">
        <f>IFERROR(__xludf.DUMMYFUNCTION("""COMPUTED_VALUE"""),"Buckle Up")</f>
        <v>Buckle Up</v>
      </c>
      <c r="B8" s="71">
        <f>IFERROR(__xludf.DUMMYFUNCTION("""COMPUTED_VALUE"""),-1.0)</f>
        <v>-1</v>
      </c>
      <c r="C8" s="72">
        <f>IFERROR(__xludf.DUMMYFUNCTION("""COMPUTED_VALUE"""),0.0)</f>
        <v>0</v>
      </c>
      <c r="D8" s="72">
        <f>IFERROR(__xludf.DUMMYFUNCTION("""COMPUTED_VALUE"""),0.0)</f>
        <v>0</v>
      </c>
      <c r="E8" s="72">
        <f>IFERROR(__xludf.DUMMYFUNCTION("""COMPUTED_VALUE"""),0.0)</f>
        <v>0</v>
      </c>
      <c r="F8" s="72">
        <f>IFERROR(__xludf.DUMMYFUNCTION("""COMPUTED_VALUE"""),0.0)</f>
        <v>0</v>
      </c>
      <c r="G8" s="72">
        <f>IFERROR(__xludf.DUMMYFUNCTION("""COMPUTED_VALUE"""),0.0)</f>
        <v>0</v>
      </c>
      <c r="H8" s="72">
        <f>IFERROR(__xludf.DUMMYFUNCTION("""COMPUTED_VALUE"""),0.0)</f>
        <v>0</v>
      </c>
      <c r="I8" s="72" t="str">
        <f>IFERROR(__xludf.DUMMYFUNCTION("""COMPUTED_VALUE"""),"")</f>
        <v/>
      </c>
      <c r="J8" s="72">
        <f>IFERROR(__xludf.DUMMYFUNCTION("""COMPUTED_VALUE"""),0.0)</f>
        <v>0</v>
      </c>
      <c r="K8" s="72">
        <f>IFERROR(__xludf.DUMMYFUNCTION("""COMPUTED_VALUE"""),0.0)</f>
        <v>0</v>
      </c>
      <c r="L8" s="72">
        <f>IFERROR(__xludf.DUMMYFUNCTION("""COMPUTED_VALUE"""),0.0)</f>
        <v>0</v>
      </c>
      <c r="M8" s="72">
        <f>IFERROR(__xludf.DUMMYFUNCTION("""COMPUTED_VALUE"""),0.0)</f>
        <v>0</v>
      </c>
      <c r="N8" s="72">
        <f>IFERROR(__xludf.DUMMYFUNCTION("""COMPUTED_VALUE"""),0.0)</f>
        <v>0</v>
      </c>
      <c r="O8" s="72">
        <f>IFERROR(__xludf.DUMMYFUNCTION("""COMPUTED_VALUE"""),0.0)</f>
        <v>0</v>
      </c>
      <c r="P8" s="72">
        <f>IFERROR(__xludf.DUMMYFUNCTION("""COMPUTED_VALUE"""),0.0)</f>
        <v>0</v>
      </c>
      <c r="Q8" s="72">
        <f>IFERROR(__xludf.DUMMYFUNCTION("""COMPUTED_VALUE"""),0.0)</f>
        <v>0</v>
      </c>
      <c r="R8" s="72">
        <f>IFERROR(__xludf.DUMMYFUNCTION("""COMPUTED_VALUE"""),0.0)</f>
        <v>0</v>
      </c>
      <c r="S8" s="72">
        <f>IFERROR(__xludf.DUMMYFUNCTION("""COMPUTED_VALUE"""),0.0)</f>
        <v>0</v>
      </c>
      <c r="T8" s="72">
        <f>IFERROR(__xludf.DUMMYFUNCTION("""COMPUTED_VALUE"""),0.0)</f>
        <v>0</v>
      </c>
      <c r="U8" s="72">
        <f>IFERROR(__xludf.DUMMYFUNCTION("""COMPUTED_VALUE"""),0.0)</f>
        <v>0</v>
      </c>
      <c r="V8" s="72">
        <f>IFERROR(__xludf.DUMMYFUNCTION("""COMPUTED_VALUE"""),0.0)</f>
        <v>0</v>
      </c>
      <c r="W8" s="72">
        <f>IFERROR(__xludf.DUMMYFUNCTION("""COMPUTED_VALUE"""),0.0)</f>
        <v>0</v>
      </c>
      <c r="X8" s="72">
        <f>IFERROR(__xludf.DUMMYFUNCTION("""COMPUTED_VALUE"""),0.0)</f>
        <v>0</v>
      </c>
      <c r="Y8" s="72">
        <f>IFERROR(__xludf.DUMMYFUNCTION("""COMPUTED_VALUE"""),0.0)</f>
        <v>0</v>
      </c>
      <c r="Z8" s="72">
        <f>IFERROR(__xludf.DUMMYFUNCTION("""COMPUTED_VALUE"""),-1.0)</f>
        <v>-1</v>
      </c>
      <c r="AA8" s="72">
        <f>IFERROR(__xludf.DUMMYFUNCTION("""COMPUTED_VALUE"""),0.0)</f>
        <v>0</v>
      </c>
      <c r="AB8" s="72">
        <f>IFERROR(__xludf.DUMMYFUNCTION("""COMPUTED_VALUE"""),0.0)</f>
        <v>0</v>
      </c>
      <c r="AC8" s="72">
        <f>IFERROR(__xludf.DUMMYFUNCTION("""COMPUTED_VALUE"""),0.0)</f>
        <v>0</v>
      </c>
      <c r="AD8" s="72">
        <f>IFERROR(__xludf.DUMMYFUNCTION("""COMPUTED_VALUE"""),0.0)</f>
        <v>0</v>
      </c>
      <c r="AE8" s="72">
        <f>IFERROR(__xludf.DUMMYFUNCTION("""COMPUTED_VALUE"""),0.0)</f>
        <v>0</v>
      </c>
      <c r="AF8" s="72">
        <f>IFERROR(__xludf.DUMMYFUNCTION("""COMPUTED_VALUE"""),0.0)</f>
        <v>0</v>
      </c>
      <c r="AG8" s="72">
        <f>IFERROR(__xludf.DUMMYFUNCTION("""COMPUTED_VALUE"""),0.0)</f>
        <v>0</v>
      </c>
      <c r="AH8" s="72">
        <f>IFERROR(__xludf.DUMMYFUNCTION("""COMPUTED_VALUE"""),0.0)</f>
        <v>0</v>
      </c>
      <c r="AI8" s="72">
        <f>IFERROR(__xludf.DUMMYFUNCTION("""COMPUTED_VALUE"""),0.0)</f>
        <v>0</v>
      </c>
      <c r="AJ8" s="72">
        <f>IFERROR(__xludf.DUMMYFUNCTION("""COMPUTED_VALUE"""),0.0)</f>
        <v>0</v>
      </c>
      <c r="AK8" s="72">
        <f>IFERROR(__xludf.DUMMYFUNCTION("""COMPUTED_VALUE"""),0.0)</f>
        <v>0</v>
      </c>
      <c r="AL8" s="72">
        <f>IFERROR(__xludf.DUMMYFUNCTION("""COMPUTED_VALUE"""),0.0)</f>
        <v>0</v>
      </c>
      <c r="AM8" s="72">
        <f>IFERROR(__xludf.DUMMYFUNCTION("""COMPUTED_VALUE"""),0.0)</f>
        <v>0</v>
      </c>
      <c r="AN8" s="72">
        <f>IFERROR(__xludf.DUMMYFUNCTION("""COMPUTED_VALUE"""),0.0)</f>
        <v>0</v>
      </c>
      <c r="AO8" s="72">
        <f>IFERROR(__xludf.DUMMYFUNCTION("""COMPUTED_VALUE"""),0.0)</f>
        <v>0</v>
      </c>
      <c r="AP8" s="72">
        <f>IFERROR(__xludf.DUMMYFUNCTION("""COMPUTED_VALUE"""),0.0)</f>
        <v>0</v>
      </c>
      <c r="AQ8" s="72">
        <f>IFERROR(__xludf.DUMMYFUNCTION("""COMPUTED_VALUE"""),0.0)</f>
        <v>0</v>
      </c>
      <c r="AR8" s="72">
        <f>IFERROR(__xludf.DUMMYFUNCTION("""COMPUTED_VALUE"""),0.0)</f>
        <v>0</v>
      </c>
      <c r="AS8" s="72">
        <f>IFERROR(__xludf.DUMMYFUNCTION("""COMPUTED_VALUE"""),0.0)</f>
        <v>0</v>
      </c>
      <c r="AT8" s="72">
        <f>IFERROR(__xludf.DUMMYFUNCTION("""COMPUTED_VALUE"""),0.0)</f>
        <v>0</v>
      </c>
      <c r="AU8" s="72">
        <f>IFERROR(__xludf.DUMMYFUNCTION("""COMPUTED_VALUE"""),0.0)</f>
        <v>0</v>
      </c>
      <c r="AV8" s="72">
        <f>IFERROR(__xludf.DUMMYFUNCTION("""COMPUTED_VALUE"""),0.0)</f>
        <v>0</v>
      </c>
      <c r="AW8" s="72">
        <f>IFERROR(__xludf.DUMMYFUNCTION("""COMPUTED_VALUE"""),0.0)</f>
        <v>0</v>
      </c>
      <c r="AX8" s="72">
        <f>IFERROR(__xludf.DUMMYFUNCTION("""COMPUTED_VALUE"""),0.0)</f>
        <v>0</v>
      </c>
      <c r="AY8" s="72">
        <f>IFERROR(__xludf.DUMMYFUNCTION("""COMPUTED_VALUE"""),0.0)</f>
        <v>0</v>
      </c>
      <c r="AZ8" s="72">
        <f>IFERROR(__xludf.DUMMYFUNCTION("""COMPUTED_VALUE"""),0.0)</f>
        <v>0</v>
      </c>
      <c r="BA8" s="72">
        <f>IFERROR(__xludf.DUMMYFUNCTION("""COMPUTED_VALUE"""),0.0)</f>
        <v>0</v>
      </c>
      <c r="BB8" s="72">
        <f>IFERROR(__xludf.DUMMYFUNCTION("""COMPUTED_VALUE"""),0.0)</f>
        <v>0</v>
      </c>
      <c r="BC8" s="72">
        <f>IFERROR(__xludf.DUMMYFUNCTION("""COMPUTED_VALUE"""),0.0)</f>
        <v>0</v>
      </c>
      <c r="BD8" s="69">
        <f>IFERROR(__xludf.DUMMYFUNCTION("""COMPUTED_VALUE"""),0.0)</f>
        <v>0</v>
      </c>
      <c r="BE8" s="69" t="str">
        <f>IFERROR(__xludf.DUMMYFUNCTION("""COMPUTED_VALUE"""),"")</f>
        <v/>
      </c>
      <c r="BF8" s="69" t="str">
        <f>IFERROR(__xludf.DUMMYFUNCTION("""COMPUTED_VALUE"""),"")</f>
        <v/>
      </c>
      <c r="BG8" s="69" t="str">
        <f>IFERROR(__xludf.DUMMYFUNCTION("""COMPUTED_VALUE"""),"")</f>
        <v/>
      </c>
      <c r="BH8" s="69" t="str">
        <f>IFERROR(__xludf.DUMMYFUNCTION("""COMPUTED_VALUE"""),"")</f>
        <v/>
      </c>
      <c r="BI8" s="69" t="str">
        <f>IFERROR(__xludf.DUMMYFUNCTION("""COMPUTED_VALUE"""),"")</f>
        <v/>
      </c>
      <c r="BJ8" s="69" t="str">
        <f>IFERROR(__xludf.DUMMYFUNCTION("""COMPUTED_VALUE"""),"")</f>
        <v/>
      </c>
      <c r="BK8" s="69" t="str">
        <f>IFERROR(__xludf.DUMMYFUNCTION("""COMPUTED_VALUE"""),"")</f>
        <v/>
      </c>
      <c r="BL8" s="69" t="str">
        <f>IFERROR(__xludf.DUMMYFUNCTION("""COMPUTED_VALUE"""),"")</f>
        <v/>
      </c>
      <c r="BM8" s="69" t="str">
        <f>IFERROR(__xludf.DUMMYFUNCTION("""COMPUTED_VALUE"""),"")</f>
        <v/>
      </c>
      <c r="BN8" s="69" t="str">
        <f>IFERROR(__xludf.DUMMYFUNCTION("""COMPUTED_VALUE"""),"")</f>
        <v/>
      </c>
      <c r="BO8" s="69" t="str">
        <f>IFERROR(__xludf.DUMMYFUNCTION("""COMPUTED_VALUE"""),"")</f>
        <v/>
      </c>
      <c r="BP8" s="69" t="str">
        <f>IFERROR(__xludf.DUMMYFUNCTION("""COMPUTED_VALUE"""),"")</f>
        <v/>
      </c>
      <c r="BQ8" s="69" t="str">
        <f>IFERROR(__xludf.DUMMYFUNCTION("""COMPUTED_VALUE"""),"")</f>
        <v/>
      </c>
      <c r="BR8" s="69" t="str">
        <f>IFERROR(__xludf.DUMMYFUNCTION("""COMPUTED_VALUE"""),"")</f>
        <v/>
      </c>
      <c r="BS8" s="69" t="str">
        <f>IFERROR(__xludf.DUMMYFUNCTION("""COMPUTED_VALUE"""),"")</f>
        <v/>
      </c>
      <c r="BT8" s="69" t="str">
        <f>IFERROR(__xludf.DUMMYFUNCTION("""COMPUTED_VALUE"""),"")</f>
        <v/>
      </c>
      <c r="BU8" s="69" t="str">
        <f>IFERROR(__xludf.DUMMYFUNCTION("""COMPUTED_VALUE"""),"")</f>
        <v/>
      </c>
      <c r="BV8" s="69" t="str">
        <f>IFERROR(__xludf.DUMMYFUNCTION("""COMPUTED_VALUE"""),"")</f>
        <v/>
      </c>
      <c r="BW8" s="69"/>
      <c r="BX8" s="69"/>
      <c r="BY8" s="69"/>
      <c r="BZ8" s="69"/>
      <c r="CA8" s="69"/>
      <c r="CB8" s="69"/>
      <c r="CC8" s="69"/>
      <c r="CD8" s="69"/>
      <c r="CE8" s="69"/>
      <c r="CF8" s="69"/>
    </row>
    <row r="9">
      <c r="A9" s="70" t="str">
        <f>IFERROR(__xludf.DUMMYFUNCTION("""COMPUTED_VALUE"""),"Cabaretti Cacophony")</f>
        <v>Cabaretti Cacophony</v>
      </c>
      <c r="B9" s="71">
        <f>IFERROR(__xludf.DUMMYFUNCTION("""COMPUTED_VALUE"""),1.0)</f>
        <v>1</v>
      </c>
      <c r="C9" s="72">
        <f>IFERROR(__xludf.DUMMYFUNCTION("""COMPUTED_VALUE"""),0.0)</f>
        <v>0</v>
      </c>
      <c r="D9" s="72">
        <f>IFERROR(__xludf.DUMMYFUNCTION("""COMPUTED_VALUE"""),0.0)</f>
        <v>0</v>
      </c>
      <c r="E9" s="72">
        <f>IFERROR(__xludf.DUMMYFUNCTION("""COMPUTED_VALUE"""),0.0)</f>
        <v>0</v>
      </c>
      <c r="F9" s="72">
        <f>IFERROR(__xludf.DUMMYFUNCTION("""COMPUTED_VALUE"""),0.0)</f>
        <v>0</v>
      </c>
      <c r="G9" s="72">
        <f>IFERROR(__xludf.DUMMYFUNCTION("""COMPUTED_VALUE"""),0.0)</f>
        <v>0</v>
      </c>
      <c r="H9" s="72">
        <f>IFERROR(__xludf.DUMMYFUNCTION("""COMPUTED_VALUE"""),1.0)</f>
        <v>1</v>
      </c>
      <c r="I9" s="72">
        <f>IFERROR(__xludf.DUMMYFUNCTION("""COMPUTED_VALUE"""),0.0)</f>
        <v>0</v>
      </c>
      <c r="J9" s="72" t="str">
        <f>IFERROR(__xludf.DUMMYFUNCTION("""COMPUTED_VALUE"""),"")</f>
        <v/>
      </c>
      <c r="K9" s="72">
        <f>IFERROR(__xludf.DUMMYFUNCTION("""COMPUTED_VALUE"""),0.0)</f>
        <v>0</v>
      </c>
      <c r="L9" s="72">
        <f>IFERROR(__xludf.DUMMYFUNCTION("""COMPUTED_VALUE"""),0.0)</f>
        <v>0</v>
      </c>
      <c r="M9" s="72">
        <f>IFERROR(__xludf.DUMMYFUNCTION("""COMPUTED_VALUE"""),0.0)</f>
        <v>0</v>
      </c>
      <c r="N9" s="72">
        <f>IFERROR(__xludf.DUMMYFUNCTION("""COMPUTED_VALUE"""),1.0)</f>
        <v>1</v>
      </c>
      <c r="O9" s="72">
        <f>IFERROR(__xludf.DUMMYFUNCTION("""COMPUTED_VALUE"""),0.0)</f>
        <v>0</v>
      </c>
      <c r="P9" s="72">
        <f>IFERROR(__xludf.DUMMYFUNCTION("""COMPUTED_VALUE"""),0.0)</f>
        <v>0</v>
      </c>
      <c r="Q9" s="72">
        <f>IFERROR(__xludf.DUMMYFUNCTION("""COMPUTED_VALUE"""),0.0)</f>
        <v>0</v>
      </c>
      <c r="R9" s="72">
        <f>IFERROR(__xludf.DUMMYFUNCTION("""COMPUTED_VALUE"""),0.0)</f>
        <v>0</v>
      </c>
      <c r="S9" s="72">
        <f>IFERROR(__xludf.DUMMYFUNCTION("""COMPUTED_VALUE"""),0.0)</f>
        <v>0</v>
      </c>
      <c r="T9" s="72">
        <f>IFERROR(__xludf.DUMMYFUNCTION("""COMPUTED_VALUE"""),0.0)</f>
        <v>0</v>
      </c>
      <c r="U9" s="72">
        <f>IFERROR(__xludf.DUMMYFUNCTION("""COMPUTED_VALUE"""),0.0)</f>
        <v>0</v>
      </c>
      <c r="V9" s="72">
        <f>IFERROR(__xludf.DUMMYFUNCTION("""COMPUTED_VALUE"""),0.0)</f>
        <v>0</v>
      </c>
      <c r="W9" s="72">
        <f>IFERROR(__xludf.DUMMYFUNCTION("""COMPUTED_VALUE"""),0.0)</f>
        <v>0</v>
      </c>
      <c r="X9" s="72">
        <f>IFERROR(__xludf.DUMMYFUNCTION("""COMPUTED_VALUE"""),0.0)</f>
        <v>0</v>
      </c>
      <c r="Y9" s="72">
        <f>IFERROR(__xludf.DUMMYFUNCTION("""COMPUTED_VALUE"""),0.0)</f>
        <v>0</v>
      </c>
      <c r="Z9" s="72">
        <f>IFERROR(__xludf.DUMMYFUNCTION("""COMPUTED_VALUE"""),0.0)</f>
        <v>0</v>
      </c>
      <c r="AA9" s="72">
        <f>IFERROR(__xludf.DUMMYFUNCTION("""COMPUTED_VALUE"""),0.0)</f>
        <v>0</v>
      </c>
      <c r="AB9" s="72">
        <f>IFERROR(__xludf.DUMMYFUNCTION("""COMPUTED_VALUE"""),0.0)</f>
        <v>0</v>
      </c>
      <c r="AC9" s="72">
        <f>IFERROR(__xludf.DUMMYFUNCTION("""COMPUTED_VALUE"""),0.0)</f>
        <v>0</v>
      </c>
      <c r="AD9" s="72">
        <f>IFERROR(__xludf.DUMMYFUNCTION("""COMPUTED_VALUE"""),0.0)</f>
        <v>0</v>
      </c>
      <c r="AE9" s="72">
        <f>IFERROR(__xludf.DUMMYFUNCTION("""COMPUTED_VALUE"""),0.0)</f>
        <v>0</v>
      </c>
      <c r="AF9" s="72">
        <f>IFERROR(__xludf.DUMMYFUNCTION("""COMPUTED_VALUE"""),0.0)</f>
        <v>0</v>
      </c>
      <c r="AG9" s="72">
        <f>IFERROR(__xludf.DUMMYFUNCTION("""COMPUTED_VALUE"""),0.0)</f>
        <v>0</v>
      </c>
      <c r="AH9" s="72">
        <f>IFERROR(__xludf.DUMMYFUNCTION("""COMPUTED_VALUE"""),0.0)</f>
        <v>0</v>
      </c>
      <c r="AI9" s="72">
        <f>IFERROR(__xludf.DUMMYFUNCTION("""COMPUTED_VALUE"""),1.0)</f>
        <v>1</v>
      </c>
      <c r="AJ9" s="72">
        <f>IFERROR(__xludf.DUMMYFUNCTION("""COMPUTED_VALUE"""),0.0)</f>
        <v>0</v>
      </c>
      <c r="AK9" s="72">
        <f>IFERROR(__xludf.DUMMYFUNCTION("""COMPUTED_VALUE"""),0.0)</f>
        <v>0</v>
      </c>
      <c r="AL9" s="72">
        <f>IFERROR(__xludf.DUMMYFUNCTION("""COMPUTED_VALUE"""),0.0)</f>
        <v>0</v>
      </c>
      <c r="AM9" s="72">
        <f>IFERROR(__xludf.DUMMYFUNCTION("""COMPUTED_VALUE"""),0.0)</f>
        <v>0</v>
      </c>
      <c r="AN9" s="72">
        <f>IFERROR(__xludf.DUMMYFUNCTION("""COMPUTED_VALUE"""),0.0)</f>
        <v>0</v>
      </c>
      <c r="AO9" s="72">
        <f>IFERROR(__xludf.DUMMYFUNCTION("""COMPUTED_VALUE"""),0.0)</f>
        <v>0</v>
      </c>
      <c r="AP9" s="72">
        <f>IFERROR(__xludf.DUMMYFUNCTION("""COMPUTED_VALUE"""),-2.0)</f>
        <v>-2</v>
      </c>
      <c r="AQ9" s="72">
        <f>IFERROR(__xludf.DUMMYFUNCTION("""COMPUTED_VALUE"""),0.0)</f>
        <v>0</v>
      </c>
      <c r="AR9" s="72">
        <f>IFERROR(__xludf.DUMMYFUNCTION("""COMPUTED_VALUE"""),0.0)</f>
        <v>0</v>
      </c>
      <c r="AS9" s="72">
        <f>IFERROR(__xludf.DUMMYFUNCTION("""COMPUTED_VALUE"""),0.0)</f>
        <v>0</v>
      </c>
      <c r="AT9" s="72">
        <f>IFERROR(__xludf.DUMMYFUNCTION("""COMPUTED_VALUE"""),0.0)</f>
        <v>0</v>
      </c>
      <c r="AU9" s="72">
        <f>IFERROR(__xludf.DUMMYFUNCTION("""COMPUTED_VALUE"""),0.0)</f>
        <v>0</v>
      </c>
      <c r="AV9" s="72">
        <f>IFERROR(__xludf.DUMMYFUNCTION("""COMPUTED_VALUE"""),0.0)</f>
        <v>0</v>
      </c>
      <c r="AW9" s="72">
        <f>IFERROR(__xludf.DUMMYFUNCTION("""COMPUTED_VALUE"""),0.0)</f>
        <v>0</v>
      </c>
      <c r="AX9" s="72">
        <f>IFERROR(__xludf.DUMMYFUNCTION("""COMPUTED_VALUE"""),0.0)</f>
        <v>0</v>
      </c>
      <c r="AY9" s="72">
        <f>IFERROR(__xludf.DUMMYFUNCTION("""COMPUTED_VALUE"""),0.0)</f>
        <v>0</v>
      </c>
      <c r="AZ9" s="72">
        <f>IFERROR(__xludf.DUMMYFUNCTION("""COMPUTED_VALUE"""),0.0)</f>
        <v>0</v>
      </c>
      <c r="BA9" s="72">
        <f>IFERROR(__xludf.DUMMYFUNCTION("""COMPUTED_VALUE"""),0.0)</f>
        <v>0</v>
      </c>
      <c r="BB9" s="72">
        <f>IFERROR(__xludf.DUMMYFUNCTION("""COMPUTED_VALUE"""),0.0)</f>
        <v>0</v>
      </c>
      <c r="BC9" s="72">
        <f>IFERROR(__xludf.DUMMYFUNCTION("""COMPUTED_VALUE"""),0.0)</f>
        <v>0</v>
      </c>
      <c r="BD9" s="69">
        <f>IFERROR(__xludf.DUMMYFUNCTION("""COMPUTED_VALUE"""),0.0)</f>
        <v>0</v>
      </c>
      <c r="BE9" s="69" t="str">
        <f>IFERROR(__xludf.DUMMYFUNCTION("""COMPUTED_VALUE"""),"")</f>
        <v/>
      </c>
      <c r="BF9" s="69" t="str">
        <f>IFERROR(__xludf.DUMMYFUNCTION("""COMPUTED_VALUE"""),"")</f>
        <v/>
      </c>
      <c r="BG9" s="69" t="str">
        <f>IFERROR(__xludf.DUMMYFUNCTION("""COMPUTED_VALUE"""),"")</f>
        <v/>
      </c>
      <c r="BH9" s="69" t="str">
        <f>IFERROR(__xludf.DUMMYFUNCTION("""COMPUTED_VALUE"""),"")</f>
        <v/>
      </c>
      <c r="BI9" s="69" t="str">
        <f>IFERROR(__xludf.DUMMYFUNCTION("""COMPUTED_VALUE"""),"")</f>
        <v/>
      </c>
      <c r="BJ9" s="69" t="str">
        <f>IFERROR(__xludf.DUMMYFUNCTION("""COMPUTED_VALUE"""),"")</f>
        <v/>
      </c>
      <c r="BK9" s="69" t="str">
        <f>IFERROR(__xludf.DUMMYFUNCTION("""COMPUTED_VALUE"""),"")</f>
        <v/>
      </c>
      <c r="BL9" s="69" t="str">
        <f>IFERROR(__xludf.DUMMYFUNCTION("""COMPUTED_VALUE"""),"")</f>
        <v/>
      </c>
      <c r="BM9" s="69" t="str">
        <f>IFERROR(__xludf.DUMMYFUNCTION("""COMPUTED_VALUE"""),"")</f>
        <v/>
      </c>
      <c r="BN9" s="69" t="str">
        <f>IFERROR(__xludf.DUMMYFUNCTION("""COMPUTED_VALUE"""),"")</f>
        <v/>
      </c>
      <c r="BO9" s="69" t="str">
        <f>IFERROR(__xludf.DUMMYFUNCTION("""COMPUTED_VALUE"""),"")</f>
        <v/>
      </c>
      <c r="BP9" s="69" t="str">
        <f>IFERROR(__xludf.DUMMYFUNCTION("""COMPUTED_VALUE"""),"")</f>
        <v/>
      </c>
      <c r="BQ9" s="69" t="str">
        <f>IFERROR(__xludf.DUMMYFUNCTION("""COMPUTED_VALUE"""),"")</f>
        <v/>
      </c>
      <c r="BR9" s="69" t="str">
        <f>IFERROR(__xludf.DUMMYFUNCTION("""COMPUTED_VALUE"""),"")</f>
        <v/>
      </c>
      <c r="BS9" s="69" t="str">
        <f>IFERROR(__xludf.DUMMYFUNCTION("""COMPUTED_VALUE"""),"")</f>
        <v/>
      </c>
      <c r="BT9" s="69" t="str">
        <f>IFERROR(__xludf.DUMMYFUNCTION("""COMPUTED_VALUE"""),"")</f>
        <v/>
      </c>
      <c r="BU9" s="69" t="str">
        <f>IFERROR(__xludf.DUMMYFUNCTION("""COMPUTED_VALUE"""),"")</f>
        <v/>
      </c>
      <c r="BV9" s="69" t="str">
        <f>IFERROR(__xludf.DUMMYFUNCTION("""COMPUTED_VALUE"""),"")</f>
        <v/>
      </c>
      <c r="BW9" s="69"/>
      <c r="BX9" s="69"/>
      <c r="BY9" s="69"/>
      <c r="BZ9" s="69"/>
      <c r="CA9" s="69"/>
      <c r="CB9" s="69"/>
      <c r="CC9" s="69"/>
      <c r="CD9" s="69"/>
      <c r="CE9" s="69"/>
      <c r="CF9" s="69"/>
    </row>
    <row r="10">
      <c r="A10" s="70" t="str">
        <f>IFERROR(__xludf.DUMMYFUNCTION("""COMPUTED_VALUE"""),"Cavalry Charge")</f>
        <v>Cavalry Charge</v>
      </c>
      <c r="B10" s="71">
        <f>IFERROR(__xludf.DUMMYFUNCTION("""COMPUTED_VALUE"""),2.0)</f>
        <v>2</v>
      </c>
      <c r="C10" s="72">
        <f>IFERROR(__xludf.DUMMYFUNCTION("""COMPUTED_VALUE"""),0.0)</f>
        <v>0</v>
      </c>
      <c r="D10" s="72">
        <f>IFERROR(__xludf.DUMMYFUNCTION("""COMPUTED_VALUE"""),0.0)</f>
        <v>0</v>
      </c>
      <c r="E10" s="72">
        <f>IFERROR(__xludf.DUMMYFUNCTION("""COMPUTED_VALUE"""),0.0)</f>
        <v>0</v>
      </c>
      <c r="F10" s="72">
        <f>IFERROR(__xludf.DUMMYFUNCTION("""COMPUTED_VALUE"""),-1.0)</f>
        <v>-1</v>
      </c>
      <c r="G10" s="72">
        <f>IFERROR(__xludf.DUMMYFUNCTION("""COMPUTED_VALUE"""),0.0)</f>
        <v>0</v>
      </c>
      <c r="H10" s="72">
        <f>IFERROR(__xludf.DUMMYFUNCTION("""COMPUTED_VALUE"""),1.0)</f>
        <v>1</v>
      </c>
      <c r="I10" s="72">
        <f>IFERROR(__xludf.DUMMYFUNCTION("""COMPUTED_VALUE"""),0.0)</f>
        <v>0</v>
      </c>
      <c r="J10" s="72">
        <f>IFERROR(__xludf.DUMMYFUNCTION("""COMPUTED_VALUE"""),0.0)</f>
        <v>0</v>
      </c>
      <c r="K10" s="72" t="str">
        <f>IFERROR(__xludf.DUMMYFUNCTION("""COMPUTED_VALUE"""),"")</f>
        <v/>
      </c>
      <c r="L10" s="72">
        <f>IFERROR(__xludf.DUMMYFUNCTION("""COMPUTED_VALUE"""),0.0)</f>
        <v>0</v>
      </c>
      <c r="M10" s="72">
        <f>IFERROR(__xludf.DUMMYFUNCTION("""COMPUTED_VALUE"""),0.0)</f>
        <v>0</v>
      </c>
      <c r="N10" s="72">
        <f>IFERROR(__xludf.DUMMYFUNCTION("""COMPUTED_VALUE"""),0.0)</f>
        <v>0</v>
      </c>
      <c r="O10" s="72">
        <f>IFERROR(__xludf.DUMMYFUNCTION("""COMPUTED_VALUE"""),0.0)</f>
        <v>0</v>
      </c>
      <c r="P10" s="72">
        <f>IFERROR(__xludf.DUMMYFUNCTION("""COMPUTED_VALUE"""),0.0)</f>
        <v>0</v>
      </c>
      <c r="Q10" s="72">
        <f>IFERROR(__xludf.DUMMYFUNCTION("""COMPUTED_VALUE"""),0.0)</f>
        <v>0</v>
      </c>
      <c r="R10" s="72">
        <f>IFERROR(__xludf.DUMMYFUNCTION("""COMPUTED_VALUE"""),0.0)</f>
        <v>0</v>
      </c>
      <c r="S10" s="72">
        <f>IFERROR(__xludf.DUMMYFUNCTION("""COMPUTED_VALUE"""),0.0)</f>
        <v>0</v>
      </c>
      <c r="T10" s="72">
        <f>IFERROR(__xludf.DUMMYFUNCTION("""COMPUTED_VALUE"""),0.0)</f>
        <v>0</v>
      </c>
      <c r="U10" s="72">
        <f>IFERROR(__xludf.DUMMYFUNCTION("""COMPUTED_VALUE"""),0.0)</f>
        <v>0</v>
      </c>
      <c r="V10" s="72">
        <f>IFERROR(__xludf.DUMMYFUNCTION("""COMPUTED_VALUE"""),0.0)</f>
        <v>0</v>
      </c>
      <c r="W10" s="72">
        <f>IFERROR(__xludf.DUMMYFUNCTION("""COMPUTED_VALUE"""),0.0)</f>
        <v>0</v>
      </c>
      <c r="X10" s="72">
        <f>IFERROR(__xludf.DUMMYFUNCTION("""COMPUTED_VALUE"""),0.0)</f>
        <v>0</v>
      </c>
      <c r="Y10" s="72">
        <f>IFERROR(__xludf.DUMMYFUNCTION("""COMPUTED_VALUE"""),0.0)</f>
        <v>0</v>
      </c>
      <c r="Z10" s="72">
        <f>IFERROR(__xludf.DUMMYFUNCTION("""COMPUTED_VALUE"""),-1.0)</f>
        <v>-1</v>
      </c>
      <c r="AA10" s="72">
        <f>IFERROR(__xludf.DUMMYFUNCTION("""COMPUTED_VALUE"""),0.0)</f>
        <v>0</v>
      </c>
      <c r="AB10" s="72">
        <f>IFERROR(__xludf.DUMMYFUNCTION("""COMPUTED_VALUE"""),0.0)</f>
        <v>0</v>
      </c>
      <c r="AC10" s="72">
        <f>IFERROR(__xludf.DUMMYFUNCTION("""COMPUTED_VALUE"""),0.0)</f>
        <v>0</v>
      </c>
      <c r="AD10" s="72">
        <f>IFERROR(__xludf.DUMMYFUNCTION("""COMPUTED_VALUE"""),1.0)</f>
        <v>1</v>
      </c>
      <c r="AE10" s="72">
        <f>IFERROR(__xludf.DUMMYFUNCTION("""COMPUTED_VALUE"""),0.0)</f>
        <v>0</v>
      </c>
      <c r="AF10" s="72">
        <f>IFERROR(__xludf.DUMMYFUNCTION("""COMPUTED_VALUE"""),0.0)</f>
        <v>0</v>
      </c>
      <c r="AG10" s="72">
        <f>IFERROR(__xludf.DUMMYFUNCTION("""COMPUTED_VALUE"""),0.0)</f>
        <v>0</v>
      </c>
      <c r="AH10" s="72">
        <f>IFERROR(__xludf.DUMMYFUNCTION("""COMPUTED_VALUE"""),0.0)</f>
        <v>0</v>
      </c>
      <c r="AI10" s="72">
        <f>IFERROR(__xludf.DUMMYFUNCTION("""COMPUTED_VALUE"""),0.0)</f>
        <v>0</v>
      </c>
      <c r="AJ10" s="72">
        <f>IFERROR(__xludf.DUMMYFUNCTION("""COMPUTED_VALUE"""),0.0)</f>
        <v>0</v>
      </c>
      <c r="AK10" s="72">
        <f>IFERROR(__xludf.DUMMYFUNCTION("""COMPUTED_VALUE"""),0.0)</f>
        <v>0</v>
      </c>
      <c r="AL10" s="72">
        <f>IFERROR(__xludf.DUMMYFUNCTION("""COMPUTED_VALUE"""),0.0)</f>
        <v>0</v>
      </c>
      <c r="AM10" s="72">
        <f>IFERROR(__xludf.DUMMYFUNCTION("""COMPUTED_VALUE"""),0.0)</f>
        <v>0</v>
      </c>
      <c r="AN10" s="72">
        <f>IFERROR(__xludf.DUMMYFUNCTION("""COMPUTED_VALUE"""),0.0)</f>
        <v>0</v>
      </c>
      <c r="AO10" s="72">
        <f>IFERROR(__xludf.DUMMYFUNCTION("""COMPUTED_VALUE"""),0.0)</f>
        <v>0</v>
      </c>
      <c r="AP10" s="72">
        <f>IFERROR(__xludf.DUMMYFUNCTION("""COMPUTED_VALUE"""),0.0)</f>
        <v>0</v>
      </c>
      <c r="AQ10" s="72">
        <f>IFERROR(__xludf.DUMMYFUNCTION("""COMPUTED_VALUE"""),1.0)</f>
        <v>1</v>
      </c>
      <c r="AR10" s="72">
        <f>IFERROR(__xludf.DUMMYFUNCTION("""COMPUTED_VALUE"""),0.0)</f>
        <v>0</v>
      </c>
      <c r="AS10" s="72">
        <f>IFERROR(__xludf.DUMMYFUNCTION("""COMPUTED_VALUE"""),0.0)</f>
        <v>0</v>
      </c>
      <c r="AT10" s="72">
        <f>IFERROR(__xludf.DUMMYFUNCTION("""COMPUTED_VALUE"""),0.0)</f>
        <v>0</v>
      </c>
      <c r="AU10" s="72">
        <f>IFERROR(__xludf.DUMMYFUNCTION("""COMPUTED_VALUE"""),0.0)</f>
        <v>0</v>
      </c>
      <c r="AV10" s="72">
        <f>IFERROR(__xludf.DUMMYFUNCTION("""COMPUTED_VALUE"""),1.0)</f>
        <v>1</v>
      </c>
      <c r="AW10" s="72">
        <f>IFERROR(__xludf.DUMMYFUNCTION("""COMPUTED_VALUE"""),0.0)</f>
        <v>0</v>
      </c>
      <c r="AX10" s="72">
        <f>IFERROR(__xludf.DUMMYFUNCTION("""COMPUTED_VALUE"""),0.0)</f>
        <v>0</v>
      </c>
      <c r="AY10" s="72">
        <f>IFERROR(__xludf.DUMMYFUNCTION("""COMPUTED_VALUE"""),0.0)</f>
        <v>0</v>
      </c>
      <c r="AZ10" s="72">
        <f>IFERROR(__xludf.DUMMYFUNCTION("""COMPUTED_VALUE"""),0.0)</f>
        <v>0</v>
      </c>
      <c r="BA10" s="72">
        <f>IFERROR(__xludf.DUMMYFUNCTION("""COMPUTED_VALUE"""),0.0)</f>
        <v>0</v>
      </c>
      <c r="BB10" s="72">
        <f>IFERROR(__xludf.DUMMYFUNCTION("""COMPUTED_VALUE"""),0.0)</f>
        <v>0</v>
      </c>
      <c r="BC10" s="72">
        <f>IFERROR(__xludf.DUMMYFUNCTION("""COMPUTED_VALUE"""),0.0)</f>
        <v>0</v>
      </c>
      <c r="BD10" s="69">
        <f>IFERROR(__xludf.DUMMYFUNCTION("""COMPUTED_VALUE"""),0.0)</f>
        <v>0</v>
      </c>
      <c r="BE10" s="69" t="str">
        <f>IFERROR(__xludf.DUMMYFUNCTION("""COMPUTED_VALUE"""),"")</f>
        <v/>
      </c>
      <c r="BF10" s="69" t="str">
        <f>IFERROR(__xludf.DUMMYFUNCTION("""COMPUTED_VALUE"""),"")</f>
        <v/>
      </c>
      <c r="BG10" s="69" t="str">
        <f>IFERROR(__xludf.DUMMYFUNCTION("""COMPUTED_VALUE"""),"")</f>
        <v/>
      </c>
      <c r="BH10" s="69" t="str">
        <f>IFERROR(__xludf.DUMMYFUNCTION("""COMPUTED_VALUE"""),"")</f>
        <v/>
      </c>
      <c r="BI10" s="69" t="str">
        <f>IFERROR(__xludf.DUMMYFUNCTION("""COMPUTED_VALUE"""),"")</f>
        <v/>
      </c>
      <c r="BJ10" s="69" t="str">
        <f>IFERROR(__xludf.DUMMYFUNCTION("""COMPUTED_VALUE"""),"")</f>
        <v/>
      </c>
      <c r="BK10" s="69" t="str">
        <f>IFERROR(__xludf.DUMMYFUNCTION("""COMPUTED_VALUE"""),"")</f>
        <v/>
      </c>
      <c r="BL10" s="69" t="str">
        <f>IFERROR(__xludf.DUMMYFUNCTION("""COMPUTED_VALUE"""),"")</f>
        <v/>
      </c>
      <c r="BM10" s="69" t="str">
        <f>IFERROR(__xludf.DUMMYFUNCTION("""COMPUTED_VALUE"""),"")</f>
        <v/>
      </c>
      <c r="BN10" s="69" t="str">
        <f>IFERROR(__xludf.DUMMYFUNCTION("""COMPUTED_VALUE"""),"")</f>
        <v/>
      </c>
      <c r="BO10" s="69" t="str">
        <f>IFERROR(__xludf.DUMMYFUNCTION("""COMPUTED_VALUE"""),"")</f>
        <v/>
      </c>
      <c r="BP10" s="69" t="str">
        <f>IFERROR(__xludf.DUMMYFUNCTION("""COMPUTED_VALUE"""),"")</f>
        <v/>
      </c>
      <c r="BQ10" s="69" t="str">
        <f>IFERROR(__xludf.DUMMYFUNCTION("""COMPUTED_VALUE"""),"")</f>
        <v/>
      </c>
      <c r="BR10" s="69" t="str">
        <f>IFERROR(__xludf.DUMMYFUNCTION("""COMPUTED_VALUE"""),"")</f>
        <v/>
      </c>
      <c r="BS10" s="69" t="str">
        <f>IFERROR(__xludf.DUMMYFUNCTION("""COMPUTED_VALUE"""),"")</f>
        <v/>
      </c>
      <c r="BT10" s="69" t="str">
        <f>IFERROR(__xludf.DUMMYFUNCTION("""COMPUTED_VALUE"""),"")</f>
        <v/>
      </c>
      <c r="BU10" s="69" t="str">
        <f>IFERROR(__xludf.DUMMYFUNCTION("""COMPUTED_VALUE"""),"")</f>
        <v/>
      </c>
      <c r="BV10" s="69" t="str">
        <f>IFERROR(__xludf.DUMMYFUNCTION("""COMPUTED_VALUE"""),"")</f>
        <v/>
      </c>
      <c r="BW10" s="69"/>
      <c r="BX10" s="69"/>
      <c r="BY10" s="69"/>
      <c r="BZ10" s="69"/>
      <c r="CA10" s="69"/>
      <c r="CB10" s="69"/>
      <c r="CC10" s="69"/>
      <c r="CD10" s="69"/>
      <c r="CE10" s="69"/>
      <c r="CF10" s="69"/>
    </row>
    <row r="11">
      <c r="A11" s="70" t="str">
        <f>IFERROR(__xludf.DUMMYFUNCTION("""COMPUTED_VALUE"""),"Corrupting Influence")</f>
        <v>Corrupting Influence</v>
      </c>
      <c r="B11" s="71">
        <f>IFERROR(__xludf.DUMMYFUNCTION("""COMPUTED_VALUE"""),9.0)</f>
        <v>9</v>
      </c>
      <c r="C11" s="72">
        <f>IFERROR(__xludf.DUMMYFUNCTION("""COMPUTED_VALUE"""),0.0)</f>
        <v>0</v>
      </c>
      <c r="D11" s="72">
        <f>IFERROR(__xludf.DUMMYFUNCTION("""COMPUTED_VALUE"""),0.0)</f>
        <v>0</v>
      </c>
      <c r="E11" s="72">
        <f>IFERROR(__xludf.DUMMYFUNCTION("""COMPUTED_VALUE"""),0.0)</f>
        <v>0</v>
      </c>
      <c r="F11" s="72">
        <f>IFERROR(__xludf.DUMMYFUNCTION("""COMPUTED_VALUE"""),0.0)</f>
        <v>0</v>
      </c>
      <c r="G11" s="72">
        <f>IFERROR(__xludf.DUMMYFUNCTION("""COMPUTED_VALUE"""),1.0)</f>
        <v>1</v>
      </c>
      <c r="H11" s="72">
        <f>IFERROR(__xludf.DUMMYFUNCTION("""COMPUTED_VALUE"""),0.0)</f>
        <v>0</v>
      </c>
      <c r="I11" s="72">
        <f>IFERROR(__xludf.DUMMYFUNCTION("""COMPUTED_VALUE"""),0.0)</f>
        <v>0</v>
      </c>
      <c r="J11" s="72">
        <f>IFERROR(__xludf.DUMMYFUNCTION("""COMPUTED_VALUE"""),0.0)</f>
        <v>0</v>
      </c>
      <c r="K11" s="72">
        <f>IFERROR(__xludf.DUMMYFUNCTION("""COMPUTED_VALUE"""),0.0)</f>
        <v>0</v>
      </c>
      <c r="L11" s="72" t="str">
        <f>IFERROR(__xludf.DUMMYFUNCTION("""COMPUTED_VALUE"""),"")</f>
        <v/>
      </c>
      <c r="M11" s="72">
        <f>IFERROR(__xludf.DUMMYFUNCTION("""COMPUTED_VALUE"""),1.0)</f>
        <v>1</v>
      </c>
      <c r="N11" s="72">
        <f>IFERROR(__xludf.DUMMYFUNCTION("""COMPUTED_VALUE"""),0.0)</f>
        <v>0</v>
      </c>
      <c r="O11" s="72">
        <f>IFERROR(__xludf.DUMMYFUNCTION("""COMPUTED_VALUE"""),0.0)</f>
        <v>0</v>
      </c>
      <c r="P11" s="72">
        <f>IFERROR(__xludf.DUMMYFUNCTION("""COMPUTED_VALUE"""),1.0)</f>
        <v>1</v>
      </c>
      <c r="Q11" s="72">
        <f>IFERROR(__xludf.DUMMYFUNCTION("""COMPUTED_VALUE"""),0.0)</f>
        <v>0</v>
      </c>
      <c r="R11" s="72">
        <f>IFERROR(__xludf.DUMMYFUNCTION("""COMPUTED_VALUE"""),0.0)</f>
        <v>0</v>
      </c>
      <c r="S11" s="72">
        <f>IFERROR(__xludf.DUMMYFUNCTION("""COMPUTED_VALUE"""),0.0)</f>
        <v>0</v>
      </c>
      <c r="T11" s="72">
        <f>IFERROR(__xludf.DUMMYFUNCTION("""COMPUTED_VALUE"""),0.0)</f>
        <v>0</v>
      </c>
      <c r="U11" s="72">
        <f>IFERROR(__xludf.DUMMYFUNCTION("""COMPUTED_VALUE"""),0.0)</f>
        <v>0</v>
      </c>
      <c r="V11" s="72">
        <f>IFERROR(__xludf.DUMMYFUNCTION("""COMPUTED_VALUE"""),0.0)</f>
        <v>0</v>
      </c>
      <c r="W11" s="72">
        <f>IFERROR(__xludf.DUMMYFUNCTION("""COMPUTED_VALUE"""),0.0)</f>
        <v>0</v>
      </c>
      <c r="X11" s="72">
        <f>IFERROR(__xludf.DUMMYFUNCTION("""COMPUTED_VALUE"""),0.0)</f>
        <v>0</v>
      </c>
      <c r="Y11" s="72">
        <f>IFERROR(__xludf.DUMMYFUNCTION("""COMPUTED_VALUE"""),0.0)</f>
        <v>0</v>
      </c>
      <c r="Z11" s="72">
        <f>IFERROR(__xludf.DUMMYFUNCTION("""COMPUTED_VALUE"""),1.0)</f>
        <v>1</v>
      </c>
      <c r="AA11" s="72">
        <f>IFERROR(__xludf.DUMMYFUNCTION("""COMPUTED_VALUE"""),1.0)</f>
        <v>1</v>
      </c>
      <c r="AB11" s="72">
        <f>IFERROR(__xludf.DUMMYFUNCTION("""COMPUTED_VALUE"""),0.0)</f>
        <v>0</v>
      </c>
      <c r="AC11" s="72">
        <f>IFERROR(__xludf.DUMMYFUNCTION("""COMPUTED_VALUE"""),1.0)</f>
        <v>1</v>
      </c>
      <c r="AD11" s="72">
        <f>IFERROR(__xludf.DUMMYFUNCTION("""COMPUTED_VALUE"""),0.0)</f>
        <v>0</v>
      </c>
      <c r="AE11" s="72">
        <f>IFERROR(__xludf.DUMMYFUNCTION("""COMPUTED_VALUE"""),0.0)</f>
        <v>0</v>
      </c>
      <c r="AF11" s="72">
        <f>IFERROR(__xludf.DUMMYFUNCTION("""COMPUTED_VALUE"""),0.0)</f>
        <v>0</v>
      </c>
      <c r="AG11" s="72">
        <f>IFERROR(__xludf.DUMMYFUNCTION("""COMPUTED_VALUE"""),0.0)</f>
        <v>0</v>
      </c>
      <c r="AH11" s="72">
        <f>IFERROR(__xludf.DUMMYFUNCTION("""COMPUTED_VALUE"""),0.0)</f>
        <v>0</v>
      </c>
      <c r="AI11" s="72">
        <f>IFERROR(__xludf.DUMMYFUNCTION("""COMPUTED_VALUE"""),0.0)</f>
        <v>0</v>
      </c>
      <c r="AJ11" s="72">
        <f>IFERROR(__xludf.DUMMYFUNCTION("""COMPUTED_VALUE"""),1.0)</f>
        <v>1</v>
      </c>
      <c r="AK11" s="72">
        <f>IFERROR(__xludf.DUMMYFUNCTION("""COMPUTED_VALUE"""),1.0)</f>
        <v>1</v>
      </c>
      <c r="AL11" s="72">
        <f>IFERROR(__xludf.DUMMYFUNCTION("""COMPUTED_VALUE"""),-1.0)</f>
        <v>-1</v>
      </c>
      <c r="AM11" s="72">
        <f>IFERROR(__xludf.DUMMYFUNCTION("""COMPUTED_VALUE"""),-2.0)</f>
        <v>-2</v>
      </c>
      <c r="AN11" s="72">
        <f>IFERROR(__xludf.DUMMYFUNCTION("""COMPUTED_VALUE"""),1.0)</f>
        <v>1</v>
      </c>
      <c r="AO11" s="72">
        <f>IFERROR(__xludf.DUMMYFUNCTION("""COMPUTED_VALUE"""),0.0)</f>
        <v>0</v>
      </c>
      <c r="AP11" s="72">
        <f>IFERROR(__xludf.DUMMYFUNCTION("""COMPUTED_VALUE"""),0.0)</f>
        <v>0</v>
      </c>
      <c r="AQ11" s="72">
        <f>IFERROR(__xludf.DUMMYFUNCTION("""COMPUTED_VALUE"""),0.0)</f>
        <v>0</v>
      </c>
      <c r="AR11" s="72">
        <f>IFERROR(__xludf.DUMMYFUNCTION("""COMPUTED_VALUE"""),0.0)</f>
        <v>0</v>
      </c>
      <c r="AS11" s="72">
        <f>IFERROR(__xludf.DUMMYFUNCTION("""COMPUTED_VALUE"""),0.0)</f>
        <v>0</v>
      </c>
      <c r="AT11" s="72">
        <f>IFERROR(__xludf.DUMMYFUNCTION("""COMPUTED_VALUE"""),0.0)</f>
        <v>0</v>
      </c>
      <c r="AU11" s="72">
        <f>IFERROR(__xludf.DUMMYFUNCTION("""COMPUTED_VALUE"""),0.0)</f>
        <v>0</v>
      </c>
      <c r="AV11" s="72">
        <f>IFERROR(__xludf.DUMMYFUNCTION("""COMPUTED_VALUE"""),0.0)</f>
        <v>0</v>
      </c>
      <c r="AW11" s="72">
        <f>IFERROR(__xludf.DUMMYFUNCTION("""COMPUTED_VALUE"""),1.0)</f>
        <v>1</v>
      </c>
      <c r="AX11" s="72">
        <f>IFERROR(__xludf.DUMMYFUNCTION("""COMPUTED_VALUE"""),0.0)</f>
        <v>0</v>
      </c>
      <c r="AY11" s="72">
        <f>IFERROR(__xludf.DUMMYFUNCTION("""COMPUTED_VALUE"""),0.0)</f>
        <v>0</v>
      </c>
      <c r="AZ11" s="72">
        <f>IFERROR(__xludf.DUMMYFUNCTION("""COMPUTED_VALUE"""),0.0)</f>
        <v>0</v>
      </c>
      <c r="BA11" s="72">
        <f>IFERROR(__xludf.DUMMYFUNCTION("""COMPUTED_VALUE"""),0.0)</f>
        <v>0</v>
      </c>
      <c r="BB11" s="72">
        <f>IFERROR(__xludf.DUMMYFUNCTION("""COMPUTED_VALUE"""),1.0)</f>
        <v>1</v>
      </c>
      <c r="BC11" s="72">
        <f>IFERROR(__xludf.DUMMYFUNCTION("""COMPUTED_VALUE"""),1.0)</f>
        <v>1</v>
      </c>
      <c r="BD11" s="69">
        <f>IFERROR(__xludf.DUMMYFUNCTION("""COMPUTED_VALUE"""),0.0)</f>
        <v>0</v>
      </c>
      <c r="BE11" s="69" t="str">
        <f>IFERROR(__xludf.DUMMYFUNCTION("""COMPUTED_VALUE"""),"")</f>
        <v/>
      </c>
      <c r="BF11" s="69" t="str">
        <f>IFERROR(__xludf.DUMMYFUNCTION("""COMPUTED_VALUE"""),"")</f>
        <v/>
      </c>
      <c r="BG11" s="69" t="str">
        <f>IFERROR(__xludf.DUMMYFUNCTION("""COMPUTED_VALUE"""),"")</f>
        <v/>
      </c>
      <c r="BH11" s="69" t="str">
        <f>IFERROR(__xludf.DUMMYFUNCTION("""COMPUTED_VALUE"""),"")</f>
        <v/>
      </c>
      <c r="BI11" s="69" t="str">
        <f>IFERROR(__xludf.DUMMYFUNCTION("""COMPUTED_VALUE"""),"")</f>
        <v/>
      </c>
      <c r="BJ11" s="69" t="str">
        <f>IFERROR(__xludf.DUMMYFUNCTION("""COMPUTED_VALUE"""),"")</f>
        <v/>
      </c>
      <c r="BK11" s="69" t="str">
        <f>IFERROR(__xludf.DUMMYFUNCTION("""COMPUTED_VALUE"""),"")</f>
        <v/>
      </c>
      <c r="BL11" s="69" t="str">
        <f>IFERROR(__xludf.DUMMYFUNCTION("""COMPUTED_VALUE"""),"")</f>
        <v/>
      </c>
      <c r="BM11" s="69" t="str">
        <f>IFERROR(__xludf.DUMMYFUNCTION("""COMPUTED_VALUE"""),"")</f>
        <v/>
      </c>
      <c r="BN11" s="69" t="str">
        <f>IFERROR(__xludf.DUMMYFUNCTION("""COMPUTED_VALUE"""),"")</f>
        <v/>
      </c>
      <c r="BO11" s="69" t="str">
        <f>IFERROR(__xludf.DUMMYFUNCTION("""COMPUTED_VALUE"""),"")</f>
        <v/>
      </c>
      <c r="BP11" s="69" t="str">
        <f>IFERROR(__xludf.DUMMYFUNCTION("""COMPUTED_VALUE"""),"")</f>
        <v/>
      </c>
      <c r="BQ11" s="69" t="str">
        <f>IFERROR(__xludf.DUMMYFUNCTION("""COMPUTED_VALUE"""),"")</f>
        <v/>
      </c>
      <c r="BR11" s="69" t="str">
        <f>IFERROR(__xludf.DUMMYFUNCTION("""COMPUTED_VALUE"""),"")</f>
        <v/>
      </c>
      <c r="BS11" s="69" t="str">
        <f>IFERROR(__xludf.DUMMYFUNCTION("""COMPUTED_VALUE"""),"")</f>
        <v/>
      </c>
      <c r="BT11" s="69" t="str">
        <f>IFERROR(__xludf.DUMMYFUNCTION("""COMPUTED_VALUE"""),"")</f>
        <v/>
      </c>
      <c r="BU11" s="69" t="str">
        <f>IFERROR(__xludf.DUMMYFUNCTION("""COMPUTED_VALUE"""),"")</f>
        <v/>
      </c>
      <c r="BV11" s="69" t="str">
        <f>IFERROR(__xludf.DUMMYFUNCTION("""COMPUTED_VALUE"""),"")</f>
        <v/>
      </c>
      <c r="BW11" s="69"/>
      <c r="BX11" s="69"/>
      <c r="BY11" s="69"/>
      <c r="BZ11" s="69"/>
      <c r="CA11" s="69"/>
      <c r="CB11" s="69"/>
      <c r="CC11" s="69"/>
      <c r="CD11" s="69"/>
      <c r="CE11" s="69"/>
      <c r="CF11" s="69"/>
    </row>
    <row r="12">
      <c r="A12" s="70" t="str">
        <f>IFERROR(__xludf.DUMMYFUNCTION("""COMPUTED_VALUE"""),"Counter Blitz")</f>
        <v>Counter Blitz</v>
      </c>
      <c r="B12" s="71">
        <f>IFERROR(__xludf.DUMMYFUNCTION("""COMPUTED_VALUE"""),-6.0)</f>
        <v>-6</v>
      </c>
      <c r="C12" s="72">
        <f>IFERROR(__xludf.DUMMYFUNCTION("""COMPUTED_VALUE"""),0.0)</f>
        <v>0</v>
      </c>
      <c r="D12" s="72">
        <f>IFERROR(__xludf.DUMMYFUNCTION("""COMPUTED_VALUE"""),0.0)</f>
        <v>0</v>
      </c>
      <c r="E12" s="72">
        <f>IFERROR(__xludf.DUMMYFUNCTION("""COMPUTED_VALUE"""),0.0)</f>
        <v>0</v>
      </c>
      <c r="F12" s="72">
        <f>IFERROR(__xludf.DUMMYFUNCTION("""COMPUTED_VALUE"""),0.0)</f>
        <v>0</v>
      </c>
      <c r="G12" s="72">
        <f>IFERROR(__xludf.DUMMYFUNCTION("""COMPUTED_VALUE"""),0.0)</f>
        <v>0</v>
      </c>
      <c r="H12" s="72">
        <f>IFERROR(__xludf.DUMMYFUNCTION("""COMPUTED_VALUE"""),0.0)</f>
        <v>0</v>
      </c>
      <c r="I12" s="72">
        <f>IFERROR(__xludf.DUMMYFUNCTION("""COMPUTED_VALUE"""),0.0)</f>
        <v>0</v>
      </c>
      <c r="J12" s="72">
        <f>IFERROR(__xludf.DUMMYFUNCTION("""COMPUTED_VALUE"""),0.0)</f>
        <v>0</v>
      </c>
      <c r="K12" s="72">
        <f>IFERROR(__xludf.DUMMYFUNCTION("""COMPUTED_VALUE"""),0.0)</f>
        <v>0</v>
      </c>
      <c r="L12" s="72">
        <f>IFERROR(__xludf.DUMMYFUNCTION("""COMPUTED_VALUE"""),-1.0)</f>
        <v>-1</v>
      </c>
      <c r="M12" s="72" t="str">
        <f>IFERROR(__xludf.DUMMYFUNCTION("""COMPUTED_VALUE"""),"")</f>
        <v/>
      </c>
      <c r="N12" s="72">
        <f>IFERROR(__xludf.DUMMYFUNCTION("""COMPUTED_VALUE"""),0.0)</f>
        <v>0</v>
      </c>
      <c r="O12" s="72">
        <f>IFERROR(__xludf.DUMMYFUNCTION("""COMPUTED_VALUE"""),0.0)</f>
        <v>0</v>
      </c>
      <c r="P12" s="72">
        <f>IFERROR(__xludf.DUMMYFUNCTION("""COMPUTED_VALUE"""),0.0)</f>
        <v>0</v>
      </c>
      <c r="Q12" s="72">
        <f>IFERROR(__xludf.DUMMYFUNCTION("""COMPUTED_VALUE"""),0.0)</f>
        <v>0</v>
      </c>
      <c r="R12" s="72">
        <f>IFERROR(__xludf.DUMMYFUNCTION("""COMPUTED_VALUE"""),0.0)</f>
        <v>0</v>
      </c>
      <c r="S12" s="72">
        <f>IFERROR(__xludf.DUMMYFUNCTION("""COMPUTED_VALUE"""),0.0)</f>
        <v>0</v>
      </c>
      <c r="T12" s="72">
        <f>IFERROR(__xludf.DUMMYFUNCTION("""COMPUTED_VALUE"""),0.0)</f>
        <v>0</v>
      </c>
      <c r="U12" s="72">
        <f>IFERROR(__xludf.DUMMYFUNCTION("""COMPUTED_VALUE"""),0.0)</f>
        <v>0</v>
      </c>
      <c r="V12" s="72">
        <f>IFERROR(__xludf.DUMMYFUNCTION("""COMPUTED_VALUE"""),0.0)</f>
        <v>0</v>
      </c>
      <c r="W12" s="72">
        <f>IFERROR(__xludf.DUMMYFUNCTION("""COMPUTED_VALUE"""),0.0)</f>
        <v>0</v>
      </c>
      <c r="X12" s="72">
        <f>IFERROR(__xludf.DUMMYFUNCTION("""COMPUTED_VALUE"""),0.0)</f>
        <v>0</v>
      </c>
      <c r="Y12" s="72">
        <f>IFERROR(__xludf.DUMMYFUNCTION("""COMPUTED_VALUE"""),0.0)</f>
        <v>0</v>
      </c>
      <c r="Z12" s="72">
        <f>IFERROR(__xludf.DUMMYFUNCTION("""COMPUTED_VALUE"""),0.0)</f>
        <v>0</v>
      </c>
      <c r="AA12" s="72">
        <f>IFERROR(__xludf.DUMMYFUNCTION("""COMPUTED_VALUE"""),0.0)</f>
        <v>0</v>
      </c>
      <c r="AB12" s="72">
        <f>IFERROR(__xludf.DUMMYFUNCTION("""COMPUTED_VALUE"""),0.0)</f>
        <v>0</v>
      </c>
      <c r="AC12" s="72">
        <f>IFERROR(__xludf.DUMMYFUNCTION("""COMPUTED_VALUE"""),-1.0)</f>
        <v>-1</v>
      </c>
      <c r="AD12" s="72">
        <f>IFERROR(__xludf.DUMMYFUNCTION("""COMPUTED_VALUE"""),0.0)</f>
        <v>0</v>
      </c>
      <c r="AE12" s="72">
        <f>IFERROR(__xludf.DUMMYFUNCTION("""COMPUTED_VALUE"""),0.0)</f>
        <v>0</v>
      </c>
      <c r="AF12" s="72">
        <f>IFERROR(__xludf.DUMMYFUNCTION("""COMPUTED_VALUE"""),0.0)</f>
        <v>0</v>
      </c>
      <c r="AG12" s="72">
        <f>IFERROR(__xludf.DUMMYFUNCTION("""COMPUTED_VALUE"""),0.0)</f>
        <v>0</v>
      </c>
      <c r="AH12" s="72">
        <f>IFERROR(__xludf.DUMMYFUNCTION("""COMPUTED_VALUE"""),0.0)</f>
        <v>0</v>
      </c>
      <c r="AI12" s="72">
        <f>IFERROR(__xludf.DUMMYFUNCTION("""COMPUTED_VALUE"""),0.0)</f>
        <v>0</v>
      </c>
      <c r="AJ12" s="72">
        <f>IFERROR(__xludf.DUMMYFUNCTION("""COMPUTED_VALUE"""),0.0)</f>
        <v>0</v>
      </c>
      <c r="AK12" s="72">
        <f>IFERROR(__xludf.DUMMYFUNCTION("""COMPUTED_VALUE"""),-2.0)</f>
        <v>-2</v>
      </c>
      <c r="AL12" s="72">
        <f>IFERROR(__xludf.DUMMYFUNCTION("""COMPUTED_VALUE"""),-1.0)</f>
        <v>-1</v>
      </c>
      <c r="AM12" s="72">
        <f>IFERROR(__xludf.DUMMYFUNCTION("""COMPUTED_VALUE"""),-1.0)</f>
        <v>-1</v>
      </c>
      <c r="AN12" s="72">
        <f>IFERROR(__xludf.DUMMYFUNCTION("""COMPUTED_VALUE"""),0.0)</f>
        <v>0</v>
      </c>
      <c r="AO12" s="72">
        <f>IFERROR(__xludf.DUMMYFUNCTION("""COMPUTED_VALUE"""),0.0)</f>
        <v>0</v>
      </c>
      <c r="AP12" s="72">
        <f>IFERROR(__xludf.DUMMYFUNCTION("""COMPUTED_VALUE"""),0.0)</f>
        <v>0</v>
      </c>
      <c r="AQ12" s="72">
        <f>IFERROR(__xludf.DUMMYFUNCTION("""COMPUTED_VALUE"""),0.0)</f>
        <v>0</v>
      </c>
      <c r="AR12" s="72">
        <f>IFERROR(__xludf.DUMMYFUNCTION("""COMPUTED_VALUE"""),0.0)</f>
        <v>0</v>
      </c>
      <c r="AS12" s="72">
        <f>IFERROR(__xludf.DUMMYFUNCTION("""COMPUTED_VALUE"""),-1.0)</f>
        <v>-1</v>
      </c>
      <c r="AT12" s="72">
        <f>IFERROR(__xludf.DUMMYFUNCTION("""COMPUTED_VALUE"""),-1.0)</f>
        <v>-1</v>
      </c>
      <c r="AU12" s="72">
        <f>IFERROR(__xludf.DUMMYFUNCTION("""COMPUTED_VALUE"""),0.0)</f>
        <v>0</v>
      </c>
      <c r="AV12" s="72">
        <f>IFERROR(__xludf.DUMMYFUNCTION("""COMPUTED_VALUE"""),0.0)</f>
        <v>0</v>
      </c>
      <c r="AW12" s="72">
        <f>IFERROR(__xludf.DUMMYFUNCTION("""COMPUTED_VALUE"""),0.0)</f>
        <v>0</v>
      </c>
      <c r="AX12" s="72">
        <f>IFERROR(__xludf.DUMMYFUNCTION("""COMPUTED_VALUE"""),0.0)</f>
        <v>0</v>
      </c>
      <c r="AY12" s="72">
        <f>IFERROR(__xludf.DUMMYFUNCTION("""COMPUTED_VALUE"""),0.0)</f>
        <v>0</v>
      </c>
      <c r="AZ12" s="72">
        <f>IFERROR(__xludf.DUMMYFUNCTION("""COMPUTED_VALUE"""),0.0)</f>
        <v>0</v>
      </c>
      <c r="BA12" s="72">
        <f>IFERROR(__xludf.DUMMYFUNCTION("""COMPUTED_VALUE"""),0.0)</f>
        <v>0</v>
      </c>
      <c r="BB12" s="72">
        <f>IFERROR(__xludf.DUMMYFUNCTION("""COMPUTED_VALUE"""),0.0)</f>
        <v>0</v>
      </c>
      <c r="BC12" s="72">
        <f>IFERROR(__xludf.DUMMYFUNCTION("""COMPUTED_VALUE"""),1.0)</f>
        <v>1</v>
      </c>
      <c r="BD12" s="69">
        <f>IFERROR(__xludf.DUMMYFUNCTION("""COMPUTED_VALUE"""),1.0)</f>
        <v>1</v>
      </c>
      <c r="BE12" s="69" t="str">
        <f>IFERROR(__xludf.DUMMYFUNCTION("""COMPUTED_VALUE"""),"")</f>
        <v/>
      </c>
      <c r="BF12" s="69" t="str">
        <f>IFERROR(__xludf.DUMMYFUNCTION("""COMPUTED_VALUE"""),"")</f>
        <v/>
      </c>
      <c r="BG12" s="69" t="str">
        <f>IFERROR(__xludf.DUMMYFUNCTION("""COMPUTED_VALUE"""),"")</f>
        <v/>
      </c>
      <c r="BH12" s="69" t="str">
        <f>IFERROR(__xludf.DUMMYFUNCTION("""COMPUTED_VALUE"""),"")</f>
        <v/>
      </c>
      <c r="BI12" s="69" t="str">
        <f>IFERROR(__xludf.DUMMYFUNCTION("""COMPUTED_VALUE"""),"")</f>
        <v/>
      </c>
      <c r="BJ12" s="69" t="str">
        <f>IFERROR(__xludf.DUMMYFUNCTION("""COMPUTED_VALUE"""),"")</f>
        <v/>
      </c>
      <c r="BK12" s="69" t="str">
        <f>IFERROR(__xludf.DUMMYFUNCTION("""COMPUTED_VALUE"""),"")</f>
        <v/>
      </c>
      <c r="BL12" s="69" t="str">
        <f>IFERROR(__xludf.DUMMYFUNCTION("""COMPUTED_VALUE"""),"")</f>
        <v/>
      </c>
      <c r="BM12" s="69" t="str">
        <f>IFERROR(__xludf.DUMMYFUNCTION("""COMPUTED_VALUE"""),"")</f>
        <v/>
      </c>
      <c r="BN12" s="69" t="str">
        <f>IFERROR(__xludf.DUMMYFUNCTION("""COMPUTED_VALUE"""),"")</f>
        <v/>
      </c>
      <c r="BO12" s="69" t="str">
        <f>IFERROR(__xludf.DUMMYFUNCTION("""COMPUTED_VALUE"""),"")</f>
        <v/>
      </c>
      <c r="BP12" s="69" t="str">
        <f>IFERROR(__xludf.DUMMYFUNCTION("""COMPUTED_VALUE"""),"")</f>
        <v/>
      </c>
      <c r="BQ12" s="69" t="str">
        <f>IFERROR(__xludf.DUMMYFUNCTION("""COMPUTED_VALUE"""),"")</f>
        <v/>
      </c>
      <c r="BR12" s="69" t="str">
        <f>IFERROR(__xludf.DUMMYFUNCTION("""COMPUTED_VALUE"""),"")</f>
        <v/>
      </c>
      <c r="BS12" s="69" t="str">
        <f>IFERROR(__xludf.DUMMYFUNCTION("""COMPUTED_VALUE"""),"")</f>
        <v/>
      </c>
      <c r="BT12" s="69" t="str">
        <f>IFERROR(__xludf.DUMMYFUNCTION("""COMPUTED_VALUE"""),"")</f>
        <v/>
      </c>
      <c r="BU12" s="69" t="str">
        <f>IFERROR(__xludf.DUMMYFUNCTION("""COMPUTED_VALUE"""),"")</f>
        <v/>
      </c>
      <c r="BV12" s="69" t="str">
        <f>IFERROR(__xludf.DUMMYFUNCTION("""COMPUTED_VALUE"""),"")</f>
        <v/>
      </c>
      <c r="BW12" s="69"/>
      <c r="BX12" s="69"/>
      <c r="BY12" s="69"/>
      <c r="BZ12" s="69"/>
      <c r="CA12" s="69"/>
      <c r="CB12" s="69"/>
      <c r="CC12" s="69"/>
      <c r="CD12" s="69"/>
      <c r="CE12" s="69"/>
      <c r="CF12" s="69"/>
    </row>
    <row r="13">
      <c r="A13" s="70" t="str">
        <f>IFERROR(__xludf.DUMMYFUNCTION("""COMPUTED_VALUE"""),"Counter Intelligence")</f>
        <v>Counter Intelligence</v>
      </c>
      <c r="B13" s="71">
        <f>IFERROR(__xludf.DUMMYFUNCTION("""COMPUTED_VALUE"""),-6.0)</f>
        <v>-6</v>
      </c>
      <c r="C13" s="72">
        <f>IFERROR(__xludf.DUMMYFUNCTION("""COMPUTED_VALUE"""),0.0)</f>
        <v>0</v>
      </c>
      <c r="D13" s="72">
        <f>IFERROR(__xludf.DUMMYFUNCTION("""COMPUTED_VALUE"""),0.0)</f>
        <v>0</v>
      </c>
      <c r="E13" s="72">
        <f>IFERROR(__xludf.DUMMYFUNCTION("""COMPUTED_VALUE"""),0.0)</f>
        <v>0</v>
      </c>
      <c r="F13" s="72">
        <f>IFERROR(__xludf.DUMMYFUNCTION("""COMPUTED_VALUE"""),0.0)</f>
        <v>0</v>
      </c>
      <c r="G13" s="72">
        <f>IFERROR(__xludf.DUMMYFUNCTION("""COMPUTED_VALUE"""),-1.0)</f>
        <v>-1</v>
      </c>
      <c r="H13" s="72">
        <f>IFERROR(__xludf.DUMMYFUNCTION("""COMPUTED_VALUE"""),0.0)</f>
        <v>0</v>
      </c>
      <c r="I13" s="72">
        <f>IFERROR(__xludf.DUMMYFUNCTION("""COMPUTED_VALUE"""),0.0)</f>
        <v>0</v>
      </c>
      <c r="J13" s="72">
        <f>IFERROR(__xludf.DUMMYFUNCTION("""COMPUTED_VALUE"""),-1.0)</f>
        <v>-1</v>
      </c>
      <c r="K13" s="72">
        <f>IFERROR(__xludf.DUMMYFUNCTION("""COMPUTED_VALUE"""),0.0)</f>
        <v>0</v>
      </c>
      <c r="L13" s="72">
        <f>IFERROR(__xludf.DUMMYFUNCTION("""COMPUTED_VALUE"""),0.0)</f>
        <v>0</v>
      </c>
      <c r="M13" s="72">
        <f>IFERROR(__xludf.DUMMYFUNCTION("""COMPUTED_VALUE"""),0.0)</f>
        <v>0</v>
      </c>
      <c r="N13" s="72" t="str">
        <f>IFERROR(__xludf.DUMMYFUNCTION("""COMPUTED_VALUE"""),"")</f>
        <v/>
      </c>
      <c r="O13" s="72">
        <f>IFERROR(__xludf.DUMMYFUNCTION("""COMPUTED_VALUE"""),0.0)</f>
        <v>0</v>
      </c>
      <c r="P13" s="72">
        <f>IFERROR(__xludf.DUMMYFUNCTION("""COMPUTED_VALUE"""),0.0)</f>
        <v>0</v>
      </c>
      <c r="Q13" s="72">
        <f>IFERROR(__xludf.DUMMYFUNCTION("""COMPUTED_VALUE"""),0.0)</f>
        <v>0</v>
      </c>
      <c r="R13" s="72">
        <f>IFERROR(__xludf.DUMMYFUNCTION("""COMPUTED_VALUE"""),0.0)</f>
        <v>0</v>
      </c>
      <c r="S13" s="72">
        <f>IFERROR(__xludf.DUMMYFUNCTION("""COMPUTED_VALUE"""),0.0)</f>
        <v>0</v>
      </c>
      <c r="T13" s="72">
        <f>IFERROR(__xludf.DUMMYFUNCTION("""COMPUTED_VALUE"""),0.0)</f>
        <v>0</v>
      </c>
      <c r="U13" s="72">
        <f>IFERROR(__xludf.DUMMYFUNCTION("""COMPUTED_VALUE"""),0.0)</f>
        <v>0</v>
      </c>
      <c r="V13" s="72">
        <f>IFERROR(__xludf.DUMMYFUNCTION("""COMPUTED_VALUE"""),0.0)</f>
        <v>0</v>
      </c>
      <c r="W13" s="72">
        <f>IFERROR(__xludf.DUMMYFUNCTION("""COMPUTED_VALUE"""),0.0)</f>
        <v>0</v>
      </c>
      <c r="X13" s="72">
        <f>IFERROR(__xludf.DUMMYFUNCTION("""COMPUTED_VALUE"""),0.0)</f>
        <v>0</v>
      </c>
      <c r="Y13" s="72">
        <f>IFERROR(__xludf.DUMMYFUNCTION("""COMPUTED_VALUE"""),0.0)</f>
        <v>0</v>
      </c>
      <c r="Z13" s="72">
        <f>IFERROR(__xludf.DUMMYFUNCTION("""COMPUTED_VALUE"""),0.0)</f>
        <v>0</v>
      </c>
      <c r="AA13" s="72">
        <f>IFERROR(__xludf.DUMMYFUNCTION("""COMPUTED_VALUE"""),0.0)</f>
        <v>0</v>
      </c>
      <c r="AB13" s="72">
        <f>IFERROR(__xludf.DUMMYFUNCTION("""COMPUTED_VALUE"""),0.0)</f>
        <v>0</v>
      </c>
      <c r="AC13" s="72">
        <f>IFERROR(__xludf.DUMMYFUNCTION("""COMPUTED_VALUE"""),-1.0)</f>
        <v>-1</v>
      </c>
      <c r="AD13" s="72">
        <f>IFERROR(__xludf.DUMMYFUNCTION("""COMPUTED_VALUE"""),0.0)</f>
        <v>0</v>
      </c>
      <c r="AE13" s="72">
        <f>IFERROR(__xludf.DUMMYFUNCTION("""COMPUTED_VALUE"""),0.0)</f>
        <v>0</v>
      </c>
      <c r="AF13" s="72">
        <f>IFERROR(__xludf.DUMMYFUNCTION("""COMPUTED_VALUE"""),0.0)</f>
        <v>0</v>
      </c>
      <c r="AG13" s="72">
        <f>IFERROR(__xludf.DUMMYFUNCTION("""COMPUTED_VALUE"""),0.0)</f>
        <v>0</v>
      </c>
      <c r="AH13" s="72">
        <f>IFERROR(__xludf.DUMMYFUNCTION("""COMPUTED_VALUE"""),0.0)</f>
        <v>0</v>
      </c>
      <c r="AI13" s="72">
        <f>IFERROR(__xludf.DUMMYFUNCTION("""COMPUTED_VALUE"""),0.0)</f>
        <v>0</v>
      </c>
      <c r="AJ13" s="72">
        <f>IFERROR(__xludf.DUMMYFUNCTION("""COMPUTED_VALUE"""),0.0)</f>
        <v>0</v>
      </c>
      <c r="AK13" s="72">
        <f>IFERROR(__xludf.DUMMYFUNCTION("""COMPUTED_VALUE"""),0.0)</f>
        <v>0</v>
      </c>
      <c r="AL13" s="72">
        <f>IFERROR(__xludf.DUMMYFUNCTION("""COMPUTED_VALUE"""),-2.0)</f>
        <v>-2</v>
      </c>
      <c r="AM13" s="72">
        <f>IFERROR(__xludf.DUMMYFUNCTION("""COMPUTED_VALUE"""),0.0)</f>
        <v>0</v>
      </c>
      <c r="AN13" s="72">
        <f>IFERROR(__xludf.DUMMYFUNCTION("""COMPUTED_VALUE"""),0.0)</f>
        <v>0</v>
      </c>
      <c r="AO13" s="72">
        <f>IFERROR(__xludf.DUMMYFUNCTION("""COMPUTED_VALUE"""),0.0)</f>
        <v>0</v>
      </c>
      <c r="AP13" s="72">
        <f>IFERROR(__xludf.DUMMYFUNCTION("""COMPUTED_VALUE"""),-1.0)</f>
        <v>-1</v>
      </c>
      <c r="AQ13" s="72">
        <f>IFERROR(__xludf.DUMMYFUNCTION("""COMPUTED_VALUE"""),0.0)</f>
        <v>0</v>
      </c>
      <c r="AR13" s="72">
        <f>IFERROR(__xludf.DUMMYFUNCTION("""COMPUTED_VALUE"""),0.0)</f>
        <v>0</v>
      </c>
      <c r="AS13" s="72">
        <f>IFERROR(__xludf.DUMMYFUNCTION("""COMPUTED_VALUE"""),0.0)</f>
        <v>0</v>
      </c>
      <c r="AT13" s="72">
        <f>IFERROR(__xludf.DUMMYFUNCTION("""COMPUTED_VALUE"""),0.0)</f>
        <v>0</v>
      </c>
      <c r="AU13" s="72">
        <f>IFERROR(__xludf.DUMMYFUNCTION("""COMPUTED_VALUE"""),0.0)</f>
        <v>0</v>
      </c>
      <c r="AV13" s="72">
        <f>IFERROR(__xludf.DUMMYFUNCTION("""COMPUTED_VALUE"""),0.0)</f>
        <v>0</v>
      </c>
      <c r="AW13" s="72">
        <f>IFERROR(__xludf.DUMMYFUNCTION("""COMPUTED_VALUE"""),0.0)</f>
        <v>0</v>
      </c>
      <c r="AX13" s="72">
        <f>IFERROR(__xludf.DUMMYFUNCTION("""COMPUTED_VALUE"""),0.0)</f>
        <v>0</v>
      </c>
      <c r="AY13" s="72">
        <f>IFERROR(__xludf.DUMMYFUNCTION("""COMPUTED_VALUE"""),0.0)</f>
        <v>0</v>
      </c>
      <c r="AZ13" s="72">
        <f>IFERROR(__xludf.DUMMYFUNCTION("""COMPUTED_VALUE"""),0.0)</f>
        <v>0</v>
      </c>
      <c r="BA13" s="72">
        <f>IFERROR(__xludf.DUMMYFUNCTION("""COMPUTED_VALUE"""),0.0)</f>
        <v>0</v>
      </c>
      <c r="BB13" s="72">
        <f>IFERROR(__xludf.DUMMYFUNCTION("""COMPUTED_VALUE"""),0.0)</f>
        <v>0</v>
      </c>
      <c r="BC13" s="72">
        <f>IFERROR(__xludf.DUMMYFUNCTION("""COMPUTED_VALUE"""),0.0)</f>
        <v>0</v>
      </c>
      <c r="BD13" s="69">
        <f>IFERROR(__xludf.DUMMYFUNCTION("""COMPUTED_VALUE"""),0.0)</f>
        <v>0</v>
      </c>
      <c r="BE13" s="69" t="str">
        <f>IFERROR(__xludf.DUMMYFUNCTION("""COMPUTED_VALUE"""),"")</f>
        <v/>
      </c>
      <c r="BF13" s="69" t="str">
        <f>IFERROR(__xludf.DUMMYFUNCTION("""COMPUTED_VALUE"""),"")</f>
        <v/>
      </c>
      <c r="BG13" s="69" t="str">
        <f>IFERROR(__xludf.DUMMYFUNCTION("""COMPUTED_VALUE"""),"")</f>
        <v/>
      </c>
      <c r="BH13" s="69" t="str">
        <f>IFERROR(__xludf.DUMMYFUNCTION("""COMPUTED_VALUE"""),"")</f>
        <v/>
      </c>
      <c r="BI13" s="69" t="str">
        <f>IFERROR(__xludf.DUMMYFUNCTION("""COMPUTED_VALUE"""),"")</f>
        <v/>
      </c>
      <c r="BJ13" s="69" t="str">
        <f>IFERROR(__xludf.DUMMYFUNCTION("""COMPUTED_VALUE"""),"")</f>
        <v/>
      </c>
      <c r="BK13" s="69" t="str">
        <f>IFERROR(__xludf.DUMMYFUNCTION("""COMPUTED_VALUE"""),"")</f>
        <v/>
      </c>
      <c r="BL13" s="69" t="str">
        <f>IFERROR(__xludf.DUMMYFUNCTION("""COMPUTED_VALUE"""),"")</f>
        <v/>
      </c>
      <c r="BM13" s="69" t="str">
        <f>IFERROR(__xludf.DUMMYFUNCTION("""COMPUTED_VALUE"""),"")</f>
        <v/>
      </c>
      <c r="BN13" s="69" t="str">
        <f>IFERROR(__xludf.DUMMYFUNCTION("""COMPUTED_VALUE"""),"")</f>
        <v/>
      </c>
      <c r="BO13" s="69" t="str">
        <f>IFERROR(__xludf.DUMMYFUNCTION("""COMPUTED_VALUE"""),"")</f>
        <v/>
      </c>
      <c r="BP13" s="69" t="str">
        <f>IFERROR(__xludf.DUMMYFUNCTION("""COMPUTED_VALUE"""),"")</f>
        <v/>
      </c>
      <c r="BQ13" s="69" t="str">
        <f>IFERROR(__xludf.DUMMYFUNCTION("""COMPUTED_VALUE"""),"")</f>
        <v/>
      </c>
      <c r="BR13" s="69" t="str">
        <f>IFERROR(__xludf.DUMMYFUNCTION("""COMPUTED_VALUE"""),"")</f>
        <v/>
      </c>
      <c r="BS13" s="69" t="str">
        <f>IFERROR(__xludf.DUMMYFUNCTION("""COMPUTED_VALUE"""),"")</f>
        <v/>
      </c>
      <c r="BT13" s="69" t="str">
        <f>IFERROR(__xludf.DUMMYFUNCTION("""COMPUTED_VALUE"""),"")</f>
        <v/>
      </c>
      <c r="BU13" s="69" t="str">
        <f>IFERROR(__xludf.DUMMYFUNCTION("""COMPUTED_VALUE"""),"")</f>
        <v/>
      </c>
      <c r="BV13" s="69" t="str">
        <f>IFERROR(__xludf.DUMMYFUNCTION("""COMPUTED_VALUE"""),"")</f>
        <v/>
      </c>
      <c r="BW13" s="69"/>
      <c r="BX13" s="69"/>
      <c r="BY13" s="69"/>
      <c r="BZ13" s="69"/>
      <c r="CA13" s="69"/>
      <c r="CB13" s="69"/>
      <c r="CC13" s="69"/>
      <c r="CD13" s="69"/>
      <c r="CE13" s="69"/>
      <c r="CF13" s="69"/>
    </row>
    <row r="14">
      <c r="A14" s="70" t="str">
        <f>IFERROR(__xludf.DUMMYFUNCTION("""COMPUTED_VALUE"""),"Creative Energy")</f>
        <v>Creative Energy</v>
      </c>
      <c r="B14" s="71">
        <f>IFERROR(__xludf.DUMMYFUNCTION("""COMPUTED_VALUE"""),-6.0)</f>
        <v>-6</v>
      </c>
      <c r="C14" s="72">
        <f>IFERROR(__xludf.DUMMYFUNCTION("""COMPUTED_VALUE"""),0.0)</f>
        <v>0</v>
      </c>
      <c r="D14" s="72">
        <f>IFERROR(__xludf.DUMMYFUNCTION("""COMPUTED_VALUE"""),0.0)</f>
        <v>0</v>
      </c>
      <c r="E14" s="72">
        <f>IFERROR(__xludf.DUMMYFUNCTION("""COMPUTED_VALUE"""),0.0)</f>
        <v>0</v>
      </c>
      <c r="F14" s="72">
        <f>IFERROR(__xludf.DUMMYFUNCTION("""COMPUTED_VALUE"""),0.0)</f>
        <v>0</v>
      </c>
      <c r="G14" s="72">
        <f>IFERROR(__xludf.DUMMYFUNCTION("""COMPUTED_VALUE"""),0.0)</f>
        <v>0</v>
      </c>
      <c r="H14" s="72">
        <f>IFERROR(__xludf.DUMMYFUNCTION("""COMPUTED_VALUE"""),0.0)</f>
        <v>0</v>
      </c>
      <c r="I14" s="72">
        <f>IFERROR(__xludf.DUMMYFUNCTION("""COMPUTED_VALUE"""),0.0)</f>
        <v>0</v>
      </c>
      <c r="J14" s="72">
        <f>IFERROR(__xludf.DUMMYFUNCTION("""COMPUTED_VALUE"""),0.0)</f>
        <v>0</v>
      </c>
      <c r="K14" s="72">
        <f>IFERROR(__xludf.DUMMYFUNCTION("""COMPUTED_VALUE"""),0.0)</f>
        <v>0</v>
      </c>
      <c r="L14" s="72">
        <f>IFERROR(__xludf.DUMMYFUNCTION("""COMPUTED_VALUE"""),0.0)</f>
        <v>0</v>
      </c>
      <c r="M14" s="72">
        <f>IFERROR(__xludf.DUMMYFUNCTION("""COMPUTED_VALUE"""),0.0)</f>
        <v>0</v>
      </c>
      <c r="N14" s="72">
        <f>IFERROR(__xludf.DUMMYFUNCTION("""COMPUTED_VALUE"""),0.0)</f>
        <v>0</v>
      </c>
      <c r="O14" s="72" t="str">
        <f>IFERROR(__xludf.DUMMYFUNCTION("""COMPUTED_VALUE"""),"")</f>
        <v/>
      </c>
      <c r="P14" s="72">
        <f>IFERROR(__xludf.DUMMYFUNCTION("""COMPUTED_VALUE"""),-1.0)</f>
        <v>-1</v>
      </c>
      <c r="Q14" s="72">
        <f>IFERROR(__xludf.DUMMYFUNCTION("""COMPUTED_VALUE"""),0.0)</f>
        <v>0</v>
      </c>
      <c r="R14" s="72">
        <f>IFERROR(__xludf.DUMMYFUNCTION("""COMPUTED_VALUE"""),0.0)</f>
        <v>0</v>
      </c>
      <c r="S14" s="72">
        <f>IFERROR(__xludf.DUMMYFUNCTION("""COMPUTED_VALUE"""),1.0)</f>
        <v>1</v>
      </c>
      <c r="T14" s="72">
        <f>IFERROR(__xludf.DUMMYFUNCTION("""COMPUTED_VALUE"""),0.0)</f>
        <v>0</v>
      </c>
      <c r="U14" s="72">
        <f>IFERROR(__xludf.DUMMYFUNCTION("""COMPUTED_VALUE"""),-2.0)</f>
        <v>-2</v>
      </c>
      <c r="V14" s="72">
        <f>IFERROR(__xludf.DUMMYFUNCTION("""COMPUTED_VALUE"""),0.0)</f>
        <v>0</v>
      </c>
      <c r="W14" s="72">
        <f>IFERROR(__xludf.DUMMYFUNCTION("""COMPUTED_VALUE"""),0.0)</f>
        <v>0</v>
      </c>
      <c r="X14" s="72">
        <f>IFERROR(__xludf.DUMMYFUNCTION("""COMPUTED_VALUE"""),0.0)</f>
        <v>0</v>
      </c>
      <c r="Y14" s="72">
        <f>IFERROR(__xludf.DUMMYFUNCTION("""COMPUTED_VALUE"""),0.0)</f>
        <v>0</v>
      </c>
      <c r="Z14" s="72">
        <f>IFERROR(__xludf.DUMMYFUNCTION("""COMPUTED_VALUE"""),1.0)</f>
        <v>1</v>
      </c>
      <c r="AA14" s="72">
        <f>IFERROR(__xludf.DUMMYFUNCTION("""COMPUTED_VALUE"""),0.0)</f>
        <v>0</v>
      </c>
      <c r="AB14" s="72">
        <f>IFERROR(__xludf.DUMMYFUNCTION("""COMPUTED_VALUE"""),0.0)</f>
        <v>0</v>
      </c>
      <c r="AC14" s="72">
        <f>IFERROR(__xludf.DUMMYFUNCTION("""COMPUTED_VALUE"""),-5.0)</f>
        <v>-5</v>
      </c>
      <c r="AD14" s="72">
        <f>IFERROR(__xludf.DUMMYFUNCTION("""COMPUTED_VALUE"""),0.0)</f>
        <v>0</v>
      </c>
      <c r="AE14" s="72">
        <f>IFERROR(__xludf.DUMMYFUNCTION("""COMPUTED_VALUE"""),-1.0)</f>
        <v>-1</v>
      </c>
      <c r="AF14" s="72">
        <f>IFERROR(__xludf.DUMMYFUNCTION("""COMPUTED_VALUE"""),0.0)</f>
        <v>0</v>
      </c>
      <c r="AG14" s="72">
        <f>IFERROR(__xludf.DUMMYFUNCTION("""COMPUTED_VALUE"""),0.0)</f>
        <v>0</v>
      </c>
      <c r="AH14" s="72">
        <f>IFERROR(__xludf.DUMMYFUNCTION("""COMPUTED_VALUE"""),0.0)</f>
        <v>0</v>
      </c>
      <c r="AI14" s="72">
        <f>IFERROR(__xludf.DUMMYFUNCTION("""COMPUTED_VALUE"""),0.0)</f>
        <v>0</v>
      </c>
      <c r="AJ14" s="72">
        <f>IFERROR(__xludf.DUMMYFUNCTION("""COMPUTED_VALUE"""),0.0)</f>
        <v>0</v>
      </c>
      <c r="AK14" s="72">
        <f>IFERROR(__xludf.DUMMYFUNCTION("""COMPUTED_VALUE"""),-1.0)</f>
        <v>-1</v>
      </c>
      <c r="AL14" s="72">
        <f>IFERROR(__xludf.DUMMYFUNCTION("""COMPUTED_VALUE"""),0.0)</f>
        <v>0</v>
      </c>
      <c r="AM14" s="72">
        <f>IFERROR(__xludf.DUMMYFUNCTION("""COMPUTED_VALUE"""),-1.0)</f>
        <v>-1</v>
      </c>
      <c r="AN14" s="72">
        <f>IFERROR(__xludf.DUMMYFUNCTION("""COMPUTED_VALUE"""),0.0)</f>
        <v>0</v>
      </c>
      <c r="AO14" s="72">
        <f>IFERROR(__xludf.DUMMYFUNCTION("""COMPUTED_VALUE"""),-1.0)</f>
        <v>-1</v>
      </c>
      <c r="AP14" s="72">
        <f>IFERROR(__xludf.DUMMYFUNCTION("""COMPUTED_VALUE"""),0.0)</f>
        <v>0</v>
      </c>
      <c r="AQ14" s="72">
        <f>IFERROR(__xludf.DUMMYFUNCTION("""COMPUTED_VALUE"""),0.0)</f>
        <v>0</v>
      </c>
      <c r="AR14" s="72">
        <f>IFERROR(__xludf.DUMMYFUNCTION("""COMPUTED_VALUE"""),1.0)</f>
        <v>1</v>
      </c>
      <c r="AS14" s="72">
        <f>IFERROR(__xludf.DUMMYFUNCTION("""COMPUTED_VALUE"""),0.0)</f>
        <v>0</v>
      </c>
      <c r="AT14" s="72">
        <f>IFERROR(__xludf.DUMMYFUNCTION("""COMPUTED_VALUE"""),0.0)</f>
        <v>0</v>
      </c>
      <c r="AU14" s="72">
        <f>IFERROR(__xludf.DUMMYFUNCTION("""COMPUTED_VALUE"""),0.0)</f>
        <v>0</v>
      </c>
      <c r="AV14" s="72">
        <f>IFERROR(__xludf.DUMMYFUNCTION("""COMPUTED_VALUE"""),0.0)</f>
        <v>0</v>
      </c>
      <c r="AW14" s="72">
        <f>IFERROR(__xludf.DUMMYFUNCTION("""COMPUTED_VALUE"""),1.0)</f>
        <v>1</v>
      </c>
      <c r="AX14" s="72">
        <f>IFERROR(__xludf.DUMMYFUNCTION("""COMPUTED_VALUE"""),0.0)</f>
        <v>0</v>
      </c>
      <c r="AY14" s="72">
        <f>IFERROR(__xludf.DUMMYFUNCTION("""COMPUTED_VALUE"""),1.0)</f>
        <v>1</v>
      </c>
      <c r="AZ14" s="72">
        <f>IFERROR(__xludf.DUMMYFUNCTION("""COMPUTED_VALUE"""),0.0)</f>
        <v>0</v>
      </c>
      <c r="BA14" s="72">
        <f>IFERROR(__xludf.DUMMYFUNCTION("""COMPUTED_VALUE"""),0.0)</f>
        <v>0</v>
      </c>
      <c r="BB14" s="72">
        <f>IFERROR(__xludf.DUMMYFUNCTION("""COMPUTED_VALUE"""),0.0)</f>
        <v>0</v>
      </c>
      <c r="BC14" s="72">
        <f>IFERROR(__xludf.DUMMYFUNCTION("""COMPUTED_VALUE"""),1.0)</f>
        <v>1</v>
      </c>
      <c r="BD14" s="69">
        <f>IFERROR(__xludf.DUMMYFUNCTION("""COMPUTED_VALUE"""),0.0)</f>
        <v>0</v>
      </c>
      <c r="BE14" s="69" t="str">
        <f>IFERROR(__xludf.DUMMYFUNCTION("""COMPUTED_VALUE"""),"")</f>
        <v/>
      </c>
      <c r="BF14" s="69" t="str">
        <f>IFERROR(__xludf.DUMMYFUNCTION("""COMPUTED_VALUE"""),"")</f>
        <v/>
      </c>
      <c r="BG14" s="69" t="str">
        <f>IFERROR(__xludf.DUMMYFUNCTION("""COMPUTED_VALUE"""),"")</f>
        <v/>
      </c>
      <c r="BH14" s="69" t="str">
        <f>IFERROR(__xludf.DUMMYFUNCTION("""COMPUTED_VALUE"""),"")</f>
        <v/>
      </c>
      <c r="BI14" s="69" t="str">
        <f>IFERROR(__xludf.DUMMYFUNCTION("""COMPUTED_VALUE"""),"")</f>
        <v/>
      </c>
      <c r="BJ14" s="69" t="str">
        <f>IFERROR(__xludf.DUMMYFUNCTION("""COMPUTED_VALUE"""),"")</f>
        <v/>
      </c>
      <c r="BK14" s="69" t="str">
        <f>IFERROR(__xludf.DUMMYFUNCTION("""COMPUTED_VALUE"""),"")</f>
        <v/>
      </c>
      <c r="BL14" s="69" t="str">
        <f>IFERROR(__xludf.DUMMYFUNCTION("""COMPUTED_VALUE"""),"")</f>
        <v/>
      </c>
      <c r="BM14" s="69" t="str">
        <f>IFERROR(__xludf.DUMMYFUNCTION("""COMPUTED_VALUE"""),"")</f>
        <v/>
      </c>
      <c r="BN14" s="69" t="str">
        <f>IFERROR(__xludf.DUMMYFUNCTION("""COMPUTED_VALUE"""),"")</f>
        <v/>
      </c>
      <c r="BO14" s="69" t="str">
        <f>IFERROR(__xludf.DUMMYFUNCTION("""COMPUTED_VALUE"""),"")</f>
        <v/>
      </c>
      <c r="BP14" s="69" t="str">
        <f>IFERROR(__xludf.DUMMYFUNCTION("""COMPUTED_VALUE"""),"")</f>
        <v/>
      </c>
      <c r="BQ14" s="69" t="str">
        <f>IFERROR(__xludf.DUMMYFUNCTION("""COMPUTED_VALUE"""),"")</f>
        <v/>
      </c>
      <c r="BR14" s="69" t="str">
        <f>IFERROR(__xludf.DUMMYFUNCTION("""COMPUTED_VALUE"""),"")</f>
        <v/>
      </c>
      <c r="BS14" s="69" t="str">
        <f>IFERROR(__xludf.DUMMYFUNCTION("""COMPUTED_VALUE"""),"")</f>
        <v/>
      </c>
      <c r="BT14" s="69" t="str">
        <f>IFERROR(__xludf.DUMMYFUNCTION("""COMPUTED_VALUE"""),"")</f>
        <v/>
      </c>
      <c r="BU14" s="69" t="str">
        <f>IFERROR(__xludf.DUMMYFUNCTION("""COMPUTED_VALUE"""),"")</f>
        <v/>
      </c>
      <c r="BV14" s="69" t="str">
        <f>IFERROR(__xludf.DUMMYFUNCTION("""COMPUTED_VALUE"""),"")</f>
        <v/>
      </c>
      <c r="BW14" s="69"/>
      <c r="BX14" s="69"/>
      <c r="BY14" s="69"/>
      <c r="BZ14" s="69"/>
      <c r="CA14" s="69"/>
      <c r="CB14" s="69"/>
      <c r="CC14" s="69"/>
      <c r="CD14" s="69"/>
      <c r="CE14" s="69"/>
      <c r="CF14" s="69"/>
    </row>
    <row r="15">
      <c r="A15" s="70" t="str">
        <f>IFERROR(__xludf.DUMMYFUNCTION("""COMPUTED_VALUE"""),"Dance of the Elements")</f>
        <v>Dance of the Elements</v>
      </c>
      <c r="B15" s="71">
        <f>IFERROR(__xludf.DUMMYFUNCTION("""COMPUTED_VALUE"""),0.0)</f>
        <v>0</v>
      </c>
      <c r="C15" s="72">
        <f>IFERROR(__xludf.DUMMYFUNCTION("""COMPUTED_VALUE"""),0.0)</f>
        <v>0</v>
      </c>
      <c r="D15" s="72">
        <f>IFERROR(__xludf.DUMMYFUNCTION("""COMPUTED_VALUE"""),0.0)</f>
        <v>0</v>
      </c>
      <c r="E15" s="72">
        <f>IFERROR(__xludf.DUMMYFUNCTION("""COMPUTED_VALUE"""),0.0)</f>
        <v>0</v>
      </c>
      <c r="F15" s="72">
        <f>IFERROR(__xludf.DUMMYFUNCTION("""COMPUTED_VALUE"""),1.0)</f>
        <v>1</v>
      </c>
      <c r="G15" s="72">
        <f>IFERROR(__xludf.DUMMYFUNCTION("""COMPUTED_VALUE"""),0.0)</f>
        <v>0</v>
      </c>
      <c r="H15" s="72">
        <f>IFERROR(__xludf.DUMMYFUNCTION("""COMPUTED_VALUE"""),1.0)</f>
        <v>1</v>
      </c>
      <c r="I15" s="72">
        <f>IFERROR(__xludf.DUMMYFUNCTION("""COMPUTED_VALUE"""),0.0)</f>
        <v>0</v>
      </c>
      <c r="J15" s="72">
        <f>IFERROR(__xludf.DUMMYFUNCTION("""COMPUTED_VALUE"""),0.0)</f>
        <v>0</v>
      </c>
      <c r="K15" s="72">
        <f>IFERROR(__xludf.DUMMYFUNCTION("""COMPUTED_VALUE"""),0.0)</f>
        <v>0</v>
      </c>
      <c r="L15" s="72">
        <f>IFERROR(__xludf.DUMMYFUNCTION("""COMPUTED_VALUE"""),-1.0)</f>
        <v>-1</v>
      </c>
      <c r="M15" s="72">
        <f>IFERROR(__xludf.DUMMYFUNCTION("""COMPUTED_VALUE"""),0.0)</f>
        <v>0</v>
      </c>
      <c r="N15" s="72">
        <f>IFERROR(__xludf.DUMMYFUNCTION("""COMPUTED_VALUE"""),0.0)</f>
        <v>0</v>
      </c>
      <c r="O15" s="72">
        <f>IFERROR(__xludf.DUMMYFUNCTION("""COMPUTED_VALUE"""),1.0)</f>
        <v>1</v>
      </c>
      <c r="P15" s="72" t="str">
        <f>IFERROR(__xludf.DUMMYFUNCTION("""COMPUTED_VALUE"""),"")</f>
        <v/>
      </c>
      <c r="Q15" s="72">
        <f>IFERROR(__xludf.DUMMYFUNCTION("""COMPUTED_VALUE"""),0.0)</f>
        <v>0</v>
      </c>
      <c r="R15" s="72">
        <f>IFERROR(__xludf.DUMMYFUNCTION("""COMPUTED_VALUE"""),0.0)</f>
        <v>0</v>
      </c>
      <c r="S15" s="72">
        <f>IFERROR(__xludf.DUMMYFUNCTION("""COMPUTED_VALUE"""),0.0)</f>
        <v>0</v>
      </c>
      <c r="T15" s="72">
        <f>IFERROR(__xludf.DUMMYFUNCTION("""COMPUTED_VALUE"""),0.0)</f>
        <v>0</v>
      </c>
      <c r="U15" s="72">
        <f>IFERROR(__xludf.DUMMYFUNCTION("""COMPUTED_VALUE"""),-1.0)</f>
        <v>-1</v>
      </c>
      <c r="V15" s="72">
        <f>IFERROR(__xludf.DUMMYFUNCTION("""COMPUTED_VALUE"""),0.0)</f>
        <v>0</v>
      </c>
      <c r="W15" s="72">
        <f>IFERROR(__xludf.DUMMYFUNCTION("""COMPUTED_VALUE"""),0.0)</f>
        <v>0</v>
      </c>
      <c r="X15" s="72">
        <f>IFERROR(__xludf.DUMMYFUNCTION("""COMPUTED_VALUE"""),0.0)</f>
        <v>0</v>
      </c>
      <c r="Y15" s="72">
        <f>IFERROR(__xludf.DUMMYFUNCTION("""COMPUTED_VALUE"""),0.0)</f>
        <v>0</v>
      </c>
      <c r="Z15" s="72">
        <f>IFERROR(__xludf.DUMMYFUNCTION("""COMPUTED_VALUE"""),0.0)</f>
        <v>0</v>
      </c>
      <c r="AA15" s="72">
        <f>IFERROR(__xludf.DUMMYFUNCTION("""COMPUTED_VALUE"""),1.0)</f>
        <v>1</v>
      </c>
      <c r="AB15" s="72">
        <f>IFERROR(__xludf.DUMMYFUNCTION("""COMPUTED_VALUE"""),0.0)</f>
        <v>0</v>
      </c>
      <c r="AC15" s="72">
        <f>IFERROR(__xludf.DUMMYFUNCTION("""COMPUTED_VALUE"""),0.0)</f>
        <v>0</v>
      </c>
      <c r="AD15" s="72">
        <f>IFERROR(__xludf.DUMMYFUNCTION("""COMPUTED_VALUE"""),0.0)</f>
        <v>0</v>
      </c>
      <c r="AE15" s="72">
        <f>IFERROR(__xludf.DUMMYFUNCTION("""COMPUTED_VALUE"""),0.0)</f>
        <v>0</v>
      </c>
      <c r="AF15" s="72">
        <f>IFERROR(__xludf.DUMMYFUNCTION("""COMPUTED_VALUE"""),0.0)</f>
        <v>0</v>
      </c>
      <c r="AG15" s="72">
        <f>IFERROR(__xludf.DUMMYFUNCTION("""COMPUTED_VALUE"""),0.0)</f>
        <v>0</v>
      </c>
      <c r="AH15" s="72">
        <f>IFERROR(__xludf.DUMMYFUNCTION("""COMPUTED_VALUE"""),0.0)</f>
        <v>0</v>
      </c>
      <c r="AI15" s="72">
        <f>IFERROR(__xludf.DUMMYFUNCTION("""COMPUTED_VALUE"""),-1.0)</f>
        <v>-1</v>
      </c>
      <c r="AJ15" s="72">
        <f>IFERROR(__xludf.DUMMYFUNCTION("""COMPUTED_VALUE"""),0.0)</f>
        <v>0</v>
      </c>
      <c r="AK15" s="72">
        <f>IFERROR(__xludf.DUMMYFUNCTION("""COMPUTED_VALUE"""),0.0)</f>
        <v>0</v>
      </c>
      <c r="AL15" s="72">
        <f>IFERROR(__xludf.DUMMYFUNCTION("""COMPUTED_VALUE"""),-3.0)</f>
        <v>-3</v>
      </c>
      <c r="AM15" s="72">
        <f>IFERROR(__xludf.DUMMYFUNCTION("""COMPUTED_VALUE"""),-1.0)</f>
        <v>-1</v>
      </c>
      <c r="AN15" s="72">
        <f>IFERROR(__xludf.DUMMYFUNCTION("""COMPUTED_VALUE"""),0.0)</f>
        <v>0</v>
      </c>
      <c r="AO15" s="72">
        <f>IFERROR(__xludf.DUMMYFUNCTION("""COMPUTED_VALUE"""),1.0)</f>
        <v>1</v>
      </c>
      <c r="AP15" s="72">
        <f>IFERROR(__xludf.DUMMYFUNCTION("""COMPUTED_VALUE"""),0.0)</f>
        <v>0</v>
      </c>
      <c r="AQ15" s="72">
        <f>IFERROR(__xludf.DUMMYFUNCTION("""COMPUTED_VALUE"""),0.0)</f>
        <v>0</v>
      </c>
      <c r="AR15" s="72">
        <f>IFERROR(__xludf.DUMMYFUNCTION("""COMPUTED_VALUE"""),1.0)</f>
        <v>1</v>
      </c>
      <c r="AS15" s="72">
        <f>IFERROR(__xludf.DUMMYFUNCTION("""COMPUTED_VALUE"""),0.0)</f>
        <v>0</v>
      </c>
      <c r="AT15" s="72">
        <f>IFERROR(__xludf.DUMMYFUNCTION("""COMPUTED_VALUE"""),0.0)</f>
        <v>0</v>
      </c>
      <c r="AU15" s="72">
        <f>IFERROR(__xludf.DUMMYFUNCTION("""COMPUTED_VALUE"""),0.0)</f>
        <v>0</v>
      </c>
      <c r="AV15" s="72">
        <f>IFERROR(__xludf.DUMMYFUNCTION("""COMPUTED_VALUE"""),-1.0)</f>
        <v>-1</v>
      </c>
      <c r="AW15" s="72">
        <f>IFERROR(__xludf.DUMMYFUNCTION("""COMPUTED_VALUE"""),0.0)</f>
        <v>0</v>
      </c>
      <c r="AX15" s="72">
        <f>IFERROR(__xludf.DUMMYFUNCTION("""COMPUTED_VALUE"""),0.0)</f>
        <v>0</v>
      </c>
      <c r="AY15" s="72">
        <f>IFERROR(__xludf.DUMMYFUNCTION("""COMPUTED_VALUE"""),0.0)</f>
        <v>0</v>
      </c>
      <c r="AZ15" s="72">
        <f>IFERROR(__xludf.DUMMYFUNCTION("""COMPUTED_VALUE"""),0.0)</f>
        <v>0</v>
      </c>
      <c r="BA15" s="72">
        <f>IFERROR(__xludf.DUMMYFUNCTION("""COMPUTED_VALUE"""),1.0)</f>
        <v>1</v>
      </c>
      <c r="BB15" s="72">
        <f>IFERROR(__xludf.DUMMYFUNCTION("""COMPUTED_VALUE"""),1.0)</f>
        <v>1</v>
      </c>
      <c r="BC15" s="72">
        <f>IFERROR(__xludf.DUMMYFUNCTION("""COMPUTED_VALUE"""),0.0)</f>
        <v>0</v>
      </c>
      <c r="BD15" s="69">
        <f>IFERROR(__xludf.DUMMYFUNCTION("""COMPUTED_VALUE"""),0.0)</f>
        <v>0</v>
      </c>
      <c r="BE15" s="69" t="str">
        <f>IFERROR(__xludf.DUMMYFUNCTION("""COMPUTED_VALUE"""),"")</f>
        <v/>
      </c>
      <c r="BF15" s="69" t="str">
        <f>IFERROR(__xludf.DUMMYFUNCTION("""COMPUTED_VALUE"""),"")</f>
        <v/>
      </c>
      <c r="BG15" s="69" t="str">
        <f>IFERROR(__xludf.DUMMYFUNCTION("""COMPUTED_VALUE"""),"")</f>
        <v/>
      </c>
      <c r="BH15" s="69" t="str">
        <f>IFERROR(__xludf.DUMMYFUNCTION("""COMPUTED_VALUE"""),"")</f>
        <v/>
      </c>
      <c r="BI15" s="69" t="str">
        <f>IFERROR(__xludf.DUMMYFUNCTION("""COMPUTED_VALUE"""),"")</f>
        <v/>
      </c>
      <c r="BJ15" s="69" t="str">
        <f>IFERROR(__xludf.DUMMYFUNCTION("""COMPUTED_VALUE"""),"")</f>
        <v/>
      </c>
      <c r="BK15" s="69" t="str">
        <f>IFERROR(__xludf.DUMMYFUNCTION("""COMPUTED_VALUE"""),"")</f>
        <v/>
      </c>
      <c r="BL15" s="69" t="str">
        <f>IFERROR(__xludf.DUMMYFUNCTION("""COMPUTED_VALUE"""),"")</f>
        <v/>
      </c>
      <c r="BM15" s="69" t="str">
        <f>IFERROR(__xludf.DUMMYFUNCTION("""COMPUTED_VALUE"""),"")</f>
        <v/>
      </c>
      <c r="BN15" s="69" t="str">
        <f>IFERROR(__xludf.DUMMYFUNCTION("""COMPUTED_VALUE"""),"")</f>
        <v/>
      </c>
      <c r="BO15" s="69" t="str">
        <f>IFERROR(__xludf.DUMMYFUNCTION("""COMPUTED_VALUE"""),"")</f>
        <v/>
      </c>
      <c r="BP15" s="69" t="str">
        <f>IFERROR(__xludf.DUMMYFUNCTION("""COMPUTED_VALUE"""),"")</f>
        <v/>
      </c>
      <c r="BQ15" s="69" t="str">
        <f>IFERROR(__xludf.DUMMYFUNCTION("""COMPUTED_VALUE"""),"")</f>
        <v/>
      </c>
      <c r="BR15" s="69" t="str">
        <f>IFERROR(__xludf.DUMMYFUNCTION("""COMPUTED_VALUE"""),"")</f>
        <v/>
      </c>
      <c r="BS15" s="69" t="str">
        <f>IFERROR(__xludf.DUMMYFUNCTION("""COMPUTED_VALUE"""),"")</f>
        <v/>
      </c>
      <c r="BT15" s="69" t="str">
        <f>IFERROR(__xludf.DUMMYFUNCTION("""COMPUTED_VALUE"""),"")</f>
        <v/>
      </c>
      <c r="BU15" s="69" t="str">
        <f>IFERROR(__xludf.DUMMYFUNCTION("""COMPUTED_VALUE"""),"")</f>
        <v/>
      </c>
      <c r="BV15" s="69" t="str">
        <f>IFERROR(__xludf.DUMMYFUNCTION("""COMPUTED_VALUE"""),"")</f>
        <v/>
      </c>
      <c r="BW15" s="69"/>
      <c r="BX15" s="69"/>
      <c r="BY15" s="69"/>
      <c r="BZ15" s="69"/>
      <c r="CA15" s="69"/>
      <c r="CB15" s="69"/>
      <c r="CC15" s="69"/>
      <c r="CD15" s="69"/>
      <c r="CE15" s="69"/>
      <c r="CF15" s="69"/>
    </row>
    <row r="16">
      <c r="A16" s="70" t="str">
        <f>IFERROR(__xludf.DUMMYFUNCTION("""COMPUTED_VALUE"""),"Deep Clue Sea")</f>
        <v>Deep Clue Sea</v>
      </c>
      <c r="B16" s="71">
        <f>IFERROR(__xludf.DUMMYFUNCTION("""COMPUTED_VALUE"""),3.0)</f>
        <v>3</v>
      </c>
      <c r="C16" s="72">
        <f>IFERROR(__xludf.DUMMYFUNCTION("""COMPUTED_VALUE"""),0.0)</f>
        <v>0</v>
      </c>
      <c r="D16" s="72">
        <f>IFERROR(__xludf.DUMMYFUNCTION("""COMPUTED_VALUE"""),0.0)</f>
        <v>0</v>
      </c>
      <c r="E16" s="72">
        <f>IFERROR(__xludf.DUMMYFUNCTION("""COMPUTED_VALUE"""),0.0)</f>
        <v>0</v>
      </c>
      <c r="F16" s="72">
        <f>IFERROR(__xludf.DUMMYFUNCTION("""COMPUTED_VALUE"""),0.0)</f>
        <v>0</v>
      </c>
      <c r="G16" s="72">
        <f>IFERROR(__xludf.DUMMYFUNCTION("""COMPUTED_VALUE"""),0.0)</f>
        <v>0</v>
      </c>
      <c r="H16" s="72">
        <f>IFERROR(__xludf.DUMMYFUNCTION("""COMPUTED_VALUE"""),0.0)</f>
        <v>0</v>
      </c>
      <c r="I16" s="72">
        <f>IFERROR(__xludf.DUMMYFUNCTION("""COMPUTED_VALUE"""),0.0)</f>
        <v>0</v>
      </c>
      <c r="J16" s="72">
        <f>IFERROR(__xludf.DUMMYFUNCTION("""COMPUTED_VALUE"""),0.0)</f>
        <v>0</v>
      </c>
      <c r="K16" s="72">
        <f>IFERROR(__xludf.DUMMYFUNCTION("""COMPUTED_VALUE"""),0.0)</f>
        <v>0</v>
      </c>
      <c r="L16" s="72">
        <f>IFERROR(__xludf.DUMMYFUNCTION("""COMPUTED_VALUE"""),0.0)</f>
        <v>0</v>
      </c>
      <c r="M16" s="72">
        <f>IFERROR(__xludf.DUMMYFUNCTION("""COMPUTED_VALUE"""),0.0)</f>
        <v>0</v>
      </c>
      <c r="N16" s="72">
        <f>IFERROR(__xludf.DUMMYFUNCTION("""COMPUTED_VALUE"""),0.0)</f>
        <v>0</v>
      </c>
      <c r="O16" s="72">
        <f>IFERROR(__xludf.DUMMYFUNCTION("""COMPUTED_VALUE"""),0.0)</f>
        <v>0</v>
      </c>
      <c r="P16" s="72">
        <f>IFERROR(__xludf.DUMMYFUNCTION("""COMPUTED_VALUE"""),0.0)</f>
        <v>0</v>
      </c>
      <c r="Q16" s="72" t="str">
        <f>IFERROR(__xludf.DUMMYFUNCTION("""COMPUTED_VALUE"""),"")</f>
        <v/>
      </c>
      <c r="R16" s="72">
        <f>IFERROR(__xludf.DUMMYFUNCTION("""COMPUTED_VALUE"""),0.0)</f>
        <v>0</v>
      </c>
      <c r="S16" s="72">
        <f>IFERROR(__xludf.DUMMYFUNCTION("""COMPUTED_VALUE"""),0.0)</f>
        <v>0</v>
      </c>
      <c r="T16" s="72">
        <f>IFERROR(__xludf.DUMMYFUNCTION("""COMPUTED_VALUE"""),0.0)</f>
        <v>0</v>
      </c>
      <c r="U16" s="72">
        <f>IFERROR(__xludf.DUMMYFUNCTION("""COMPUTED_VALUE"""),-1.0)</f>
        <v>-1</v>
      </c>
      <c r="V16" s="72">
        <f>IFERROR(__xludf.DUMMYFUNCTION("""COMPUTED_VALUE"""),0.0)</f>
        <v>0</v>
      </c>
      <c r="W16" s="72">
        <f>IFERROR(__xludf.DUMMYFUNCTION("""COMPUTED_VALUE"""),1.0)</f>
        <v>1</v>
      </c>
      <c r="X16" s="72">
        <f>IFERROR(__xludf.DUMMYFUNCTION("""COMPUTED_VALUE"""),0.0)</f>
        <v>0</v>
      </c>
      <c r="Y16" s="72">
        <f>IFERROR(__xludf.DUMMYFUNCTION("""COMPUTED_VALUE"""),0.0)</f>
        <v>0</v>
      </c>
      <c r="Z16" s="72">
        <f>IFERROR(__xludf.DUMMYFUNCTION("""COMPUTED_VALUE"""),0.0)</f>
        <v>0</v>
      </c>
      <c r="AA16" s="72">
        <f>IFERROR(__xludf.DUMMYFUNCTION("""COMPUTED_VALUE"""),1.0)</f>
        <v>1</v>
      </c>
      <c r="AB16" s="72">
        <f>IFERROR(__xludf.DUMMYFUNCTION("""COMPUTED_VALUE"""),0.0)</f>
        <v>0</v>
      </c>
      <c r="AC16" s="72">
        <f>IFERROR(__xludf.DUMMYFUNCTION("""COMPUTED_VALUE"""),0.0)</f>
        <v>0</v>
      </c>
      <c r="AD16" s="72">
        <f>IFERROR(__xludf.DUMMYFUNCTION("""COMPUTED_VALUE"""),0.0)</f>
        <v>0</v>
      </c>
      <c r="AE16" s="72">
        <f>IFERROR(__xludf.DUMMYFUNCTION("""COMPUTED_VALUE"""),0.0)</f>
        <v>0</v>
      </c>
      <c r="AF16" s="72">
        <f>IFERROR(__xludf.DUMMYFUNCTION("""COMPUTED_VALUE"""),0.0)</f>
        <v>0</v>
      </c>
      <c r="AG16" s="72">
        <f>IFERROR(__xludf.DUMMYFUNCTION("""COMPUTED_VALUE"""),0.0)</f>
        <v>0</v>
      </c>
      <c r="AH16" s="72">
        <f>IFERROR(__xludf.DUMMYFUNCTION("""COMPUTED_VALUE"""),0.0)</f>
        <v>0</v>
      </c>
      <c r="AI16" s="72">
        <f>IFERROR(__xludf.DUMMYFUNCTION("""COMPUTED_VALUE"""),0.0)</f>
        <v>0</v>
      </c>
      <c r="AJ16" s="72">
        <f>IFERROR(__xludf.DUMMYFUNCTION("""COMPUTED_VALUE"""),0.0)</f>
        <v>0</v>
      </c>
      <c r="AK16" s="72">
        <f>IFERROR(__xludf.DUMMYFUNCTION("""COMPUTED_VALUE"""),-2.0)</f>
        <v>-2</v>
      </c>
      <c r="AL16" s="72">
        <f>IFERROR(__xludf.DUMMYFUNCTION("""COMPUTED_VALUE"""),0.0)</f>
        <v>0</v>
      </c>
      <c r="AM16" s="72">
        <f>IFERROR(__xludf.DUMMYFUNCTION("""COMPUTED_VALUE"""),0.0)</f>
        <v>0</v>
      </c>
      <c r="AN16" s="72">
        <f>IFERROR(__xludf.DUMMYFUNCTION("""COMPUTED_VALUE"""),0.0)</f>
        <v>0</v>
      </c>
      <c r="AO16" s="72">
        <f>IFERROR(__xludf.DUMMYFUNCTION("""COMPUTED_VALUE"""),0.0)</f>
        <v>0</v>
      </c>
      <c r="AP16" s="72">
        <f>IFERROR(__xludf.DUMMYFUNCTION("""COMPUTED_VALUE"""),0.0)</f>
        <v>0</v>
      </c>
      <c r="AQ16" s="72">
        <f>IFERROR(__xludf.DUMMYFUNCTION("""COMPUTED_VALUE"""),0.0)</f>
        <v>0</v>
      </c>
      <c r="AR16" s="72">
        <f>IFERROR(__xludf.DUMMYFUNCTION("""COMPUTED_VALUE"""),0.0)</f>
        <v>0</v>
      </c>
      <c r="AS16" s="72">
        <f>IFERROR(__xludf.DUMMYFUNCTION("""COMPUTED_VALUE"""),0.0)</f>
        <v>0</v>
      </c>
      <c r="AT16" s="72">
        <f>IFERROR(__xludf.DUMMYFUNCTION("""COMPUTED_VALUE"""),0.0)</f>
        <v>0</v>
      </c>
      <c r="AU16" s="72">
        <f>IFERROR(__xludf.DUMMYFUNCTION("""COMPUTED_VALUE"""),1.0)</f>
        <v>1</v>
      </c>
      <c r="AV16" s="72">
        <f>IFERROR(__xludf.DUMMYFUNCTION("""COMPUTED_VALUE"""),0.0)</f>
        <v>0</v>
      </c>
      <c r="AW16" s="72">
        <f>IFERROR(__xludf.DUMMYFUNCTION("""COMPUTED_VALUE"""),0.0)</f>
        <v>0</v>
      </c>
      <c r="AX16" s="72">
        <f>IFERROR(__xludf.DUMMYFUNCTION("""COMPUTED_VALUE"""),0.0)</f>
        <v>0</v>
      </c>
      <c r="AY16" s="72">
        <f>IFERROR(__xludf.DUMMYFUNCTION("""COMPUTED_VALUE"""),0.0)</f>
        <v>0</v>
      </c>
      <c r="AZ16" s="72">
        <f>IFERROR(__xludf.DUMMYFUNCTION("""COMPUTED_VALUE"""),1.0)</f>
        <v>1</v>
      </c>
      <c r="BA16" s="72">
        <f>IFERROR(__xludf.DUMMYFUNCTION("""COMPUTED_VALUE"""),0.0)</f>
        <v>0</v>
      </c>
      <c r="BB16" s="72">
        <f>IFERROR(__xludf.DUMMYFUNCTION("""COMPUTED_VALUE"""),0.0)</f>
        <v>0</v>
      </c>
      <c r="BC16" s="72">
        <f>IFERROR(__xludf.DUMMYFUNCTION("""COMPUTED_VALUE"""),2.0)</f>
        <v>2</v>
      </c>
      <c r="BD16" s="69">
        <f>IFERROR(__xludf.DUMMYFUNCTION("""COMPUTED_VALUE"""),0.0)</f>
        <v>0</v>
      </c>
      <c r="BE16" s="69" t="str">
        <f>IFERROR(__xludf.DUMMYFUNCTION("""COMPUTED_VALUE"""),"")</f>
        <v/>
      </c>
      <c r="BF16" s="69" t="str">
        <f>IFERROR(__xludf.DUMMYFUNCTION("""COMPUTED_VALUE"""),"")</f>
        <v/>
      </c>
      <c r="BG16" s="69" t="str">
        <f>IFERROR(__xludf.DUMMYFUNCTION("""COMPUTED_VALUE"""),"")</f>
        <v/>
      </c>
      <c r="BH16" s="69" t="str">
        <f>IFERROR(__xludf.DUMMYFUNCTION("""COMPUTED_VALUE"""),"")</f>
        <v/>
      </c>
      <c r="BI16" s="69" t="str">
        <f>IFERROR(__xludf.DUMMYFUNCTION("""COMPUTED_VALUE"""),"")</f>
        <v/>
      </c>
      <c r="BJ16" s="69" t="str">
        <f>IFERROR(__xludf.DUMMYFUNCTION("""COMPUTED_VALUE"""),"")</f>
        <v/>
      </c>
      <c r="BK16" s="69" t="str">
        <f>IFERROR(__xludf.DUMMYFUNCTION("""COMPUTED_VALUE"""),"")</f>
        <v/>
      </c>
      <c r="BL16" s="69" t="str">
        <f>IFERROR(__xludf.DUMMYFUNCTION("""COMPUTED_VALUE"""),"")</f>
        <v/>
      </c>
      <c r="BM16" s="69" t="str">
        <f>IFERROR(__xludf.DUMMYFUNCTION("""COMPUTED_VALUE"""),"")</f>
        <v/>
      </c>
      <c r="BN16" s="69" t="str">
        <f>IFERROR(__xludf.DUMMYFUNCTION("""COMPUTED_VALUE"""),"")</f>
        <v/>
      </c>
      <c r="BO16" s="69" t="str">
        <f>IFERROR(__xludf.DUMMYFUNCTION("""COMPUTED_VALUE"""),"")</f>
        <v/>
      </c>
      <c r="BP16" s="69" t="str">
        <f>IFERROR(__xludf.DUMMYFUNCTION("""COMPUTED_VALUE"""),"")</f>
        <v/>
      </c>
      <c r="BQ16" s="69" t="str">
        <f>IFERROR(__xludf.DUMMYFUNCTION("""COMPUTED_VALUE"""),"")</f>
        <v/>
      </c>
      <c r="BR16" s="69" t="str">
        <f>IFERROR(__xludf.DUMMYFUNCTION("""COMPUTED_VALUE"""),"")</f>
        <v/>
      </c>
      <c r="BS16" s="69" t="str">
        <f>IFERROR(__xludf.DUMMYFUNCTION("""COMPUTED_VALUE"""),"")</f>
        <v/>
      </c>
      <c r="BT16" s="69" t="str">
        <f>IFERROR(__xludf.DUMMYFUNCTION("""COMPUTED_VALUE"""),"")</f>
        <v/>
      </c>
      <c r="BU16" s="69" t="str">
        <f>IFERROR(__xludf.DUMMYFUNCTION("""COMPUTED_VALUE"""),"")</f>
        <v/>
      </c>
      <c r="BV16" s="69" t="str">
        <f>IFERROR(__xludf.DUMMYFUNCTION("""COMPUTED_VALUE"""),"")</f>
        <v/>
      </c>
      <c r="BW16" s="69"/>
      <c r="BX16" s="69"/>
      <c r="BY16" s="69"/>
      <c r="BZ16" s="69"/>
      <c r="CA16" s="69"/>
      <c r="CB16" s="69"/>
      <c r="CC16" s="69"/>
      <c r="CD16" s="69"/>
      <c r="CE16" s="69"/>
      <c r="CF16" s="69"/>
    </row>
    <row r="17">
      <c r="A17" s="70" t="str">
        <f>IFERROR(__xludf.DUMMYFUNCTION("""COMPUTED_VALUE"""),"Doom Prevails")</f>
        <v>Doom Prevails</v>
      </c>
      <c r="B17" s="71">
        <f>IFERROR(__xludf.DUMMYFUNCTION("""COMPUTED_VALUE"""),1.0)</f>
        <v>1</v>
      </c>
      <c r="C17" s="72">
        <f>IFERROR(__xludf.DUMMYFUNCTION("""COMPUTED_VALUE"""),0.0)</f>
        <v>0</v>
      </c>
      <c r="D17" s="72">
        <f>IFERROR(__xludf.DUMMYFUNCTION("""COMPUTED_VALUE"""),0.0)</f>
        <v>0</v>
      </c>
      <c r="E17" s="72">
        <f>IFERROR(__xludf.DUMMYFUNCTION("""COMPUTED_VALUE"""),0.0)</f>
        <v>0</v>
      </c>
      <c r="F17" s="72">
        <f>IFERROR(__xludf.DUMMYFUNCTION("""COMPUTED_VALUE"""),0.0)</f>
        <v>0</v>
      </c>
      <c r="G17" s="72">
        <f>IFERROR(__xludf.DUMMYFUNCTION("""COMPUTED_VALUE"""),0.0)</f>
        <v>0</v>
      </c>
      <c r="H17" s="72">
        <f>IFERROR(__xludf.DUMMYFUNCTION("""COMPUTED_VALUE"""),0.0)</f>
        <v>0</v>
      </c>
      <c r="I17" s="72">
        <f>IFERROR(__xludf.DUMMYFUNCTION("""COMPUTED_VALUE"""),0.0)</f>
        <v>0</v>
      </c>
      <c r="J17" s="72">
        <f>IFERROR(__xludf.DUMMYFUNCTION("""COMPUTED_VALUE"""),0.0)</f>
        <v>0</v>
      </c>
      <c r="K17" s="72">
        <f>IFERROR(__xludf.DUMMYFUNCTION("""COMPUTED_VALUE"""),0.0)</f>
        <v>0</v>
      </c>
      <c r="L17" s="72">
        <f>IFERROR(__xludf.DUMMYFUNCTION("""COMPUTED_VALUE"""),0.0)</f>
        <v>0</v>
      </c>
      <c r="M17" s="72">
        <f>IFERROR(__xludf.DUMMYFUNCTION("""COMPUTED_VALUE"""),0.0)</f>
        <v>0</v>
      </c>
      <c r="N17" s="72">
        <f>IFERROR(__xludf.DUMMYFUNCTION("""COMPUTED_VALUE"""),0.0)</f>
        <v>0</v>
      </c>
      <c r="O17" s="72">
        <f>IFERROR(__xludf.DUMMYFUNCTION("""COMPUTED_VALUE"""),0.0)</f>
        <v>0</v>
      </c>
      <c r="P17" s="72">
        <f>IFERROR(__xludf.DUMMYFUNCTION("""COMPUTED_VALUE"""),0.0)</f>
        <v>0</v>
      </c>
      <c r="Q17" s="72">
        <f>IFERROR(__xludf.DUMMYFUNCTION("""COMPUTED_VALUE"""),0.0)</f>
        <v>0</v>
      </c>
      <c r="R17" s="72" t="str">
        <f>IFERROR(__xludf.DUMMYFUNCTION("""COMPUTED_VALUE"""),"")</f>
        <v/>
      </c>
      <c r="S17" s="72">
        <f>IFERROR(__xludf.DUMMYFUNCTION("""COMPUTED_VALUE"""),0.0)</f>
        <v>0</v>
      </c>
      <c r="T17" s="72">
        <f>IFERROR(__xludf.DUMMYFUNCTION("""COMPUTED_VALUE"""),0.0)</f>
        <v>0</v>
      </c>
      <c r="U17" s="72">
        <f>IFERROR(__xludf.DUMMYFUNCTION("""COMPUTED_VALUE"""),0.0)</f>
        <v>0</v>
      </c>
      <c r="V17" s="72">
        <f>IFERROR(__xludf.DUMMYFUNCTION("""COMPUTED_VALUE"""),0.0)</f>
        <v>0</v>
      </c>
      <c r="W17" s="72">
        <f>IFERROR(__xludf.DUMMYFUNCTION("""COMPUTED_VALUE"""),-1.0)</f>
        <v>-1</v>
      </c>
      <c r="X17" s="72">
        <f>IFERROR(__xludf.DUMMYFUNCTION("""COMPUTED_VALUE"""),0.0)</f>
        <v>0</v>
      </c>
      <c r="Y17" s="72">
        <f>IFERROR(__xludf.DUMMYFUNCTION("""COMPUTED_VALUE"""),0.0)</f>
        <v>0</v>
      </c>
      <c r="Z17" s="72">
        <f>IFERROR(__xludf.DUMMYFUNCTION("""COMPUTED_VALUE"""),0.0)</f>
        <v>0</v>
      </c>
      <c r="AA17" s="72">
        <f>IFERROR(__xludf.DUMMYFUNCTION("""COMPUTED_VALUE"""),0.0)</f>
        <v>0</v>
      </c>
      <c r="AB17" s="72">
        <f>IFERROR(__xludf.DUMMYFUNCTION("""COMPUTED_VALUE"""),0.0)</f>
        <v>0</v>
      </c>
      <c r="AC17" s="72">
        <f>IFERROR(__xludf.DUMMYFUNCTION("""COMPUTED_VALUE"""),0.0)</f>
        <v>0</v>
      </c>
      <c r="AD17" s="72">
        <f>IFERROR(__xludf.DUMMYFUNCTION("""COMPUTED_VALUE"""),0.0)</f>
        <v>0</v>
      </c>
      <c r="AE17" s="72">
        <f>IFERROR(__xludf.DUMMYFUNCTION("""COMPUTED_VALUE"""),0.0)</f>
        <v>0</v>
      </c>
      <c r="AF17" s="72">
        <f>IFERROR(__xludf.DUMMYFUNCTION("""COMPUTED_VALUE"""),0.0)</f>
        <v>0</v>
      </c>
      <c r="AG17" s="72">
        <f>IFERROR(__xludf.DUMMYFUNCTION("""COMPUTED_VALUE"""),0.0)</f>
        <v>0</v>
      </c>
      <c r="AH17" s="72">
        <f>IFERROR(__xludf.DUMMYFUNCTION("""COMPUTED_VALUE"""),0.0)</f>
        <v>0</v>
      </c>
      <c r="AI17" s="72">
        <f>IFERROR(__xludf.DUMMYFUNCTION("""COMPUTED_VALUE"""),0.0)</f>
        <v>0</v>
      </c>
      <c r="AJ17" s="72">
        <f>IFERROR(__xludf.DUMMYFUNCTION("""COMPUTED_VALUE"""),0.0)</f>
        <v>0</v>
      </c>
      <c r="AK17" s="72">
        <f>IFERROR(__xludf.DUMMYFUNCTION("""COMPUTED_VALUE"""),1.0)</f>
        <v>1</v>
      </c>
      <c r="AL17" s="72">
        <f>IFERROR(__xludf.DUMMYFUNCTION("""COMPUTED_VALUE"""),0.0)</f>
        <v>0</v>
      </c>
      <c r="AM17" s="72">
        <f>IFERROR(__xludf.DUMMYFUNCTION("""COMPUTED_VALUE"""),0.0)</f>
        <v>0</v>
      </c>
      <c r="AN17" s="72">
        <f>IFERROR(__xludf.DUMMYFUNCTION("""COMPUTED_VALUE"""),0.0)</f>
        <v>0</v>
      </c>
      <c r="AO17" s="72">
        <f>IFERROR(__xludf.DUMMYFUNCTION("""COMPUTED_VALUE"""),0.0)</f>
        <v>0</v>
      </c>
      <c r="AP17" s="72">
        <f>IFERROR(__xludf.DUMMYFUNCTION("""COMPUTED_VALUE"""),0.0)</f>
        <v>0</v>
      </c>
      <c r="AQ17" s="72">
        <f>IFERROR(__xludf.DUMMYFUNCTION("""COMPUTED_VALUE"""),0.0)</f>
        <v>0</v>
      </c>
      <c r="AR17" s="72">
        <f>IFERROR(__xludf.DUMMYFUNCTION("""COMPUTED_VALUE"""),0.0)</f>
        <v>0</v>
      </c>
      <c r="AS17" s="72">
        <f>IFERROR(__xludf.DUMMYFUNCTION("""COMPUTED_VALUE"""),0.0)</f>
        <v>0</v>
      </c>
      <c r="AT17" s="72">
        <f>IFERROR(__xludf.DUMMYFUNCTION("""COMPUTED_VALUE"""),0.0)</f>
        <v>0</v>
      </c>
      <c r="AU17" s="72">
        <f>IFERROR(__xludf.DUMMYFUNCTION("""COMPUTED_VALUE"""),0.0)</f>
        <v>0</v>
      </c>
      <c r="AV17" s="72">
        <f>IFERROR(__xludf.DUMMYFUNCTION("""COMPUTED_VALUE"""),0.0)</f>
        <v>0</v>
      </c>
      <c r="AW17" s="72">
        <f>IFERROR(__xludf.DUMMYFUNCTION("""COMPUTED_VALUE"""),0.0)</f>
        <v>0</v>
      </c>
      <c r="AX17" s="72">
        <f>IFERROR(__xludf.DUMMYFUNCTION("""COMPUTED_VALUE"""),1.0)</f>
        <v>1</v>
      </c>
      <c r="AY17" s="72">
        <f>IFERROR(__xludf.DUMMYFUNCTION("""COMPUTED_VALUE"""),0.0)</f>
        <v>0</v>
      </c>
      <c r="AZ17" s="72">
        <f>IFERROR(__xludf.DUMMYFUNCTION("""COMPUTED_VALUE"""),0.0)</f>
        <v>0</v>
      </c>
      <c r="BA17" s="72">
        <f>IFERROR(__xludf.DUMMYFUNCTION("""COMPUTED_VALUE"""),0.0)</f>
        <v>0</v>
      </c>
      <c r="BB17" s="72">
        <f>IFERROR(__xludf.DUMMYFUNCTION("""COMPUTED_VALUE"""),0.0)</f>
        <v>0</v>
      </c>
      <c r="BC17" s="72">
        <f>IFERROR(__xludf.DUMMYFUNCTION("""COMPUTED_VALUE"""),0.0)</f>
        <v>0</v>
      </c>
      <c r="BD17" s="69">
        <f>IFERROR(__xludf.DUMMYFUNCTION("""COMPUTED_VALUE"""),0.0)</f>
        <v>0</v>
      </c>
      <c r="BE17" s="69" t="str">
        <f>IFERROR(__xludf.DUMMYFUNCTION("""COMPUTED_VALUE"""),"")</f>
        <v/>
      </c>
      <c r="BF17" s="69" t="str">
        <f>IFERROR(__xludf.DUMMYFUNCTION("""COMPUTED_VALUE"""),"")</f>
        <v/>
      </c>
      <c r="BG17" s="69" t="str">
        <f>IFERROR(__xludf.DUMMYFUNCTION("""COMPUTED_VALUE"""),"")</f>
        <v/>
      </c>
      <c r="BH17" s="69" t="str">
        <f>IFERROR(__xludf.DUMMYFUNCTION("""COMPUTED_VALUE"""),"")</f>
        <v/>
      </c>
      <c r="BI17" s="69" t="str">
        <f>IFERROR(__xludf.DUMMYFUNCTION("""COMPUTED_VALUE"""),"")</f>
        <v/>
      </c>
      <c r="BJ17" s="69" t="str">
        <f>IFERROR(__xludf.DUMMYFUNCTION("""COMPUTED_VALUE"""),"")</f>
        <v/>
      </c>
      <c r="BK17" s="69" t="str">
        <f>IFERROR(__xludf.DUMMYFUNCTION("""COMPUTED_VALUE"""),"")</f>
        <v/>
      </c>
      <c r="BL17" s="69" t="str">
        <f>IFERROR(__xludf.DUMMYFUNCTION("""COMPUTED_VALUE"""),"")</f>
        <v/>
      </c>
      <c r="BM17" s="69" t="str">
        <f>IFERROR(__xludf.DUMMYFUNCTION("""COMPUTED_VALUE"""),"")</f>
        <v/>
      </c>
      <c r="BN17" s="69" t="str">
        <f>IFERROR(__xludf.DUMMYFUNCTION("""COMPUTED_VALUE"""),"")</f>
        <v/>
      </c>
      <c r="BO17" s="69" t="str">
        <f>IFERROR(__xludf.DUMMYFUNCTION("""COMPUTED_VALUE"""),"")</f>
        <v/>
      </c>
      <c r="BP17" s="69" t="str">
        <f>IFERROR(__xludf.DUMMYFUNCTION("""COMPUTED_VALUE"""),"")</f>
        <v/>
      </c>
      <c r="BQ17" s="69" t="str">
        <f>IFERROR(__xludf.DUMMYFUNCTION("""COMPUTED_VALUE"""),"")</f>
        <v/>
      </c>
      <c r="BR17" s="69" t="str">
        <f>IFERROR(__xludf.DUMMYFUNCTION("""COMPUTED_VALUE"""),"")</f>
        <v/>
      </c>
      <c r="BS17" s="69" t="str">
        <f>IFERROR(__xludf.DUMMYFUNCTION("""COMPUTED_VALUE"""),"")</f>
        <v/>
      </c>
      <c r="BT17" s="69" t="str">
        <f>IFERROR(__xludf.DUMMYFUNCTION("""COMPUTED_VALUE"""),"")</f>
        <v/>
      </c>
      <c r="BU17" s="69" t="str">
        <f>IFERROR(__xludf.DUMMYFUNCTION("""COMPUTED_VALUE"""),"")</f>
        <v/>
      </c>
      <c r="BV17" s="69" t="str">
        <f>IFERROR(__xludf.DUMMYFUNCTION("""COMPUTED_VALUE"""),"")</f>
        <v/>
      </c>
      <c r="BW17" s="69"/>
      <c r="BX17" s="69"/>
      <c r="BY17" s="69"/>
      <c r="BZ17" s="69"/>
      <c r="CA17" s="69"/>
      <c r="CB17" s="69"/>
      <c r="CC17" s="69"/>
      <c r="CD17" s="69"/>
      <c r="CE17" s="69"/>
      <c r="CF17" s="69"/>
    </row>
    <row r="18">
      <c r="A18" s="70" t="str">
        <f>IFERROR(__xludf.DUMMYFUNCTION("""COMPUTED_VALUE"""),"Eldrazi Incursion")</f>
        <v>Eldrazi Incursion</v>
      </c>
      <c r="B18" s="71">
        <f>IFERROR(__xludf.DUMMYFUNCTION("""COMPUTED_VALUE"""),-1.0)</f>
        <v>-1</v>
      </c>
      <c r="C18" s="72">
        <f>IFERROR(__xludf.DUMMYFUNCTION("""COMPUTED_VALUE"""),0.0)</f>
        <v>0</v>
      </c>
      <c r="D18" s="72">
        <f>IFERROR(__xludf.DUMMYFUNCTION("""COMPUTED_VALUE"""),0.0)</f>
        <v>0</v>
      </c>
      <c r="E18" s="72">
        <f>IFERROR(__xludf.DUMMYFUNCTION("""COMPUTED_VALUE"""),0.0)</f>
        <v>0</v>
      </c>
      <c r="F18" s="72">
        <f>IFERROR(__xludf.DUMMYFUNCTION("""COMPUTED_VALUE"""),0.0)</f>
        <v>0</v>
      </c>
      <c r="G18" s="72">
        <f>IFERROR(__xludf.DUMMYFUNCTION("""COMPUTED_VALUE"""),0.0)</f>
        <v>0</v>
      </c>
      <c r="H18" s="72">
        <f>IFERROR(__xludf.DUMMYFUNCTION("""COMPUTED_VALUE"""),0.0)</f>
        <v>0</v>
      </c>
      <c r="I18" s="72">
        <f>IFERROR(__xludf.DUMMYFUNCTION("""COMPUTED_VALUE"""),0.0)</f>
        <v>0</v>
      </c>
      <c r="J18" s="72">
        <f>IFERROR(__xludf.DUMMYFUNCTION("""COMPUTED_VALUE"""),0.0)</f>
        <v>0</v>
      </c>
      <c r="K18" s="72">
        <f>IFERROR(__xludf.DUMMYFUNCTION("""COMPUTED_VALUE"""),0.0)</f>
        <v>0</v>
      </c>
      <c r="L18" s="72">
        <f>IFERROR(__xludf.DUMMYFUNCTION("""COMPUTED_VALUE"""),0.0)</f>
        <v>0</v>
      </c>
      <c r="M18" s="72">
        <f>IFERROR(__xludf.DUMMYFUNCTION("""COMPUTED_VALUE"""),0.0)</f>
        <v>0</v>
      </c>
      <c r="N18" s="72">
        <f>IFERROR(__xludf.DUMMYFUNCTION("""COMPUTED_VALUE"""),0.0)</f>
        <v>0</v>
      </c>
      <c r="O18" s="72">
        <f>IFERROR(__xludf.DUMMYFUNCTION("""COMPUTED_VALUE"""),-1.0)</f>
        <v>-1</v>
      </c>
      <c r="P18" s="72">
        <f>IFERROR(__xludf.DUMMYFUNCTION("""COMPUTED_VALUE"""),0.0)</f>
        <v>0</v>
      </c>
      <c r="Q18" s="72">
        <f>IFERROR(__xludf.DUMMYFUNCTION("""COMPUTED_VALUE"""),0.0)</f>
        <v>0</v>
      </c>
      <c r="R18" s="72">
        <f>IFERROR(__xludf.DUMMYFUNCTION("""COMPUTED_VALUE"""),0.0)</f>
        <v>0</v>
      </c>
      <c r="S18" s="72" t="str">
        <f>IFERROR(__xludf.DUMMYFUNCTION("""COMPUTED_VALUE"""),"")</f>
        <v/>
      </c>
      <c r="T18" s="72">
        <f>IFERROR(__xludf.DUMMYFUNCTION("""COMPUTED_VALUE"""),0.0)</f>
        <v>0</v>
      </c>
      <c r="U18" s="72">
        <f>IFERROR(__xludf.DUMMYFUNCTION("""COMPUTED_VALUE"""),0.0)</f>
        <v>0</v>
      </c>
      <c r="V18" s="72">
        <f>IFERROR(__xludf.DUMMYFUNCTION("""COMPUTED_VALUE"""),0.0)</f>
        <v>0</v>
      </c>
      <c r="W18" s="72">
        <f>IFERROR(__xludf.DUMMYFUNCTION("""COMPUTED_VALUE"""),0.0)</f>
        <v>0</v>
      </c>
      <c r="X18" s="72">
        <f>IFERROR(__xludf.DUMMYFUNCTION("""COMPUTED_VALUE"""),0.0)</f>
        <v>0</v>
      </c>
      <c r="Y18" s="72">
        <f>IFERROR(__xludf.DUMMYFUNCTION("""COMPUTED_VALUE"""),0.0)</f>
        <v>0</v>
      </c>
      <c r="Z18" s="72">
        <f>IFERROR(__xludf.DUMMYFUNCTION("""COMPUTED_VALUE"""),0.0)</f>
        <v>0</v>
      </c>
      <c r="AA18" s="72">
        <f>IFERROR(__xludf.DUMMYFUNCTION("""COMPUTED_VALUE"""),0.0)</f>
        <v>0</v>
      </c>
      <c r="AB18" s="72">
        <f>IFERROR(__xludf.DUMMYFUNCTION("""COMPUTED_VALUE"""),0.0)</f>
        <v>0</v>
      </c>
      <c r="AC18" s="72">
        <f>IFERROR(__xludf.DUMMYFUNCTION("""COMPUTED_VALUE"""),0.0)</f>
        <v>0</v>
      </c>
      <c r="AD18" s="72">
        <f>IFERROR(__xludf.DUMMYFUNCTION("""COMPUTED_VALUE"""),0.0)</f>
        <v>0</v>
      </c>
      <c r="AE18" s="72">
        <f>IFERROR(__xludf.DUMMYFUNCTION("""COMPUTED_VALUE"""),0.0)</f>
        <v>0</v>
      </c>
      <c r="AF18" s="72">
        <f>IFERROR(__xludf.DUMMYFUNCTION("""COMPUTED_VALUE"""),0.0)</f>
        <v>0</v>
      </c>
      <c r="AG18" s="72">
        <f>IFERROR(__xludf.DUMMYFUNCTION("""COMPUTED_VALUE"""),0.0)</f>
        <v>0</v>
      </c>
      <c r="AH18" s="72">
        <f>IFERROR(__xludf.DUMMYFUNCTION("""COMPUTED_VALUE"""),0.0)</f>
        <v>0</v>
      </c>
      <c r="AI18" s="72">
        <f>IFERROR(__xludf.DUMMYFUNCTION("""COMPUTED_VALUE"""),0.0)</f>
        <v>0</v>
      </c>
      <c r="AJ18" s="72">
        <f>IFERROR(__xludf.DUMMYFUNCTION("""COMPUTED_VALUE"""),0.0)</f>
        <v>0</v>
      </c>
      <c r="AK18" s="72">
        <f>IFERROR(__xludf.DUMMYFUNCTION("""COMPUTED_VALUE"""),0.0)</f>
        <v>0</v>
      </c>
      <c r="AL18" s="72">
        <f>IFERROR(__xludf.DUMMYFUNCTION("""COMPUTED_VALUE"""),0.0)</f>
        <v>0</v>
      </c>
      <c r="AM18" s="72">
        <f>IFERROR(__xludf.DUMMYFUNCTION("""COMPUTED_VALUE"""),0.0)</f>
        <v>0</v>
      </c>
      <c r="AN18" s="72">
        <f>IFERROR(__xludf.DUMMYFUNCTION("""COMPUTED_VALUE"""),0.0)</f>
        <v>0</v>
      </c>
      <c r="AO18" s="72">
        <f>IFERROR(__xludf.DUMMYFUNCTION("""COMPUTED_VALUE"""),0.0)</f>
        <v>0</v>
      </c>
      <c r="AP18" s="72">
        <f>IFERROR(__xludf.DUMMYFUNCTION("""COMPUTED_VALUE"""),0.0)</f>
        <v>0</v>
      </c>
      <c r="AQ18" s="72">
        <f>IFERROR(__xludf.DUMMYFUNCTION("""COMPUTED_VALUE"""),0.0)</f>
        <v>0</v>
      </c>
      <c r="AR18" s="72">
        <f>IFERROR(__xludf.DUMMYFUNCTION("""COMPUTED_VALUE"""),0.0)</f>
        <v>0</v>
      </c>
      <c r="AS18" s="72">
        <f>IFERROR(__xludf.DUMMYFUNCTION("""COMPUTED_VALUE"""),0.0)</f>
        <v>0</v>
      </c>
      <c r="AT18" s="72">
        <f>IFERROR(__xludf.DUMMYFUNCTION("""COMPUTED_VALUE"""),0.0)</f>
        <v>0</v>
      </c>
      <c r="AU18" s="72">
        <f>IFERROR(__xludf.DUMMYFUNCTION("""COMPUTED_VALUE"""),0.0)</f>
        <v>0</v>
      </c>
      <c r="AV18" s="72">
        <f>IFERROR(__xludf.DUMMYFUNCTION("""COMPUTED_VALUE"""),0.0)</f>
        <v>0</v>
      </c>
      <c r="AW18" s="72">
        <f>IFERROR(__xludf.DUMMYFUNCTION("""COMPUTED_VALUE"""),0.0)</f>
        <v>0</v>
      </c>
      <c r="AX18" s="72">
        <f>IFERROR(__xludf.DUMMYFUNCTION("""COMPUTED_VALUE"""),0.0)</f>
        <v>0</v>
      </c>
      <c r="AY18" s="72">
        <f>IFERROR(__xludf.DUMMYFUNCTION("""COMPUTED_VALUE"""),0.0)</f>
        <v>0</v>
      </c>
      <c r="AZ18" s="72">
        <f>IFERROR(__xludf.DUMMYFUNCTION("""COMPUTED_VALUE"""),0.0)</f>
        <v>0</v>
      </c>
      <c r="BA18" s="72">
        <f>IFERROR(__xludf.DUMMYFUNCTION("""COMPUTED_VALUE"""),0.0)</f>
        <v>0</v>
      </c>
      <c r="BB18" s="72">
        <f>IFERROR(__xludf.DUMMYFUNCTION("""COMPUTED_VALUE"""),0.0)</f>
        <v>0</v>
      </c>
      <c r="BC18" s="72">
        <f>IFERROR(__xludf.DUMMYFUNCTION("""COMPUTED_VALUE"""),0.0)</f>
        <v>0</v>
      </c>
      <c r="BD18" s="69">
        <f>IFERROR(__xludf.DUMMYFUNCTION("""COMPUTED_VALUE"""),0.0)</f>
        <v>0</v>
      </c>
      <c r="BE18" s="69" t="str">
        <f>IFERROR(__xludf.DUMMYFUNCTION("""COMPUTED_VALUE"""),"")</f>
        <v/>
      </c>
      <c r="BF18" s="69" t="str">
        <f>IFERROR(__xludf.DUMMYFUNCTION("""COMPUTED_VALUE"""),"")</f>
        <v/>
      </c>
      <c r="BG18" s="69" t="str">
        <f>IFERROR(__xludf.DUMMYFUNCTION("""COMPUTED_VALUE"""),"")</f>
        <v/>
      </c>
      <c r="BH18" s="69" t="str">
        <f>IFERROR(__xludf.DUMMYFUNCTION("""COMPUTED_VALUE"""),"")</f>
        <v/>
      </c>
      <c r="BI18" s="69" t="str">
        <f>IFERROR(__xludf.DUMMYFUNCTION("""COMPUTED_VALUE"""),"")</f>
        <v/>
      </c>
      <c r="BJ18" s="69" t="str">
        <f>IFERROR(__xludf.DUMMYFUNCTION("""COMPUTED_VALUE"""),"")</f>
        <v/>
      </c>
      <c r="BK18" s="69" t="str">
        <f>IFERROR(__xludf.DUMMYFUNCTION("""COMPUTED_VALUE"""),"")</f>
        <v/>
      </c>
      <c r="BL18" s="69" t="str">
        <f>IFERROR(__xludf.DUMMYFUNCTION("""COMPUTED_VALUE"""),"")</f>
        <v/>
      </c>
      <c r="BM18" s="69" t="str">
        <f>IFERROR(__xludf.DUMMYFUNCTION("""COMPUTED_VALUE"""),"")</f>
        <v/>
      </c>
      <c r="BN18" s="69" t="str">
        <f>IFERROR(__xludf.DUMMYFUNCTION("""COMPUTED_VALUE"""),"")</f>
        <v/>
      </c>
      <c r="BO18" s="69" t="str">
        <f>IFERROR(__xludf.DUMMYFUNCTION("""COMPUTED_VALUE"""),"")</f>
        <v/>
      </c>
      <c r="BP18" s="69" t="str">
        <f>IFERROR(__xludf.DUMMYFUNCTION("""COMPUTED_VALUE"""),"")</f>
        <v/>
      </c>
      <c r="BQ18" s="69" t="str">
        <f>IFERROR(__xludf.DUMMYFUNCTION("""COMPUTED_VALUE"""),"")</f>
        <v/>
      </c>
      <c r="BR18" s="69" t="str">
        <f>IFERROR(__xludf.DUMMYFUNCTION("""COMPUTED_VALUE"""),"")</f>
        <v/>
      </c>
      <c r="BS18" s="69" t="str">
        <f>IFERROR(__xludf.DUMMYFUNCTION("""COMPUTED_VALUE"""),"")</f>
        <v/>
      </c>
      <c r="BT18" s="69" t="str">
        <f>IFERROR(__xludf.DUMMYFUNCTION("""COMPUTED_VALUE"""),"")</f>
        <v/>
      </c>
      <c r="BU18" s="69" t="str">
        <f>IFERROR(__xludf.DUMMYFUNCTION("""COMPUTED_VALUE"""),"")</f>
        <v/>
      </c>
      <c r="BV18" s="69" t="str">
        <f>IFERROR(__xludf.DUMMYFUNCTION("""COMPUTED_VALUE"""),"")</f>
        <v/>
      </c>
      <c r="BW18" s="69"/>
      <c r="BX18" s="69"/>
      <c r="BY18" s="69"/>
      <c r="BZ18" s="69"/>
      <c r="CA18" s="69"/>
      <c r="CB18" s="69"/>
      <c r="CC18" s="69"/>
      <c r="CD18" s="69"/>
      <c r="CE18" s="69"/>
      <c r="CF18" s="69"/>
    </row>
    <row r="19">
      <c r="A19" s="70" t="str">
        <f>IFERROR(__xludf.DUMMYFUNCTION("""COMPUTED_VALUE"""),"Eldrazi Unbound")</f>
        <v>Eldrazi Unbound</v>
      </c>
      <c r="B19" s="71">
        <f>IFERROR(__xludf.DUMMYFUNCTION("""COMPUTED_VALUE"""),0.0)</f>
        <v>0</v>
      </c>
      <c r="C19" s="72">
        <f>IFERROR(__xludf.DUMMYFUNCTION("""COMPUTED_VALUE"""),0.0)</f>
        <v>0</v>
      </c>
      <c r="D19" s="72">
        <f>IFERROR(__xludf.DUMMYFUNCTION("""COMPUTED_VALUE"""),0.0)</f>
        <v>0</v>
      </c>
      <c r="E19" s="72">
        <f>IFERROR(__xludf.DUMMYFUNCTION("""COMPUTED_VALUE"""),0.0)</f>
        <v>0</v>
      </c>
      <c r="F19" s="72">
        <f>IFERROR(__xludf.DUMMYFUNCTION("""COMPUTED_VALUE"""),0.0)</f>
        <v>0</v>
      </c>
      <c r="G19" s="72">
        <f>IFERROR(__xludf.DUMMYFUNCTION("""COMPUTED_VALUE"""),0.0)</f>
        <v>0</v>
      </c>
      <c r="H19" s="72">
        <f>IFERROR(__xludf.DUMMYFUNCTION("""COMPUTED_VALUE"""),0.0)</f>
        <v>0</v>
      </c>
      <c r="I19" s="72">
        <f>IFERROR(__xludf.DUMMYFUNCTION("""COMPUTED_VALUE"""),0.0)</f>
        <v>0</v>
      </c>
      <c r="J19" s="72">
        <f>IFERROR(__xludf.DUMMYFUNCTION("""COMPUTED_VALUE"""),0.0)</f>
        <v>0</v>
      </c>
      <c r="K19" s="72">
        <f>IFERROR(__xludf.DUMMYFUNCTION("""COMPUTED_VALUE"""),0.0)</f>
        <v>0</v>
      </c>
      <c r="L19" s="72">
        <f>IFERROR(__xludf.DUMMYFUNCTION("""COMPUTED_VALUE"""),0.0)</f>
        <v>0</v>
      </c>
      <c r="M19" s="72">
        <f>IFERROR(__xludf.DUMMYFUNCTION("""COMPUTED_VALUE"""),0.0)</f>
        <v>0</v>
      </c>
      <c r="N19" s="72">
        <f>IFERROR(__xludf.DUMMYFUNCTION("""COMPUTED_VALUE"""),0.0)</f>
        <v>0</v>
      </c>
      <c r="O19" s="72">
        <f>IFERROR(__xludf.DUMMYFUNCTION("""COMPUTED_VALUE"""),0.0)</f>
        <v>0</v>
      </c>
      <c r="P19" s="72">
        <f>IFERROR(__xludf.DUMMYFUNCTION("""COMPUTED_VALUE"""),0.0)</f>
        <v>0</v>
      </c>
      <c r="Q19" s="72">
        <f>IFERROR(__xludf.DUMMYFUNCTION("""COMPUTED_VALUE"""),0.0)</f>
        <v>0</v>
      </c>
      <c r="R19" s="72">
        <f>IFERROR(__xludf.DUMMYFUNCTION("""COMPUTED_VALUE"""),0.0)</f>
        <v>0</v>
      </c>
      <c r="S19" s="72">
        <f>IFERROR(__xludf.DUMMYFUNCTION("""COMPUTED_VALUE"""),0.0)</f>
        <v>0</v>
      </c>
      <c r="T19" s="72" t="str">
        <f>IFERROR(__xludf.DUMMYFUNCTION("""COMPUTED_VALUE"""),"")</f>
        <v/>
      </c>
      <c r="U19" s="72">
        <f>IFERROR(__xludf.DUMMYFUNCTION("""COMPUTED_VALUE"""),0.0)</f>
        <v>0</v>
      </c>
      <c r="V19" s="72">
        <f>IFERROR(__xludf.DUMMYFUNCTION("""COMPUTED_VALUE"""),0.0)</f>
        <v>0</v>
      </c>
      <c r="W19" s="72">
        <f>IFERROR(__xludf.DUMMYFUNCTION("""COMPUTED_VALUE"""),0.0)</f>
        <v>0</v>
      </c>
      <c r="X19" s="72">
        <f>IFERROR(__xludf.DUMMYFUNCTION("""COMPUTED_VALUE"""),0.0)</f>
        <v>0</v>
      </c>
      <c r="Y19" s="72">
        <f>IFERROR(__xludf.DUMMYFUNCTION("""COMPUTED_VALUE"""),0.0)</f>
        <v>0</v>
      </c>
      <c r="Z19" s="72">
        <f>IFERROR(__xludf.DUMMYFUNCTION("""COMPUTED_VALUE"""),0.0)</f>
        <v>0</v>
      </c>
      <c r="AA19" s="72">
        <f>IFERROR(__xludf.DUMMYFUNCTION("""COMPUTED_VALUE"""),0.0)</f>
        <v>0</v>
      </c>
      <c r="AB19" s="72">
        <f>IFERROR(__xludf.DUMMYFUNCTION("""COMPUTED_VALUE"""),0.0)</f>
        <v>0</v>
      </c>
      <c r="AC19" s="72">
        <f>IFERROR(__xludf.DUMMYFUNCTION("""COMPUTED_VALUE"""),0.0)</f>
        <v>0</v>
      </c>
      <c r="AD19" s="72">
        <f>IFERROR(__xludf.DUMMYFUNCTION("""COMPUTED_VALUE"""),0.0)</f>
        <v>0</v>
      </c>
      <c r="AE19" s="72">
        <f>IFERROR(__xludf.DUMMYFUNCTION("""COMPUTED_VALUE"""),0.0)</f>
        <v>0</v>
      </c>
      <c r="AF19" s="72">
        <f>IFERROR(__xludf.DUMMYFUNCTION("""COMPUTED_VALUE"""),0.0)</f>
        <v>0</v>
      </c>
      <c r="AG19" s="72">
        <f>IFERROR(__xludf.DUMMYFUNCTION("""COMPUTED_VALUE"""),0.0)</f>
        <v>0</v>
      </c>
      <c r="AH19" s="72">
        <f>IFERROR(__xludf.DUMMYFUNCTION("""COMPUTED_VALUE"""),0.0)</f>
        <v>0</v>
      </c>
      <c r="AI19" s="72">
        <f>IFERROR(__xludf.DUMMYFUNCTION("""COMPUTED_VALUE"""),0.0)</f>
        <v>0</v>
      </c>
      <c r="AJ19" s="72">
        <f>IFERROR(__xludf.DUMMYFUNCTION("""COMPUTED_VALUE"""),0.0)</f>
        <v>0</v>
      </c>
      <c r="AK19" s="72">
        <f>IFERROR(__xludf.DUMMYFUNCTION("""COMPUTED_VALUE"""),0.0)</f>
        <v>0</v>
      </c>
      <c r="AL19" s="72">
        <f>IFERROR(__xludf.DUMMYFUNCTION("""COMPUTED_VALUE"""),0.0)</f>
        <v>0</v>
      </c>
      <c r="AM19" s="72">
        <f>IFERROR(__xludf.DUMMYFUNCTION("""COMPUTED_VALUE"""),0.0)</f>
        <v>0</v>
      </c>
      <c r="AN19" s="72">
        <f>IFERROR(__xludf.DUMMYFUNCTION("""COMPUTED_VALUE"""),0.0)</f>
        <v>0</v>
      </c>
      <c r="AO19" s="72">
        <f>IFERROR(__xludf.DUMMYFUNCTION("""COMPUTED_VALUE"""),0.0)</f>
        <v>0</v>
      </c>
      <c r="AP19" s="72">
        <f>IFERROR(__xludf.DUMMYFUNCTION("""COMPUTED_VALUE"""),0.0)</f>
        <v>0</v>
      </c>
      <c r="AQ19" s="72">
        <f>IFERROR(__xludf.DUMMYFUNCTION("""COMPUTED_VALUE"""),0.0)</f>
        <v>0</v>
      </c>
      <c r="AR19" s="72">
        <f>IFERROR(__xludf.DUMMYFUNCTION("""COMPUTED_VALUE"""),0.0)</f>
        <v>0</v>
      </c>
      <c r="AS19" s="72">
        <f>IFERROR(__xludf.DUMMYFUNCTION("""COMPUTED_VALUE"""),0.0)</f>
        <v>0</v>
      </c>
      <c r="AT19" s="72">
        <f>IFERROR(__xludf.DUMMYFUNCTION("""COMPUTED_VALUE"""),0.0)</f>
        <v>0</v>
      </c>
      <c r="AU19" s="72">
        <f>IFERROR(__xludf.DUMMYFUNCTION("""COMPUTED_VALUE"""),0.0)</f>
        <v>0</v>
      </c>
      <c r="AV19" s="72">
        <f>IFERROR(__xludf.DUMMYFUNCTION("""COMPUTED_VALUE"""),0.0)</f>
        <v>0</v>
      </c>
      <c r="AW19" s="72">
        <f>IFERROR(__xludf.DUMMYFUNCTION("""COMPUTED_VALUE"""),0.0)</f>
        <v>0</v>
      </c>
      <c r="AX19" s="72">
        <f>IFERROR(__xludf.DUMMYFUNCTION("""COMPUTED_VALUE"""),0.0)</f>
        <v>0</v>
      </c>
      <c r="AY19" s="72">
        <f>IFERROR(__xludf.DUMMYFUNCTION("""COMPUTED_VALUE"""),0.0)</f>
        <v>0</v>
      </c>
      <c r="AZ19" s="72">
        <f>IFERROR(__xludf.DUMMYFUNCTION("""COMPUTED_VALUE"""),0.0)</f>
        <v>0</v>
      </c>
      <c r="BA19" s="72">
        <f>IFERROR(__xludf.DUMMYFUNCTION("""COMPUTED_VALUE"""),0.0)</f>
        <v>0</v>
      </c>
      <c r="BB19" s="72">
        <f>IFERROR(__xludf.DUMMYFUNCTION("""COMPUTED_VALUE"""),0.0)</f>
        <v>0</v>
      </c>
      <c r="BC19" s="72">
        <f>IFERROR(__xludf.DUMMYFUNCTION("""COMPUTED_VALUE"""),0.0)</f>
        <v>0</v>
      </c>
      <c r="BD19" s="69">
        <f>IFERROR(__xludf.DUMMYFUNCTION("""COMPUTED_VALUE"""),0.0)</f>
        <v>0</v>
      </c>
      <c r="BE19" s="69" t="str">
        <f>IFERROR(__xludf.DUMMYFUNCTION("""COMPUTED_VALUE"""),"")</f>
        <v/>
      </c>
      <c r="BF19" s="69" t="str">
        <f>IFERROR(__xludf.DUMMYFUNCTION("""COMPUTED_VALUE"""),"")</f>
        <v/>
      </c>
      <c r="BG19" s="69" t="str">
        <f>IFERROR(__xludf.DUMMYFUNCTION("""COMPUTED_VALUE"""),"")</f>
        <v/>
      </c>
      <c r="BH19" s="69" t="str">
        <f>IFERROR(__xludf.DUMMYFUNCTION("""COMPUTED_VALUE"""),"")</f>
        <v/>
      </c>
      <c r="BI19" s="69" t="str">
        <f>IFERROR(__xludf.DUMMYFUNCTION("""COMPUTED_VALUE"""),"")</f>
        <v/>
      </c>
      <c r="BJ19" s="69" t="str">
        <f>IFERROR(__xludf.DUMMYFUNCTION("""COMPUTED_VALUE"""),"")</f>
        <v/>
      </c>
      <c r="BK19" s="69" t="str">
        <f>IFERROR(__xludf.DUMMYFUNCTION("""COMPUTED_VALUE"""),"")</f>
        <v/>
      </c>
      <c r="BL19" s="69" t="str">
        <f>IFERROR(__xludf.DUMMYFUNCTION("""COMPUTED_VALUE"""),"")</f>
        <v/>
      </c>
      <c r="BM19" s="69" t="str">
        <f>IFERROR(__xludf.DUMMYFUNCTION("""COMPUTED_VALUE"""),"")</f>
        <v/>
      </c>
      <c r="BN19" s="69" t="str">
        <f>IFERROR(__xludf.DUMMYFUNCTION("""COMPUTED_VALUE"""),"")</f>
        <v/>
      </c>
      <c r="BO19" s="69" t="str">
        <f>IFERROR(__xludf.DUMMYFUNCTION("""COMPUTED_VALUE"""),"")</f>
        <v/>
      </c>
      <c r="BP19" s="69" t="str">
        <f>IFERROR(__xludf.DUMMYFUNCTION("""COMPUTED_VALUE"""),"")</f>
        <v/>
      </c>
      <c r="BQ19" s="69" t="str">
        <f>IFERROR(__xludf.DUMMYFUNCTION("""COMPUTED_VALUE"""),"")</f>
        <v/>
      </c>
      <c r="BR19" s="69" t="str">
        <f>IFERROR(__xludf.DUMMYFUNCTION("""COMPUTED_VALUE"""),"")</f>
        <v/>
      </c>
      <c r="BS19" s="69" t="str">
        <f>IFERROR(__xludf.DUMMYFUNCTION("""COMPUTED_VALUE"""),"")</f>
        <v/>
      </c>
      <c r="BT19" s="69" t="str">
        <f>IFERROR(__xludf.DUMMYFUNCTION("""COMPUTED_VALUE"""),"")</f>
        <v/>
      </c>
      <c r="BU19" s="69" t="str">
        <f>IFERROR(__xludf.DUMMYFUNCTION("""COMPUTED_VALUE"""),"")</f>
        <v/>
      </c>
      <c r="BV19" s="69" t="str">
        <f>IFERROR(__xludf.DUMMYFUNCTION("""COMPUTED_VALUE"""),"")</f>
        <v/>
      </c>
      <c r="BW19" s="69"/>
      <c r="BX19" s="69"/>
      <c r="BY19" s="69"/>
      <c r="BZ19" s="69"/>
      <c r="CA19" s="69"/>
      <c r="CB19" s="69"/>
      <c r="CC19" s="69"/>
      <c r="CD19" s="69"/>
      <c r="CE19" s="69"/>
      <c r="CF19" s="69"/>
    </row>
    <row r="20">
      <c r="A20" s="70" t="str">
        <f>IFERROR(__xludf.DUMMYFUNCTION("""COMPUTED_VALUE"""),"Endless Punishment")</f>
        <v>Endless Punishment</v>
      </c>
      <c r="B20" s="71">
        <f>IFERROR(__xludf.DUMMYFUNCTION("""COMPUTED_VALUE"""),9.0)</f>
        <v>9</v>
      </c>
      <c r="C20" s="72">
        <f>IFERROR(__xludf.DUMMYFUNCTION("""COMPUTED_VALUE"""),0.0)</f>
        <v>0</v>
      </c>
      <c r="D20" s="72">
        <f>IFERROR(__xludf.DUMMYFUNCTION("""COMPUTED_VALUE"""),0.0)</f>
        <v>0</v>
      </c>
      <c r="E20" s="72">
        <f>IFERROR(__xludf.DUMMYFUNCTION("""COMPUTED_VALUE"""),0.0)</f>
        <v>0</v>
      </c>
      <c r="F20" s="72">
        <f>IFERROR(__xludf.DUMMYFUNCTION("""COMPUTED_VALUE"""),0.0)</f>
        <v>0</v>
      </c>
      <c r="G20" s="72">
        <f>IFERROR(__xludf.DUMMYFUNCTION("""COMPUTED_VALUE"""),2.0)</f>
        <v>2</v>
      </c>
      <c r="H20" s="72">
        <f>IFERROR(__xludf.DUMMYFUNCTION("""COMPUTED_VALUE"""),0.0)</f>
        <v>0</v>
      </c>
      <c r="I20" s="72">
        <f>IFERROR(__xludf.DUMMYFUNCTION("""COMPUTED_VALUE"""),0.0)</f>
        <v>0</v>
      </c>
      <c r="J20" s="72">
        <f>IFERROR(__xludf.DUMMYFUNCTION("""COMPUTED_VALUE"""),0.0)</f>
        <v>0</v>
      </c>
      <c r="K20" s="72">
        <f>IFERROR(__xludf.DUMMYFUNCTION("""COMPUTED_VALUE"""),0.0)</f>
        <v>0</v>
      </c>
      <c r="L20" s="72">
        <f>IFERROR(__xludf.DUMMYFUNCTION("""COMPUTED_VALUE"""),0.0)</f>
        <v>0</v>
      </c>
      <c r="M20" s="72">
        <f>IFERROR(__xludf.DUMMYFUNCTION("""COMPUTED_VALUE"""),0.0)</f>
        <v>0</v>
      </c>
      <c r="N20" s="72">
        <f>IFERROR(__xludf.DUMMYFUNCTION("""COMPUTED_VALUE"""),0.0)</f>
        <v>0</v>
      </c>
      <c r="O20" s="72">
        <f>IFERROR(__xludf.DUMMYFUNCTION("""COMPUTED_VALUE"""),2.0)</f>
        <v>2</v>
      </c>
      <c r="P20" s="72">
        <f>IFERROR(__xludf.DUMMYFUNCTION("""COMPUTED_VALUE"""),1.0)</f>
        <v>1</v>
      </c>
      <c r="Q20" s="72">
        <f>IFERROR(__xludf.DUMMYFUNCTION("""COMPUTED_VALUE"""),1.0)</f>
        <v>1</v>
      </c>
      <c r="R20" s="72">
        <f>IFERROR(__xludf.DUMMYFUNCTION("""COMPUTED_VALUE"""),0.0)</f>
        <v>0</v>
      </c>
      <c r="S20" s="72">
        <f>IFERROR(__xludf.DUMMYFUNCTION("""COMPUTED_VALUE"""),0.0)</f>
        <v>0</v>
      </c>
      <c r="T20" s="72">
        <f>IFERROR(__xludf.DUMMYFUNCTION("""COMPUTED_VALUE"""),0.0)</f>
        <v>0</v>
      </c>
      <c r="U20" s="72" t="str">
        <f>IFERROR(__xludf.DUMMYFUNCTION("""COMPUTED_VALUE"""),"")</f>
        <v/>
      </c>
      <c r="V20" s="72">
        <f>IFERROR(__xludf.DUMMYFUNCTION("""COMPUTED_VALUE"""),0.0)</f>
        <v>0</v>
      </c>
      <c r="W20" s="72">
        <f>IFERROR(__xludf.DUMMYFUNCTION("""COMPUTED_VALUE"""),1.0)</f>
        <v>1</v>
      </c>
      <c r="X20" s="72">
        <f>IFERROR(__xludf.DUMMYFUNCTION("""COMPUTED_VALUE"""),-1.0)</f>
        <v>-1</v>
      </c>
      <c r="Y20" s="72">
        <f>IFERROR(__xludf.DUMMYFUNCTION("""COMPUTED_VALUE"""),0.0)</f>
        <v>0</v>
      </c>
      <c r="Z20" s="72">
        <f>IFERROR(__xludf.DUMMYFUNCTION("""COMPUTED_VALUE"""),0.0)</f>
        <v>0</v>
      </c>
      <c r="AA20" s="72">
        <f>IFERROR(__xludf.DUMMYFUNCTION("""COMPUTED_VALUE"""),0.0)</f>
        <v>0</v>
      </c>
      <c r="AB20" s="72">
        <f>IFERROR(__xludf.DUMMYFUNCTION("""COMPUTED_VALUE"""),0.0)</f>
        <v>0</v>
      </c>
      <c r="AC20" s="72">
        <f>IFERROR(__xludf.DUMMYFUNCTION("""COMPUTED_VALUE"""),-1.0)</f>
        <v>-1</v>
      </c>
      <c r="AD20" s="72">
        <f>IFERROR(__xludf.DUMMYFUNCTION("""COMPUTED_VALUE"""),0.0)</f>
        <v>0</v>
      </c>
      <c r="AE20" s="72">
        <f>IFERROR(__xludf.DUMMYFUNCTION("""COMPUTED_VALUE"""),0.0)</f>
        <v>0</v>
      </c>
      <c r="AF20" s="72">
        <f>IFERROR(__xludf.DUMMYFUNCTION("""COMPUTED_VALUE"""),1.0)</f>
        <v>1</v>
      </c>
      <c r="AG20" s="72">
        <f>IFERROR(__xludf.DUMMYFUNCTION("""COMPUTED_VALUE"""),0.0)</f>
        <v>0</v>
      </c>
      <c r="AH20" s="72">
        <f>IFERROR(__xludf.DUMMYFUNCTION("""COMPUTED_VALUE"""),0.0)</f>
        <v>0</v>
      </c>
      <c r="AI20" s="72">
        <f>IFERROR(__xludf.DUMMYFUNCTION("""COMPUTED_VALUE"""),0.0)</f>
        <v>0</v>
      </c>
      <c r="AJ20" s="72">
        <f>IFERROR(__xludf.DUMMYFUNCTION("""COMPUTED_VALUE"""),0.0)</f>
        <v>0</v>
      </c>
      <c r="AK20" s="72">
        <f>IFERROR(__xludf.DUMMYFUNCTION("""COMPUTED_VALUE"""),0.0)</f>
        <v>0</v>
      </c>
      <c r="AL20" s="72">
        <f>IFERROR(__xludf.DUMMYFUNCTION("""COMPUTED_VALUE"""),0.0)</f>
        <v>0</v>
      </c>
      <c r="AM20" s="72">
        <f>IFERROR(__xludf.DUMMYFUNCTION("""COMPUTED_VALUE"""),-1.0)</f>
        <v>-1</v>
      </c>
      <c r="AN20" s="72">
        <f>IFERROR(__xludf.DUMMYFUNCTION("""COMPUTED_VALUE"""),0.0)</f>
        <v>0</v>
      </c>
      <c r="AO20" s="72">
        <f>IFERROR(__xludf.DUMMYFUNCTION("""COMPUTED_VALUE"""),1.0)</f>
        <v>1</v>
      </c>
      <c r="AP20" s="72">
        <f>IFERROR(__xludf.DUMMYFUNCTION("""COMPUTED_VALUE"""),0.0)</f>
        <v>0</v>
      </c>
      <c r="AQ20" s="72">
        <f>IFERROR(__xludf.DUMMYFUNCTION("""COMPUTED_VALUE"""),0.0)</f>
        <v>0</v>
      </c>
      <c r="AR20" s="72">
        <f>IFERROR(__xludf.DUMMYFUNCTION("""COMPUTED_VALUE"""),1.0)</f>
        <v>1</v>
      </c>
      <c r="AS20" s="72">
        <f>IFERROR(__xludf.DUMMYFUNCTION("""COMPUTED_VALUE"""),0.0)</f>
        <v>0</v>
      </c>
      <c r="AT20" s="72">
        <f>IFERROR(__xludf.DUMMYFUNCTION("""COMPUTED_VALUE"""),0.0)</f>
        <v>0</v>
      </c>
      <c r="AU20" s="72">
        <f>IFERROR(__xludf.DUMMYFUNCTION("""COMPUTED_VALUE"""),0.0)</f>
        <v>0</v>
      </c>
      <c r="AV20" s="72">
        <f>IFERROR(__xludf.DUMMYFUNCTION("""COMPUTED_VALUE"""),0.0)</f>
        <v>0</v>
      </c>
      <c r="AW20" s="72">
        <f>IFERROR(__xludf.DUMMYFUNCTION("""COMPUTED_VALUE"""),0.0)</f>
        <v>0</v>
      </c>
      <c r="AX20" s="72">
        <f>IFERROR(__xludf.DUMMYFUNCTION("""COMPUTED_VALUE"""),0.0)</f>
        <v>0</v>
      </c>
      <c r="AY20" s="72">
        <f>IFERROR(__xludf.DUMMYFUNCTION("""COMPUTED_VALUE"""),0.0)</f>
        <v>0</v>
      </c>
      <c r="AZ20" s="72">
        <f>IFERROR(__xludf.DUMMYFUNCTION("""COMPUTED_VALUE"""),0.0)</f>
        <v>0</v>
      </c>
      <c r="BA20" s="72">
        <f>IFERROR(__xludf.DUMMYFUNCTION("""COMPUTED_VALUE"""),0.0)</f>
        <v>0</v>
      </c>
      <c r="BB20" s="72">
        <f>IFERROR(__xludf.DUMMYFUNCTION("""COMPUTED_VALUE"""),1.0)</f>
        <v>1</v>
      </c>
      <c r="BC20" s="72">
        <f>IFERROR(__xludf.DUMMYFUNCTION("""COMPUTED_VALUE"""),1.0)</f>
        <v>1</v>
      </c>
      <c r="BD20" s="69">
        <f>IFERROR(__xludf.DUMMYFUNCTION("""COMPUTED_VALUE"""),0.0)</f>
        <v>0</v>
      </c>
      <c r="BE20" s="69" t="str">
        <f>IFERROR(__xludf.DUMMYFUNCTION("""COMPUTED_VALUE"""),"")</f>
        <v/>
      </c>
      <c r="BF20" s="69" t="str">
        <f>IFERROR(__xludf.DUMMYFUNCTION("""COMPUTED_VALUE"""),"")</f>
        <v/>
      </c>
      <c r="BG20" s="69" t="str">
        <f>IFERROR(__xludf.DUMMYFUNCTION("""COMPUTED_VALUE"""),"")</f>
        <v/>
      </c>
      <c r="BH20" s="69" t="str">
        <f>IFERROR(__xludf.DUMMYFUNCTION("""COMPUTED_VALUE"""),"")</f>
        <v/>
      </c>
      <c r="BI20" s="69" t="str">
        <f>IFERROR(__xludf.DUMMYFUNCTION("""COMPUTED_VALUE"""),"")</f>
        <v/>
      </c>
      <c r="BJ20" s="69" t="str">
        <f>IFERROR(__xludf.DUMMYFUNCTION("""COMPUTED_VALUE"""),"")</f>
        <v/>
      </c>
      <c r="BK20" s="69" t="str">
        <f>IFERROR(__xludf.DUMMYFUNCTION("""COMPUTED_VALUE"""),"")</f>
        <v/>
      </c>
      <c r="BL20" s="69" t="str">
        <f>IFERROR(__xludf.DUMMYFUNCTION("""COMPUTED_VALUE"""),"")</f>
        <v/>
      </c>
      <c r="BM20" s="69" t="str">
        <f>IFERROR(__xludf.DUMMYFUNCTION("""COMPUTED_VALUE"""),"")</f>
        <v/>
      </c>
      <c r="BN20" s="69" t="str">
        <f>IFERROR(__xludf.DUMMYFUNCTION("""COMPUTED_VALUE"""),"")</f>
        <v/>
      </c>
      <c r="BO20" s="69" t="str">
        <f>IFERROR(__xludf.DUMMYFUNCTION("""COMPUTED_VALUE"""),"")</f>
        <v/>
      </c>
      <c r="BP20" s="69" t="str">
        <f>IFERROR(__xludf.DUMMYFUNCTION("""COMPUTED_VALUE"""),"")</f>
        <v/>
      </c>
      <c r="BQ20" s="69" t="str">
        <f>IFERROR(__xludf.DUMMYFUNCTION("""COMPUTED_VALUE"""),"")</f>
        <v/>
      </c>
      <c r="BR20" s="69" t="str">
        <f>IFERROR(__xludf.DUMMYFUNCTION("""COMPUTED_VALUE"""),"")</f>
        <v/>
      </c>
      <c r="BS20" s="69" t="str">
        <f>IFERROR(__xludf.DUMMYFUNCTION("""COMPUTED_VALUE"""),"")</f>
        <v/>
      </c>
      <c r="BT20" s="69" t="str">
        <f>IFERROR(__xludf.DUMMYFUNCTION("""COMPUTED_VALUE"""),"")</f>
        <v/>
      </c>
      <c r="BU20" s="69" t="str">
        <f>IFERROR(__xludf.DUMMYFUNCTION("""COMPUTED_VALUE"""),"")</f>
        <v/>
      </c>
      <c r="BV20" s="69" t="str">
        <f>IFERROR(__xludf.DUMMYFUNCTION("""COMPUTED_VALUE"""),"")</f>
        <v/>
      </c>
      <c r="BW20" s="69"/>
      <c r="BX20" s="69"/>
      <c r="BY20" s="69"/>
      <c r="BZ20" s="69"/>
      <c r="CA20" s="69"/>
      <c r="CB20" s="69"/>
      <c r="CC20" s="69"/>
      <c r="CD20" s="69"/>
      <c r="CE20" s="69"/>
      <c r="CF20" s="69"/>
    </row>
    <row r="21">
      <c r="A21" s="70" t="str">
        <f>IFERROR(__xludf.DUMMYFUNCTION("""COMPUTED_VALUE"""),"Enduring Enchantments")</f>
        <v>Enduring Enchantments</v>
      </c>
      <c r="B21" s="71">
        <f>IFERROR(__xludf.DUMMYFUNCTION("""COMPUTED_VALUE"""),0.0)</f>
        <v>0</v>
      </c>
      <c r="C21" s="72">
        <f>IFERROR(__xludf.DUMMYFUNCTION("""COMPUTED_VALUE"""),0.0)</f>
        <v>0</v>
      </c>
      <c r="D21" s="72">
        <f>IFERROR(__xludf.DUMMYFUNCTION("""COMPUTED_VALUE"""),0.0)</f>
        <v>0</v>
      </c>
      <c r="E21" s="72">
        <f>IFERROR(__xludf.DUMMYFUNCTION("""COMPUTED_VALUE"""),0.0)</f>
        <v>0</v>
      </c>
      <c r="F21" s="72">
        <f>IFERROR(__xludf.DUMMYFUNCTION("""COMPUTED_VALUE"""),0.0)</f>
        <v>0</v>
      </c>
      <c r="G21" s="72">
        <f>IFERROR(__xludf.DUMMYFUNCTION("""COMPUTED_VALUE"""),0.0)</f>
        <v>0</v>
      </c>
      <c r="H21" s="72">
        <f>IFERROR(__xludf.DUMMYFUNCTION("""COMPUTED_VALUE"""),0.0)</f>
        <v>0</v>
      </c>
      <c r="I21" s="72">
        <f>IFERROR(__xludf.DUMMYFUNCTION("""COMPUTED_VALUE"""),0.0)</f>
        <v>0</v>
      </c>
      <c r="J21" s="72">
        <f>IFERROR(__xludf.DUMMYFUNCTION("""COMPUTED_VALUE"""),0.0)</f>
        <v>0</v>
      </c>
      <c r="K21" s="72">
        <f>IFERROR(__xludf.DUMMYFUNCTION("""COMPUTED_VALUE"""),0.0)</f>
        <v>0</v>
      </c>
      <c r="L21" s="72">
        <f>IFERROR(__xludf.DUMMYFUNCTION("""COMPUTED_VALUE"""),0.0)</f>
        <v>0</v>
      </c>
      <c r="M21" s="72">
        <f>IFERROR(__xludf.DUMMYFUNCTION("""COMPUTED_VALUE"""),0.0)</f>
        <v>0</v>
      </c>
      <c r="N21" s="72">
        <f>IFERROR(__xludf.DUMMYFUNCTION("""COMPUTED_VALUE"""),0.0)</f>
        <v>0</v>
      </c>
      <c r="O21" s="72">
        <f>IFERROR(__xludf.DUMMYFUNCTION("""COMPUTED_VALUE"""),0.0)</f>
        <v>0</v>
      </c>
      <c r="P21" s="72">
        <f>IFERROR(__xludf.DUMMYFUNCTION("""COMPUTED_VALUE"""),0.0)</f>
        <v>0</v>
      </c>
      <c r="Q21" s="72">
        <f>IFERROR(__xludf.DUMMYFUNCTION("""COMPUTED_VALUE"""),0.0)</f>
        <v>0</v>
      </c>
      <c r="R21" s="72">
        <f>IFERROR(__xludf.DUMMYFUNCTION("""COMPUTED_VALUE"""),0.0)</f>
        <v>0</v>
      </c>
      <c r="S21" s="72">
        <f>IFERROR(__xludf.DUMMYFUNCTION("""COMPUTED_VALUE"""),0.0)</f>
        <v>0</v>
      </c>
      <c r="T21" s="72">
        <f>IFERROR(__xludf.DUMMYFUNCTION("""COMPUTED_VALUE"""),0.0)</f>
        <v>0</v>
      </c>
      <c r="U21" s="72">
        <f>IFERROR(__xludf.DUMMYFUNCTION("""COMPUTED_VALUE"""),0.0)</f>
        <v>0</v>
      </c>
      <c r="V21" s="72" t="str">
        <f>IFERROR(__xludf.DUMMYFUNCTION("""COMPUTED_VALUE"""),"")</f>
        <v/>
      </c>
      <c r="W21" s="72">
        <f>IFERROR(__xludf.DUMMYFUNCTION("""COMPUTED_VALUE"""),0.0)</f>
        <v>0</v>
      </c>
      <c r="X21" s="72">
        <f>IFERROR(__xludf.DUMMYFUNCTION("""COMPUTED_VALUE"""),0.0)</f>
        <v>0</v>
      </c>
      <c r="Y21" s="72">
        <f>IFERROR(__xludf.DUMMYFUNCTION("""COMPUTED_VALUE"""),0.0)</f>
        <v>0</v>
      </c>
      <c r="Z21" s="72">
        <f>IFERROR(__xludf.DUMMYFUNCTION("""COMPUTED_VALUE"""),0.0)</f>
        <v>0</v>
      </c>
      <c r="AA21" s="72">
        <f>IFERROR(__xludf.DUMMYFUNCTION("""COMPUTED_VALUE"""),0.0)</f>
        <v>0</v>
      </c>
      <c r="AB21" s="72">
        <f>IFERROR(__xludf.DUMMYFUNCTION("""COMPUTED_VALUE"""),0.0)</f>
        <v>0</v>
      </c>
      <c r="AC21" s="72">
        <f>IFERROR(__xludf.DUMMYFUNCTION("""COMPUTED_VALUE"""),0.0)</f>
        <v>0</v>
      </c>
      <c r="AD21" s="72">
        <f>IFERROR(__xludf.DUMMYFUNCTION("""COMPUTED_VALUE"""),0.0)</f>
        <v>0</v>
      </c>
      <c r="AE21" s="72">
        <f>IFERROR(__xludf.DUMMYFUNCTION("""COMPUTED_VALUE"""),0.0)</f>
        <v>0</v>
      </c>
      <c r="AF21" s="72">
        <f>IFERROR(__xludf.DUMMYFUNCTION("""COMPUTED_VALUE"""),0.0)</f>
        <v>0</v>
      </c>
      <c r="AG21" s="72">
        <f>IFERROR(__xludf.DUMMYFUNCTION("""COMPUTED_VALUE"""),0.0)</f>
        <v>0</v>
      </c>
      <c r="AH21" s="72">
        <f>IFERROR(__xludf.DUMMYFUNCTION("""COMPUTED_VALUE"""),0.0)</f>
        <v>0</v>
      </c>
      <c r="AI21" s="72">
        <f>IFERROR(__xludf.DUMMYFUNCTION("""COMPUTED_VALUE"""),0.0)</f>
        <v>0</v>
      </c>
      <c r="AJ21" s="72">
        <f>IFERROR(__xludf.DUMMYFUNCTION("""COMPUTED_VALUE"""),0.0)</f>
        <v>0</v>
      </c>
      <c r="AK21" s="72">
        <f>IFERROR(__xludf.DUMMYFUNCTION("""COMPUTED_VALUE"""),0.0)</f>
        <v>0</v>
      </c>
      <c r="AL21" s="72">
        <f>IFERROR(__xludf.DUMMYFUNCTION("""COMPUTED_VALUE"""),0.0)</f>
        <v>0</v>
      </c>
      <c r="AM21" s="72">
        <f>IFERROR(__xludf.DUMMYFUNCTION("""COMPUTED_VALUE"""),0.0)</f>
        <v>0</v>
      </c>
      <c r="AN21" s="72">
        <f>IFERROR(__xludf.DUMMYFUNCTION("""COMPUTED_VALUE"""),0.0)</f>
        <v>0</v>
      </c>
      <c r="AO21" s="72">
        <f>IFERROR(__xludf.DUMMYFUNCTION("""COMPUTED_VALUE"""),0.0)</f>
        <v>0</v>
      </c>
      <c r="AP21" s="72">
        <f>IFERROR(__xludf.DUMMYFUNCTION("""COMPUTED_VALUE"""),0.0)</f>
        <v>0</v>
      </c>
      <c r="AQ21" s="72">
        <f>IFERROR(__xludf.DUMMYFUNCTION("""COMPUTED_VALUE"""),0.0)</f>
        <v>0</v>
      </c>
      <c r="AR21" s="72">
        <f>IFERROR(__xludf.DUMMYFUNCTION("""COMPUTED_VALUE"""),0.0)</f>
        <v>0</v>
      </c>
      <c r="AS21" s="72">
        <f>IFERROR(__xludf.DUMMYFUNCTION("""COMPUTED_VALUE"""),0.0)</f>
        <v>0</v>
      </c>
      <c r="AT21" s="72">
        <f>IFERROR(__xludf.DUMMYFUNCTION("""COMPUTED_VALUE"""),0.0)</f>
        <v>0</v>
      </c>
      <c r="AU21" s="72">
        <f>IFERROR(__xludf.DUMMYFUNCTION("""COMPUTED_VALUE"""),0.0)</f>
        <v>0</v>
      </c>
      <c r="AV21" s="72">
        <f>IFERROR(__xludf.DUMMYFUNCTION("""COMPUTED_VALUE"""),0.0)</f>
        <v>0</v>
      </c>
      <c r="AW21" s="72">
        <f>IFERROR(__xludf.DUMMYFUNCTION("""COMPUTED_VALUE"""),0.0)</f>
        <v>0</v>
      </c>
      <c r="AX21" s="72">
        <f>IFERROR(__xludf.DUMMYFUNCTION("""COMPUTED_VALUE"""),0.0)</f>
        <v>0</v>
      </c>
      <c r="AY21" s="72">
        <f>IFERROR(__xludf.DUMMYFUNCTION("""COMPUTED_VALUE"""),0.0)</f>
        <v>0</v>
      </c>
      <c r="AZ21" s="72">
        <f>IFERROR(__xludf.DUMMYFUNCTION("""COMPUTED_VALUE"""),0.0)</f>
        <v>0</v>
      </c>
      <c r="BA21" s="72">
        <f>IFERROR(__xludf.DUMMYFUNCTION("""COMPUTED_VALUE"""),0.0)</f>
        <v>0</v>
      </c>
      <c r="BB21" s="72">
        <f>IFERROR(__xludf.DUMMYFUNCTION("""COMPUTED_VALUE"""),0.0)</f>
        <v>0</v>
      </c>
      <c r="BC21" s="72">
        <f>IFERROR(__xludf.DUMMYFUNCTION("""COMPUTED_VALUE"""),0.0)</f>
        <v>0</v>
      </c>
      <c r="BD21" s="69">
        <f>IFERROR(__xludf.DUMMYFUNCTION("""COMPUTED_VALUE"""),0.0)</f>
        <v>0</v>
      </c>
      <c r="BE21" s="69" t="str">
        <f>IFERROR(__xludf.DUMMYFUNCTION("""COMPUTED_VALUE"""),"")</f>
        <v/>
      </c>
      <c r="BF21" s="69" t="str">
        <f>IFERROR(__xludf.DUMMYFUNCTION("""COMPUTED_VALUE"""),"")</f>
        <v/>
      </c>
      <c r="BG21" s="69" t="str">
        <f>IFERROR(__xludf.DUMMYFUNCTION("""COMPUTED_VALUE"""),"")</f>
        <v/>
      </c>
      <c r="BH21" s="69" t="str">
        <f>IFERROR(__xludf.DUMMYFUNCTION("""COMPUTED_VALUE"""),"")</f>
        <v/>
      </c>
      <c r="BI21" s="69" t="str">
        <f>IFERROR(__xludf.DUMMYFUNCTION("""COMPUTED_VALUE"""),"")</f>
        <v/>
      </c>
      <c r="BJ21" s="69" t="str">
        <f>IFERROR(__xludf.DUMMYFUNCTION("""COMPUTED_VALUE"""),"")</f>
        <v/>
      </c>
      <c r="BK21" s="69" t="str">
        <f>IFERROR(__xludf.DUMMYFUNCTION("""COMPUTED_VALUE"""),"")</f>
        <v/>
      </c>
      <c r="BL21" s="69" t="str">
        <f>IFERROR(__xludf.DUMMYFUNCTION("""COMPUTED_VALUE"""),"")</f>
        <v/>
      </c>
      <c r="BM21" s="69" t="str">
        <f>IFERROR(__xludf.DUMMYFUNCTION("""COMPUTED_VALUE"""),"")</f>
        <v/>
      </c>
      <c r="BN21" s="69" t="str">
        <f>IFERROR(__xludf.DUMMYFUNCTION("""COMPUTED_VALUE"""),"")</f>
        <v/>
      </c>
      <c r="BO21" s="69" t="str">
        <f>IFERROR(__xludf.DUMMYFUNCTION("""COMPUTED_VALUE"""),"")</f>
        <v/>
      </c>
      <c r="BP21" s="69" t="str">
        <f>IFERROR(__xludf.DUMMYFUNCTION("""COMPUTED_VALUE"""),"")</f>
        <v/>
      </c>
      <c r="BQ21" s="69" t="str">
        <f>IFERROR(__xludf.DUMMYFUNCTION("""COMPUTED_VALUE"""),"")</f>
        <v/>
      </c>
      <c r="BR21" s="69" t="str">
        <f>IFERROR(__xludf.DUMMYFUNCTION("""COMPUTED_VALUE"""),"")</f>
        <v/>
      </c>
      <c r="BS21" s="69" t="str">
        <f>IFERROR(__xludf.DUMMYFUNCTION("""COMPUTED_VALUE"""),"")</f>
        <v/>
      </c>
      <c r="BT21" s="69" t="str">
        <f>IFERROR(__xludf.DUMMYFUNCTION("""COMPUTED_VALUE"""),"")</f>
        <v/>
      </c>
      <c r="BU21" s="69" t="str">
        <f>IFERROR(__xludf.DUMMYFUNCTION("""COMPUTED_VALUE"""),"")</f>
        <v/>
      </c>
      <c r="BV21" s="69" t="str">
        <f>IFERROR(__xludf.DUMMYFUNCTION("""COMPUTED_VALUE"""),"")</f>
        <v/>
      </c>
      <c r="BW21" s="69"/>
      <c r="BX21" s="69"/>
      <c r="BY21" s="69"/>
      <c r="BZ21" s="69"/>
      <c r="CA21" s="69"/>
      <c r="CB21" s="69"/>
      <c r="CC21" s="69"/>
      <c r="CD21" s="69"/>
      <c r="CE21" s="69"/>
      <c r="CF21" s="69"/>
    </row>
    <row r="22">
      <c r="A22" s="70" t="str">
        <f>IFERROR(__xludf.DUMMYFUNCTION("""COMPUTED_VALUE"""),"Explorers of the Deep")</f>
        <v>Explorers of the Deep</v>
      </c>
      <c r="B22" s="71">
        <f>IFERROR(__xludf.DUMMYFUNCTION("""COMPUTED_VALUE"""),1.0)</f>
        <v>1</v>
      </c>
      <c r="C22" s="72">
        <f>IFERROR(__xludf.DUMMYFUNCTION("""COMPUTED_VALUE"""),0.0)</f>
        <v>0</v>
      </c>
      <c r="D22" s="72">
        <f>IFERROR(__xludf.DUMMYFUNCTION("""COMPUTED_VALUE"""),0.0)</f>
        <v>0</v>
      </c>
      <c r="E22" s="72">
        <f>IFERROR(__xludf.DUMMYFUNCTION("""COMPUTED_VALUE"""),0.0)</f>
        <v>0</v>
      </c>
      <c r="F22" s="72">
        <f>IFERROR(__xludf.DUMMYFUNCTION("""COMPUTED_VALUE"""),0.0)</f>
        <v>0</v>
      </c>
      <c r="G22" s="72">
        <f>IFERROR(__xludf.DUMMYFUNCTION("""COMPUTED_VALUE"""),0.0)</f>
        <v>0</v>
      </c>
      <c r="H22" s="72">
        <f>IFERROR(__xludf.DUMMYFUNCTION("""COMPUTED_VALUE"""),0.0)</f>
        <v>0</v>
      </c>
      <c r="I22" s="72">
        <f>IFERROR(__xludf.DUMMYFUNCTION("""COMPUTED_VALUE"""),0.0)</f>
        <v>0</v>
      </c>
      <c r="J22" s="72">
        <f>IFERROR(__xludf.DUMMYFUNCTION("""COMPUTED_VALUE"""),0.0)</f>
        <v>0</v>
      </c>
      <c r="K22" s="72">
        <f>IFERROR(__xludf.DUMMYFUNCTION("""COMPUTED_VALUE"""),0.0)</f>
        <v>0</v>
      </c>
      <c r="L22" s="72">
        <f>IFERROR(__xludf.DUMMYFUNCTION("""COMPUTED_VALUE"""),0.0)</f>
        <v>0</v>
      </c>
      <c r="M22" s="72">
        <f>IFERROR(__xludf.DUMMYFUNCTION("""COMPUTED_VALUE"""),0.0)</f>
        <v>0</v>
      </c>
      <c r="N22" s="72">
        <f>IFERROR(__xludf.DUMMYFUNCTION("""COMPUTED_VALUE"""),0.0)</f>
        <v>0</v>
      </c>
      <c r="O22" s="72">
        <f>IFERROR(__xludf.DUMMYFUNCTION("""COMPUTED_VALUE"""),0.0)</f>
        <v>0</v>
      </c>
      <c r="P22" s="72">
        <f>IFERROR(__xludf.DUMMYFUNCTION("""COMPUTED_VALUE"""),0.0)</f>
        <v>0</v>
      </c>
      <c r="Q22" s="72">
        <f>IFERROR(__xludf.DUMMYFUNCTION("""COMPUTED_VALUE"""),-1.0)</f>
        <v>-1</v>
      </c>
      <c r="R22" s="72">
        <f>IFERROR(__xludf.DUMMYFUNCTION("""COMPUTED_VALUE"""),1.0)</f>
        <v>1</v>
      </c>
      <c r="S22" s="72">
        <f>IFERROR(__xludf.DUMMYFUNCTION("""COMPUTED_VALUE"""),0.0)</f>
        <v>0</v>
      </c>
      <c r="T22" s="72">
        <f>IFERROR(__xludf.DUMMYFUNCTION("""COMPUTED_VALUE"""),0.0)</f>
        <v>0</v>
      </c>
      <c r="U22" s="72">
        <f>IFERROR(__xludf.DUMMYFUNCTION("""COMPUTED_VALUE"""),-1.0)</f>
        <v>-1</v>
      </c>
      <c r="V22" s="72">
        <f>IFERROR(__xludf.DUMMYFUNCTION("""COMPUTED_VALUE"""),0.0)</f>
        <v>0</v>
      </c>
      <c r="W22" s="72" t="str">
        <f>IFERROR(__xludf.DUMMYFUNCTION("""COMPUTED_VALUE"""),"")</f>
        <v/>
      </c>
      <c r="X22" s="72">
        <f>IFERROR(__xludf.DUMMYFUNCTION("""COMPUTED_VALUE"""),1.0)</f>
        <v>1</v>
      </c>
      <c r="Y22" s="72">
        <f>IFERROR(__xludf.DUMMYFUNCTION("""COMPUTED_VALUE"""),0.0)</f>
        <v>0</v>
      </c>
      <c r="Z22" s="72">
        <f>IFERROR(__xludf.DUMMYFUNCTION("""COMPUTED_VALUE"""),0.0)</f>
        <v>0</v>
      </c>
      <c r="AA22" s="72">
        <f>IFERROR(__xludf.DUMMYFUNCTION("""COMPUTED_VALUE"""),0.0)</f>
        <v>0</v>
      </c>
      <c r="AB22" s="72">
        <f>IFERROR(__xludf.DUMMYFUNCTION("""COMPUTED_VALUE"""),0.0)</f>
        <v>0</v>
      </c>
      <c r="AC22" s="72">
        <f>IFERROR(__xludf.DUMMYFUNCTION("""COMPUTED_VALUE"""),0.0)</f>
        <v>0</v>
      </c>
      <c r="AD22" s="72">
        <f>IFERROR(__xludf.DUMMYFUNCTION("""COMPUTED_VALUE"""),0.0)</f>
        <v>0</v>
      </c>
      <c r="AE22" s="72">
        <f>IFERROR(__xludf.DUMMYFUNCTION("""COMPUTED_VALUE"""),0.0)</f>
        <v>0</v>
      </c>
      <c r="AF22" s="72">
        <f>IFERROR(__xludf.DUMMYFUNCTION("""COMPUTED_VALUE"""),0.0)</f>
        <v>0</v>
      </c>
      <c r="AG22" s="72">
        <f>IFERROR(__xludf.DUMMYFUNCTION("""COMPUTED_VALUE"""),0.0)</f>
        <v>0</v>
      </c>
      <c r="AH22" s="72">
        <f>IFERROR(__xludf.DUMMYFUNCTION("""COMPUTED_VALUE"""),0.0)</f>
        <v>0</v>
      </c>
      <c r="AI22" s="72">
        <f>IFERROR(__xludf.DUMMYFUNCTION("""COMPUTED_VALUE"""),0.0)</f>
        <v>0</v>
      </c>
      <c r="AJ22" s="72">
        <f>IFERROR(__xludf.DUMMYFUNCTION("""COMPUTED_VALUE"""),0.0)</f>
        <v>0</v>
      </c>
      <c r="AK22" s="72">
        <f>IFERROR(__xludf.DUMMYFUNCTION("""COMPUTED_VALUE"""),0.0)</f>
        <v>0</v>
      </c>
      <c r="AL22" s="72">
        <f>IFERROR(__xludf.DUMMYFUNCTION("""COMPUTED_VALUE"""),-1.0)</f>
        <v>-1</v>
      </c>
      <c r="AM22" s="72">
        <f>IFERROR(__xludf.DUMMYFUNCTION("""COMPUTED_VALUE"""),0.0)</f>
        <v>0</v>
      </c>
      <c r="AN22" s="72">
        <f>IFERROR(__xludf.DUMMYFUNCTION("""COMPUTED_VALUE"""),0.0)</f>
        <v>0</v>
      </c>
      <c r="AO22" s="72">
        <f>IFERROR(__xludf.DUMMYFUNCTION("""COMPUTED_VALUE"""),0.0)</f>
        <v>0</v>
      </c>
      <c r="AP22" s="72">
        <f>IFERROR(__xludf.DUMMYFUNCTION("""COMPUTED_VALUE"""),0.0)</f>
        <v>0</v>
      </c>
      <c r="AQ22" s="72">
        <f>IFERROR(__xludf.DUMMYFUNCTION("""COMPUTED_VALUE"""),0.0)</f>
        <v>0</v>
      </c>
      <c r="AR22" s="72">
        <f>IFERROR(__xludf.DUMMYFUNCTION("""COMPUTED_VALUE"""),-1.0)</f>
        <v>-1</v>
      </c>
      <c r="AS22" s="72">
        <f>IFERROR(__xludf.DUMMYFUNCTION("""COMPUTED_VALUE"""),0.0)</f>
        <v>0</v>
      </c>
      <c r="AT22" s="72">
        <f>IFERROR(__xludf.DUMMYFUNCTION("""COMPUTED_VALUE"""),0.0)</f>
        <v>0</v>
      </c>
      <c r="AU22" s="72">
        <f>IFERROR(__xludf.DUMMYFUNCTION("""COMPUTED_VALUE"""),0.0)</f>
        <v>0</v>
      </c>
      <c r="AV22" s="72">
        <f>IFERROR(__xludf.DUMMYFUNCTION("""COMPUTED_VALUE"""),1.0)</f>
        <v>1</v>
      </c>
      <c r="AW22" s="72">
        <f>IFERROR(__xludf.DUMMYFUNCTION("""COMPUTED_VALUE"""),1.0)</f>
        <v>1</v>
      </c>
      <c r="AX22" s="72">
        <f>IFERROR(__xludf.DUMMYFUNCTION("""COMPUTED_VALUE"""),0.0)</f>
        <v>0</v>
      </c>
      <c r="AY22" s="72">
        <f>IFERROR(__xludf.DUMMYFUNCTION("""COMPUTED_VALUE"""),0.0)</f>
        <v>0</v>
      </c>
      <c r="AZ22" s="72">
        <f>IFERROR(__xludf.DUMMYFUNCTION("""COMPUTED_VALUE"""),0.0)</f>
        <v>0</v>
      </c>
      <c r="BA22" s="72">
        <f>IFERROR(__xludf.DUMMYFUNCTION("""COMPUTED_VALUE"""),0.0)</f>
        <v>0</v>
      </c>
      <c r="BB22" s="72">
        <f>IFERROR(__xludf.DUMMYFUNCTION("""COMPUTED_VALUE"""),0.0)</f>
        <v>0</v>
      </c>
      <c r="BC22" s="72">
        <f>IFERROR(__xludf.DUMMYFUNCTION("""COMPUTED_VALUE"""),0.0)</f>
        <v>0</v>
      </c>
      <c r="BD22" s="69">
        <f>IFERROR(__xludf.DUMMYFUNCTION("""COMPUTED_VALUE"""),1.0)</f>
        <v>1</v>
      </c>
      <c r="BE22" s="69" t="str">
        <f>IFERROR(__xludf.DUMMYFUNCTION("""COMPUTED_VALUE"""),"")</f>
        <v/>
      </c>
      <c r="BF22" s="69" t="str">
        <f>IFERROR(__xludf.DUMMYFUNCTION("""COMPUTED_VALUE"""),"")</f>
        <v/>
      </c>
      <c r="BG22" s="69" t="str">
        <f>IFERROR(__xludf.DUMMYFUNCTION("""COMPUTED_VALUE"""),"")</f>
        <v/>
      </c>
      <c r="BH22" s="69" t="str">
        <f>IFERROR(__xludf.DUMMYFUNCTION("""COMPUTED_VALUE"""),"")</f>
        <v/>
      </c>
      <c r="BI22" s="69" t="str">
        <f>IFERROR(__xludf.DUMMYFUNCTION("""COMPUTED_VALUE"""),"")</f>
        <v/>
      </c>
      <c r="BJ22" s="69" t="str">
        <f>IFERROR(__xludf.DUMMYFUNCTION("""COMPUTED_VALUE"""),"")</f>
        <v/>
      </c>
      <c r="BK22" s="69" t="str">
        <f>IFERROR(__xludf.DUMMYFUNCTION("""COMPUTED_VALUE"""),"")</f>
        <v/>
      </c>
      <c r="BL22" s="69" t="str">
        <f>IFERROR(__xludf.DUMMYFUNCTION("""COMPUTED_VALUE"""),"")</f>
        <v/>
      </c>
      <c r="BM22" s="69" t="str">
        <f>IFERROR(__xludf.DUMMYFUNCTION("""COMPUTED_VALUE"""),"")</f>
        <v/>
      </c>
      <c r="BN22" s="69" t="str">
        <f>IFERROR(__xludf.DUMMYFUNCTION("""COMPUTED_VALUE"""),"")</f>
        <v/>
      </c>
      <c r="BO22" s="69" t="str">
        <f>IFERROR(__xludf.DUMMYFUNCTION("""COMPUTED_VALUE"""),"")</f>
        <v/>
      </c>
      <c r="BP22" s="69" t="str">
        <f>IFERROR(__xludf.DUMMYFUNCTION("""COMPUTED_VALUE"""),"")</f>
        <v/>
      </c>
      <c r="BQ22" s="69" t="str">
        <f>IFERROR(__xludf.DUMMYFUNCTION("""COMPUTED_VALUE"""),"")</f>
        <v/>
      </c>
      <c r="BR22" s="69" t="str">
        <f>IFERROR(__xludf.DUMMYFUNCTION("""COMPUTED_VALUE"""),"")</f>
        <v/>
      </c>
      <c r="BS22" s="69" t="str">
        <f>IFERROR(__xludf.DUMMYFUNCTION("""COMPUTED_VALUE"""),"")</f>
        <v/>
      </c>
      <c r="BT22" s="69" t="str">
        <f>IFERROR(__xludf.DUMMYFUNCTION("""COMPUTED_VALUE"""),"")</f>
        <v/>
      </c>
      <c r="BU22" s="69" t="str">
        <f>IFERROR(__xludf.DUMMYFUNCTION("""COMPUTED_VALUE"""),"")</f>
        <v/>
      </c>
      <c r="BV22" s="69" t="str">
        <f>IFERROR(__xludf.DUMMYFUNCTION("""COMPUTED_VALUE"""),"")</f>
        <v/>
      </c>
      <c r="BW22" s="69"/>
      <c r="BX22" s="69"/>
      <c r="BY22" s="69"/>
      <c r="BZ22" s="69"/>
      <c r="CA22" s="69"/>
      <c r="CB22" s="69"/>
      <c r="CC22" s="69"/>
      <c r="CD22" s="69"/>
      <c r="CE22" s="69"/>
      <c r="CF22" s="69"/>
    </row>
    <row r="23">
      <c r="A23" s="70" t="str">
        <f>IFERROR(__xludf.DUMMYFUNCTION("""COMPUTED_VALUE"""),"Family Matters")</f>
        <v>Family Matters</v>
      </c>
      <c r="B23" s="71">
        <f>IFERROR(__xludf.DUMMYFUNCTION("""COMPUTED_VALUE"""),-1.0)</f>
        <v>-1</v>
      </c>
      <c r="C23" s="72">
        <f>IFERROR(__xludf.DUMMYFUNCTION("""COMPUTED_VALUE"""),0.0)</f>
        <v>0</v>
      </c>
      <c r="D23" s="72">
        <f>IFERROR(__xludf.DUMMYFUNCTION("""COMPUTED_VALUE"""),0.0)</f>
        <v>0</v>
      </c>
      <c r="E23" s="72">
        <f>IFERROR(__xludf.DUMMYFUNCTION("""COMPUTED_VALUE"""),0.0)</f>
        <v>0</v>
      </c>
      <c r="F23" s="72">
        <f>IFERROR(__xludf.DUMMYFUNCTION("""COMPUTED_VALUE"""),0.0)</f>
        <v>0</v>
      </c>
      <c r="G23" s="72">
        <f>IFERROR(__xludf.DUMMYFUNCTION("""COMPUTED_VALUE"""),0.0)</f>
        <v>0</v>
      </c>
      <c r="H23" s="72">
        <f>IFERROR(__xludf.DUMMYFUNCTION("""COMPUTED_VALUE"""),1.0)</f>
        <v>1</v>
      </c>
      <c r="I23" s="72">
        <f>IFERROR(__xludf.DUMMYFUNCTION("""COMPUTED_VALUE"""),0.0)</f>
        <v>0</v>
      </c>
      <c r="J23" s="72">
        <f>IFERROR(__xludf.DUMMYFUNCTION("""COMPUTED_VALUE"""),0.0)</f>
        <v>0</v>
      </c>
      <c r="K23" s="72">
        <f>IFERROR(__xludf.DUMMYFUNCTION("""COMPUTED_VALUE"""),0.0)</f>
        <v>0</v>
      </c>
      <c r="L23" s="72">
        <f>IFERROR(__xludf.DUMMYFUNCTION("""COMPUTED_VALUE"""),0.0)</f>
        <v>0</v>
      </c>
      <c r="M23" s="72">
        <f>IFERROR(__xludf.DUMMYFUNCTION("""COMPUTED_VALUE"""),0.0)</f>
        <v>0</v>
      </c>
      <c r="N23" s="72">
        <f>IFERROR(__xludf.DUMMYFUNCTION("""COMPUTED_VALUE"""),0.0)</f>
        <v>0</v>
      </c>
      <c r="O23" s="72">
        <f>IFERROR(__xludf.DUMMYFUNCTION("""COMPUTED_VALUE"""),0.0)</f>
        <v>0</v>
      </c>
      <c r="P23" s="72">
        <f>IFERROR(__xludf.DUMMYFUNCTION("""COMPUTED_VALUE"""),0.0)</f>
        <v>0</v>
      </c>
      <c r="Q23" s="72">
        <f>IFERROR(__xludf.DUMMYFUNCTION("""COMPUTED_VALUE"""),0.0)</f>
        <v>0</v>
      </c>
      <c r="R23" s="72">
        <f>IFERROR(__xludf.DUMMYFUNCTION("""COMPUTED_VALUE"""),0.0)</f>
        <v>0</v>
      </c>
      <c r="S23" s="72">
        <f>IFERROR(__xludf.DUMMYFUNCTION("""COMPUTED_VALUE"""),0.0)</f>
        <v>0</v>
      </c>
      <c r="T23" s="72">
        <f>IFERROR(__xludf.DUMMYFUNCTION("""COMPUTED_VALUE"""),0.0)</f>
        <v>0</v>
      </c>
      <c r="U23" s="72">
        <f>IFERROR(__xludf.DUMMYFUNCTION("""COMPUTED_VALUE"""),1.0)</f>
        <v>1</v>
      </c>
      <c r="V23" s="72">
        <f>IFERROR(__xludf.DUMMYFUNCTION("""COMPUTED_VALUE"""),0.0)</f>
        <v>0</v>
      </c>
      <c r="W23" s="72">
        <f>IFERROR(__xludf.DUMMYFUNCTION("""COMPUTED_VALUE"""),-1.0)</f>
        <v>-1</v>
      </c>
      <c r="X23" s="72" t="str">
        <f>IFERROR(__xludf.DUMMYFUNCTION("""COMPUTED_VALUE"""),"")</f>
        <v/>
      </c>
      <c r="Y23" s="72">
        <f>IFERROR(__xludf.DUMMYFUNCTION("""COMPUTED_VALUE"""),0.0)</f>
        <v>0</v>
      </c>
      <c r="Z23" s="72">
        <f>IFERROR(__xludf.DUMMYFUNCTION("""COMPUTED_VALUE"""),0.0)</f>
        <v>0</v>
      </c>
      <c r="AA23" s="72">
        <f>IFERROR(__xludf.DUMMYFUNCTION("""COMPUTED_VALUE"""),0.0)</f>
        <v>0</v>
      </c>
      <c r="AB23" s="72">
        <f>IFERROR(__xludf.DUMMYFUNCTION("""COMPUTED_VALUE"""),0.0)</f>
        <v>0</v>
      </c>
      <c r="AC23" s="72">
        <f>IFERROR(__xludf.DUMMYFUNCTION("""COMPUTED_VALUE"""),0.0)</f>
        <v>0</v>
      </c>
      <c r="AD23" s="72">
        <f>IFERROR(__xludf.DUMMYFUNCTION("""COMPUTED_VALUE"""),0.0)</f>
        <v>0</v>
      </c>
      <c r="AE23" s="72">
        <f>IFERROR(__xludf.DUMMYFUNCTION("""COMPUTED_VALUE"""),-1.0)</f>
        <v>-1</v>
      </c>
      <c r="AF23" s="72">
        <f>IFERROR(__xludf.DUMMYFUNCTION("""COMPUTED_VALUE"""),0.0)</f>
        <v>0</v>
      </c>
      <c r="AG23" s="72">
        <f>IFERROR(__xludf.DUMMYFUNCTION("""COMPUTED_VALUE"""),0.0)</f>
        <v>0</v>
      </c>
      <c r="AH23" s="72">
        <f>IFERROR(__xludf.DUMMYFUNCTION("""COMPUTED_VALUE"""),0.0)</f>
        <v>0</v>
      </c>
      <c r="AI23" s="72">
        <f>IFERROR(__xludf.DUMMYFUNCTION("""COMPUTED_VALUE"""),0.0)</f>
        <v>0</v>
      </c>
      <c r="AJ23" s="72">
        <f>IFERROR(__xludf.DUMMYFUNCTION("""COMPUTED_VALUE"""),0.0)</f>
        <v>0</v>
      </c>
      <c r="AK23" s="72">
        <f>IFERROR(__xludf.DUMMYFUNCTION("""COMPUTED_VALUE"""),0.0)</f>
        <v>0</v>
      </c>
      <c r="AL23" s="72">
        <f>IFERROR(__xludf.DUMMYFUNCTION("""COMPUTED_VALUE"""),-1.0)</f>
        <v>-1</v>
      </c>
      <c r="AM23" s="72">
        <f>IFERROR(__xludf.DUMMYFUNCTION("""COMPUTED_VALUE"""),0.0)</f>
        <v>0</v>
      </c>
      <c r="AN23" s="72">
        <f>IFERROR(__xludf.DUMMYFUNCTION("""COMPUTED_VALUE"""),0.0)</f>
        <v>0</v>
      </c>
      <c r="AO23" s="72">
        <f>IFERROR(__xludf.DUMMYFUNCTION("""COMPUTED_VALUE"""),0.0)</f>
        <v>0</v>
      </c>
      <c r="AP23" s="72">
        <f>IFERROR(__xludf.DUMMYFUNCTION("""COMPUTED_VALUE"""),0.0)</f>
        <v>0</v>
      </c>
      <c r="AQ23" s="72">
        <f>IFERROR(__xludf.DUMMYFUNCTION("""COMPUTED_VALUE"""),0.0)</f>
        <v>0</v>
      </c>
      <c r="AR23" s="72">
        <f>IFERROR(__xludf.DUMMYFUNCTION("""COMPUTED_VALUE"""),0.0)</f>
        <v>0</v>
      </c>
      <c r="AS23" s="72">
        <f>IFERROR(__xludf.DUMMYFUNCTION("""COMPUTED_VALUE"""),0.0)</f>
        <v>0</v>
      </c>
      <c r="AT23" s="72">
        <f>IFERROR(__xludf.DUMMYFUNCTION("""COMPUTED_VALUE"""),0.0)</f>
        <v>0</v>
      </c>
      <c r="AU23" s="72">
        <f>IFERROR(__xludf.DUMMYFUNCTION("""COMPUTED_VALUE"""),0.0)</f>
        <v>0</v>
      </c>
      <c r="AV23" s="72">
        <f>IFERROR(__xludf.DUMMYFUNCTION("""COMPUTED_VALUE"""),0.0)</f>
        <v>0</v>
      </c>
      <c r="AW23" s="72">
        <f>IFERROR(__xludf.DUMMYFUNCTION("""COMPUTED_VALUE"""),0.0)</f>
        <v>0</v>
      </c>
      <c r="AX23" s="72">
        <f>IFERROR(__xludf.DUMMYFUNCTION("""COMPUTED_VALUE"""),0.0)</f>
        <v>0</v>
      </c>
      <c r="AY23" s="72">
        <f>IFERROR(__xludf.DUMMYFUNCTION("""COMPUTED_VALUE"""),0.0)</f>
        <v>0</v>
      </c>
      <c r="AZ23" s="72">
        <f>IFERROR(__xludf.DUMMYFUNCTION("""COMPUTED_VALUE"""),0.0)</f>
        <v>0</v>
      </c>
      <c r="BA23" s="72">
        <f>IFERROR(__xludf.DUMMYFUNCTION("""COMPUTED_VALUE"""),0.0)</f>
        <v>0</v>
      </c>
      <c r="BB23" s="72">
        <f>IFERROR(__xludf.DUMMYFUNCTION("""COMPUTED_VALUE"""),0.0)</f>
        <v>0</v>
      </c>
      <c r="BC23" s="72">
        <f>IFERROR(__xludf.DUMMYFUNCTION("""COMPUTED_VALUE"""),0.0)</f>
        <v>0</v>
      </c>
      <c r="BD23" s="69">
        <f>IFERROR(__xludf.DUMMYFUNCTION("""COMPUTED_VALUE"""),0.0)</f>
        <v>0</v>
      </c>
      <c r="BE23" s="69" t="str">
        <f>IFERROR(__xludf.DUMMYFUNCTION("""COMPUTED_VALUE"""),"")</f>
        <v/>
      </c>
      <c r="BF23" s="69" t="str">
        <f>IFERROR(__xludf.DUMMYFUNCTION("""COMPUTED_VALUE"""),"")</f>
        <v/>
      </c>
      <c r="BG23" s="69" t="str">
        <f>IFERROR(__xludf.DUMMYFUNCTION("""COMPUTED_VALUE"""),"")</f>
        <v/>
      </c>
      <c r="BH23" s="69" t="str">
        <f>IFERROR(__xludf.DUMMYFUNCTION("""COMPUTED_VALUE"""),"")</f>
        <v/>
      </c>
      <c r="BI23" s="69" t="str">
        <f>IFERROR(__xludf.DUMMYFUNCTION("""COMPUTED_VALUE"""),"")</f>
        <v/>
      </c>
      <c r="BJ23" s="69" t="str">
        <f>IFERROR(__xludf.DUMMYFUNCTION("""COMPUTED_VALUE"""),"")</f>
        <v/>
      </c>
      <c r="BK23" s="69" t="str">
        <f>IFERROR(__xludf.DUMMYFUNCTION("""COMPUTED_VALUE"""),"")</f>
        <v/>
      </c>
      <c r="BL23" s="69" t="str">
        <f>IFERROR(__xludf.DUMMYFUNCTION("""COMPUTED_VALUE"""),"")</f>
        <v/>
      </c>
      <c r="BM23" s="69" t="str">
        <f>IFERROR(__xludf.DUMMYFUNCTION("""COMPUTED_VALUE"""),"")</f>
        <v/>
      </c>
      <c r="BN23" s="69" t="str">
        <f>IFERROR(__xludf.DUMMYFUNCTION("""COMPUTED_VALUE"""),"")</f>
        <v/>
      </c>
      <c r="BO23" s="69" t="str">
        <f>IFERROR(__xludf.DUMMYFUNCTION("""COMPUTED_VALUE"""),"")</f>
        <v/>
      </c>
      <c r="BP23" s="69" t="str">
        <f>IFERROR(__xludf.DUMMYFUNCTION("""COMPUTED_VALUE"""),"")</f>
        <v/>
      </c>
      <c r="BQ23" s="69" t="str">
        <f>IFERROR(__xludf.DUMMYFUNCTION("""COMPUTED_VALUE"""),"")</f>
        <v/>
      </c>
      <c r="BR23" s="69" t="str">
        <f>IFERROR(__xludf.DUMMYFUNCTION("""COMPUTED_VALUE"""),"")</f>
        <v/>
      </c>
      <c r="BS23" s="69" t="str">
        <f>IFERROR(__xludf.DUMMYFUNCTION("""COMPUTED_VALUE"""),"")</f>
        <v/>
      </c>
      <c r="BT23" s="69" t="str">
        <f>IFERROR(__xludf.DUMMYFUNCTION("""COMPUTED_VALUE"""),"")</f>
        <v/>
      </c>
      <c r="BU23" s="69" t="str">
        <f>IFERROR(__xludf.DUMMYFUNCTION("""COMPUTED_VALUE"""),"")</f>
        <v/>
      </c>
      <c r="BV23" s="69" t="str">
        <f>IFERROR(__xludf.DUMMYFUNCTION("""COMPUTED_VALUE"""),"")</f>
        <v/>
      </c>
      <c r="BW23" s="69"/>
      <c r="BX23" s="69"/>
      <c r="BY23" s="69"/>
      <c r="BZ23" s="69"/>
      <c r="CA23" s="69"/>
      <c r="CB23" s="69"/>
      <c r="CC23" s="69"/>
      <c r="CD23" s="69"/>
      <c r="CE23" s="69"/>
      <c r="CF23" s="69"/>
    </row>
    <row r="24">
      <c r="A24" s="70" t="str">
        <f>IFERROR(__xludf.DUMMYFUNCTION("""COMPUTED_VALUE"""),"Food and Fellowship")</f>
        <v>Food and Fellowship</v>
      </c>
      <c r="B24" s="71">
        <f>IFERROR(__xludf.DUMMYFUNCTION("""COMPUTED_VALUE"""),-1.0)</f>
        <v>-1</v>
      </c>
      <c r="C24" s="72">
        <f>IFERROR(__xludf.DUMMYFUNCTION("""COMPUTED_VALUE"""),0.0)</f>
        <v>0</v>
      </c>
      <c r="D24" s="72">
        <f>IFERROR(__xludf.DUMMYFUNCTION("""COMPUTED_VALUE"""),0.0)</f>
        <v>0</v>
      </c>
      <c r="E24" s="72">
        <f>IFERROR(__xludf.DUMMYFUNCTION("""COMPUTED_VALUE"""),0.0)</f>
        <v>0</v>
      </c>
      <c r="F24" s="72">
        <f>IFERROR(__xludf.DUMMYFUNCTION("""COMPUTED_VALUE"""),0.0)</f>
        <v>0</v>
      </c>
      <c r="G24" s="72">
        <f>IFERROR(__xludf.DUMMYFUNCTION("""COMPUTED_VALUE"""),0.0)</f>
        <v>0</v>
      </c>
      <c r="H24" s="72">
        <f>IFERROR(__xludf.DUMMYFUNCTION("""COMPUTED_VALUE"""),0.0)</f>
        <v>0</v>
      </c>
      <c r="I24" s="72">
        <f>IFERROR(__xludf.DUMMYFUNCTION("""COMPUTED_VALUE"""),0.0)</f>
        <v>0</v>
      </c>
      <c r="J24" s="72">
        <f>IFERROR(__xludf.DUMMYFUNCTION("""COMPUTED_VALUE"""),0.0)</f>
        <v>0</v>
      </c>
      <c r="K24" s="72">
        <f>IFERROR(__xludf.DUMMYFUNCTION("""COMPUTED_VALUE"""),0.0)</f>
        <v>0</v>
      </c>
      <c r="L24" s="72">
        <f>IFERROR(__xludf.DUMMYFUNCTION("""COMPUTED_VALUE"""),0.0)</f>
        <v>0</v>
      </c>
      <c r="M24" s="72">
        <f>IFERROR(__xludf.DUMMYFUNCTION("""COMPUTED_VALUE"""),0.0)</f>
        <v>0</v>
      </c>
      <c r="N24" s="72">
        <f>IFERROR(__xludf.DUMMYFUNCTION("""COMPUTED_VALUE"""),0.0)</f>
        <v>0</v>
      </c>
      <c r="O24" s="72">
        <f>IFERROR(__xludf.DUMMYFUNCTION("""COMPUTED_VALUE"""),0.0)</f>
        <v>0</v>
      </c>
      <c r="P24" s="72">
        <f>IFERROR(__xludf.DUMMYFUNCTION("""COMPUTED_VALUE"""),0.0)</f>
        <v>0</v>
      </c>
      <c r="Q24" s="72">
        <f>IFERROR(__xludf.DUMMYFUNCTION("""COMPUTED_VALUE"""),0.0)</f>
        <v>0</v>
      </c>
      <c r="R24" s="72">
        <f>IFERROR(__xludf.DUMMYFUNCTION("""COMPUTED_VALUE"""),0.0)</f>
        <v>0</v>
      </c>
      <c r="S24" s="72">
        <f>IFERROR(__xludf.DUMMYFUNCTION("""COMPUTED_VALUE"""),0.0)</f>
        <v>0</v>
      </c>
      <c r="T24" s="72">
        <f>IFERROR(__xludf.DUMMYFUNCTION("""COMPUTED_VALUE"""),0.0)</f>
        <v>0</v>
      </c>
      <c r="U24" s="72">
        <f>IFERROR(__xludf.DUMMYFUNCTION("""COMPUTED_VALUE"""),0.0)</f>
        <v>0</v>
      </c>
      <c r="V24" s="72">
        <f>IFERROR(__xludf.DUMMYFUNCTION("""COMPUTED_VALUE"""),0.0)</f>
        <v>0</v>
      </c>
      <c r="W24" s="72">
        <f>IFERROR(__xludf.DUMMYFUNCTION("""COMPUTED_VALUE"""),0.0)</f>
        <v>0</v>
      </c>
      <c r="X24" s="72">
        <f>IFERROR(__xludf.DUMMYFUNCTION("""COMPUTED_VALUE"""),0.0)</f>
        <v>0</v>
      </c>
      <c r="Y24" s="72" t="str">
        <f>IFERROR(__xludf.DUMMYFUNCTION("""COMPUTED_VALUE"""),"")</f>
        <v/>
      </c>
      <c r="Z24" s="72">
        <f>IFERROR(__xludf.DUMMYFUNCTION("""COMPUTED_VALUE"""),0.0)</f>
        <v>0</v>
      </c>
      <c r="AA24" s="72">
        <f>IFERROR(__xludf.DUMMYFUNCTION("""COMPUTED_VALUE"""),0.0)</f>
        <v>0</v>
      </c>
      <c r="AB24" s="72">
        <f>IFERROR(__xludf.DUMMYFUNCTION("""COMPUTED_VALUE"""),0.0)</f>
        <v>0</v>
      </c>
      <c r="AC24" s="72">
        <f>IFERROR(__xludf.DUMMYFUNCTION("""COMPUTED_VALUE"""),0.0)</f>
        <v>0</v>
      </c>
      <c r="AD24" s="72">
        <f>IFERROR(__xludf.DUMMYFUNCTION("""COMPUTED_VALUE"""),0.0)</f>
        <v>0</v>
      </c>
      <c r="AE24" s="72">
        <f>IFERROR(__xludf.DUMMYFUNCTION("""COMPUTED_VALUE"""),0.0)</f>
        <v>0</v>
      </c>
      <c r="AF24" s="72">
        <f>IFERROR(__xludf.DUMMYFUNCTION("""COMPUTED_VALUE"""),0.0)</f>
        <v>0</v>
      </c>
      <c r="AG24" s="72">
        <f>IFERROR(__xludf.DUMMYFUNCTION("""COMPUTED_VALUE"""),0.0)</f>
        <v>0</v>
      </c>
      <c r="AH24" s="72">
        <f>IFERROR(__xludf.DUMMYFUNCTION("""COMPUTED_VALUE"""),0.0)</f>
        <v>0</v>
      </c>
      <c r="AI24" s="72">
        <f>IFERROR(__xludf.DUMMYFUNCTION("""COMPUTED_VALUE"""),0.0)</f>
        <v>0</v>
      </c>
      <c r="AJ24" s="72">
        <f>IFERROR(__xludf.DUMMYFUNCTION("""COMPUTED_VALUE"""),0.0)</f>
        <v>0</v>
      </c>
      <c r="AK24" s="72">
        <f>IFERROR(__xludf.DUMMYFUNCTION("""COMPUTED_VALUE"""),0.0)</f>
        <v>0</v>
      </c>
      <c r="AL24" s="72">
        <f>IFERROR(__xludf.DUMMYFUNCTION("""COMPUTED_VALUE"""),-1.0)</f>
        <v>-1</v>
      </c>
      <c r="AM24" s="72">
        <f>IFERROR(__xludf.DUMMYFUNCTION("""COMPUTED_VALUE"""),0.0)</f>
        <v>0</v>
      </c>
      <c r="AN24" s="72">
        <f>IFERROR(__xludf.DUMMYFUNCTION("""COMPUTED_VALUE"""),0.0)</f>
        <v>0</v>
      </c>
      <c r="AO24" s="72">
        <f>IFERROR(__xludf.DUMMYFUNCTION("""COMPUTED_VALUE"""),0.0)</f>
        <v>0</v>
      </c>
      <c r="AP24" s="72">
        <f>IFERROR(__xludf.DUMMYFUNCTION("""COMPUTED_VALUE"""),0.0)</f>
        <v>0</v>
      </c>
      <c r="AQ24" s="72">
        <f>IFERROR(__xludf.DUMMYFUNCTION("""COMPUTED_VALUE"""),0.0)</f>
        <v>0</v>
      </c>
      <c r="AR24" s="72">
        <f>IFERROR(__xludf.DUMMYFUNCTION("""COMPUTED_VALUE"""),0.0)</f>
        <v>0</v>
      </c>
      <c r="AS24" s="72">
        <f>IFERROR(__xludf.DUMMYFUNCTION("""COMPUTED_VALUE"""),0.0)</f>
        <v>0</v>
      </c>
      <c r="AT24" s="72">
        <f>IFERROR(__xludf.DUMMYFUNCTION("""COMPUTED_VALUE"""),0.0)</f>
        <v>0</v>
      </c>
      <c r="AU24" s="72">
        <f>IFERROR(__xludf.DUMMYFUNCTION("""COMPUTED_VALUE"""),0.0)</f>
        <v>0</v>
      </c>
      <c r="AV24" s="72">
        <f>IFERROR(__xludf.DUMMYFUNCTION("""COMPUTED_VALUE"""),0.0)</f>
        <v>0</v>
      </c>
      <c r="AW24" s="72">
        <f>IFERROR(__xludf.DUMMYFUNCTION("""COMPUTED_VALUE"""),0.0)</f>
        <v>0</v>
      </c>
      <c r="AX24" s="72">
        <f>IFERROR(__xludf.DUMMYFUNCTION("""COMPUTED_VALUE"""),0.0)</f>
        <v>0</v>
      </c>
      <c r="AY24" s="72">
        <f>IFERROR(__xludf.DUMMYFUNCTION("""COMPUTED_VALUE"""),0.0)</f>
        <v>0</v>
      </c>
      <c r="AZ24" s="72">
        <f>IFERROR(__xludf.DUMMYFUNCTION("""COMPUTED_VALUE"""),0.0)</f>
        <v>0</v>
      </c>
      <c r="BA24" s="72">
        <f>IFERROR(__xludf.DUMMYFUNCTION("""COMPUTED_VALUE"""),0.0)</f>
        <v>0</v>
      </c>
      <c r="BB24" s="72">
        <f>IFERROR(__xludf.DUMMYFUNCTION("""COMPUTED_VALUE"""),0.0)</f>
        <v>0</v>
      </c>
      <c r="BC24" s="72">
        <f>IFERROR(__xludf.DUMMYFUNCTION("""COMPUTED_VALUE"""),0.0)</f>
        <v>0</v>
      </c>
      <c r="BD24" s="69">
        <f>IFERROR(__xludf.DUMMYFUNCTION("""COMPUTED_VALUE"""),0.0)</f>
        <v>0</v>
      </c>
      <c r="BE24" s="69" t="str">
        <f>IFERROR(__xludf.DUMMYFUNCTION("""COMPUTED_VALUE"""),"")</f>
        <v/>
      </c>
      <c r="BF24" s="69" t="str">
        <f>IFERROR(__xludf.DUMMYFUNCTION("""COMPUTED_VALUE"""),"")</f>
        <v/>
      </c>
      <c r="BG24" s="69" t="str">
        <f>IFERROR(__xludf.DUMMYFUNCTION("""COMPUTED_VALUE"""),"")</f>
        <v/>
      </c>
      <c r="BH24" s="69" t="str">
        <f>IFERROR(__xludf.DUMMYFUNCTION("""COMPUTED_VALUE"""),"")</f>
        <v/>
      </c>
      <c r="BI24" s="69" t="str">
        <f>IFERROR(__xludf.DUMMYFUNCTION("""COMPUTED_VALUE"""),"")</f>
        <v/>
      </c>
      <c r="BJ24" s="69" t="str">
        <f>IFERROR(__xludf.DUMMYFUNCTION("""COMPUTED_VALUE"""),"")</f>
        <v/>
      </c>
      <c r="BK24" s="69" t="str">
        <f>IFERROR(__xludf.DUMMYFUNCTION("""COMPUTED_VALUE"""),"")</f>
        <v/>
      </c>
      <c r="BL24" s="69" t="str">
        <f>IFERROR(__xludf.DUMMYFUNCTION("""COMPUTED_VALUE"""),"")</f>
        <v/>
      </c>
      <c r="BM24" s="69" t="str">
        <f>IFERROR(__xludf.DUMMYFUNCTION("""COMPUTED_VALUE"""),"")</f>
        <v/>
      </c>
      <c r="BN24" s="69" t="str">
        <f>IFERROR(__xludf.DUMMYFUNCTION("""COMPUTED_VALUE"""),"")</f>
        <v/>
      </c>
      <c r="BO24" s="69" t="str">
        <f>IFERROR(__xludf.DUMMYFUNCTION("""COMPUTED_VALUE"""),"")</f>
        <v/>
      </c>
      <c r="BP24" s="69" t="str">
        <f>IFERROR(__xludf.DUMMYFUNCTION("""COMPUTED_VALUE"""),"")</f>
        <v/>
      </c>
      <c r="BQ24" s="69" t="str">
        <f>IFERROR(__xludf.DUMMYFUNCTION("""COMPUTED_VALUE"""),"")</f>
        <v/>
      </c>
      <c r="BR24" s="69" t="str">
        <f>IFERROR(__xludf.DUMMYFUNCTION("""COMPUTED_VALUE"""),"")</f>
        <v/>
      </c>
      <c r="BS24" s="69" t="str">
        <f>IFERROR(__xludf.DUMMYFUNCTION("""COMPUTED_VALUE"""),"")</f>
        <v/>
      </c>
      <c r="BT24" s="69" t="str">
        <f>IFERROR(__xludf.DUMMYFUNCTION("""COMPUTED_VALUE"""),"")</f>
        <v/>
      </c>
      <c r="BU24" s="69" t="str">
        <f>IFERROR(__xludf.DUMMYFUNCTION("""COMPUTED_VALUE"""),"")</f>
        <v/>
      </c>
      <c r="BV24" s="69" t="str">
        <f>IFERROR(__xludf.DUMMYFUNCTION("""COMPUTED_VALUE"""),"")</f>
        <v/>
      </c>
      <c r="BW24" s="69"/>
      <c r="BX24" s="69"/>
      <c r="BY24" s="69"/>
      <c r="BZ24" s="69"/>
      <c r="CA24" s="69"/>
      <c r="CB24" s="69"/>
      <c r="CC24" s="69"/>
      <c r="CD24" s="69"/>
      <c r="CE24" s="69"/>
      <c r="CF24" s="69"/>
    </row>
    <row r="25">
      <c r="A25" s="70" t="str">
        <f>IFERROR(__xludf.DUMMYFUNCTION("""COMPUTED_VALUE"""),"Jeskai Striker")</f>
        <v>Jeskai Striker</v>
      </c>
      <c r="B25" s="71">
        <f>IFERROR(__xludf.DUMMYFUNCTION("""COMPUTED_VALUE"""),3.0)</f>
        <v>3</v>
      </c>
      <c r="C25" s="72">
        <f>IFERROR(__xludf.DUMMYFUNCTION("""COMPUTED_VALUE"""),0.0)</f>
        <v>0</v>
      </c>
      <c r="D25" s="72">
        <f>IFERROR(__xludf.DUMMYFUNCTION("""COMPUTED_VALUE"""),0.0)</f>
        <v>0</v>
      </c>
      <c r="E25" s="72">
        <f>IFERROR(__xludf.DUMMYFUNCTION("""COMPUTED_VALUE"""),0.0)</f>
        <v>0</v>
      </c>
      <c r="F25" s="72">
        <f>IFERROR(__xludf.DUMMYFUNCTION("""COMPUTED_VALUE"""),0.0)</f>
        <v>0</v>
      </c>
      <c r="G25" s="72">
        <f>IFERROR(__xludf.DUMMYFUNCTION("""COMPUTED_VALUE"""),1.0)</f>
        <v>1</v>
      </c>
      <c r="H25" s="72">
        <f>IFERROR(__xludf.DUMMYFUNCTION("""COMPUTED_VALUE"""),0.0)</f>
        <v>0</v>
      </c>
      <c r="I25" s="72">
        <f>IFERROR(__xludf.DUMMYFUNCTION("""COMPUTED_VALUE"""),1.0)</f>
        <v>1</v>
      </c>
      <c r="J25" s="72">
        <f>IFERROR(__xludf.DUMMYFUNCTION("""COMPUTED_VALUE"""),0.0)</f>
        <v>0</v>
      </c>
      <c r="K25" s="72">
        <f>IFERROR(__xludf.DUMMYFUNCTION("""COMPUTED_VALUE"""),1.0)</f>
        <v>1</v>
      </c>
      <c r="L25" s="72">
        <f>IFERROR(__xludf.DUMMYFUNCTION("""COMPUTED_VALUE"""),-1.0)</f>
        <v>-1</v>
      </c>
      <c r="M25" s="72">
        <f>IFERROR(__xludf.DUMMYFUNCTION("""COMPUTED_VALUE"""),0.0)</f>
        <v>0</v>
      </c>
      <c r="N25" s="72">
        <f>IFERROR(__xludf.DUMMYFUNCTION("""COMPUTED_VALUE"""),0.0)</f>
        <v>0</v>
      </c>
      <c r="O25" s="72">
        <f>IFERROR(__xludf.DUMMYFUNCTION("""COMPUTED_VALUE"""),-1.0)</f>
        <v>-1</v>
      </c>
      <c r="P25" s="72">
        <f>IFERROR(__xludf.DUMMYFUNCTION("""COMPUTED_VALUE"""),0.0)</f>
        <v>0</v>
      </c>
      <c r="Q25" s="72">
        <f>IFERROR(__xludf.DUMMYFUNCTION("""COMPUTED_VALUE"""),0.0)</f>
        <v>0</v>
      </c>
      <c r="R25" s="72">
        <f>IFERROR(__xludf.DUMMYFUNCTION("""COMPUTED_VALUE"""),0.0)</f>
        <v>0</v>
      </c>
      <c r="S25" s="72">
        <f>IFERROR(__xludf.DUMMYFUNCTION("""COMPUTED_VALUE"""),0.0)</f>
        <v>0</v>
      </c>
      <c r="T25" s="72">
        <f>IFERROR(__xludf.DUMMYFUNCTION("""COMPUTED_VALUE"""),0.0)</f>
        <v>0</v>
      </c>
      <c r="U25" s="72">
        <f>IFERROR(__xludf.DUMMYFUNCTION("""COMPUTED_VALUE"""),0.0)</f>
        <v>0</v>
      </c>
      <c r="V25" s="72">
        <f>IFERROR(__xludf.DUMMYFUNCTION("""COMPUTED_VALUE"""),0.0)</f>
        <v>0</v>
      </c>
      <c r="W25" s="72">
        <f>IFERROR(__xludf.DUMMYFUNCTION("""COMPUTED_VALUE"""),0.0)</f>
        <v>0</v>
      </c>
      <c r="X25" s="72">
        <f>IFERROR(__xludf.DUMMYFUNCTION("""COMPUTED_VALUE"""),0.0)</f>
        <v>0</v>
      </c>
      <c r="Y25" s="72">
        <f>IFERROR(__xludf.DUMMYFUNCTION("""COMPUTED_VALUE"""),0.0)</f>
        <v>0</v>
      </c>
      <c r="Z25" s="72" t="str">
        <f>IFERROR(__xludf.DUMMYFUNCTION("""COMPUTED_VALUE"""),"")</f>
        <v/>
      </c>
      <c r="AA25" s="72">
        <f>IFERROR(__xludf.DUMMYFUNCTION("""COMPUTED_VALUE"""),0.0)</f>
        <v>0</v>
      </c>
      <c r="AB25" s="72">
        <f>IFERROR(__xludf.DUMMYFUNCTION("""COMPUTED_VALUE"""),0.0)</f>
        <v>0</v>
      </c>
      <c r="AC25" s="72">
        <f>IFERROR(__xludf.DUMMYFUNCTION("""COMPUTED_VALUE"""),0.0)</f>
        <v>0</v>
      </c>
      <c r="AD25" s="72">
        <f>IFERROR(__xludf.DUMMYFUNCTION("""COMPUTED_VALUE"""),0.0)</f>
        <v>0</v>
      </c>
      <c r="AE25" s="72">
        <f>IFERROR(__xludf.DUMMYFUNCTION("""COMPUTED_VALUE"""),0.0)</f>
        <v>0</v>
      </c>
      <c r="AF25" s="72">
        <f>IFERROR(__xludf.DUMMYFUNCTION("""COMPUTED_VALUE"""),0.0)</f>
        <v>0</v>
      </c>
      <c r="AG25" s="72">
        <f>IFERROR(__xludf.DUMMYFUNCTION("""COMPUTED_VALUE"""),0.0)</f>
        <v>0</v>
      </c>
      <c r="AH25" s="72">
        <f>IFERROR(__xludf.DUMMYFUNCTION("""COMPUTED_VALUE"""),0.0)</f>
        <v>0</v>
      </c>
      <c r="AI25" s="72">
        <f>IFERROR(__xludf.DUMMYFUNCTION("""COMPUTED_VALUE"""),1.0)</f>
        <v>1</v>
      </c>
      <c r="AJ25" s="72">
        <f>IFERROR(__xludf.DUMMYFUNCTION("""COMPUTED_VALUE"""),0.0)</f>
        <v>0</v>
      </c>
      <c r="AK25" s="72">
        <f>IFERROR(__xludf.DUMMYFUNCTION("""COMPUTED_VALUE"""),-2.0)</f>
        <v>-2</v>
      </c>
      <c r="AL25" s="72">
        <f>IFERROR(__xludf.DUMMYFUNCTION("""COMPUTED_VALUE"""),1.0)</f>
        <v>1</v>
      </c>
      <c r="AM25" s="72">
        <f>IFERROR(__xludf.DUMMYFUNCTION("""COMPUTED_VALUE"""),0.0)</f>
        <v>0</v>
      </c>
      <c r="AN25" s="72">
        <f>IFERROR(__xludf.DUMMYFUNCTION("""COMPUTED_VALUE"""),0.0)</f>
        <v>0</v>
      </c>
      <c r="AO25" s="72">
        <f>IFERROR(__xludf.DUMMYFUNCTION("""COMPUTED_VALUE"""),0.0)</f>
        <v>0</v>
      </c>
      <c r="AP25" s="72">
        <f>IFERROR(__xludf.DUMMYFUNCTION("""COMPUTED_VALUE"""),1.0)</f>
        <v>1</v>
      </c>
      <c r="AQ25" s="72">
        <f>IFERROR(__xludf.DUMMYFUNCTION("""COMPUTED_VALUE"""),0.0)</f>
        <v>0</v>
      </c>
      <c r="AR25" s="72">
        <f>IFERROR(__xludf.DUMMYFUNCTION("""COMPUTED_VALUE"""),0.0)</f>
        <v>0</v>
      </c>
      <c r="AS25" s="72">
        <f>IFERROR(__xludf.DUMMYFUNCTION("""COMPUTED_VALUE"""),0.0)</f>
        <v>0</v>
      </c>
      <c r="AT25" s="72">
        <f>IFERROR(__xludf.DUMMYFUNCTION("""COMPUTED_VALUE"""),0.0)</f>
        <v>0</v>
      </c>
      <c r="AU25" s="72">
        <f>IFERROR(__xludf.DUMMYFUNCTION("""COMPUTED_VALUE"""),0.0)</f>
        <v>0</v>
      </c>
      <c r="AV25" s="72">
        <f>IFERROR(__xludf.DUMMYFUNCTION("""COMPUTED_VALUE"""),0.0)</f>
        <v>0</v>
      </c>
      <c r="AW25" s="72">
        <f>IFERROR(__xludf.DUMMYFUNCTION("""COMPUTED_VALUE"""),0.0)</f>
        <v>0</v>
      </c>
      <c r="AX25" s="72">
        <f>IFERROR(__xludf.DUMMYFUNCTION("""COMPUTED_VALUE"""),0.0)</f>
        <v>0</v>
      </c>
      <c r="AY25" s="72">
        <f>IFERROR(__xludf.DUMMYFUNCTION("""COMPUTED_VALUE"""),0.0)</f>
        <v>0</v>
      </c>
      <c r="AZ25" s="72">
        <f>IFERROR(__xludf.DUMMYFUNCTION("""COMPUTED_VALUE"""),0.0)</f>
        <v>0</v>
      </c>
      <c r="BA25" s="72">
        <f>IFERROR(__xludf.DUMMYFUNCTION("""COMPUTED_VALUE"""),0.0)</f>
        <v>0</v>
      </c>
      <c r="BB25" s="72">
        <f>IFERROR(__xludf.DUMMYFUNCTION("""COMPUTED_VALUE"""),0.0)</f>
        <v>0</v>
      </c>
      <c r="BC25" s="72">
        <f>IFERROR(__xludf.DUMMYFUNCTION("""COMPUTED_VALUE"""),1.0)</f>
        <v>1</v>
      </c>
      <c r="BD25" s="69">
        <f>IFERROR(__xludf.DUMMYFUNCTION("""COMPUTED_VALUE"""),0.0)</f>
        <v>0</v>
      </c>
      <c r="BE25" s="69" t="str">
        <f>IFERROR(__xludf.DUMMYFUNCTION("""COMPUTED_VALUE"""),"")</f>
        <v/>
      </c>
      <c r="BF25" s="69" t="str">
        <f>IFERROR(__xludf.DUMMYFUNCTION("""COMPUTED_VALUE"""),"")</f>
        <v/>
      </c>
      <c r="BG25" s="69" t="str">
        <f>IFERROR(__xludf.DUMMYFUNCTION("""COMPUTED_VALUE"""),"")</f>
        <v/>
      </c>
      <c r="BH25" s="69" t="str">
        <f>IFERROR(__xludf.DUMMYFUNCTION("""COMPUTED_VALUE"""),"")</f>
        <v/>
      </c>
      <c r="BI25" s="69" t="str">
        <f>IFERROR(__xludf.DUMMYFUNCTION("""COMPUTED_VALUE"""),"")</f>
        <v/>
      </c>
      <c r="BJ25" s="69" t="str">
        <f>IFERROR(__xludf.DUMMYFUNCTION("""COMPUTED_VALUE"""),"")</f>
        <v/>
      </c>
      <c r="BK25" s="69" t="str">
        <f>IFERROR(__xludf.DUMMYFUNCTION("""COMPUTED_VALUE"""),"")</f>
        <v/>
      </c>
      <c r="BL25" s="69" t="str">
        <f>IFERROR(__xludf.DUMMYFUNCTION("""COMPUTED_VALUE"""),"")</f>
        <v/>
      </c>
      <c r="BM25" s="69" t="str">
        <f>IFERROR(__xludf.DUMMYFUNCTION("""COMPUTED_VALUE"""),"")</f>
        <v/>
      </c>
      <c r="BN25" s="69" t="str">
        <f>IFERROR(__xludf.DUMMYFUNCTION("""COMPUTED_VALUE"""),"")</f>
        <v/>
      </c>
      <c r="BO25" s="69" t="str">
        <f>IFERROR(__xludf.DUMMYFUNCTION("""COMPUTED_VALUE"""),"")</f>
        <v/>
      </c>
      <c r="BP25" s="69" t="str">
        <f>IFERROR(__xludf.DUMMYFUNCTION("""COMPUTED_VALUE"""),"")</f>
        <v/>
      </c>
      <c r="BQ25" s="69" t="str">
        <f>IFERROR(__xludf.DUMMYFUNCTION("""COMPUTED_VALUE"""),"")</f>
        <v/>
      </c>
      <c r="BR25" s="69" t="str">
        <f>IFERROR(__xludf.DUMMYFUNCTION("""COMPUTED_VALUE"""),"")</f>
        <v/>
      </c>
      <c r="BS25" s="69" t="str">
        <f>IFERROR(__xludf.DUMMYFUNCTION("""COMPUTED_VALUE"""),"")</f>
        <v/>
      </c>
      <c r="BT25" s="69" t="str">
        <f>IFERROR(__xludf.DUMMYFUNCTION("""COMPUTED_VALUE"""),"")</f>
        <v/>
      </c>
      <c r="BU25" s="69" t="str">
        <f>IFERROR(__xludf.DUMMYFUNCTION("""COMPUTED_VALUE"""),"")</f>
        <v/>
      </c>
      <c r="BV25" s="69" t="str">
        <f>IFERROR(__xludf.DUMMYFUNCTION("""COMPUTED_VALUE"""),"")</f>
        <v/>
      </c>
      <c r="BW25" s="69"/>
      <c r="BX25" s="69"/>
      <c r="BY25" s="69"/>
      <c r="BZ25" s="69"/>
      <c r="CA25" s="69"/>
      <c r="CB25" s="69"/>
      <c r="CC25" s="69"/>
      <c r="CD25" s="69"/>
      <c r="CE25" s="69"/>
      <c r="CF25" s="69"/>
    </row>
    <row r="26">
      <c r="A26" s="70" t="str">
        <f>IFERROR(__xludf.DUMMYFUNCTION("""COMPUTED_VALUE"""),"Legends' Legacy")</f>
        <v>Legends' Legacy</v>
      </c>
      <c r="B26" s="71">
        <f>IFERROR(__xludf.DUMMYFUNCTION("""COMPUTED_VALUE"""),-5.0)</f>
        <v>-5</v>
      </c>
      <c r="C26" s="72">
        <f>IFERROR(__xludf.DUMMYFUNCTION("""COMPUTED_VALUE"""),0.0)</f>
        <v>0</v>
      </c>
      <c r="D26" s="72">
        <f>IFERROR(__xludf.DUMMYFUNCTION("""COMPUTED_VALUE"""),0.0)</f>
        <v>0</v>
      </c>
      <c r="E26" s="72">
        <f>IFERROR(__xludf.DUMMYFUNCTION("""COMPUTED_VALUE"""),0.0)</f>
        <v>0</v>
      </c>
      <c r="F26" s="72">
        <f>IFERROR(__xludf.DUMMYFUNCTION("""COMPUTED_VALUE"""),0.0)</f>
        <v>0</v>
      </c>
      <c r="G26" s="72">
        <f>IFERROR(__xludf.DUMMYFUNCTION("""COMPUTED_VALUE"""),0.0)</f>
        <v>0</v>
      </c>
      <c r="H26" s="72">
        <f>IFERROR(__xludf.DUMMYFUNCTION("""COMPUTED_VALUE"""),0.0)</f>
        <v>0</v>
      </c>
      <c r="I26" s="72">
        <f>IFERROR(__xludf.DUMMYFUNCTION("""COMPUTED_VALUE"""),0.0)</f>
        <v>0</v>
      </c>
      <c r="J26" s="72">
        <f>IFERROR(__xludf.DUMMYFUNCTION("""COMPUTED_VALUE"""),0.0)</f>
        <v>0</v>
      </c>
      <c r="K26" s="72">
        <f>IFERROR(__xludf.DUMMYFUNCTION("""COMPUTED_VALUE"""),0.0)</f>
        <v>0</v>
      </c>
      <c r="L26" s="72">
        <f>IFERROR(__xludf.DUMMYFUNCTION("""COMPUTED_VALUE"""),-1.0)</f>
        <v>-1</v>
      </c>
      <c r="M26" s="72">
        <f>IFERROR(__xludf.DUMMYFUNCTION("""COMPUTED_VALUE"""),0.0)</f>
        <v>0</v>
      </c>
      <c r="N26" s="72">
        <f>IFERROR(__xludf.DUMMYFUNCTION("""COMPUTED_VALUE"""),0.0)</f>
        <v>0</v>
      </c>
      <c r="O26" s="72">
        <f>IFERROR(__xludf.DUMMYFUNCTION("""COMPUTED_VALUE"""),0.0)</f>
        <v>0</v>
      </c>
      <c r="P26" s="72">
        <f>IFERROR(__xludf.DUMMYFUNCTION("""COMPUTED_VALUE"""),-1.0)</f>
        <v>-1</v>
      </c>
      <c r="Q26" s="72">
        <f>IFERROR(__xludf.DUMMYFUNCTION("""COMPUTED_VALUE"""),-1.0)</f>
        <v>-1</v>
      </c>
      <c r="R26" s="72">
        <f>IFERROR(__xludf.DUMMYFUNCTION("""COMPUTED_VALUE"""),0.0)</f>
        <v>0</v>
      </c>
      <c r="S26" s="72">
        <f>IFERROR(__xludf.DUMMYFUNCTION("""COMPUTED_VALUE"""),0.0)</f>
        <v>0</v>
      </c>
      <c r="T26" s="72">
        <f>IFERROR(__xludf.DUMMYFUNCTION("""COMPUTED_VALUE"""),0.0)</f>
        <v>0</v>
      </c>
      <c r="U26" s="72">
        <f>IFERROR(__xludf.DUMMYFUNCTION("""COMPUTED_VALUE"""),0.0)</f>
        <v>0</v>
      </c>
      <c r="V26" s="72">
        <f>IFERROR(__xludf.DUMMYFUNCTION("""COMPUTED_VALUE"""),0.0)</f>
        <v>0</v>
      </c>
      <c r="W26" s="72">
        <f>IFERROR(__xludf.DUMMYFUNCTION("""COMPUTED_VALUE"""),0.0)</f>
        <v>0</v>
      </c>
      <c r="X26" s="72">
        <f>IFERROR(__xludf.DUMMYFUNCTION("""COMPUTED_VALUE"""),0.0)</f>
        <v>0</v>
      </c>
      <c r="Y26" s="72">
        <f>IFERROR(__xludf.DUMMYFUNCTION("""COMPUTED_VALUE"""),0.0)</f>
        <v>0</v>
      </c>
      <c r="Z26" s="72">
        <f>IFERROR(__xludf.DUMMYFUNCTION("""COMPUTED_VALUE"""),0.0)</f>
        <v>0</v>
      </c>
      <c r="AA26" s="72" t="str">
        <f>IFERROR(__xludf.DUMMYFUNCTION("""COMPUTED_VALUE"""),"")</f>
        <v/>
      </c>
      <c r="AB26" s="72">
        <f>IFERROR(__xludf.DUMMYFUNCTION("""COMPUTED_VALUE"""),0.0)</f>
        <v>0</v>
      </c>
      <c r="AC26" s="72">
        <f>IFERROR(__xludf.DUMMYFUNCTION("""COMPUTED_VALUE"""),0.0)</f>
        <v>0</v>
      </c>
      <c r="AD26" s="72">
        <f>IFERROR(__xludf.DUMMYFUNCTION("""COMPUTED_VALUE"""),0.0)</f>
        <v>0</v>
      </c>
      <c r="AE26" s="72">
        <f>IFERROR(__xludf.DUMMYFUNCTION("""COMPUTED_VALUE"""),0.0)</f>
        <v>0</v>
      </c>
      <c r="AF26" s="72">
        <f>IFERROR(__xludf.DUMMYFUNCTION("""COMPUTED_VALUE"""),0.0)</f>
        <v>0</v>
      </c>
      <c r="AG26" s="72">
        <f>IFERROR(__xludf.DUMMYFUNCTION("""COMPUTED_VALUE"""),0.0)</f>
        <v>0</v>
      </c>
      <c r="AH26" s="72">
        <f>IFERROR(__xludf.DUMMYFUNCTION("""COMPUTED_VALUE"""),0.0)</f>
        <v>0</v>
      </c>
      <c r="AI26" s="72">
        <f>IFERROR(__xludf.DUMMYFUNCTION("""COMPUTED_VALUE"""),0.0)</f>
        <v>0</v>
      </c>
      <c r="AJ26" s="72">
        <f>IFERROR(__xludf.DUMMYFUNCTION("""COMPUTED_VALUE"""),0.0)</f>
        <v>0</v>
      </c>
      <c r="AK26" s="72">
        <f>IFERROR(__xludf.DUMMYFUNCTION("""COMPUTED_VALUE"""),0.0)</f>
        <v>0</v>
      </c>
      <c r="AL26" s="72">
        <f>IFERROR(__xludf.DUMMYFUNCTION("""COMPUTED_VALUE"""),-1.0)</f>
        <v>-1</v>
      </c>
      <c r="AM26" s="72">
        <f>IFERROR(__xludf.DUMMYFUNCTION("""COMPUTED_VALUE"""),0.0)</f>
        <v>0</v>
      </c>
      <c r="AN26" s="72">
        <f>IFERROR(__xludf.DUMMYFUNCTION("""COMPUTED_VALUE"""),-1.0)</f>
        <v>-1</v>
      </c>
      <c r="AO26" s="72">
        <f>IFERROR(__xludf.DUMMYFUNCTION("""COMPUTED_VALUE"""),0.0)</f>
        <v>0</v>
      </c>
      <c r="AP26" s="72">
        <f>IFERROR(__xludf.DUMMYFUNCTION("""COMPUTED_VALUE"""),0.0)</f>
        <v>0</v>
      </c>
      <c r="AQ26" s="72">
        <f>IFERROR(__xludf.DUMMYFUNCTION("""COMPUTED_VALUE"""),0.0)</f>
        <v>0</v>
      </c>
      <c r="AR26" s="72">
        <f>IFERROR(__xludf.DUMMYFUNCTION("""COMPUTED_VALUE"""),0.0)</f>
        <v>0</v>
      </c>
      <c r="AS26" s="72">
        <f>IFERROR(__xludf.DUMMYFUNCTION("""COMPUTED_VALUE"""),0.0)</f>
        <v>0</v>
      </c>
      <c r="AT26" s="72">
        <f>IFERROR(__xludf.DUMMYFUNCTION("""COMPUTED_VALUE"""),0.0)</f>
        <v>0</v>
      </c>
      <c r="AU26" s="72">
        <f>IFERROR(__xludf.DUMMYFUNCTION("""COMPUTED_VALUE"""),0.0)</f>
        <v>0</v>
      </c>
      <c r="AV26" s="72">
        <f>IFERROR(__xludf.DUMMYFUNCTION("""COMPUTED_VALUE"""),0.0)</f>
        <v>0</v>
      </c>
      <c r="AW26" s="72">
        <f>IFERROR(__xludf.DUMMYFUNCTION("""COMPUTED_VALUE"""),0.0)</f>
        <v>0</v>
      </c>
      <c r="AX26" s="72">
        <f>IFERROR(__xludf.DUMMYFUNCTION("""COMPUTED_VALUE"""),0.0)</f>
        <v>0</v>
      </c>
      <c r="AY26" s="72">
        <f>IFERROR(__xludf.DUMMYFUNCTION("""COMPUTED_VALUE"""),0.0)</f>
        <v>0</v>
      </c>
      <c r="AZ26" s="72">
        <f>IFERROR(__xludf.DUMMYFUNCTION("""COMPUTED_VALUE"""),0.0)</f>
        <v>0</v>
      </c>
      <c r="BA26" s="72">
        <f>IFERROR(__xludf.DUMMYFUNCTION("""COMPUTED_VALUE"""),0.0)</f>
        <v>0</v>
      </c>
      <c r="BB26" s="72">
        <f>IFERROR(__xludf.DUMMYFUNCTION("""COMPUTED_VALUE"""),0.0)</f>
        <v>0</v>
      </c>
      <c r="BC26" s="72">
        <f>IFERROR(__xludf.DUMMYFUNCTION("""COMPUTED_VALUE"""),0.0)</f>
        <v>0</v>
      </c>
      <c r="BD26" s="69">
        <f>IFERROR(__xludf.DUMMYFUNCTION("""COMPUTED_VALUE"""),0.0)</f>
        <v>0</v>
      </c>
      <c r="BE26" s="69" t="str">
        <f>IFERROR(__xludf.DUMMYFUNCTION("""COMPUTED_VALUE"""),"")</f>
        <v/>
      </c>
      <c r="BF26" s="69" t="str">
        <f>IFERROR(__xludf.DUMMYFUNCTION("""COMPUTED_VALUE"""),"")</f>
        <v/>
      </c>
      <c r="BG26" s="69" t="str">
        <f>IFERROR(__xludf.DUMMYFUNCTION("""COMPUTED_VALUE"""),"")</f>
        <v/>
      </c>
      <c r="BH26" s="69" t="str">
        <f>IFERROR(__xludf.DUMMYFUNCTION("""COMPUTED_VALUE"""),"")</f>
        <v/>
      </c>
      <c r="BI26" s="69" t="str">
        <f>IFERROR(__xludf.DUMMYFUNCTION("""COMPUTED_VALUE"""),"")</f>
        <v/>
      </c>
      <c r="BJ26" s="69" t="str">
        <f>IFERROR(__xludf.DUMMYFUNCTION("""COMPUTED_VALUE"""),"")</f>
        <v/>
      </c>
      <c r="BK26" s="69" t="str">
        <f>IFERROR(__xludf.DUMMYFUNCTION("""COMPUTED_VALUE"""),"")</f>
        <v/>
      </c>
      <c r="BL26" s="69" t="str">
        <f>IFERROR(__xludf.DUMMYFUNCTION("""COMPUTED_VALUE"""),"")</f>
        <v/>
      </c>
      <c r="BM26" s="69" t="str">
        <f>IFERROR(__xludf.DUMMYFUNCTION("""COMPUTED_VALUE"""),"")</f>
        <v/>
      </c>
      <c r="BN26" s="69" t="str">
        <f>IFERROR(__xludf.DUMMYFUNCTION("""COMPUTED_VALUE"""),"")</f>
        <v/>
      </c>
      <c r="BO26" s="69" t="str">
        <f>IFERROR(__xludf.DUMMYFUNCTION("""COMPUTED_VALUE"""),"")</f>
        <v/>
      </c>
      <c r="BP26" s="69" t="str">
        <f>IFERROR(__xludf.DUMMYFUNCTION("""COMPUTED_VALUE"""),"")</f>
        <v/>
      </c>
      <c r="BQ26" s="69" t="str">
        <f>IFERROR(__xludf.DUMMYFUNCTION("""COMPUTED_VALUE"""),"")</f>
        <v/>
      </c>
      <c r="BR26" s="69" t="str">
        <f>IFERROR(__xludf.DUMMYFUNCTION("""COMPUTED_VALUE"""),"")</f>
        <v/>
      </c>
      <c r="BS26" s="69" t="str">
        <f>IFERROR(__xludf.DUMMYFUNCTION("""COMPUTED_VALUE"""),"")</f>
        <v/>
      </c>
      <c r="BT26" s="69" t="str">
        <f>IFERROR(__xludf.DUMMYFUNCTION("""COMPUTED_VALUE"""),"")</f>
        <v/>
      </c>
      <c r="BU26" s="69" t="str">
        <f>IFERROR(__xludf.DUMMYFUNCTION("""COMPUTED_VALUE"""),"")</f>
        <v/>
      </c>
      <c r="BV26" s="69" t="str">
        <f>IFERROR(__xludf.DUMMYFUNCTION("""COMPUTED_VALUE"""),"")</f>
        <v/>
      </c>
      <c r="BW26" s="69"/>
      <c r="BX26" s="69"/>
      <c r="BY26" s="69"/>
      <c r="BZ26" s="69"/>
      <c r="CA26" s="69"/>
      <c r="CB26" s="69"/>
      <c r="CC26" s="69"/>
      <c r="CD26" s="69"/>
      <c r="CE26" s="69"/>
      <c r="CF26" s="69"/>
    </row>
    <row r="27">
      <c r="A27" s="70" t="str">
        <f>IFERROR(__xludf.DUMMYFUNCTION("""COMPUTED_VALUE"""),"Limit Break")</f>
        <v>Limit Break</v>
      </c>
      <c r="B27" s="71">
        <f>IFERROR(__xludf.DUMMYFUNCTION("""COMPUTED_VALUE"""),-1.0)</f>
        <v>-1</v>
      </c>
      <c r="C27" s="72">
        <f>IFERROR(__xludf.DUMMYFUNCTION("""COMPUTED_VALUE"""),0.0)</f>
        <v>0</v>
      </c>
      <c r="D27" s="72">
        <f>IFERROR(__xludf.DUMMYFUNCTION("""COMPUTED_VALUE"""),0.0)</f>
        <v>0</v>
      </c>
      <c r="E27" s="72">
        <f>IFERROR(__xludf.DUMMYFUNCTION("""COMPUTED_VALUE"""),0.0)</f>
        <v>0</v>
      </c>
      <c r="F27" s="72">
        <f>IFERROR(__xludf.DUMMYFUNCTION("""COMPUTED_VALUE"""),0.0)</f>
        <v>0</v>
      </c>
      <c r="G27" s="72">
        <f>IFERROR(__xludf.DUMMYFUNCTION("""COMPUTED_VALUE"""),0.0)</f>
        <v>0</v>
      </c>
      <c r="H27" s="72">
        <f>IFERROR(__xludf.DUMMYFUNCTION("""COMPUTED_VALUE"""),0.0)</f>
        <v>0</v>
      </c>
      <c r="I27" s="72">
        <f>IFERROR(__xludf.DUMMYFUNCTION("""COMPUTED_VALUE"""),0.0)</f>
        <v>0</v>
      </c>
      <c r="J27" s="72">
        <f>IFERROR(__xludf.DUMMYFUNCTION("""COMPUTED_VALUE"""),0.0)</f>
        <v>0</v>
      </c>
      <c r="K27" s="72">
        <f>IFERROR(__xludf.DUMMYFUNCTION("""COMPUTED_VALUE"""),0.0)</f>
        <v>0</v>
      </c>
      <c r="L27" s="72">
        <f>IFERROR(__xludf.DUMMYFUNCTION("""COMPUTED_VALUE"""),0.0)</f>
        <v>0</v>
      </c>
      <c r="M27" s="72">
        <f>IFERROR(__xludf.DUMMYFUNCTION("""COMPUTED_VALUE"""),0.0)</f>
        <v>0</v>
      </c>
      <c r="N27" s="72">
        <f>IFERROR(__xludf.DUMMYFUNCTION("""COMPUTED_VALUE"""),0.0)</f>
        <v>0</v>
      </c>
      <c r="O27" s="72">
        <f>IFERROR(__xludf.DUMMYFUNCTION("""COMPUTED_VALUE"""),0.0)</f>
        <v>0</v>
      </c>
      <c r="P27" s="72">
        <f>IFERROR(__xludf.DUMMYFUNCTION("""COMPUTED_VALUE"""),0.0)</f>
        <v>0</v>
      </c>
      <c r="Q27" s="72">
        <f>IFERROR(__xludf.DUMMYFUNCTION("""COMPUTED_VALUE"""),0.0)</f>
        <v>0</v>
      </c>
      <c r="R27" s="72">
        <f>IFERROR(__xludf.DUMMYFUNCTION("""COMPUTED_VALUE"""),0.0)</f>
        <v>0</v>
      </c>
      <c r="S27" s="72">
        <f>IFERROR(__xludf.DUMMYFUNCTION("""COMPUTED_VALUE"""),0.0)</f>
        <v>0</v>
      </c>
      <c r="T27" s="72">
        <f>IFERROR(__xludf.DUMMYFUNCTION("""COMPUTED_VALUE"""),0.0)</f>
        <v>0</v>
      </c>
      <c r="U27" s="72">
        <f>IFERROR(__xludf.DUMMYFUNCTION("""COMPUTED_VALUE"""),0.0)</f>
        <v>0</v>
      </c>
      <c r="V27" s="72">
        <f>IFERROR(__xludf.DUMMYFUNCTION("""COMPUTED_VALUE"""),0.0)</f>
        <v>0</v>
      </c>
      <c r="W27" s="72">
        <f>IFERROR(__xludf.DUMMYFUNCTION("""COMPUTED_VALUE"""),0.0)</f>
        <v>0</v>
      </c>
      <c r="X27" s="72">
        <f>IFERROR(__xludf.DUMMYFUNCTION("""COMPUTED_VALUE"""),0.0)</f>
        <v>0</v>
      </c>
      <c r="Y27" s="72">
        <f>IFERROR(__xludf.DUMMYFUNCTION("""COMPUTED_VALUE"""),0.0)</f>
        <v>0</v>
      </c>
      <c r="Z27" s="72">
        <f>IFERROR(__xludf.DUMMYFUNCTION("""COMPUTED_VALUE"""),0.0)</f>
        <v>0</v>
      </c>
      <c r="AA27" s="72">
        <f>IFERROR(__xludf.DUMMYFUNCTION("""COMPUTED_VALUE"""),0.0)</f>
        <v>0</v>
      </c>
      <c r="AB27" s="72" t="str">
        <f>IFERROR(__xludf.DUMMYFUNCTION("""COMPUTED_VALUE"""),"")</f>
        <v/>
      </c>
      <c r="AC27" s="72">
        <f>IFERROR(__xludf.DUMMYFUNCTION("""COMPUTED_VALUE"""),0.0)</f>
        <v>0</v>
      </c>
      <c r="AD27" s="72">
        <f>IFERROR(__xludf.DUMMYFUNCTION("""COMPUTED_VALUE"""),0.0)</f>
        <v>0</v>
      </c>
      <c r="AE27" s="72">
        <f>IFERROR(__xludf.DUMMYFUNCTION("""COMPUTED_VALUE"""),-1.0)</f>
        <v>-1</v>
      </c>
      <c r="AF27" s="72">
        <f>IFERROR(__xludf.DUMMYFUNCTION("""COMPUTED_VALUE"""),0.0)</f>
        <v>0</v>
      </c>
      <c r="AG27" s="72">
        <f>IFERROR(__xludf.DUMMYFUNCTION("""COMPUTED_VALUE"""),0.0)</f>
        <v>0</v>
      </c>
      <c r="AH27" s="72">
        <f>IFERROR(__xludf.DUMMYFUNCTION("""COMPUTED_VALUE"""),0.0)</f>
        <v>0</v>
      </c>
      <c r="AI27" s="72">
        <f>IFERROR(__xludf.DUMMYFUNCTION("""COMPUTED_VALUE"""),0.0)</f>
        <v>0</v>
      </c>
      <c r="AJ27" s="72">
        <f>IFERROR(__xludf.DUMMYFUNCTION("""COMPUTED_VALUE"""),0.0)</f>
        <v>0</v>
      </c>
      <c r="AK27" s="72">
        <f>IFERROR(__xludf.DUMMYFUNCTION("""COMPUTED_VALUE"""),0.0)</f>
        <v>0</v>
      </c>
      <c r="AL27" s="72">
        <f>IFERROR(__xludf.DUMMYFUNCTION("""COMPUTED_VALUE"""),0.0)</f>
        <v>0</v>
      </c>
      <c r="AM27" s="72">
        <f>IFERROR(__xludf.DUMMYFUNCTION("""COMPUTED_VALUE"""),0.0)</f>
        <v>0</v>
      </c>
      <c r="AN27" s="72">
        <f>IFERROR(__xludf.DUMMYFUNCTION("""COMPUTED_VALUE"""),0.0)</f>
        <v>0</v>
      </c>
      <c r="AO27" s="72">
        <f>IFERROR(__xludf.DUMMYFUNCTION("""COMPUTED_VALUE"""),0.0)</f>
        <v>0</v>
      </c>
      <c r="AP27" s="72">
        <f>IFERROR(__xludf.DUMMYFUNCTION("""COMPUTED_VALUE"""),0.0)</f>
        <v>0</v>
      </c>
      <c r="AQ27" s="72">
        <f>IFERROR(__xludf.DUMMYFUNCTION("""COMPUTED_VALUE"""),0.0)</f>
        <v>0</v>
      </c>
      <c r="AR27" s="72">
        <f>IFERROR(__xludf.DUMMYFUNCTION("""COMPUTED_VALUE"""),0.0)</f>
        <v>0</v>
      </c>
      <c r="AS27" s="72">
        <f>IFERROR(__xludf.DUMMYFUNCTION("""COMPUTED_VALUE"""),0.0)</f>
        <v>0</v>
      </c>
      <c r="AT27" s="72">
        <f>IFERROR(__xludf.DUMMYFUNCTION("""COMPUTED_VALUE"""),0.0)</f>
        <v>0</v>
      </c>
      <c r="AU27" s="72">
        <f>IFERROR(__xludf.DUMMYFUNCTION("""COMPUTED_VALUE"""),0.0)</f>
        <v>0</v>
      </c>
      <c r="AV27" s="72">
        <f>IFERROR(__xludf.DUMMYFUNCTION("""COMPUTED_VALUE"""),0.0)</f>
        <v>0</v>
      </c>
      <c r="AW27" s="72">
        <f>IFERROR(__xludf.DUMMYFUNCTION("""COMPUTED_VALUE"""),0.0)</f>
        <v>0</v>
      </c>
      <c r="AX27" s="72">
        <f>IFERROR(__xludf.DUMMYFUNCTION("""COMPUTED_VALUE"""),0.0)</f>
        <v>0</v>
      </c>
      <c r="AY27" s="72">
        <f>IFERROR(__xludf.DUMMYFUNCTION("""COMPUTED_VALUE"""),0.0)</f>
        <v>0</v>
      </c>
      <c r="AZ27" s="72">
        <f>IFERROR(__xludf.DUMMYFUNCTION("""COMPUTED_VALUE"""),0.0)</f>
        <v>0</v>
      </c>
      <c r="BA27" s="72">
        <f>IFERROR(__xludf.DUMMYFUNCTION("""COMPUTED_VALUE"""),0.0)</f>
        <v>0</v>
      </c>
      <c r="BB27" s="72">
        <f>IFERROR(__xludf.DUMMYFUNCTION("""COMPUTED_VALUE"""),0.0)</f>
        <v>0</v>
      </c>
      <c r="BC27" s="72">
        <f>IFERROR(__xludf.DUMMYFUNCTION("""COMPUTED_VALUE"""),0.0)</f>
        <v>0</v>
      </c>
      <c r="BD27" s="69">
        <f>IFERROR(__xludf.DUMMYFUNCTION("""COMPUTED_VALUE"""),0.0)</f>
        <v>0</v>
      </c>
      <c r="BE27" s="69" t="str">
        <f>IFERROR(__xludf.DUMMYFUNCTION("""COMPUTED_VALUE"""),"")</f>
        <v/>
      </c>
      <c r="BF27" s="69" t="str">
        <f>IFERROR(__xludf.DUMMYFUNCTION("""COMPUTED_VALUE"""),"")</f>
        <v/>
      </c>
      <c r="BG27" s="69" t="str">
        <f>IFERROR(__xludf.DUMMYFUNCTION("""COMPUTED_VALUE"""),"")</f>
        <v/>
      </c>
      <c r="BH27" s="69" t="str">
        <f>IFERROR(__xludf.DUMMYFUNCTION("""COMPUTED_VALUE"""),"")</f>
        <v/>
      </c>
      <c r="BI27" s="69" t="str">
        <f>IFERROR(__xludf.DUMMYFUNCTION("""COMPUTED_VALUE"""),"")</f>
        <v/>
      </c>
      <c r="BJ27" s="69" t="str">
        <f>IFERROR(__xludf.DUMMYFUNCTION("""COMPUTED_VALUE"""),"")</f>
        <v/>
      </c>
      <c r="BK27" s="69" t="str">
        <f>IFERROR(__xludf.DUMMYFUNCTION("""COMPUTED_VALUE"""),"")</f>
        <v/>
      </c>
      <c r="BL27" s="69" t="str">
        <f>IFERROR(__xludf.DUMMYFUNCTION("""COMPUTED_VALUE"""),"")</f>
        <v/>
      </c>
      <c r="BM27" s="69" t="str">
        <f>IFERROR(__xludf.DUMMYFUNCTION("""COMPUTED_VALUE"""),"")</f>
        <v/>
      </c>
      <c r="BN27" s="69" t="str">
        <f>IFERROR(__xludf.DUMMYFUNCTION("""COMPUTED_VALUE"""),"")</f>
        <v/>
      </c>
      <c r="BO27" s="69" t="str">
        <f>IFERROR(__xludf.DUMMYFUNCTION("""COMPUTED_VALUE"""),"")</f>
        <v/>
      </c>
      <c r="BP27" s="69" t="str">
        <f>IFERROR(__xludf.DUMMYFUNCTION("""COMPUTED_VALUE"""),"")</f>
        <v/>
      </c>
      <c r="BQ27" s="69" t="str">
        <f>IFERROR(__xludf.DUMMYFUNCTION("""COMPUTED_VALUE"""),"")</f>
        <v/>
      </c>
      <c r="BR27" s="69" t="str">
        <f>IFERROR(__xludf.DUMMYFUNCTION("""COMPUTED_VALUE"""),"")</f>
        <v/>
      </c>
      <c r="BS27" s="69" t="str">
        <f>IFERROR(__xludf.DUMMYFUNCTION("""COMPUTED_VALUE"""),"")</f>
        <v/>
      </c>
      <c r="BT27" s="69" t="str">
        <f>IFERROR(__xludf.DUMMYFUNCTION("""COMPUTED_VALUE"""),"")</f>
        <v/>
      </c>
      <c r="BU27" s="69" t="str">
        <f>IFERROR(__xludf.DUMMYFUNCTION("""COMPUTED_VALUE"""),"")</f>
        <v/>
      </c>
      <c r="BV27" s="69" t="str">
        <f>IFERROR(__xludf.DUMMYFUNCTION("""COMPUTED_VALUE"""),"")</f>
        <v/>
      </c>
      <c r="BW27" s="69"/>
      <c r="BX27" s="69"/>
      <c r="BY27" s="69"/>
      <c r="BZ27" s="69"/>
      <c r="CA27" s="69"/>
      <c r="CB27" s="69"/>
      <c r="CC27" s="69"/>
      <c r="CD27" s="69"/>
      <c r="CE27" s="69"/>
      <c r="CF27" s="69"/>
    </row>
    <row r="28">
      <c r="A28" s="70" t="str">
        <f>IFERROR(__xludf.DUMMYFUNCTION("""COMPUTED_VALUE"""),"Lorehold Spirit")</f>
        <v>Lorehold Spirit</v>
      </c>
      <c r="B28" s="71">
        <f>IFERROR(__xludf.DUMMYFUNCTION("""COMPUTED_VALUE"""),18.0)</f>
        <v>18</v>
      </c>
      <c r="C28" s="72">
        <f>IFERROR(__xludf.DUMMYFUNCTION("""COMPUTED_VALUE"""),0.0)</f>
        <v>0</v>
      </c>
      <c r="D28" s="72">
        <f>IFERROR(__xludf.DUMMYFUNCTION("""COMPUTED_VALUE"""),0.0)</f>
        <v>0</v>
      </c>
      <c r="E28" s="72">
        <f>IFERROR(__xludf.DUMMYFUNCTION("""COMPUTED_VALUE"""),0.0)</f>
        <v>0</v>
      </c>
      <c r="F28" s="72">
        <f>IFERROR(__xludf.DUMMYFUNCTION("""COMPUTED_VALUE"""),0.0)</f>
        <v>0</v>
      </c>
      <c r="G28" s="72">
        <f>IFERROR(__xludf.DUMMYFUNCTION("""COMPUTED_VALUE"""),1.0)</f>
        <v>1</v>
      </c>
      <c r="H28" s="72">
        <f>IFERROR(__xludf.DUMMYFUNCTION("""COMPUTED_VALUE"""),2.0)</f>
        <v>2</v>
      </c>
      <c r="I28" s="72">
        <f>IFERROR(__xludf.DUMMYFUNCTION("""COMPUTED_VALUE"""),0.0)</f>
        <v>0</v>
      </c>
      <c r="J28" s="72">
        <f>IFERROR(__xludf.DUMMYFUNCTION("""COMPUTED_VALUE"""),0.0)</f>
        <v>0</v>
      </c>
      <c r="K28" s="72">
        <f>IFERROR(__xludf.DUMMYFUNCTION("""COMPUTED_VALUE"""),0.0)</f>
        <v>0</v>
      </c>
      <c r="L28" s="72">
        <f>IFERROR(__xludf.DUMMYFUNCTION("""COMPUTED_VALUE"""),-1.0)</f>
        <v>-1</v>
      </c>
      <c r="M28" s="72">
        <f>IFERROR(__xludf.DUMMYFUNCTION("""COMPUTED_VALUE"""),1.0)</f>
        <v>1</v>
      </c>
      <c r="N28" s="72">
        <f>IFERROR(__xludf.DUMMYFUNCTION("""COMPUTED_VALUE"""),1.0)</f>
        <v>1</v>
      </c>
      <c r="O28" s="72">
        <f>IFERROR(__xludf.DUMMYFUNCTION("""COMPUTED_VALUE"""),5.0)</f>
        <v>5</v>
      </c>
      <c r="P28" s="72">
        <f>IFERROR(__xludf.DUMMYFUNCTION("""COMPUTED_VALUE"""),0.0)</f>
        <v>0</v>
      </c>
      <c r="Q28" s="72">
        <f>IFERROR(__xludf.DUMMYFUNCTION("""COMPUTED_VALUE"""),0.0)</f>
        <v>0</v>
      </c>
      <c r="R28" s="72">
        <f>IFERROR(__xludf.DUMMYFUNCTION("""COMPUTED_VALUE"""),0.0)</f>
        <v>0</v>
      </c>
      <c r="S28" s="72">
        <f>IFERROR(__xludf.DUMMYFUNCTION("""COMPUTED_VALUE"""),0.0)</f>
        <v>0</v>
      </c>
      <c r="T28" s="72">
        <f>IFERROR(__xludf.DUMMYFUNCTION("""COMPUTED_VALUE"""),0.0)</f>
        <v>0</v>
      </c>
      <c r="U28" s="72">
        <f>IFERROR(__xludf.DUMMYFUNCTION("""COMPUTED_VALUE"""),1.0)</f>
        <v>1</v>
      </c>
      <c r="V28" s="72">
        <f>IFERROR(__xludf.DUMMYFUNCTION("""COMPUTED_VALUE"""),0.0)</f>
        <v>0</v>
      </c>
      <c r="W28" s="72">
        <f>IFERROR(__xludf.DUMMYFUNCTION("""COMPUTED_VALUE"""),0.0)</f>
        <v>0</v>
      </c>
      <c r="X28" s="72">
        <f>IFERROR(__xludf.DUMMYFUNCTION("""COMPUTED_VALUE"""),0.0)</f>
        <v>0</v>
      </c>
      <c r="Y28" s="72">
        <f>IFERROR(__xludf.DUMMYFUNCTION("""COMPUTED_VALUE"""),0.0)</f>
        <v>0</v>
      </c>
      <c r="Z28" s="72">
        <f>IFERROR(__xludf.DUMMYFUNCTION("""COMPUTED_VALUE"""),0.0)</f>
        <v>0</v>
      </c>
      <c r="AA28" s="72">
        <f>IFERROR(__xludf.DUMMYFUNCTION("""COMPUTED_VALUE"""),0.0)</f>
        <v>0</v>
      </c>
      <c r="AB28" s="72">
        <f>IFERROR(__xludf.DUMMYFUNCTION("""COMPUTED_VALUE"""),0.0)</f>
        <v>0</v>
      </c>
      <c r="AC28" s="72" t="str">
        <f>IFERROR(__xludf.DUMMYFUNCTION("""COMPUTED_VALUE"""),"")</f>
        <v/>
      </c>
      <c r="AD28" s="72">
        <f>IFERROR(__xludf.DUMMYFUNCTION("""COMPUTED_VALUE"""),1.0)</f>
        <v>1</v>
      </c>
      <c r="AE28" s="72">
        <f>IFERROR(__xludf.DUMMYFUNCTION("""COMPUTED_VALUE"""),1.0)</f>
        <v>1</v>
      </c>
      <c r="AF28" s="72">
        <f>IFERROR(__xludf.DUMMYFUNCTION("""COMPUTED_VALUE"""),0.0)</f>
        <v>0</v>
      </c>
      <c r="AG28" s="72">
        <f>IFERROR(__xludf.DUMMYFUNCTION("""COMPUTED_VALUE"""),1.0)</f>
        <v>1</v>
      </c>
      <c r="AH28" s="72">
        <f>IFERROR(__xludf.DUMMYFUNCTION("""COMPUTED_VALUE"""),0.0)</f>
        <v>0</v>
      </c>
      <c r="AI28" s="72">
        <f>IFERROR(__xludf.DUMMYFUNCTION("""COMPUTED_VALUE"""),1.0)</f>
        <v>1</v>
      </c>
      <c r="AJ28" s="72">
        <f>IFERROR(__xludf.DUMMYFUNCTION("""COMPUTED_VALUE"""),0.0)</f>
        <v>0</v>
      </c>
      <c r="AK28" s="72">
        <f>IFERROR(__xludf.DUMMYFUNCTION("""COMPUTED_VALUE"""),0.0)</f>
        <v>0</v>
      </c>
      <c r="AL28" s="72">
        <f>IFERROR(__xludf.DUMMYFUNCTION("""COMPUTED_VALUE"""),-1.0)</f>
        <v>-1</v>
      </c>
      <c r="AM28" s="72">
        <f>IFERROR(__xludf.DUMMYFUNCTION("""COMPUTED_VALUE"""),0.0)</f>
        <v>0</v>
      </c>
      <c r="AN28" s="72">
        <f>IFERROR(__xludf.DUMMYFUNCTION("""COMPUTED_VALUE"""),0.0)</f>
        <v>0</v>
      </c>
      <c r="AO28" s="72">
        <f>IFERROR(__xludf.DUMMYFUNCTION("""COMPUTED_VALUE"""),0.0)</f>
        <v>0</v>
      </c>
      <c r="AP28" s="72">
        <f>IFERROR(__xludf.DUMMYFUNCTION("""COMPUTED_VALUE"""),0.0)</f>
        <v>0</v>
      </c>
      <c r="AQ28" s="72">
        <f>IFERROR(__xludf.DUMMYFUNCTION("""COMPUTED_VALUE"""),0.0)</f>
        <v>0</v>
      </c>
      <c r="AR28" s="72">
        <f>IFERROR(__xludf.DUMMYFUNCTION("""COMPUTED_VALUE"""),1.0)</f>
        <v>1</v>
      </c>
      <c r="AS28" s="72">
        <f>IFERROR(__xludf.DUMMYFUNCTION("""COMPUTED_VALUE"""),0.0)</f>
        <v>0</v>
      </c>
      <c r="AT28" s="72">
        <f>IFERROR(__xludf.DUMMYFUNCTION("""COMPUTED_VALUE"""),1.0)</f>
        <v>1</v>
      </c>
      <c r="AU28" s="72">
        <f>IFERROR(__xludf.DUMMYFUNCTION("""COMPUTED_VALUE"""),0.0)</f>
        <v>0</v>
      </c>
      <c r="AV28" s="72">
        <f>IFERROR(__xludf.DUMMYFUNCTION("""COMPUTED_VALUE"""),0.0)</f>
        <v>0</v>
      </c>
      <c r="AW28" s="72">
        <f>IFERROR(__xludf.DUMMYFUNCTION("""COMPUTED_VALUE"""),1.0)</f>
        <v>1</v>
      </c>
      <c r="AX28" s="72">
        <f>IFERROR(__xludf.DUMMYFUNCTION("""COMPUTED_VALUE"""),0.0)</f>
        <v>0</v>
      </c>
      <c r="AY28" s="72">
        <f>IFERROR(__xludf.DUMMYFUNCTION("""COMPUTED_VALUE"""),0.0)</f>
        <v>0</v>
      </c>
      <c r="AZ28" s="72">
        <f>IFERROR(__xludf.DUMMYFUNCTION("""COMPUTED_VALUE"""),0.0)</f>
        <v>0</v>
      </c>
      <c r="BA28" s="72">
        <f>IFERROR(__xludf.DUMMYFUNCTION("""COMPUTED_VALUE"""),0.0)</f>
        <v>0</v>
      </c>
      <c r="BB28" s="72">
        <f>IFERROR(__xludf.DUMMYFUNCTION("""COMPUTED_VALUE"""),0.0)</f>
        <v>0</v>
      </c>
      <c r="BC28" s="72">
        <f>IFERROR(__xludf.DUMMYFUNCTION("""COMPUTED_VALUE"""),2.0)</f>
        <v>2</v>
      </c>
      <c r="BD28" s="69">
        <f>IFERROR(__xludf.DUMMYFUNCTION("""COMPUTED_VALUE"""),0.0)</f>
        <v>0</v>
      </c>
      <c r="BE28" s="69" t="str">
        <f>IFERROR(__xludf.DUMMYFUNCTION("""COMPUTED_VALUE"""),"")</f>
        <v/>
      </c>
      <c r="BF28" s="69" t="str">
        <f>IFERROR(__xludf.DUMMYFUNCTION("""COMPUTED_VALUE"""),"")</f>
        <v/>
      </c>
      <c r="BG28" s="69" t="str">
        <f>IFERROR(__xludf.DUMMYFUNCTION("""COMPUTED_VALUE"""),"")</f>
        <v/>
      </c>
      <c r="BH28" s="69" t="str">
        <f>IFERROR(__xludf.DUMMYFUNCTION("""COMPUTED_VALUE"""),"")</f>
        <v/>
      </c>
      <c r="BI28" s="69" t="str">
        <f>IFERROR(__xludf.DUMMYFUNCTION("""COMPUTED_VALUE"""),"")</f>
        <v/>
      </c>
      <c r="BJ28" s="69" t="str">
        <f>IFERROR(__xludf.DUMMYFUNCTION("""COMPUTED_VALUE"""),"")</f>
        <v/>
      </c>
      <c r="BK28" s="69" t="str">
        <f>IFERROR(__xludf.DUMMYFUNCTION("""COMPUTED_VALUE"""),"")</f>
        <v/>
      </c>
      <c r="BL28" s="69" t="str">
        <f>IFERROR(__xludf.DUMMYFUNCTION("""COMPUTED_VALUE"""),"")</f>
        <v/>
      </c>
      <c r="BM28" s="69" t="str">
        <f>IFERROR(__xludf.DUMMYFUNCTION("""COMPUTED_VALUE"""),"")</f>
        <v/>
      </c>
      <c r="BN28" s="69" t="str">
        <f>IFERROR(__xludf.DUMMYFUNCTION("""COMPUTED_VALUE"""),"")</f>
        <v/>
      </c>
      <c r="BO28" s="69" t="str">
        <f>IFERROR(__xludf.DUMMYFUNCTION("""COMPUTED_VALUE"""),"")</f>
        <v/>
      </c>
      <c r="BP28" s="69" t="str">
        <f>IFERROR(__xludf.DUMMYFUNCTION("""COMPUTED_VALUE"""),"")</f>
        <v/>
      </c>
      <c r="BQ28" s="69" t="str">
        <f>IFERROR(__xludf.DUMMYFUNCTION("""COMPUTED_VALUE"""),"")</f>
        <v/>
      </c>
      <c r="BR28" s="69" t="str">
        <f>IFERROR(__xludf.DUMMYFUNCTION("""COMPUTED_VALUE"""),"")</f>
        <v/>
      </c>
      <c r="BS28" s="69" t="str">
        <f>IFERROR(__xludf.DUMMYFUNCTION("""COMPUTED_VALUE"""),"")</f>
        <v/>
      </c>
      <c r="BT28" s="69" t="str">
        <f>IFERROR(__xludf.DUMMYFUNCTION("""COMPUTED_VALUE"""),"")</f>
        <v/>
      </c>
      <c r="BU28" s="69" t="str">
        <f>IFERROR(__xludf.DUMMYFUNCTION("""COMPUTED_VALUE"""),"")</f>
        <v/>
      </c>
      <c r="BV28" s="69" t="str">
        <f>IFERROR(__xludf.DUMMYFUNCTION("""COMPUTED_VALUE"""),"")</f>
        <v/>
      </c>
      <c r="BW28" s="69"/>
      <c r="BX28" s="69"/>
      <c r="BY28" s="69"/>
      <c r="BZ28" s="69"/>
      <c r="CA28" s="69"/>
      <c r="CB28" s="69"/>
      <c r="CC28" s="69"/>
      <c r="CD28" s="69"/>
      <c r="CE28" s="69"/>
      <c r="CF28" s="69"/>
    </row>
    <row r="29">
      <c r="A29" s="70" t="str">
        <f>IFERROR(__xludf.DUMMYFUNCTION("""COMPUTED_VALUE"""),"Mutant Menace")</f>
        <v>Mutant Menace</v>
      </c>
      <c r="B29" s="71">
        <f>IFERROR(__xludf.DUMMYFUNCTION("""COMPUTED_VALUE"""),-3.0)</f>
        <v>-3</v>
      </c>
      <c r="C29" s="72">
        <f>IFERROR(__xludf.DUMMYFUNCTION("""COMPUTED_VALUE"""),0.0)</f>
        <v>0</v>
      </c>
      <c r="D29" s="72">
        <f>IFERROR(__xludf.DUMMYFUNCTION("""COMPUTED_VALUE"""),0.0)</f>
        <v>0</v>
      </c>
      <c r="E29" s="72">
        <f>IFERROR(__xludf.DUMMYFUNCTION("""COMPUTED_VALUE"""),0.0)</f>
        <v>0</v>
      </c>
      <c r="F29" s="72">
        <f>IFERROR(__xludf.DUMMYFUNCTION("""COMPUTED_VALUE"""),0.0)</f>
        <v>0</v>
      </c>
      <c r="G29" s="72">
        <f>IFERROR(__xludf.DUMMYFUNCTION("""COMPUTED_VALUE"""),0.0)</f>
        <v>0</v>
      </c>
      <c r="H29" s="72">
        <f>IFERROR(__xludf.DUMMYFUNCTION("""COMPUTED_VALUE"""),0.0)</f>
        <v>0</v>
      </c>
      <c r="I29" s="72">
        <f>IFERROR(__xludf.DUMMYFUNCTION("""COMPUTED_VALUE"""),0.0)</f>
        <v>0</v>
      </c>
      <c r="J29" s="72">
        <f>IFERROR(__xludf.DUMMYFUNCTION("""COMPUTED_VALUE"""),0.0)</f>
        <v>0</v>
      </c>
      <c r="K29" s="72">
        <f>IFERROR(__xludf.DUMMYFUNCTION("""COMPUTED_VALUE"""),-1.0)</f>
        <v>-1</v>
      </c>
      <c r="L29" s="72">
        <f>IFERROR(__xludf.DUMMYFUNCTION("""COMPUTED_VALUE"""),0.0)</f>
        <v>0</v>
      </c>
      <c r="M29" s="72">
        <f>IFERROR(__xludf.DUMMYFUNCTION("""COMPUTED_VALUE"""),0.0)</f>
        <v>0</v>
      </c>
      <c r="N29" s="72">
        <f>IFERROR(__xludf.DUMMYFUNCTION("""COMPUTED_VALUE"""),0.0)</f>
        <v>0</v>
      </c>
      <c r="O29" s="72">
        <f>IFERROR(__xludf.DUMMYFUNCTION("""COMPUTED_VALUE"""),0.0)</f>
        <v>0</v>
      </c>
      <c r="P29" s="72">
        <f>IFERROR(__xludf.DUMMYFUNCTION("""COMPUTED_VALUE"""),0.0)</f>
        <v>0</v>
      </c>
      <c r="Q29" s="72">
        <f>IFERROR(__xludf.DUMMYFUNCTION("""COMPUTED_VALUE"""),0.0)</f>
        <v>0</v>
      </c>
      <c r="R29" s="72">
        <f>IFERROR(__xludf.DUMMYFUNCTION("""COMPUTED_VALUE"""),0.0)</f>
        <v>0</v>
      </c>
      <c r="S29" s="72">
        <f>IFERROR(__xludf.DUMMYFUNCTION("""COMPUTED_VALUE"""),0.0)</f>
        <v>0</v>
      </c>
      <c r="T29" s="72">
        <f>IFERROR(__xludf.DUMMYFUNCTION("""COMPUTED_VALUE"""),0.0)</f>
        <v>0</v>
      </c>
      <c r="U29" s="72">
        <f>IFERROR(__xludf.DUMMYFUNCTION("""COMPUTED_VALUE"""),0.0)</f>
        <v>0</v>
      </c>
      <c r="V29" s="72">
        <f>IFERROR(__xludf.DUMMYFUNCTION("""COMPUTED_VALUE"""),0.0)</f>
        <v>0</v>
      </c>
      <c r="W29" s="72">
        <f>IFERROR(__xludf.DUMMYFUNCTION("""COMPUTED_VALUE"""),0.0)</f>
        <v>0</v>
      </c>
      <c r="X29" s="72">
        <f>IFERROR(__xludf.DUMMYFUNCTION("""COMPUTED_VALUE"""),0.0)</f>
        <v>0</v>
      </c>
      <c r="Y29" s="72">
        <f>IFERROR(__xludf.DUMMYFUNCTION("""COMPUTED_VALUE"""),0.0)</f>
        <v>0</v>
      </c>
      <c r="Z29" s="72">
        <f>IFERROR(__xludf.DUMMYFUNCTION("""COMPUTED_VALUE"""),0.0)</f>
        <v>0</v>
      </c>
      <c r="AA29" s="72">
        <f>IFERROR(__xludf.DUMMYFUNCTION("""COMPUTED_VALUE"""),0.0)</f>
        <v>0</v>
      </c>
      <c r="AB29" s="72">
        <f>IFERROR(__xludf.DUMMYFUNCTION("""COMPUTED_VALUE"""),0.0)</f>
        <v>0</v>
      </c>
      <c r="AC29" s="72">
        <f>IFERROR(__xludf.DUMMYFUNCTION("""COMPUTED_VALUE"""),-1.0)</f>
        <v>-1</v>
      </c>
      <c r="AD29" s="72" t="str">
        <f>IFERROR(__xludf.DUMMYFUNCTION("""COMPUTED_VALUE"""),"")</f>
        <v/>
      </c>
      <c r="AE29" s="72">
        <f>IFERROR(__xludf.DUMMYFUNCTION("""COMPUTED_VALUE"""),0.0)</f>
        <v>0</v>
      </c>
      <c r="AF29" s="72">
        <f>IFERROR(__xludf.DUMMYFUNCTION("""COMPUTED_VALUE"""),0.0)</f>
        <v>0</v>
      </c>
      <c r="AG29" s="72">
        <f>IFERROR(__xludf.DUMMYFUNCTION("""COMPUTED_VALUE"""),0.0)</f>
        <v>0</v>
      </c>
      <c r="AH29" s="72">
        <f>IFERROR(__xludf.DUMMYFUNCTION("""COMPUTED_VALUE"""),0.0)</f>
        <v>0</v>
      </c>
      <c r="AI29" s="72">
        <f>IFERROR(__xludf.DUMMYFUNCTION("""COMPUTED_VALUE"""),-1.0)</f>
        <v>-1</v>
      </c>
      <c r="AJ29" s="72">
        <f>IFERROR(__xludf.DUMMYFUNCTION("""COMPUTED_VALUE"""),0.0)</f>
        <v>0</v>
      </c>
      <c r="AK29" s="72">
        <f>IFERROR(__xludf.DUMMYFUNCTION("""COMPUTED_VALUE"""),0.0)</f>
        <v>0</v>
      </c>
      <c r="AL29" s="72">
        <f>IFERROR(__xludf.DUMMYFUNCTION("""COMPUTED_VALUE"""),0.0)</f>
        <v>0</v>
      </c>
      <c r="AM29" s="72">
        <f>IFERROR(__xludf.DUMMYFUNCTION("""COMPUTED_VALUE"""),0.0)</f>
        <v>0</v>
      </c>
      <c r="AN29" s="72">
        <f>IFERROR(__xludf.DUMMYFUNCTION("""COMPUTED_VALUE"""),0.0)</f>
        <v>0</v>
      </c>
      <c r="AO29" s="72">
        <f>IFERROR(__xludf.DUMMYFUNCTION("""COMPUTED_VALUE"""),0.0)</f>
        <v>0</v>
      </c>
      <c r="AP29" s="72">
        <f>IFERROR(__xludf.DUMMYFUNCTION("""COMPUTED_VALUE"""),0.0)</f>
        <v>0</v>
      </c>
      <c r="AQ29" s="72">
        <f>IFERROR(__xludf.DUMMYFUNCTION("""COMPUTED_VALUE"""),0.0)</f>
        <v>0</v>
      </c>
      <c r="AR29" s="72">
        <f>IFERROR(__xludf.DUMMYFUNCTION("""COMPUTED_VALUE"""),0.0)</f>
        <v>0</v>
      </c>
      <c r="AS29" s="72">
        <f>IFERROR(__xludf.DUMMYFUNCTION("""COMPUTED_VALUE"""),0.0)</f>
        <v>0</v>
      </c>
      <c r="AT29" s="72">
        <f>IFERROR(__xludf.DUMMYFUNCTION("""COMPUTED_VALUE"""),0.0)</f>
        <v>0</v>
      </c>
      <c r="AU29" s="72">
        <f>IFERROR(__xludf.DUMMYFUNCTION("""COMPUTED_VALUE"""),0.0)</f>
        <v>0</v>
      </c>
      <c r="AV29" s="72">
        <f>IFERROR(__xludf.DUMMYFUNCTION("""COMPUTED_VALUE"""),0.0)</f>
        <v>0</v>
      </c>
      <c r="AW29" s="72">
        <f>IFERROR(__xludf.DUMMYFUNCTION("""COMPUTED_VALUE"""),0.0)</f>
        <v>0</v>
      </c>
      <c r="AX29" s="72">
        <f>IFERROR(__xludf.DUMMYFUNCTION("""COMPUTED_VALUE"""),0.0)</f>
        <v>0</v>
      </c>
      <c r="AY29" s="72">
        <f>IFERROR(__xludf.DUMMYFUNCTION("""COMPUTED_VALUE"""),0.0)</f>
        <v>0</v>
      </c>
      <c r="AZ29" s="72">
        <f>IFERROR(__xludf.DUMMYFUNCTION("""COMPUTED_VALUE"""),0.0)</f>
        <v>0</v>
      </c>
      <c r="BA29" s="72">
        <f>IFERROR(__xludf.DUMMYFUNCTION("""COMPUTED_VALUE"""),0.0)</f>
        <v>0</v>
      </c>
      <c r="BB29" s="72">
        <f>IFERROR(__xludf.DUMMYFUNCTION("""COMPUTED_VALUE"""),0.0)</f>
        <v>0</v>
      </c>
      <c r="BC29" s="72">
        <f>IFERROR(__xludf.DUMMYFUNCTION("""COMPUTED_VALUE"""),0.0)</f>
        <v>0</v>
      </c>
      <c r="BD29" s="69">
        <f>IFERROR(__xludf.DUMMYFUNCTION("""COMPUTED_VALUE"""),0.0)</f>
        <v>0</v>
      </c>
      <c r="BE29" s="69" t="str">
        <f>IFERROR(__xludf.DUMMYFUNCTION("""COMPUTED_VALUE"""),"")</f>
        <v/>
      </c>
      <c r="BF29" s="69" t="str">
        <f>IFERROR(__xludf.DUMMYFUNCTION("""COMPUTED_VALUE"""),"")</f>
        <v/>
      </c>
      <c r="BG29" s="69" t="str">
        <f>IFERROR(__xludf.DUMMYFUNCTION("""COMPUTED_VALUE"""),"")</f>
        <v/>
      </c>
      <c r="BH29" s="69" t="str">
        <f>IFERROR(__xludf.DUMMYFUNCTION("""COMPUTED_VALUE"""),"")</f>
        <v/>
      </c>
      <c r="BI29" s="69" t="str">
        <f>IFERROR(__xludf.DUMMYFUNCTION("""COMPUTED_VALUE"""),"")</f>
        <v/>
      </c>
      <c r="BJ29" s="69" t="str">
        <f>IFERROR(__xludf.DUMMYFUNCTION("""COMPUTED_VALUE"""),"")</f>
        <v/>
      </c>
      <c r="BK29" s="69" t="str">
        <f>IFERROR(__xludf.DUMMYFUNCTION("""COMPUTED_VALUE"""),"")</f>
        <v/>
      </c>
      <c r="BL29" s="69" t="str">
        <f>IFERROR(__xludf.DUMMYFUNCTION("""COMPUTED_VALUE"""),"")</f>
        <v/>
      </c>
      <c r="BM29" s="69" t="str">
        <f>IFERROR(__xludf.DUMMYFUNCTION("""COMPUTED_VALUE"""),"")</f>
        <v/>
      </c>
      <c r="BN29" s="69" t="str">
        <f>IFERROR(__xludf.DUMMYFUNCTION("""COMPUTED_VALUE"""),"")</f>
        <v/>
      </c>
      <c r="BO29" s="69" t="str">
        <f>IFERROR(__xludf.DUMMYFUNCTION("""COMPUTED_VALUE"""),"")</f>
        <v/>
      </c>
      <c r="BP29" s="69" t="str">
        <f>IFERROR(__xludf.DUMMYFUNCTION("""COMPUTED_VALUE"""),"")</f>
        <v/>
      </c>
      <c r="BQ29" s="69" t="str">
        <f>IFERROR(__xludf.DUMMYFUNCTION("""COMPUTED_VALUE"""),"")</f>
        <v/>
      </c>
      <c r="BR29" s="69" t="str">
        <f>IFERROR(__xludf.DUMMYFUNCTION("""COMPUTED_VALUE"""),"")</f>
        <v/>
      </c>
      <c r="BS29" s="69" t="str">
        <f>IFERROR(__xludf.DUMMYFUNCTION("""COMPUTED_VALUE"""),"")</f>
        <v/>
      </c>
      <c r="BT29" s="69" t="str">
        <f>IFERROR(__xludf.DUMMYFUNCTION("""COMPUTED_VALUE"""),"")</f>
        <v/>
      </c>
      <c r="BU29" s="69" t="str">
        <f>IFERROR(__xludf.DUMMYFUNCTION("""COMPUTED_VALUE"""),"")</f>
        <v/>
      </c>
      <c r="BV29" s="69" t="str">
        <f>IFERROR(__xludf.DUMMYFUNCTION("""COMPUTED_VALUE"""),"")</f>
        <v/>
      </c>
      <c r="BW29" s="69"/>
      <c r="BX29" s="69"/>
      <c r="BY29" s="69"/>
      <c r="BZ29" s="69"/>
      <c r="CA29" s="69"/>
      <c r="CB29" s="69"/>
      <c r="CC29" s="69"/>
      <c r="CD29" s="69"/>
      <c r="CE29" s="69"/>
      <c r="CF29" s="69"/>
    </row>
    <row r="30">
      <c r="A30" s="70" t="str">
        <f>IFERROR(__xludf.DUMMYFUNCTION("""COMPUTED_VALUE"""),"Party Time")</f>
        <v>Party Time</v>
      </c>
      <c r="B30" s="71">
        <f>IFERROR(__xludf.DUMMYFUNCTION("""COMPUTED_VALUE"""),5.0)</f>
        <v>5</v>
      </c>
      <c r="C30" s="72">
        <f>IFERROR(__xludf.DUMMYFUNCTION("""COMPUTED_VALUE"""),0.0)</f>
        <v>0</v>
      </c>
      <c r="D30" s="72">
        <f>IFERROR(__xludf.DUMMYFUNCTION("""COMPUTED_VALUE"""),0.0)</f>
        <v>0</v>
      </c>
      <c r="E30" s="72">
        <f>IFERROR(__xludf.DUMMYFUNCTION("""COMPUTED_VALUE"""),0.0)</f>
        <v>0</v>
      </c>
      <c r="F30" s="72">
        <f>IFERROR(__xludf.DUMMYFUNCTION("""COMPUTED_VALUE"""),0.0)</f>
        <v>0</v>
      </c>
      <c r="G30" s="72">
        <f>IFERROR(__xludf.DUMMYFUNCTION("""COMPUTED_VALUE"""),0.0)</f>
        <v>0</v>
      </c>
      <c r="H30" s="72">
        <f>IFERROR(__xludf.DUMMYFUNCTION("""COMPUTED_VALUE"""),0.0)</f>
        <v>0</v>
      </c>
      <c r="I30" s="72">
        <f>IFERROR(__xludf.DUMMYFUNCTION("""COMPUTED_VALUE"""),0.0)</f>
        <v>0</v>
      </c>
      <c r="J30" s="72">
        <f>IFERROR(__xludf.DUMMYFUNCTION("""COMPUTED_VALUE"""),0.0)</f>
        <v>0</v>
      </c>
      <c r="K30" s="72">
        <f>IFERROR(__xludf.DUMMYFUNCTION("""COMPUTED_VALUE"""),0.0)</f>
        <v>0</v>
      </c>
      <c r="L30" s="72">
        <f>IFERROR(__xludf.DUMMYFUNCTION("""COMPUTED_VALUE"""),0.0)</f>
        <v>0</v>
      </c>
      <c r="M30" s="72">
        <f>IFERROR(__xludf.DUMMYFUNCTION("""COMPUTED_VALUE"""),0.0)</f>
        <v>0</v>
      </c>
      <c r="N30" s="72">
        <f>IFERROR(__xludf.DUMMYFUNCTION("""COMPUTED_VALUE"""),0.0)</f>
        <v>0</v>
      </c>
      <c r="O30" s="72">
        <f>IFERROR(__xludf.DUMMYFUNCTION("""COMPUTED_VALUE"""),1.0)</f>
        <v>1</v>
      </c>
      <c r="P30" s="72">
        <f>IFERROR(__xludf.DUMMYFUNCTION("""COMPUTED_VALUE"""),0.0)</f>
        <v>0</v>
      </c>
      <c r="Q30" s="72">
        <f>IFERROR(__xludf.DUMMYFUNCTION("""COMPUTED_VALUE"""),0.0)</f>
        <v>0</v>
      </c>
      <c r="R30" s="72">
        <f>IFERROR(__xludf.DUMMYFUNCTION("""COMPUTED_VALUE"""),0.0)</f>
        <v>0</v>
      </c>
      <c r="S30" s="72">
        <f>IFERROR(__xludf.DUMMYFUNCTION("""COMPUTED_VALUE"""),0.0)</f>
        <v>0</v>
      </c>
      <c r="T30" s="72">
        <f>IFERROR(__xludf.DUMMYFUNCTION("""COMPUTED_VALUE"""),0.0)</f>
        <v>0</v>
      </c>
      <c r="U30" s="72">
        <f>IFERROR(__xludf.DUMMYFUNCTION("""COMPUTED_VALUE"""),0.0)</f>
        <v>0</v>
      </c>
      <c r="V30" s="72">
        <f>IFERROR(__xludf.DUMMYFUNCTION("""COMPUTED_VALUE"""),0.0)</f>
        <v>0</v>
      </c>
      <c r="W30" s="72">
        <f>IFERROR(__xludf.DUMMYFUNCTION("""COMPUTED_VALUE"""),0.0)</f>
        <v>0</v>
      </c>
      <c r="X30" s="72">
        <f>IFERROR(__xludf.DUMMYFUNCTION("""COMPUTED_VALUE"""),1.0)</f>
        <v>1</v>
      </c>
      <c r="Y30" s="72">
        <f>IFERROR(__xludf.DUMMYFUNCTION("""COMPUTED_VALUE"""),0.0)</f>
        <v>0</v>
      </c>
      <c r="Z30" s="72">
        <f>IFERROR(__xludf.DUMMYFUNCTION("""COMPUTED_VALUE"""),0.0)</f>
        <v>0</v>
      </c>
      <c r="AA30" s="72">
        <f>IFERROR(__xludf.DUMMYFUNCTION("""COMPUTED_VALUE"""),0.0)</f>
        <v>0</v>
      </c>
      <c r="AB30" s="72">
        <f>IFERROR(__xludf.DUMMYFUNCTION("""COMPUTED_VALUE"""),1.0)</f>
        <v>1</v>
      </c>
      <c r="AC30" s="72">
        <f>IFERROR(__xludf.DUMMYFUNCTION("""COMPUTED_VALUE"""),-1.0)</f>
        <v>-1</v>
      </c>
      <c r="AD30" s="72">
        <f>IFERROR(__xludf.DUMMYFUNCTION("""COMPUTED_VALUE"""),0.0)</f>
        <v>0</v>
      </c>
      <c r="AE30" s="72" t="str">
        <f>IFERROR(__xludf.DUMMYFUNCTION("""COMPUTED_VALUE"""),"")</f>
        <v/>
      </c>
      <c r="AF30" s="72">
        <f>IFERROR(__xludf.DUMMYFUNCTION("""COMPUTED_VALUE"""),0.0)</f>
        <v>0</v>
      </c>
      <c r="AG30" s="72">
        <f>IFERROR(__xludf.DUMMYFUNCTION("""COMPUTED_VALUE"""),0.0)</f>
        <v>0</v>
      </c>
      <c r="AH30" s="72">
        <f>IFERROR(__xludf.DUMMYFUNCTION("""COMPUTED_VALUE"""),0.0)</f>
        <v>0</v>
      </c>
      <c r="AI30" s="72">
        <f>IFERROR(__xludf.DUMMYFUNCTION("""COMPUTED_VALUE"""),0.0)</f>
        <v>0</v>
      </c>
      <c r="AJ30" s="72">
        <f>IFERROR(__xludf.DUMMYFUNCTION("""COMPUTED_VALUE"""),0.0)</f>
        <v>0</v>
      </c>
      <c r="AK30" s="72">
        <f>IFERROR(__xludf.DUMMYFUNCTION("""COMPUTED_VALUE"""),1.0)</f>
        <v>1</v>
      </c>
      <c r="AL30" s="72">
        <f>IFERROR(__xludf.DUMMYFUNCTION("""COMPUTED_VALUE"""),0.0)</f>
        <v>0</v>
      </c>
      <c r="AM30" s="72">
        <f>IFERROR(__xludf.DUMMYFUNCTION("""COMPUTED_VALUE"""),0.0)</f>
        <v>0</v>
      </c>
      <c r="AN30" s="72">
        <f>IFERROR(__xludf.DUMMYFUNCTION("""COMPUTED_VALUE"""),0.0)</f>
        <v>0</v>
      </c>
      <c r="AO30" s="72">
        <f>IFERROR(__xludf.DUMMYFUNCTION("""COMPUTED_VALUE"""),0.0)</f>
        <v>0</v>
      </c>
      <c r="AP30" s="72">
        <f>IFERROR(__xludf.DUMMYFUNCTION("""COMPUTED_VALUE"""),0.0)</f>
        <v>0</v>
      </c>
      <c r="AQ30" s="72">
        <f>IFERROR(__xludf.DUMMYFUNCTION("""COMPUTED_VALUE"""),0.0)</f>
        <v>0</v>
      </c>
      <c r="AR30" s="72">
        <f>IFERROR(__xludf.DUMMYFUNCTION("""COMPUTED_VALUE"""),1.0)</f>
        <v>1</v>
      </c>
      <c r="AS30" s="72">
        <f>IFERROR(__xludf.DUMMYFUNCTION("""COMPUTED_VALUE"""),0.0)</f>
        <v>0</v>
      </c>
      <c r="AT30" s="72">
        <f>IFERROR(__xludf.DUMMYFUNCTION("""COMPUTED_VALUE"""),0.0)</f>
        <v>0</v>
      </c>
      <c r="AU30" s="72">
        <f>IFERROR(__xludf.DUMMYFUNCTION("""COMPUTED_VALUE"""),0.0)</f>
        <v>0</v>
      </c>
      <c r="AV30" s="72">
        <f>IFERROR(__xludf.DUMMYFUNCTION("""COMPUTED_VALUE"""),0.0)</f>
        <v>0</v>
      </c>
      <c r="AW30" s="72">
        <f>IFERROR(__xludf.DUMMYFUNCTION("""COMPUTED_VALUE"""),0.0)</f>
        <v>0</v>
      </c>
      <c r="AX30" s="72">
        <f>IFERROR(__xludf.DUMMYFUNCTION("""COMPUTED_VALUE"""),0.0)</f>
        <v>0</v>
      </c>
      <c r="AY30" s="72">
        <f>IFERROR(__xludf.DUMMYFUNCTION("""COMPUTED_VALUE"""),1.0)</f>
        <v>1</v>
      </c>
      <c r="AZ30" s="72">
        <f>IFERROR(__xludf.DUMMYFUNCTION("""COMPUTED_VALUE"""),0.0)</f>
        <v>0</v>
      </c>
      <c r="BA30" s="72">
        <f>IFERROR(__xludf.DUMMYFUNCTION("""COMPUTED_VALUE"""),0.0)</f>
        <v>0</v>
      </c>
      <c r="BB30" s="72">
        <f>IFERROR(__xludf.DUMMYFUNCTION("""COMPUTED_VALUE"""),0.0)</f>
        <v>0</v>
      </c>
      <c r="BC30" s="72">
        <f>IFERROR(__xludf.DUMMYFUNCTION("""COMPUTED_VALUE"""),0.0)</f>
        <v>0</v>
      </c>
      <c r="BD30" s="69">
        <f>IFERROR(__xludf.DUMMYFUNCTION("""COMPUTED_VALUE"""),0.0)</f>
        <v>0</v>
      </c>
      <c r="BE30" s="69" t="str">
        <f>IFERROR(__xludf.DUMMYFUNCTION("""COMPUTED_VALUE"""),"")</f>
        <v/>
      </c>
      <c r="BF30" s="69" t="str">
        <f>IFERROR(__xludf.DUMMYFUNCTION("""COMPUTED_VALUE"""),"")</f>
        <v/>
      </c>
      <c r="BG30" s="69" t="str">
        <f>IFERROR(__xludf.DUMMYFUNCTION("""COMPUTED_VALUE"""),"")</f>
        <v/>
      </c>
      <c r="BH30" s="69" t="str">
        <f>IFERROR(__xludf.DUMMYFUNCTION("""COMPUTED_VALUE"""),"")</f>
        <v/>
      </c>
      <c r="BI30" s="69" t="str">
        <f>IFERROR(__xludf.DUMMYFUNCTION("""COMPUTED_VALUE"""),"")</f>
        <v/>
      </c>
      <c r="BJ30" s="69" t="str">
        <f>IFERROR(__xludf.DUMMYFUNCTION("""COMPUTED_VALUE"""),"")</f>
        <v/>
      </c>
      <c r="BK30" s="69" t="str">
        <f>IFERROR(__xludf.DUMMYFUNCTION("""COMPUTED_VALUE"""),"")</f>
        <v/>
      </c>
      <c r="BL30" s="69" t="str">
        <f>IFERROR(__xludf.DUMMYFUNCTION("""COMPUTED_VALUE"""),"")</f>
        <v/>
      </c>
      <c r="BM30" s="69" t="str">
        <f>IFERROR(__xludf.DUMMYFUNCTION("""COMPUTED_VALUE"""),"")</f>
        <v/>
      </c>
      <c r="BN30" s="69" t="str">
        <f>IFERROR(__xludf.DUMMYFUNCTION("""COMPUTED_VALUE"""),"")</f>
        <v/>
      </c>
      <c r="BO30" s="69" t="str">
        <f>IFERROR(__xludf.DUMMYFUNCTION("""COMPUTED_VALUE"""),"")</f>
        <v/>
      </c>
      <c r="BP30" s="69" t="str">
        <f>IFERROR(__xludf.DUMMYFUNCTION("""COMPUTED_VALUE"""),"")</f>
        <v/>
      </c>
      <c r="BQ30" s="69" t="str">
        <f>IFERROR(__xludf.DUMMYFUNCTION("""COMPUTED_VALUE"""),"")</f>
        <v/>
      </c>
      <c r="BR30" s="69" t="str">
        <f>IFERROR(__xludf.DUMMYFUNCTION("""COMPUTED_VALUE"""),"")</f>
        <v/>
      </c>
      <c r="BS30" s="69" t="str">
        <f>IFERROR(__xludf.DUMMYFUNCTION("""COMPUTED_VALUE"""),"")</f>
        <v/>
      </c>
      <c r="BT30" s="69" t="str">
        <f>IFERROR(__xludf.DUMMYFUNCTION("""COMPUTED_VALUE"""),"")</f>
        <v/>
      </c>
      <c r="BU30" s="69" t="str">
        <f>IFERROR(__xludf.DUMMYFUNCTION("""COMPUTED_VALUE"""),"")</f>
        <v/>
      </c>
      <c r="BV30" s="69" t="str">
        <f>IFERROR(__xludf.DUMMYFUNCTION("""COMPUTED_VALUE"""),"")</f>
        <v/>
      </c>
      <c r="BW30" s="69"/>
      <c r="BX30" s="69"/>
      <c r="BY30" s="69"/>
      <c r="BZ30" s="69"/>
      <c r="CA30" s="69"/>
      <c r="CB30" s="69"/>
      <c r="CC30" s="69"/>
      <c r="CD30" s="69"/>
      <c r="CE30" s="69"/>
      <c r="CF30" s="69"/>
    </row>
    <row r="31">
      <c r="A31" s="70" t="str">
        <f>IFERROR(__xludf.DUMMYFUNCTION("""COMPUTED_VALUE"""),"Peace Offering")</f>
        <v>Peace Offering</v>
      </c>
      <c r="B31" s="71">
        <f>IFERROR(__xludf.DUMMYFUNCTION("""COMPUTED_VALUE"""),-1.0)</f>
        <v>-1</v>
      </c>
      <c r="C31" s="72">
        <f>IFERROR(__xludf.DUMMYFUNCTION("""COMPUTED_VALUE"""),0.0)</f>
        <v>0</v>
      </c>
      <c r="D31" s="72">
        <f>IFERROR(__xludf.DUMMYFUNCTION("""COMPUTED_VALUE"""),0.0)</f>
        <v>0</v>
      </c>
      <c r="E31" s="72">
        <f>IFERROR(__xludf.DUMMYFUNCTION("""COMPUTED_VALUE"""),0.0)</f>
        <v>0</v>
      </c>
      <c r="F31" s="72">
        <f>IFERROR(__xludf.DUMMYFUNCTION("""COMPUTED_VALUE"""),0.0)</f>
        <v>0</v>
      </c>
      <c r="G31" s="72">
        <f>IFERROR(__xludf.DUMMYFUNCTION("""COMPUTED_VALUE"""),0.0)</f>
        <v>0</v>
      </c>
      <c r="H31" s="72">
        <f>IFERROR(__xludf.DUMMYFUNCTION("""COMPUTED_VALUE"""),0.0)</f>
        <v>0</v>
      </c>
      <c r="I31" s="72">
        <f>IFERROR(__xludf.DUMMYFUNCTION("""COMPUTED_VALUE"""),0.0)</f>
        <v>0</v>
      </c>
      <c r="J31" s="72">
        <f>IFERROR(__xludf.DUMMYFUNCTION("""COMPUTED_VALUE"""),0.0)</f>
        <v>0</v>
      </c>
      <c r="K31" s="72">
        <f>IFERROR(__xludf.DUMMYFUNCTION("""COMPUTED_VALUE"""),0.0)</f>
        <v>0</v>
      </c>
      <c r="L31" s="72">
        <f>IFERROR(__xludf.DUMMYFUNCTION("""COMPUTED_VALUE"""),0.0)</f>
        <v>0</v>
      </c>
      <c r="M31" s="72">
        <f>IFERROR(__xludf.DUMMYFUNCTION("""COMPUTED_VALUE"""),0.0)</f>
        <v>0</v>
      </c>
      <c r="N31" s="72">
        <f>IFERROR(__xludf.DUMMYFUNCTION("""COMPUTED_VALUE"""),0.0)</f>
        <v>0</v>
      </c>
      <c r="O31" s="72">
        <f>IFERROR(__xludf.DUMMYFUNCTION("""COMPUTED_VALUE"""),0.0)</f>
        <v>0</v>
      </c>
      <c r="P31" s="72">
        <f>IFERROR(__xludf.DUMMYFUNCTION("""COMPUTED_VALUE"""),0.0)</f>
        <v>0</v>
      </c>
      <c r="Q31" s="72">
        <f>IFERROR(__xludf.DUMMYFUNCTION("""COMPUTED_VALUE"""),0.0)</f>
        <v>0</v>
      </c>
      <c r="R31" s="72">
        <f>IFERROR(__xludf.DUMMYFUNCTION("""COMPUTED_VALUE"""),0.0)</f>
        <v>0</v>
      </c>
      <c r="S31" s="72">
        <f>IFERROR(__xludf.DUMMYFUNCTION("""COMPUTED_VALUE"""),0.0)</f>
        <v>0</v>
      </c>
      <c r="T31" s="72">
        <f>IFERROR(__xludf.DUMMYFUNCTION("""COMPUTED_VALUE"""),0.0)</f>
        <v>0</v>
      </c>
      <c r="U31" s="72">
        <f>IFERROR(__xludf.DUMMYFUNCTION("""COMPUTED_VALUE"""),-1.0)</f>
        <v>-1</v>
      </c>
      <c r="V31" s="72">
        <f>IFERROR(__xludf.DUMMYFUNCTION("""COMPUTED_VALUE"""),0.0)</f>
        <v>0</v>
      </c>
      <c r="W31" s="72">
        <f>IFERROR(__xludf.DUMMYFUNCTION("""COMPUTED_VALUE"""),0.0)</f>
        <v>0</v>
      </c>
      <c r="X31" s="72">
        <f>IFERROR(__xludf.DUMMYFUNCTION("""COMPUTED_VALUE"""),0.0)</f>
        <v>0</v>
      </c>
      <c r="Y31" s="72">
        <f>IFERROR(__xludf.DUMMYFUNCTION("""COMPUTED_VALUE"""),0.0)</f>
        <v>0</v>
      </c>
      <c r="Z31" s="72">
        <f>IFERROR(__xludf.DUMMYFUNCTION("""COMPUTED_VALUE"""),0.0)</f>
        <v>0</v>
      </c>
      <c r="AA31" s="72">
        <f>IFERROR(__xludf.DUMMYFUNCTION("""COMPUTED_VALUE"""),0.0)</f>
        <v>0</v>
      </c>
      <c r="AB31" s="72">
        <f>IFERROR(__xludf.DUMMYFUNCTION("""COMPUTED_VALUE"""),0.0)</f>
        <v>0</v>
      </c>
      <c r="AC31" s="72">
        <f>IFERROR(__xludf.DUMMYFUNCTION("""COMPUTED_VALUE"""),0.0)</f>
        <v>0</v>
      </c>
      <c r="AD31" s="72">
        <f>IFERROR(__xludf.DUMMYFUNCTION("""COMPUTED_VALUE"""),0.0)</f>
        <v>0</v>
      </c>
      <c r="AE31" s="72">
        <f>IFERROR(__xludf.DUMMYFUNCTION("""COMPUTED_VALUE"""),0.0)</f>
        <v>0</v>
      </c>
      <c r="AF31" s="72" t="str">
        <f>IFERROR(__xludf.DUMMYFUNCTION("""COMPUTED_VALUE"""),"")</f>
        <v/>
      </c>
      <c r="AG31" s="72">
        <f>IFERROR(__xludf.DUMMYFUNCTION("""COMPUTED_VALUE"""),0.0)</f>
        <v>0</v>
      </c>
      <c r="AH31" s="72">
        <f>IFERROR(__xludf.DUMMYFUNCTION("""COMPUTED_VALUE"""),0.0)</f>
        <v>0</v>
      </c>
      <c r="AI31" s="72">
        <f>IFERROR(__xludf.DUMMYFUNCTION("""COMPUTED_VALUE"""),0.0)</f>
        <v>0</v>
      </c>
      <c r="AJ31" s="72">
        <f>IFERROR(__xludf.DUMMYFUNCTION("""COMPUTED_VALUE"""),0.0)</f>
        <v>0</v>
      </c>
      <c r="AK31" s="72">
        <f>IFERROR(__xludf.DUMMYFUNCTION("""COMPUTED_VALUE"""),0.0)</f>
        <v>0</v>
      </c>
      <c r="AL31" s="72">
        <f>IFERROR(__xludf.DUMMYFUNCTION("""COMPUTED_VALUE"""),0.0)</f>
        <v>0</v>
      </c>
      <c r="AM31" s="72">
        <f>IFERROR(__xludf.DUMMYFUNCTION("""COMPUTED_VALUE"""),0.0)</f>
        <v>0</v>
      </c>
      <c r="AN31" s="72">
        <f>IFERROR(__xludf.DUMMYFUNCTION("""COMPUTED_VALUE"""),0.0)</f>
        <v>0</v>
      </c>
      <c r="AO31" s="72">
        <f>IFERROR(__xludf.DUMMYFUNCTION("""COMPUTED_VALUE"""),0.0)</f>
        <v>0</v>
      </c>
      <c r="AP31" s="72">
        <f>IFERROR(__xludf.DUMMYFUNCTION("""COMPUTED_VALUE"""),0.0)</f>
        <v>0</v>
      </c>
      <c r="AQ31" s="72">
        <f>IFERROR(__xludf.DUMMYFUNCTION("""COMPUTED_VALUE"""),0.0)</f>
        <v>0</v>
      </c>
      <c r="AR31" s="72">
        <f>IFERROR(__xludf.DUMMYFUNCTION("""COMPUTED_VALUE"""),0.0)</f>
        <v>0</v>
      </c>
      <c r="AS31" s="72">
        <f>IFERROR(__xludf.DUMMYFUNCTION("""COMPUTED_VALUE"""),0.0)</f>
        <v>0</v>
      </c>
      <c r="AT31" s="72">
        <f>IFERROR(__xludf.DUMMYFUNCTION("""COMPUTED_VALUE"""),0.0)</f>
        <v>0</v>
      </c>
      <c r="AU31" s="72">
        <f>IFERROR(__xludf.DUMMYFUNCTION("""COMPUTED_VALUE"""),0.0)</f>
        <v>0</v>
      </c>
      <c r="AV31" s="72">
        <f>IFERROR(__xludf.DUMMYFUNCTION("""COMPUTED_VALUE"""),0.0)</f>
        <v>0</v>
      </c>
      <c r="AW31" s="72">
        <f>IFERROR(__xludf.DUMMYFUNCTION("""COMPUTED_VALUE"""),0.0)</f>
        <v>0</v>
      </c>
      <c r="AX31" s="72">
        <f>IFERROR(__xludf.DUMMYFUNCTION("""COMPUTED_VALUE"""),0.0)</f>
        <v>0</v>
      </c>
      <c r="AY31" s="72">
        <f>IFERROR(__xludf.DUMMYFUNCTION("""COMPUTED_VALUE"""),0.0)</f>
        <v>0</v>
      </c>
      <c r="AZ31" s="72">
        <f>IFERROR(__xludf.DUMMYFUNCTION("""COMPUTED_VALUE"""),0.0)</f>
        <v>0</v>
      </c>
      <c r="BA31" s="72">
        <f>IFERROR(__xludf.DUMMYFUNCTION("""COMPUTED_VALUE"""),0.0)</f>
        <v>0</v>
      </c>
      <c r="BB31" s="72">
        <f>IFERROR(__xludf.DUMMYFUNCTION("""COMPUTED_VALUE"""),0.0)</f>
        <v>0</v>
      </c>
      <c r="BC31" s="72">
        <f>IFERROR(__xludf.DUMMYFUNCTION("""COMPUTED_VALUE"""),0.0)</f>
        <v>0</v>
      </c>
      <c r="BD31" s="69">
        <f>IFERROR(__xludf.DUMMYFUNCTION("""COMPUTED_VALUE"""),0.0)</f>
        <v>0</v>
      </c>
      <c r="BE31" s="69" t="str">
        <f>IFERROR(__xludf.DUMMYFUNCTION("""COMPUTED_VALUE"""),"")</f>
        <v/>
      </c>
      <c r="BF31" s="69" t="str">
        <f>IFERROR(__xludf.DUMMYFUNCTION("""COMPUTED_VALUE"""),"")</f>
        <v/>
      </c>
      <c r="BG31" s="69" t="str">
        <f>IFERROR(__xludf.DUMMYFUNCTION("""COMPUTED_VALUE"""),"")</f>
        <v/>
      </c>
      <c r="BH31" s="69" t="str">
        <f>IFERROR(__xludf.DUMMYFUNCTION("""COMPUTED_VALUE"""),"")</f>
        <v/>
      </c>
      <c r="BI31" s="69" t="str">
        <f>IFERROR(__xludf.DUMMYFUNCTION("""COMPUTED_VALUE"""),"")</f>
        <v/>
      </c>
      <c r="BJ31" s="69" t="str">
        <f>IFERROR(__xludf.DUMMYFUNCTION("""COMPUTED_VALUE"""),"")</f>
        <v/>
      </c>
      <c r="BK31" s="69" t="str">
        <f>IFERROR(__xludf.DUMMYFUNCTION("""COMPUTED_VALUE"""),"")</f>
        <v/>
      </c>
      <c r="BL31" s="69" t="str">
        <f>IFERROR(__xludf.DUMMYFUNCTION("""COMPUTED_VALUE"""),"")</f>
        <v/>
      </c>
      <c r="BM31" s="69" t="str">
        <f>IFERROR(__xludf.DUMMYFUNCTION("""COMPUTED_VALUE"""),"")</f>
        <v/>
      </c>
      <c r="BN31" s="69" t="str">
        <f>IFERROR(__xludf.DUMMYFUNCTION("""COMPUTED_VALUE"""),"")</f>
        <v/>
      </c>
      <c r="BO31" s="69" t="str">
        <f>IFERROR(__xludf.DUMMYFUNCTION("""COMPUTED_VALUE"""),"")</f>
        <v/>
      </c>
      <c r="BP31" s="69" t="str">
        <f>IFERROR(__xludf.DUMMYFUNCTION("""COMPUTED_VALUE"""),"")</f>
        <v/>
      </c>
      <c r="BQ31" s="69" t="str">
        <f>IFERROR(__xludf.DUMMYFUNCTION("""COMPUTED_VALUE"""),"")</f>
        <v/>
      </c>
      <c r="BR31" s="69" t="str">
        <f>IFERROR(__xludf.DUMMYFUNCTION("""COMPUTED_VALUE"""),"")</f>
        <v/>
      </c>
      <c r="BS31" s="69" t="str">
        <f>IFERROR(__xludf.DUMMYFUNCTION("""COMPUTED_VALUE"""),"")</f>
        <v/>
      </c>
      <c r="BT31" s="69" t="str">
        <f>IFERROR(__xludf.DUMMYFUNCTION("""COMPUTED_VALUE"""),"")</f>
        <v/>
      </c>
      <c r="BU31" s="69" t="str">
        <f>IFERROR(__xludf.DUMMYFUNCTION("""COMPUTED_VALUE"""),"")</f>
        <v/>
      </c>
      <c r="BV31" s="69" t="str">
        <f>IFERROR(__xludf.DUMMYFUNCTION("""COMPUTED_VALUE"""),"")</f>
        <v/>
      </c>
      <c r="BW31" s="69"/>
      <c r="BX31" s="69"/>
      <c r="BY31" s="69"/>
      <c r="BZ31" s="69"/>
      <c r="CA31" s="69"/>
      <c r="CB31" s="69"/>
      <c r="CC31" s="69"/>
      <c r="CD31" s="69"/>
      <c r="CE31" s="69"/>
      <c r="CF31" s="69"/>
    </row>
    <row r="32">
      <c r="A32" s="70" t="str">
        <f>IFERROR(__xludf.DUMMYFUNCTION("""COMPUTED_VALUE"""),"Power Hungry")</f>
        <v>Power Hungry</v>
      </c>
      <c r="B32" s="71">
        <f>IFERROR(__xludf.DUMMYFUNCTION("""COMPUTED_VALUE"""),-2.0)</f>
        <v>-2</v>
      </c>
      <c r="C32" s="72">
        <f>IFERROR(__xludf.DUMMYFUNCTION("""COMPUTED_VALUE"""),0.0)</f>
        <v>0</v>
      </c>
      <c r="D32" s="72">
        <f>IFERROR(__xludf.DUMMYFUNCTION("""COMPUTED_VALUE"""),0.0)</f>
        <v>0</v>
      </c>
      <c r="E32" s="72">
        <f>IFERROR(__xludf.DUMMYFUNCTION("""COMPUTED_VALUE"""),0.0)</f>
        <v>0</v>
      </c>
      <c r="F32" s="72">
        <f>IFERROR(__xludf.DUMMYFUNCTION("""COMPUTED_VALUE"""),0.0)</f>
        <v>0</v>
      </c>
      <c r="G32" s="72">
        <f>IFERROR(__xludf.DUMMYFUNCTION("""COMPUTED_VALUE"""),0.0)</f>
        <v>0</v>
      </c>
      <c r="H32" s="72">
        <f>IFERROR(__xludf.DUMMYFUNCTION("""COMPUTED_VALUE"""),0.0)</f>
        <v>0</v>
      </c>
      <c r="I32" s="72">
        <f>IFERROR(__xludf.DUMMYFUNCTION("""COMPUTED_VALUE"""),0.0)</f>
        <v>0</v>
      </c>
      <c r="J32" s="72">
        <f>IFERROR(__xludf.DUMMYFUNCTION("""COMPUTED_VALUE"""),0.0)</f>
        <v>0</v>
      </c>
      <c r="K32" s="72">
        <f>IFERROR(__xludf.DUMMYFUNCTION("""COMPUTED_VALUE"""),0.0)</f>
        <v>0</v>
      </c>
      <c r="L32" s="72">
        <f>IFERROR(__xludf.DUMMYFUNCTION("""COMPUTED_VALUE"""),0.0)</f>
        <v>0</v>
      </c>
      <c r="M32" s="72">
        <f>IFERROR(__xludf.DUMMYFUNCTION("""COMPUTED_VALUE"""),0.0)</f>
        <v>0</v>
      </c>
      <c r="N32" s="72">
        <f>IFERROR(__xludf.DUMMYFUNCTION("""COMPUTED_VALUE"""),0.0)</f>
        <v>0</v>
      </c>
      <c r="O32" s="72">
        <f>IFERROR(__xludf.DUMMYFUNCTION("""COMPUTED_VALUE"""),0.0)</f>
        <v>0</v>
      </c>
      <c r="P32" s="72">
        <f>IFERROR(__xludf.DUMMYFUNCTION("""COMPUTED_VALUE"""),0.0)</f>
        <v>0</v>
      </c>
      <c r="Q32" s="72">
        <f>IFERROR(__xludf.DUMMYFUNCTION("""COMPUTED_VALUE"""),0.0)</f>
        <v>0</v>
      </c>
      <c r="R32" s="72">
        <f>IFERROR(__xludf.DUMMYFUNCTION("""COMPUTED_VALUE"""),0.0)</f>
        <v>0</v>
      </c>
      <c r="S32" s="72">
        <f>IFERROR(__xludf.DUMMYFUNCTION("""COMPUTED_VALUE"""),0.0)</f>
        <v>0</v>
      </c>
      <c r="T32" s="72">
        <f>IFERROR(__xludf.DUMMYFUNCTION("""COMPUTED_VALUE"""),0.0)</f>
        <v>0</v>
      </c>
      <c r="U32" s="72">
        <f>IFERROR(__xludf.DUMMYFUNCTION("""COMPUTED_VALUE"""),0.0)</f>
        <v>0</v>
      </c>
      <c r="V32" s="72">
        <f>IFERROR(__xludf.DUMMYFUNCTION("""COMPUTED_VALUE"""),0.0)</f>
        <v>0</v>
      </c>
      <c r="W32" s="72">
        <f>IFERROR(__xludf.DUMMYFUNCTION("""COMPUTED_VALUE"""),0.0)</f>
        <v>0</v>
      </c>
      <c r="X32" s="72">
        <f>IFERROR(__xludf.DUMMYFUNCTION("""COMPUTED_VALUE"""),0.0)</f>
        <v>0</v>
      </c>
      <c r="Y32" s="72">
        <f>IFERROR(__xludf.DUMMYFUNCTION("""COMPUTED_VALUE"""),0.0)</f>
        <v>0</v>
      </c>
      <c r="Z32" s="72">
        <f>IFERROR(__xludf.DUMMYFUNCTION("""COMPUTED_VALUE"""),0.0)</f>
        <v>0</v>
      </c>
      <c r="AA32" s="72">
        <f>IFERROR(__xludf.DUMMYFUNCTION("""COMPUTED_VALUE"""),0.0)</f>
        <v>0</v>
      </c>
      <c r="AB32" s="72">
        <f>IFERROR(__xludf.DUMMYFUNCTION("""COMPUTED_VALUE"""),0.0)</f>
        <v>0</v>
      </c>
      <c r="AC32" s="72">
        <f>IFERROR(__xludf.DUMMYFUNCTION("""COMPUTED_VALUE"""),-1.0)</f>
        <v>-1</v>
      </c>
      <c r="AD32" s="72">
        <f>IFERROR(__xludf.DUMMYFUNCTION("""COMPUTED_VALUE"""),0.0)</f>
        <v>0</v>
      </c>
      <c r="AE32" s="72">
        <f>IFERROR(__xludf.DUMMYFUNCTION("""COMPUTED_VALUE"""),0.0)</f>
        <v>0</v>
      </c>
      <c r="AF32" s="72">
        <f>IFERROR(__xludf.DUMMYFUNCTION("""COMPUTED_VALUE"""),0.0)</f>
        <v>0</v>
      </c>
      <c r="AG32" s="72" t="str">
        <f>IFERROR(__xludf.DUMMYFUNCTION("""COMPUTED_VALUE"""),"")</f>
        <v/>
      </c>
      <c r="AH32" s="72">
        <f>IFERROR(__xludf.DUMMYFUNCTION("""COMPUTED_VALUE"""),0.0)</f>
        <v>0</v>
      </c>
      <c r="AI32" s="72">
        <f>IFERROR(__xludf.DUMMYFUNCTION("""COMPUTED_VALUE"""),0.0)</f>
        <v>0</v>
      </c>
      <c r="AJ32" s="72">
        <f>IFERROR(__xludf.DUMMYFUNCTION("""COMPUTED_VALUE"""),0.0)</f>
        <v>0</v>
      </c>
      <c r="AK32" s="72">
        <f>IFERROR(__xludf.DUMMYFUNCTION("""COMPUTED_VALUE"""),0.0)</f>
        <v>0</v>
      </c>
      <c r="AL32" s="72">
        <f>IFERROR(__xludf.DUMMYFUNCTION("""COMPUTED_VALUE"""),0.0)</f>
        <v>0</v>
      </c>
      <c r="AM32" s="72">
        <f>IFERROR(__xludf.DUMMYFUNCTION("""COMPUTED_VALUE"""),0.0)</f>
        <v>0</v>
      </c>
      <c r="AN32" s="72">
        <f>IFERROR(__xludf.DUMMYFUNCTION("""COMPUTED_VALUE"""),0.0)</f>
        <v>0</v>
      </c>
      <c r="AO32" s="72">
        <f>IFERROR(__xludf.DUMMYFUNCTION("""COMPUTED_VALUE"""),0.0)</f>
        <v>0</v>
      </c>
      <c r="AP32" s="72">
        <f>IFERROR(__xludf.DUMMYFUNCTION("""COMPUTED_VALUE"""),0.0)</f>
        <v>0</v>
      </c>
      <c r="AQ32" s="72">
        <f>IFERROR(__xludf.DUMMYFUNCTION("""COMPUTED_VALUE"""),0.0)</f>
        <v>0</v>
      </c>
      <c r="AR32" s="72">
        <f>IFERROR(__xludf.DUMMYFUNCTION("""COMPUTED_VALUE"""),0.0)</f>
        <v>0</v>
      </c>
      <c r="AS32" s="72">
        <f>IFERROR(__xludf.DUMMYFUNCTION("""COMPUTED_VALUE"""),0.0)</f>
        <v>0</v>
      </c>
      <c r="AT32" s="72">
        <f>IFERROR(__xludf.DUMMYFUNCTION("""COMPUTED_VALUE"""),0.0)</f>
        <v>0</v>
      </c>
      <c r="AU32" s="72">
        <f>IFERROR(__xludf.DUMMYFUNCTION("""COMPUTED_VALUE"""),0.0)</f>
        <v>0</v>
      </c>
      <c r="AV32" s="72">
        <f>IFERROR(__xludf.DUMMYFUNCTION("""COMPUTED_VALUE"""),0.0)</f>
        <v>0</v>
      </c>
      <c r="AW32" s="72">
        <f>IFERROR(__xludf.DUMMYFUNCTION("""COMPUTED_VALUE"""),-1.0)</f>
        <v>-1</v>
      </c>
      <c r="AX32" s="72">
        <f>IFERROR(__xludf.DUMMYFUNCTION("""COMPUTED_VALUE"""),0.0)</f>
        <v>0</v>
      </c>
      <c r="AY32" s="72">
        <f>IFERROR(__xludf.DUMMYFUNCTION("""COMPUTED_VALUE"""),0.0)</f>
        <v>0</v>
      </c>
      <c r="AZ32" s="72">
        <f>IFERROR(__xludf.DUMMYFUNCTION("""COMPUTED_VALUE"""),0.0)</f>
        <v>0</v>
      </c>
      <c r="BA32" s="72">
        <f>IFERROR(__xludf.DUMMYFUNCTION("""COMPUTED_VALUE"""),0.0)</f>
        <v>0</v>
      </c>
      <c r="BB32" s="72">
        <f>IFERROR(__xludf.DUMMYFUNCTION("""COMPUTED_VALUE"""),0.0)</f>
        <v>0</v>
      </c>
      <c r="BC32" s="72">
        <f>IFERROR(__xludf.DUMMYFUNCTION("""COMPUTED_VALUE"""),0.0)</f>
        <v>0</v>
      </c>
      <c r="BD32" s="69">
        <f>IFERROR(__xludf.DUMMYFUNCTION("""COMPUTED_VALUE"""),0.0)</f>
        <v>0</v>
      </c>
      <c r="BE32" s="69" t="str">
        <f>IFERROR(__xludf.DUMMYFUNCTION("""COMPUTED_VALUE"""),"")</f>
        <v/>
      </c>
      <c r="BF32" s="69" t="str">
        <f>IFERROR(__xludf.DUMMYFUNCTION("""COMPUTED_VALUE"""),"")</f>
        <v/>
      </c>
      <c r="BG32" s="69" t="str">
        <f>IFERROR(__xludf.DUMMYFUNCTION("""COMPUTED_VALUE"""),"")</f>
        <v/>
      </c>
      <c r="BH32" s="69" t="str">
        <f>IFERROR(__xludf.DUMMYFUNCTION("""COMPUTED_VALUE"""),"")</f>
        <v/>
      </c>
      <c r="BI32" s="69" t="str">
        <f>IFERROR(__xludf.DUMMYFUNCTION("""COMPUTED_VALUE"""),"")</f>
        <v/>
      </c>
      <c r="BJ32" s="69" t="str">
        <f>IFERROR(__xludf.DUMMYFUNCTION("""COMPUTED_VALUE"""),"")</f>
        <v/>
      </c>
      <c r="BK32" s="69" t="str">
        <f>IFERROR(__xludf.DUMMYFUNCTION("""COMPUTED_VALUE"""),"")</f>
        <v/>
      </c>
      <c r="BL32" s="69" t="str">
        <f>IFERROR(__xludf.DUMMYFUNCTION("""COMPUTED_VALUE"""),"")</f>
        <v/>
      </c>
      <c r="BM32" s="69" t="str">
        <f>IFERROR(__xludf.DUMMYFUNCTION("""COMPUTED_VALUE"""),"")</f>
        <v/>
      </c>
      <c r="BN32" s="69" t="str">
        <f>IFERROR(__xludf.DUMMYFUNCTION("""COMPUTED_VALUE"""),"")</f>
        <v/>
      </c>
      <c r="BO32" s="69" t="str">
        <f>IFERROR(__xludf.DUMMYFUNCTION("""COMPUTED_VALUE"""),"")</f>
        <v/>
      </c>
      <c r="BP32" s="69" t="str">
        <f>IFERROR(__xludf.DUMMYFUNCTION("""COMPUTED_VALUE"""),"")</f>
        <v/>
      </c>
      <c r="BQ32" s="69" t="str">
        <f>IFERROR(__xludf.DUMMYFUNCTION("""COMPUTED_VALUE"""),"")</f>
        <v/>
      </c>
      <c r="BR32" s="69" t="str">
        <f>IFERROR(__xludf.DUMMYFUNCTION("""COMPUTED_VALUE"""),"")</f>
        <v/>
      </c>
      <c r="BS32" s="69" t="str">
        <f>IFERROR(__xludf.DUMMYFUNCTION("""COMPUTED_VALUE"""),"")</f>
        <v/>
      </c>
      <c r="BT32" s="69" t="str">
        <f>IFERROR(__xludf.DUMMYFUNCTION("""COMPUTED_VALUE"""),"")</f>
        <v/>
      </c>
      <c r="BU32" s="69" t="str">
        <f>IFERROR(__xludf.DUMMYFUNCTION("""COMPUTED_VALUE"""),"")</f>
        <v/>
      </c>
      <c r="BV32" s="69" t="str">
        <f>IFERROR(__xludf.DUMMYFUNCTION("""COMPUTED_VALUE"""),"")</f>
        <v/>
      </c>
      <c r="BW32" s="69"/>
      <c r="BX32" s="69"/>
      <c r="BY32" s="69"/>
      <c r="BZ32" s="69"/>
      <c r="CA32" s="69"/>
      <c r="CB32" s="69"/>
      <c r="CC32" s="69"/>
      <c r="CD32" s="69"/>
      <c r="CE32" s="69"/>
      <c r="CF32" s="69"/>
    </row>
    <row r="33">
      <c r="A33" s="70" t="str">
        <f>IFERROR(__xludf.DUMMYFUNCTION("""COMPUTED_VALUE"""),"Primal Genesis")</f>
        <v>Primal Genesis</v>
      </c>
      <c r="B33" s="71">
        <f>IFERROR(__xludf.DUMMYFUNCTION("""COMPUTED_VALUE"""),-2.0)</f>
        <v>-2</v>
      </c>
      <c r="C33" s="72">
        <f>IFERROR(__xludf.DUMMYFUNCTION("""COMPUTED_VALUE"""),0.0)</f>
        <v>0</v>
      </c>
      <c r="D33" s="72">
        <f>IFERROR(__xludf.DUMMYFUNCTION("""COMPUTED_VALUE"""),0.0)</f>
        <v>0</v>
      </c>
      <c r="E33" s="72">
        <f>IFERROR(__xludf.DUMMYFUNCTION("""COMPUTED_VALUE"""),0.0)</f>
        <v>0</v>
      </c>
      <c r="F33" s="72">
        <f>IFERROR(__xludf.DUMMYFUNCTION("""COMPUTED_VALUE"""),0.0)</f>
        <v>0</v>
      </c>
      <c r="G33" s="72">
        <f>IFERROR(__xludf.DUMMYFUNCTION("""COMPUTED_VALUE"""),0.0)</f>
        <v>0</v>
      </c>
      <c r="H33" s="72">
        <f>IFERROR(__xludf.DUMMYFUNCTION("""COMPUTED_VALUE"""),0.0)</f>
        <v>0</v>
      </c>
      <c r="I33" s="72">
        <f>IFERROR(__xludf.DUMMYFUNCTION("""COMPUTED_VALUE"""),0.0)</f>
        <v>0</v>
      </c>
      <c r="J33" s="72">
        <f>IFERROR(__xludf.DUMMYFUNCTION("""COMPUTED_VALUE"""),0.0)</f>
        <v>0</v>
      </c>
      <c r="K33" s="72">
        <f>IFERROR(__xludf.DUMMYFUNCTION("""COMPUTED_VALUE"""),0.0)</f>
        <v>0</v>
      </c>
      <c r="L33" s="72">
        <f>IFERROR(__xludf.DUMMYFUNCTION("""COMPUTED_VALUE"""),0.0)</f>
        <v>0</v>
      </c>
      <c r="M33" s="72">
        <f>IFERROR(__xludf.DUMMYFUNCTION("""COMPUTED_VALUE"""),0.0)</f>
        <v>0</v>
      </c>
      <c r="N33" s="72">
        <f>IFERROR(__xludf.DUMMYFUNCTION("""COMPUTED_VALUE"""),0.0)</f>
        <v>0</v>
      </c>
      <c r="O33" s="72">
        <f>IFERROR(__xludf.DUMMYFUNCTION("""COMPUTED_VALUE"""),0.0)</f>
        <v>0</v>
      </c>
      <c r="P33" s="72">
        <f>IFERROR(__xludf.DUMMYFUNCTION("""COMPUTED_VALUE"""),0.0)</f>
        <v>0</v>
      </c>
      <c r="Q33" s="72">
        <f>IFERROR(__xludf.DUMMYFUNCTION("""COMPUTED_VALUE"""),0.0)</f>
        <v>0</v>
      </c>
      <c r="R33" s="72">
        <f>IFERROR(__xludf.DUMMYFUNCTION("""COMPUTED_VALUE"""),0.0)</f>
        <v>0</v>
      </c>
      <c r="S33" s="72">
        <f>IFERROR(__xludf.DUMMYFUNCTION("""COMPUTED_VALUE"""),0.0)</f>
        <v>0</v>
      </c>
      <c r="T33" s="72">
        <f>IFERROR(__xludf.DUMMYFUNCTION("""COMPUTED_VALUE"""),0.0)</f>
        <v>0</v>
      </c>
      <c r="U33" s="72">
        <f>IFERROR(__xludf.DUMMYFUNCTION("""COMPUTED_VALUE"""),0.0)</f>
        <v>0</v>
      </c>
      <c r="V33" s="72">
        <f>IFERROR(__xludf.DUMMYFUNCTION("""COMPUTED_VALUE"""),0.0)</f>
        <v>0</v>
      </c>
      <c r="W33" s="72">
        <f>IFERROR(__xludf.DUMMYFUNCTION("""COMPUTED_VALUE"""),0.0)</f>
        <v>0</v>
      </c>
      <c r="X33" s="72">
        <f>IFERROR(__xludf.DUMMYFUNCTION("""COMPUTED_VALUE"""),0.0)</f>
        <v>0</v>
      </c>
      <c r="Y33" s="72">
        <f>IFERROR(__xludf.DUMMYFUNCTION("""COMPUTED_VALUE"""),0.0)</f>
        <v>0</v>
      </c>
      <c r="Z33" s="72">
        <f>IFERROR(__xludf.DUMMYFUNCTION("""COMPUTED_VALUE"""),0.0)</f>
        <v>0</v>
      </c>
      <c r="AA33" s="72">
        <f>IFERROR(__xludf.DUMMYFUNCTION("""COMPUTED_VALUE"""),0.0)</f>
        <v>0</v>
      </c>
      <c r="AB33" s="72">
        <f>IFERROR(__xludf.DUMMYFUNCTION("""COMPUTED_VALUE"""),0.0)</f>
        <v>0</v>
      </c>
      <c r="AC33" s="72">
        <f>IFERROR(__xludf.DUMMYFUNCTION("""COMPUTED_VALUE"""),0.0)</f>
        <v>0</v>
      </c>
      <c r="AD33" s="72">
        <f>IFERROR(__xludf.DUMMYFUNCTION("""COMPUTED_VALUE"""),0.0)</f>
        <v>0</v>
      </c>
      <c r="AE33" s="72">
        <f>IFERROR(__xludf.DUMMYFUNCTION("""COMPUTED_VALUE"""),0.0)</f>
        <v>0</v>
      </c>
      <c r="AF33" s="72">
        <f>IFERROR(__xludf.DUMMYFUNCTION("""COMPUTED_VALUE"""),0.0)</f>
        <v>0</v>
      </c>
      <c r="AG33" s="72">
        <f>IFERROR(__xludf.DUMMYFUNCTION("""COMPUTED_VALUE"""),0.0)</f>
        <v>0</v>
      </c>
      <c r="AH33" s="72" t="str">
        <f>IFERROR(__xludf.DUMMYFUNCTION("""COMPUTED_VALUE"""),"")</f>
        <v/>
      </c>
      <c r="AI33" s="72">
        <f>IFERROR(__xludf.DUMMYFUNCTION("""COMPUTED_VALUE"""),0.0)</f>
        <v>0</v>
      </c>
      <c r="AJ33" s="72">
        <f>IFERROR(__xludf.DUMMYFUNCTION("""COMPUTED_VALUE"""),0.0)</f>
        <v>0</v>
      </c>
      <c r="AK33" s="72">
        <f>IFERROR(__xludf.DUMMYFUNCTION("""COMPUTED_VALUE"""),0.0)</f>
        <v>0</v>
      </c>
      <c r="AL33" s="72">
        <f>IFERROR(__xludf.DUMMYFUNCTION("""COMPUTED_VALUE"""),0.0)</f>
        <v>0</v>
      </c>
      <c r="AM33" s="72">
        <f>IFERROR(__xludf.DUMMYFUNCTION("""COMPUTED_VALUE"""),0.0)</f>
        <v>0</v>
      </c>
      <c r="AN33" s="72">
        <f>IFERROR(__xludf.DUMMYFUNCTION("""COMPUTED_VALUE"""),0.0)</f>
        <v>0</v>
      </c>
      <c r="AO33" s="72">
        <f>IFERROR(__xludf.DUMMYFUNCTION("""COMPUTED_VALUE"""),-1.0)</f>
        <v>-1</v>
      </c>
      <c r="AP33" s="72">
        <f>IFERROR(__xludf.DUMMYFUNCTION("""COMPUTED_VALUE"""),0.0)</f>
        <v>0</v>
      </c>
      <c r="AQ33" s="72">
        <f>IFERROR(__xludf.DUMMYFUNCTION("""COMPUTED_VALUE"""),0.0)</f>
        <v>0</v>
      </c>
      <c r="AR33" s="72">
        <f>IFERROR(__xludf.DUMMYFUNCTION("""COMPUTED_VALUE"""),-1.0)</f>
        <v>-1</v>
      </c>
      <c r="AS33" s="72">
        <f>IFERROR(__xludf.DUMMYFUNCTION("""COMPUTED_VALUE"""),0.0)</f>
        <v>0</v>
      </c>
      <c r="AT33" s="72">
        <f>IFERROR(__xludf.DUMMYFUNCTION("""COMPUTED_VALUE"""),0.0)</f>
        <v>0</v>
      </c>
      <c r="AU33" s="72">
        <f>IFERROR(__xludf.DUMMYFUNCTION("""COMPUTED_VALUE"""),0.0)</f>
        <v>0</v>
      </c>
      <c r="AV33" s="72">
        <f>IFERROR(__xludf.DUMMYFUNCTION("""COMPUTED_VALUE"""),0.0)</f>
        <v>0</v>
      </c>
      <c r="AW33" s="72">
        <f>IFERROR(__xludf.DUMMYFUNCTION("""COMPUTED_VALUE"""),0.0)</f>
        <v>0</v>
      </c>
      <c r="AX33" s="72">
        <f>IFERROR(__xludf.DUMMYFUNCTION("""COMPUTED_VALUE"""),0.0)</f>
        <v>0</v>
      </c>
      <c r="AY33" s="72">
        <f>IFERROR(__xludf.DUMMYFUNCTION("""COMPUTED_VALUE"""),0.0)</f>
        <v>0</v>
      </c>
      <c r="AZ33" s="72">
        <f>IFERROR(__xludf.DUMMYFUNCTION("""COMPUTED_VALUE"""),0.0)</f>
        <v>0</v>
      </c>
      <c r="BA33" s="72">
        <f>IFERROR(__xludf.DUMMYFUNCTION("""COMPUTED_VALUE"""),0.0)</f>
        <v>0</v>
      </c>
      <c r="BB33" s="72">
        <f>IFERROR(__xludf.DUMMYFUNCTION("""COMPUTED_VALUE"""),0.0)</f>
        <v>0</v>
      </c>
      <c r="BC33" s="72">
        <f>IFERROR(__xludf.DUMMYFUNCTION("""COMPUTED_VALUE"""),0.0)</f>
        <v>0</v>
      </c>
      <c r="BD33" s="69">
        <f>IFERROR(__xludf.DUMMYFUNCTION("""COMPUTED_VALUE"""),0.0)</f>
        <v>0</v>
      </c>
      <c r="BE33" s="69" t="str">
        <f>IFERROR(__xludf.DUMMYFUNCTION("""COMPUTED_VALUE"""),"")</f>
        <v/>
      </c>
      <c r="BF33" s="69" t="str">
        <f>IFERROR(__xludf.DUMMYFUNCTION("""COMPUTED_VALUE"""),"")</f>
        <v/>
      </c>
      <c r="BG33" s="69" t="str">
        <f>IFERROR(__xludf.DUMMYFUNCTION("""COMPUTED_VALUE"""),"")</f>
        <v/>
      </c>
      <c r="BH33" s="69" t="str">
        <f>IFERROR(__xludf.DUMMYFUNCTION("""COMPUTED_VALUE"""),"")</f>
        <v/>
      </c>
      <c r="BI33" s="69" t="str">
        <f>IFERROR(__xludf.DUMMYFUNCTION("""COMPUTED_VALUE"""),"")</f>
        <v/>
      </c>
      <c r="BJ33" s="69" t="str">
        <f>IFERROR(__xludf.DUMMYFUNCTION("""COMPUTED_VALUE"""),"")</f>
        <v/>
      </c>
      <c r="BK33" s="69" t="str">
        <f>IFERROR(__xludf.DUMMYFUNCTION("""COMPUTED_VALUE"""),"")</f>
        <v/>
      </c>
      <c r="BL33" s="69" t="str">
        <f>IFERROR(__xludf.DUMMYFUNCTION("""COMPUTED_VALUE"""),"")</f>
        <v/>
      </c>
      <c r="BM33" s="69" t="str">
        <f>IFERROR(__xludf.DUMMYFUNCTION("""COMPUTED_VALUE"""),"")</f>
        <v/>
      </c>
      <c r="BN33" s="69" t="str">
        <f>IFERROR(__xludf.DUMMYFUNCTION("""COMPUTED_VALUE"""),"")</f>
        <v/>
      </c>
      <c r="BO33" s="69" t="str">
        <f>IFERROR(__xludf.DUMMYFUNCTION("""COMPUTED_VALUE"""),"")</f>
        <v/>
      </c>
      <c r="BP33" s="69" t="str">
        <f>IFERROR(__xludf.DUMMYFUNCTION("""COMPUTED_VALUE"""),"")</f>
        <v/>
      </c>
      <c r="BQ33" s="69" t="str">
        <f>IFERROR(__xludf.DUMMYFUNCTION("""COMPUTED_VALUE"""),"")</f>
        <v/>
      </c>
      <c r="BR33" s="69" t="str">
        <f>IFERROR(__xludf.DUMMYFUNCTION("""COMPUTED_VALUE"""),"")</f>
        <v/>
      </c>
      <c r="BS33" s="69" t="str">
        <f>IFERROR(__xludf.DUMMYFUNCTION("""COMPUTED_VALUE"""),"")</f>
        <v/>
      </c>
      <c r="BT33" s="69" t="str">
        <f>IFERROR(__xludf.DUMMYFUNCTION("""COMPUTED_VALUE"""),"")</f>
        <v/>
      </c>
      <c r="BU33" s="69" t="str">
        <f>IFERROR(__xludf.DUMMYFUNCTION("""COMPUTED_VALUE"""),"")</f>
        <v/>
      </c>
      <c r="BV33" s="69" t="str">
        <f>IFERROR(__xludf.DUMMYFUNCTION("""COMPUTED_VALUE"""),"")</f>
        <v/>
      </c>
      <c r="BW33" s="69"/>
      <c r="BX33" s="69"/>
      <c r="BY33" s="69"/>
      <c r="BZ33" s="69"/>
      <c r="CA33" s="69"/>
      <c r="CB33" s="69"/>
      <c r="CC33" s="69"/>
      <c r="CD33" s="69"/>
      <c r="CE33" s="69"/>
      <c r="CF33" s="69"/>
    </row>
    <row r="34">
      <c r="A34" s="70" t="str">
        <f>IFERROR(__xludf.DUMMYFUNCTION("""COMPUTED_VALUE"""),"Prismari Artistry")</f>
        <v>Prismari Artistry</v>
      </c>
      <c r="B34" s="71">
        <f>IFERROR(__xludf.DUMMYFUNCTION("""COMPUTED_VALUE"""),-1.0)</f>
        <v>-1</v>
      </c>
      <c r="C34" s="72">
        <f>IFERROR(__xludf.DUMMYFUNCTION("""COMPUTED_VALUE"""),0.0)</f>
        <v>0</v>
      </c>
      <c r="D34" s="72">
        <f>IFERROR(__xludf.DUMMYFUNCTION("""COMPUTED_VALUE"""),0.0)</f>
        <v>0</v>
      </c>
      <c r="E34" s="72">
        <f>IFERROR(__xludf.DUMMYFUNCTION("""COMPUTED_VALUE"""),0.0)</f>
        <v>0</v>
      </c>
      <c r="F34" s="72">
        <f>IFERROR(__xludf.DUMMYFUNCTION("""COMPUTED_VALUE"""),0.0)</f>
        <v>0</v>
      </c>
      <c r="G34" s="72">
        <f>IFERROR(__xludf.DUMMYFUNCTION("""COMPUTED_VALUE"""),0.0)</f>
        <v>0</v>
      </c>
      <c r="H34" s="72">
        <f>IFERROR(__xludf.DUMMYFUNCTION("""COMPUTED_VALUE"""),0.0)</f>
        <v>0</v>
      </c>
      <c r="I34" s="72">
        <f>IFERROR(__xludf.DUMMYFUNCTION("""COMPUTED_VALUE"""),0.0)</f>
        <v>0</v>
      </c>
      <c r="J34" s="72">
        <f>IFERROR(__xludf.DUMMYFUNCTION("""COMPUTED_VALUE"""),-1.0)</f>
        <v>-1</v>
      </c>
      <c r="K34" s="72">
        <f>IFERROR(__xludf.DUMMYFUNCTION("""COMPUTED_VALUE"""),0.0)</f>
        <v>0</v>
      </c>
      <c r="L34" s="72">
        <f>IFERROR(__xludf.DUMMYFUNCTION("""COMPUTED_VALUE"""),0.0)</f>
        <v>0</v>
      </c>
      <c r="M34" s="72">
        <f>IFERROR(__xludf.DUMMYFUNCTION("""COMPUTED_VALUE"""),0.0)</f>
        <v>0</v>
      </c>
      <c r="N34" s="72">
        <f>IFERROR(__xludf.DUMMYFUNCTION("""COMPUTED_VALUE"""),0.0)</f>
        <v>0</v>
      </c>
      <c r="O34" s="72">
        <f>IFERROR(__xludf.DUMMYFUNCTION("""COMPUTED_VALUE"""),0.0)</f>
        <v>0</v>
      </c>
      <c r="P34" s="72">
        <f>IFERROR(__xludf.DUMMYFUNCTION("""COMPUTED_VALUE"""),1.0)</f>
        <v>1</v>
      </c>
      <c r="Q34" s="72">
        <f>IFERROR(__xludf.DUMMYFUNCTION("""COMPUTED_VALUE"""),0.0)</f>
        <v>0</v>
      </c>
      <c r="R34" s="72">
        <f>IFERROR(__xludf.DUMMYFUNCTION("""COMPUTED_VALUE"""),0.0)</f>
        <v>0</v>
      </c>
      <c r="S34" s="72">
        <f>IFERROR(__xludf.DUMMYFUNCTION("""COMPUTED_VALUE"""),0.0)</f>
        <v>0</v>
      </c>
      <c r="T34" s="72">
        <f>IFERROR(__xludf.DUMMYFUNCTION("""COMPUTED_VALUE"""),0.0)</f>
        <v>0</v>
      </c>
      <c r="U34" s="72">
        <f>IFERROR(__xludf.DUMMYFUNCTION("""COMPUTED_VALUE"""),0.0)</f>
        <v>0</v>
      </c>
      <c r="V34" s="72">
        <f>IFERROR(__xludf.DUMMYFUNCTION("""COMPUTED_VALUE"""),0.0)</f>
        <v>0</v>
      </c>
      <c r="W34" s="72">
        <f>IFERROR(__xludf.DUMMYFUNCTION("""COMPUTED_VALUE"""),0.0)</f>
        <v>0</v>
      </c>
      <c r="X34" s="72">
        <f>IFERROR(__xludf.DUMMYFUNCTION("""COMPUTED_VALUE"""),0.0)</f>
        <v>0</v>
      </c>
      <c r="Y34" s="72">
        <f>IFERROR(__xludf.DUMMYFUNCTION("""COMPUTED_VALUE"""),0.0)</f>
        <v>0</v>
      </c>
      <c r="Z34" s="72">
        <f>IFERROR(__xludf.DUMMYFUNCTION("""COMPUTED_VALUE"""),-1.0)</f>
        <v>-1</v>
      </c>
      <c r="AA34" s="72">
        <f>IFERROR(__xludf.DUMMYFUNCTION("""COMPUTED_VALUE"""),0.0)</f>
        <v>0</v>
      </c>
      <c r="AB34" s="72">
        <f>IFERROR(__xludf.DUMMYFUNCTION("""COMPUTED_VALUE"""),0.0)</f>
        <v>0</v>
      </c>
      <c r="AC34" s="72">
        <f>IFERROR(__xludf.DUMMYFUNCTION("""COMPUTED_VALUE"""),-1.0)</f>
        <v>-1</v>
      </c>
      <c r="AD34" s="72">
        <f>IFERROR(__xludf.DUMMYFUNCTION("""COMPUTED_VALUE"""),1.0)</f>
        <v>1</v>
      </c>
      <c r="AE34" s="72">
        <f>IFERROR(__xludf.DUMMYFUNCTION("""COMPUTED_VALUE"""),0.0)</f>
        <v>0</v>
      </c>
      <c r="AF34" s="72">
        <f>IFERROR(__xludf.DUMMYFUNCTION("""COMPUTED_VALUE"""),0.0)</f>
        <v>0</v>
      </c>
      <c r="AG34" s="72">
        <f>IFERROR(__xludf.DUMMYFUNCTION("""COMPUTED_VALUE"""),0.0)</f>
        <v>0</v>
      </c>
      <c r="AH34" s="72">
        <f>IFERROR(__xludf.DUMMYFUNCTION("""COMPUTED_VALUE"""),0.0)</f>
        <v>0</v>
      </c>
      <c r="AI34" s="72" t="str">
        <f>IFERROR(__xludf.DUMMYFUNCTION("""COMPUTED_VALUE"""),"")</f>
        <v/>
      </c>
      <c r="AJ34" s="72">
        <f>IFERROR(__xludf.DUMMYFUNCTION("""COMPUTED_VALUE"""),0.0)</f>
        <v>0</v>
      </c>
      <c r="AK34" s="72">
        <f>IFERROR(__xludf.DUMMYFUNCTION("""COMPUTED_VALUE"""),0.0)</f>
        <v>0</v>
      </c>
      <c r="AL34" s="72">
        <f>IFERROR(__xludf.DUMMYFUNCTION("""COMPUTED_VALUE"""),-1.0)</f>
        <v>-1</v>
      </c>
      <c r="AM34" s="72">
        <f>IFERROR(__xludf.DUMMYFUNCTION("""COMPUTED_VALUE"""),0.0)</f>
        <v>0</v>
      </c>
      <c r="AN34" s="72">
        <f>IFERROR(__xludf.DUMMYFUNCTION("""COMPUTED_VALUE"""),0.0)</f>
        <v>0</v>
      </c>
      <c r="AO34" s="72">
        <f>IFERROR(__xludf.DUMMYFUNCTION("""COMPUTED_VALUE"""),0.0)</f>
        <v>0</v>
      </c>
      <c r="AP34" s="72">
        <f>IFERROR(__xludf.DUMMYFUNCTION("""COMPUTED_VALUE"""),0.0)</f>
        <v>0</v>
      </c>
      <c r="AQ34" s="72">
        <f>IFERROR(__xludf.DUMMYFUNCTION("""COMPUTED_VALUE"""),0.0)</f>
        <v>0</v>
      </c>
      <c r="AR34" s="72">
        <f>IFERROR(__xludf.DUMMYFUNCTION("""COMPUTED_VALUE"""),0.0)</f>
        <v>0</v>
      </c>
      <c r="AS34" s="72">
        <f>IFERROR(__xludf.DUMMYFUNCTION("""COMPUTED_VALUE"""),0.0)</f>
        <v>0</v>
      </c>
      <c r="AT34" s="72">
        <f>IFERROR(__xludf.DUMMYFUNCTION("""COMPUTED_VALUE"""),0.0)</f>
        <v>0</v>
      </c>
      <c r="AU34" s="72">
        <f>IFERROR(__xludf.DUMMYFUNCTION("""COMPUTED_VALUE"""),0.0)</f>
        <v>0</v>
      </c>
      <c r="AV34" s="72">
        <f>IFERROR(__xludf.DUMMYFUNCTION("""COMPUTED_VALUE"""),0.0)</f>
        <v>0</v>
      </c>
      <c r="AW34" s="72">
        <f>IFERROR(__xludf.DUMMYFUNCTION("""COMPUTED_VALUE"""),0.0)</f>
        <v>0</v>
      </c>
      <c r="AX34" s="72">
        <f>IFERROR(__xludf.DUMMYFUNCTION("""COMPUTED_VALUE"""),0.0)</f>
        <v>0</v>
      </c>
      <c r="AY34" s="72">
        <f>IFERROR(__xludf.DUMMYFUNCTION("""COMPUTED_VALUE"""),0.0)</f>
        <v>0</v>
      </c>
      <c r="AZ34" s="72">
        <f>IFERROR(__xludf.DUMMYFUNCTION("""COMPUTED_VALUE"""),0.0)</f>
        <v>0</v>
      </c>
      <c r="BA34" s="72">
        <f>IFERROR(__xludf.DUMMYFUNCTION("""COMPUTED_VALUE"""),0.0)</f>
        <v>0</v>
      </c>
      <c r="BB34" s="72">
        <f>IFERROR(__xludf.DUMMYFUNCTION("""COMPUTED_VALUE"""),0.0)</f>
        <v>0</v>
      </c>
      <c r="BC34" s="72">
        <f>IFERROR(__xludf.DUMMYFUNCTION("""COMPUTED_VALUE"""),1.0)</f>
        <v>1</v>
      </c>
      <c r="BD34" s="69">
        <f>IFERROR(__xludf.DUMMYFUNCTION("""COMPUTED_VALUE"""),0.0)</f>
        <v>0</v>
      </c>
      <c r="BE34" s="69" t="str">
        <f>IFERROR(__xludf.DUMMYFUNCTION("""COMPUTED_VALUE"""),"")</f>
        <v/>
      </c>
      <c r="BF34" s="69" t="str">
        <f>IFERROR(__xludf.DUMMYFUNCTION("""COMPUTED_VALUE"""),"")</f>
        <v/>
      </c>
      <c r="BG34" s="69" t="str">
        <f>IFERROR(__xludf.DUMMYFUNCTION("""COMPUTED_VALUE"""),"")</f>
        <v/>
      </c>
      <c r="BH34" s="69" t="str">
        <f>IFERROR(__xludf.DUMMYFUNCTION("""COMPUTED_VALUE"""),"")</f>
        <v/>
      </c>
      <c r="BI34" s="69" t="str">
        <f>IFERROR(__xludf.DUMMYFUNCTION("""COMPUTED_VALUE"""),"")</f>
        <v/>
      </c>
      <c r="BJ34" s="69" t="str">
        <f>IFERROR(__xludf.DUMMYFUNCTION("""COMPUTED_VALUE"""),"")</f>
        <v/>
      </c>
      <c r="BK34" s="69" t="str">
        <f>IFERROR(__xludf.DUMMYFUNCTION("""COMPUTED_VALUE"""),"")</f>
        <v/>
      </c>
      <c r="BL34" s="69" t="str">
        <f>IFERROR(__xludf.DUMMYFUNCTION("""COMPUTED_VALUE"""),"")</f>
        <v/>
      </c>
      <c r="BM34" s="69" t="str">
        <f>IFERROR(__xludf.DUMMYFUNCTION("""COMPUTED_VALUE"""),"")</f>
        <v/>
      </c>
      <c r="BN34" s="69" t="str">
        <f>IFERROR(__xludf.DUMMYFUNCTION("""COMPUTED_VALUE"""),"")</f>
        <v/>
      </c>
      <c r="BO34" s="69" t="str">
        <f>IFERROR(__xludf.DUMMYFUNCTION("""COMPUTED_VALUE"""),"")</f>
        <v/>
      </c>
      <c r="BP34" s="69" t="str">
        <f>IFERROR(__xludf.DUMMYFUNCTION("""COMPUTED_VALUE"""),"")</f>
        <v/>
      </c>
      <c r="BQ34" s="69" t="str">
        <f>IFERROR(__xludf.DUMMYFUNCTION("""COMPUTED_VALUE"""),"")</f>
        <v/>
      </c>
      <c r="BR34" s="69" t="str">
        <f>IFERROR(__xludf.DUMMYFUNCTION("""COMPUTED_VALUE"""),"")</f>
        <v/>
      </c>
      <c r="BS34" s="69" t="str">
        <f>IFERROR(__xludf.DUMMYFUNCTION("""COMPUTED_VALUE"""),"")</f>
        <v/>
      </c>
      <c r="BT34" s="69" t="str">
        <f>IFERROR(__xludf.DUMMYFUNCTION("""COMPUTED_VALUE"""),"")</f>
        <v/>
      </c>
      <c r="BU34" s="69" t="str">
        <f>IFERROR(__xludf.DUMMYFUNCTION("""COMPUTED_VALUE"""),"")</f>
        <v/>
      </c>
      <c r="BV34" s="69" t="str">
        <f>IFERROR(__xludf.DUMMYFUNCTION("""COMPUTED_VALUE"""),"")</f>
        <v/>
      </c>
      <c r="BW34" s="69"/>
      <c r="BX34" s="69"/>
      <c r="BY34" s="69"/>
      <c r="BZ34" s="69"/>
      <c r="CA34" s="69"/>
      <c r="CB34" s="69"/>
      <c r="CC34" s="69"/>
      <c r="CD34" s="69"/>
      <c r="CE34" s="69"/>
      <c r="CF34" s="69"/>
    </row>
    <row r="35">
      <c r="A35" s="70" t="str">
        <f>IFERROR(__xludf.DUMMYFUNCTION("""COMPUTED_VALUE"""),"Prismari Performance")</f>
        <v>Prismari Performance</v>
      </c>
      <c r="B35" s="71">
        <f>IFERROR(__xludf.DUMMYFUNCTION("""COMPUTED_VALUE"""),-1.0)</f>
        <v>-1</v>
      </c>
      <c r="C35" s="72">
        <f>IFERROR(__xludf.DUMMYFUNCTION("""COMPUTED_VALUE"""),0.0)</f>
        <v>0</v>
      </c>
      <c r="D35" s="72">
        <f>IFERROR(__xludf.DUMMYFUNCTION("""COMPUTED_VALUE"""),0.0)</f>
        <v>0</v>
      </c>
      <c r="E35" s="72">
        <f>IFERROR(__xludf.DUMMYFUNCTION("""COMPUTED_VALUE"""),0.0)</f>
        <v>0</v>
      </c>
      <c r="F35" s="72">
        <f>IFERROR(__xludf.DUMMYFUNCTION("""COMPUTED_VALUE"""),0.0)</f>
        <v>0</v>
      </c>
      <c r="G35" s="72">
        <f>IFERROR(__xludf.DUMMYFUNCTION("""COMPUTED_VALUE"""),0.0)</f>
        <v>0</v>
      </c>
      <c r="H35" s="72">
        <f>IFERROR(__xludf.DUMMYFUNCTION("""COMPUTED_VALUE"""),0.0)</f>
        <v>0</v>
      </c>
      <c r="I35" s="72">
        <f>IFERROR(__xludf.DUMMYFUNCTION("""COMPUTED_VALUE"""),0.0)</f>
        <v>0</v>
      </c>
      <c r="J35" s="72">
        <f>IFERROR(__xludf.DUMMYFUNCTION("""COMPUTED_VALUE"""),0.0)</f>
        <v>0</v>
      </c>
      <c r="K35" s="72">
        <f>IFERROR(__xludf.DUMMYFUNCTION("""COMPUTED_VALUE"""),0.0)</f>
        <v>0</v>
      </c>
      <c r="L35" s="72">
        <f>IFERROR(__xludf.DUMMYFUNCTION("""COMPUTED_VALUE"""),-1.0)</f>
        <v>-1</v>
      </c>
      <c r="M35" s="72">
        <f>IFERROR(__xludf.DUMMYFUNCTION("""COMPUTED_VALUE"""),0.0)</f>
        <v>0</v>
      </c>
      <c r="N35" s="72">
        <f>IFERROR(__xludf.DUMMYFUNCTION("""COMPUTED_VALUE"""),0.0)</f>
        <v>0</v>
      </c>
      <c r="O35" s="72">
        <f>IFERROR(__xludf.DUMMYFUNCTION("""COMPUTED_VALUE"""),0.0)</f>
        <v>0</v>
      </c>
      <c r="P35" s="72">
        <f>IFERROR(__xludf.DUMMYFUNCTION("""COMPUTED_VALUE"""),0.0)</f>
        <v>0</v>
      </c>
      <c r="Q35" s="72">
        <f>IFERROR(__xludf.DUMMYFUNCTION("""COMPUTED_VALUE"""),0.0)</f>
        <v>0</v>
      </c>
      <c r="R35" s="72">
        <f>IFERROR(__xludf.DUMMYFUNCTION("""COMPUTED_VALUE"""),0.0)</f>
        <v>0</v>
      </c>
      <c r="S35" s="72">
        <f>IFERROR(__xludf.DUMMYFUNCTION("""COMPUTED_VALUE"""),0.0)</f>
        <v>0</v>
      </c>
      <c r="T35" s="72">
        <f>IFERROR(__xludf.DUMMYFUNCTION("""COMPUTED_VALUE"""),0.0)</f>
        <v>0</v>
      </c>
      <c r="U35" s="72">
        <f>IFERROR(__xludf.DUMMYFUNCTION("""COMPUTED_VALUE"""),0.0)</f>
        <v>0</v>
      </c>
      <c r="V35" s="72">
        <f>IFERROR(__xludf.DUMMYFUNCTION("""COMPUTED_VALUE"""),0.0)</f>
        <v>0</v>
      </c>
      <c r="W35" s="72">
        <f>IFERROR(__xludf.DUMMYFUNCTION("""COMPUTED_VALUE"""),0.0)</f>
        <v>0</v>
      </c>
      <c r="X35" s="72">
        <f>IFERROR(__xludf.DUMMYFUNCTION("""COMPUTED_VALUE"""),0.0)</f>
        <v>0</v>
      </c>
      <c r="Y35" s="72">
        <f>IFERROR(__xludf.DUMMYFUNCTION("""COMPUTED_VALUE"""),0.0)</f>
        <v>0</v>
      </c>
      <c r="Z35" s="72">
        <f>IFERROR(__xludf.DUMMYFUNCTION("""COMPUTED_VALUE"""),0.0)</f>
        <v>0</v>
      </c>
      <c r="AA35" s="72">
        <f>IFERROR(__xludf.DUMMYFUNCTION("""COMPUTED_VALUE"""),0.0)</f>
        <v>0</v>
      </c>
      <c r="AB35" s="72">
        <f>IFERROR(__xludf.DUMMYFUNCTION("""COMPUTED_VALUE"""),0.0)</f>
        <v>0</v>
      </c>
      <c r="AC35" s="72">
        <f>IFERROR(__xludf.DUMMYFUNCTION("""COMPUTED_VALUE"""),0.0)</f>
        <v>0</v>
      </c>
      <c r="AD35" s="72">
        <f>IFERROR(__xludf.DUMMYFUNCTION("""COMPUTED_VALUE"""),0.0)</f>
        <v>0</v>
      </c>
      <c r="AE35" s="72">
        <f>IFERROR(__xludf.DUMMYFUNCTION("""COMPUTED_VALUE"""),0.0)</f>
        <v>0</v>
      </c>
      <c r="AF35" s="72">
        <f>IFERROR(__xludf.DUMMYFUNCTION("""COMPUTED_VALUE"""),0.0)</f>
        <v>0</v>
      </c>
      <c r="AG35" s="72">
        <f>IFERROR(__xludf.DUMMYFUNCTION("""COMPUTED_VALUE"""),0.0)</f>
        <v>0</v>
      </c>
      <c r="AH35" s="72">
        <f>IFERROR(__xludf.DUMMYFUNCTION("""COMPUTED_VALUE"""),0.0)</f>
        <v>0</v>
      </c>
      <c r="AI35" s="72">
        <f>IFERROR(__xludf.DUMMYFUNCTION("""COMPUTED_VALUE"""),0.0)</f>
        <v>0</v>
      </c>
      <c r="AJ35" s="72" t="str">
        <f>IFERROR(__xludf.DUMMYFUNCTION("""COMPUTED_VALUE"""),"")</f>
        <v/>
      </c>
      <c r="AK35" s="72">
        <f>IFERROR(__xludf.DUMMYFUNCTION("""COMPUTED_VALUE"""),0.0)</f>
        <v>0</v>
      </c>
      <c r="AL35" s="72">
        <f>IFERROR(__xludf.DUMMYFUNCTION("""COMPUTED_VALUE"""),0.0)</f>
        <v>0</v>
      </c>
      <c r="AM35" s="72">
        <f>IFERROR(__xludf.DUMMYFUNCTION("""COMPUTED_VALUE"""),0.0)</f>
        <v>0</v>
      </c>
      <c r="AN35" s="72">
        <f>IFERROR(__xludf.DUMMYFUNCTION("""COMPUTED_VALUE"""),0.0)</f>
        <v>0</v>
      </c>
      <c r="AO35" s="72">
        <f>IFERROR(__xludf.DUMMYFUNCTION("""COMPUTED_VALUE"""),0.0)</f>
        <v>0</v>
      </c>
      <c r="AP35" s="72">
        <f>IFERROR(__xludf.DUMMYFUNCTION("""COMPUTED_VALUE"""),0.0)</f>
        <v>0</v>
      </c>
      <c r="AQ35" s="72">
        <f>IFERROR(__xludf.DUMMYFUNCTION("""COMPUTED_VALUE"""),0.0)</f>
        <v>0</v>
      </c>
      <c r="AR35" s="72">
        <f>IFERROR(__xludf.DUMMYFUNCTION("""COMPUTED_VALUE"""),0.0)</f>
        <v>0</v>
      </c>
      <c r="AS35" s="72">
        <f>IFERROR(__xludf.DUMMYFUNCTION("""COMPUTED_VALUE"""),0.0)</f>
        <v>0</v>
      </c>
      <c r="AT35" s="72">
        <f>IFERROR(__xludf.DUMMYFUNCTION("""COMPUTED_VALUE"""),0.0)</f>
        <v>0</v>
      </c>
      <c r="AU35" s="72">
        <f>IFERROR(__xludf.DUMMYFUNCTION("""COMPUTED_VALUE"""),0.0)</f>
        <v>0</v>
      </c>
      <c r="AV35" s="72">
        <f>IFERROR(__xludf.DUMMYFUNCTION("""COMPUTED_VALUE"""),0.0)</f>
        <v>0</v>
      </c>
      <c r="AW35" s="72">
        <f>IFERROR(__xludf.DUMMYFUNCTION("""COMPUTED_VALUE"""),0.0)</f>
        <v>0</v>
      </c>
      <c r="AX35" s="72">
        <f>IFERROR(__xludf.DUMMYFUNCTION("""COMPUTED_VALUE"""),0.0)</f>
        <v>0</v>
      </c>
      <c r="AY35" s="72">
        <f>IFERROR(__xludf.DUMMYFUNCTION("""COMPUTED_VALUE"""),0.0)</f>
        <v>0</v>
      </c>
      <c r="AZ35" s="72">
        <f>IFERROR(__xludf.DUMMYFUNCTION("""COMPUTED_VALUE"""),0.0)</f>
        <v>0</v>
      </c>
      <c r="BA35" s="72">
        <f>IFERROR(__xludf.DUMMYFUNCTION("""COMPUTED_VALUE"""),0.0)</f>
        <v>0</v>
      </c>
      <c r="BB35" s="72">
        <f>IFERROR(__xludf.DUMMYFUNCTION("""COMPUTED_VALUE"""),0.0)</f>
        <v>0</v>
      </c>
      <c r="BC35" s="72">
        <f>IFERROR(__xludf.DUMMYFUNCTION("""COMPUTED_VALUE"""),0.0)</f>
        <v>0</v>
      </c>
      <c r="BD35" s="69">
        <f>IFERROR(__xludf.DUMMYFUNCTION("""COMPUTED_VALUE"""),0.0)</f>
        <v>0</v>
      </c>
      <c r="BE35" s="69" t="str">
        <f>IFERROR(__xludf.DUMMYFUNCTION("""COMPUTED_VALUE"""),"")</f>
        <v/>
      </c>
      <c r="BF35" s="69" t="str">
        <f>IFERROR(__xludf.DUMMYFUNCTION("""COMPUTED_VALUE"""),"")</f>
        <v/>
      </c>
      <c r="BG35" s="69" t="str">
        <f>IFERROR(__xludf.DUMMYFUNCTION("""COMPUTED_VALUE"""),"")</f>
        <v/>
      </c>
      <c r="BH35" s="69" t="str">
        <f>IFERROR(__xludf.DUMMYFUNCTION("""COMPUTED_VALUE"""),"")</f>
        <v/>
      </c>
      <c r="BI35" s="69" t="str">
        <f>IFERROR(__xludf.DUMMYFUNCTION("""COMPUTED_VALUE"""),"")</f>
        <v/>
      </c>
      <c r="BJ35" s="69" t="str">
        <f>IFERROR(__xludf.DUMMYFUNCTION("""COMPUTED_VALUE"""),"")</f>
        <v/>
      </c>
      <c r="BK35" s="69" t="str">
        <f>IFERROR(__xludf.DUMMYFUNCTION("""COMPUTED_VALUE"""),"")</f>
        <v/>
      </c>
      <c r="BL35" s="69" t="str">
        <f>IFERROR(__xludf.DUMMYFUNCTION("""COMPUTED_VALUE"""),"")</f>
        <v/>
      </c>
      <c r="BM35" s="69" t="str">
        <f>IFERROR(__xludf.DUMMYFUNCTION("""COMPUTED_VALUE"""),"")</f>
        <v/>
      </c>
      <c r="BN35" s="69" t="str">
        <f>IFERROR(__xludf.DUMMYFUNCTION("""COMPUTED_VALUE"""),"")</f>
        <v/>
      </c>
      <c r="BO35" s="69" t="str">
        <f>IFERROR(__xludf.DUMMYFUNCTION("""COMPUTED_VALUE"""),"")</f>
        <v/>
      </c>
      <c r="BP35" s="69" t="str">
        <f>IFERROR(__xludf.DUMMYFUNCTION("""COMPUTED_VALUE"""),"")</f>
        <v/>
      </c>
      <c r="BQ35" s="69" t="str">
        <f>IFERROR(__xludf.DUMMYFUNCTION("""COMPUTED_VALUE"""),"")</f>
        <v/>
      </c>
      <c r="BR35" s="69" t="str">
        <f>IFERROR(__xludf.DUMMYFUNCTION("""COMPUTED_VALUE"""),"")</f>
        <v/>
      </c>
      <c r="BS35" s="69" t="str">
        <f>IFERROR(__xludf.DUMMYFUNCTION("""COMPUTED_VALUE"""),"")</f>
        <v/>
      </c>
      <c r="BT35" s="69" t="str">
        <f>IFERROR(__xludf.DUMMYFUNCTION("""COMPUTED_VALUE"""),"")</f>
        <v/>
      </c>
      <c r="BU35" s="69" t="str">
        <f>IFERROR(__xludf.DUMMYFUNCTION("""COMPUTED_VALUE"""),"")</f>
        <v/>
      </c>
      <c r="BV35" s="69" t="str">
        <f>IFERROR(__xludf.DUMMYFUNCTION("""COMPUTED_VALUE"""),"")</f>
        <v/>
      </c>
      <c r="BW35" s="69"/>
      <c r="BX35" s="69"/>
      <c r="BY35" s="69"/>
      <c r="BZ35" s="69"/>
      <c r="CA35" s="69"/>
      <c r="CB35" s="69"/>
      <c r="CC35" s="69"/>
      <c r="CD35" s="69"/>
      <c r="CE35" s="69"/>
      <c r="CF35" s="69"/>
    </row>
    <row r="36">
      <c r="A36" s="70" t="str">
        <f>IFERROR(__xludf.DUMMYFUNCTION("""COMPUTED_VALUE"""),"Quandrix Unlimited")</f>
        <v>Quandrix Unlimited</v>
      </c>
      <c r="B36" s="71">
        <f>IFERROR(__xludf.DUMMYFUNCTION("""COMPUTED_VALUE"""),7.0)</f>
        <v>7</v>
      </c>
      <c r="C36" s="72">
        <f>IFERROR(__xludf.DUMMYFUNCTION("""COMPUTED_VALUE"""),0.0)</f>
        <v>0</v>
      </c>
      <c r="D36" s="72">
        <f>IFERROR(__xludf.DUMMYFUNCTION("""COMPUTED_VALUE"""),0.0)</f>
        <v>0</v>
      </c>
      <c r="E36" s="72">
        <f>IFERROR(__xludf.DUMMYFUNCTION("""COMPUTED_VALUE"""),0.0)</f>
        <v>0</v>
      </c>
      <c r="F36" s="72">
        <f>IFERROR(__xludf.DUMMYFUNCTION("""COMPUTED_VALUE"""),0.0)</f>
        <v>0</v>
      </c>
      <c r="G36" s="72">
        <f>IFERROR(__xludf.DUMMYFUNCTION("""COMPUTED_VALUE"""),1.0)</f>
        <v>1</v>
      </c>
      <c r="H36" s="72">
        <f>IFERROR(__xludf.DUMMYFUNCTION("""COMPUTED_VALUE"""),0.0)</f>
        <v>0</v>
      </c>
      <c r="I36" s="72">
        <f>IFERROR(__xludf.DUMMYFUNCTION("""COMPUTED_VALUE"""),0.0)</f>
        <v>0</v>
      </c>
      <c r="J36" s="72">
        <f>IFERROR(__xludf.DUMMYFUNCTION("""COMPUTED_VALUE"""),0.0)</f>
        <v>0</v>
      </c>
      <c r="K36" s="72">
        <f>IFERROR(__xludf.DUMMYFUNCTION("""COMPUTED_VALUE"""),0.0)</f>
        <v>0</v>
      </c>
      <c r="L36" s="72">
        <f>IFERROR(__xludf.DUMMYFUNCTION("""COMPUTED_VALUE"""),-1.0)</f>
        <v>-1</v>
      </c>
      <c r="M36" s="72">
        <f>IFERROR(__xludf.DUMMYFUNCTION("""COMPUTED_VALUE"""),2.0)</f>
        <v>2</v>
      </c>
      <c r="N36" s="72">
        <f>IFERROR(__xludf.DUMMYFUNCTION("""COMPUTED_VALUE"""),0.0)</f>
        <v>0</v>
      </c>
      <c r="O36" s="72">
        <f>IFERROR(__xludf.DUMMYFUNCTION("""COMPUTED_VALUE"""),1.0)</f>
        <v>1</v>
      </c>
      <c r="P36" s="72">
        <f>IFERROR(__xludf.DUMMYFUNCTION("""COMPUTED_VALUE"""),0.0)</f>
        <v>0</v>
      </c>
      <c r="Q36" s="72">
        <f>IFERROR(__xludf.DUMMYFUNCTION("""COMPUTED_VALUE"""),2.0)</f>
        <v>2</v>
      </c>
      <c r="R36" s="72">
        <f>IFERROR(__xludf.DUMMYFUNCTION("""COMPUTED_VALUE"""),-1.0)</f>
        <v>-1</v>
      </c>
      <c r="S36" s="72">
        <f>IFERROR(__xludf.DUMMYFUNCTION("""COMPUTED_VALUE"""),0.0)</f>
        <v>0</v>
      </c>
      <c r="T36" s="72">
        <f>IFERROR(__xludf.DUMMYFUNCTION("""COMPUTED_VALUE"""),0.0)</f>
        <v>0</v>
      </c>
      <c r="U36" s="72">
        <f>IFERROR(__xludf.DUMMYFUNCTION("""COMPUTED_VALUE"""),0.0)</f>
        <v>0</v>
      </c>
      <c r="V36" s="72">
        <f>IFERROR(__xludf.DUMMYFUNCTION("""COMPUTED_VALUE"""),0.0)</f>
        <v>0</v>
      </c>
      <c r="W36" s="72">
        <f>IFERROR(__xludf.DUMMYFUNCTION("""COMPUTED_VALUE"""),0.0)</f>
        <v>0</v>
      </c>
      <c r="X36" s="72">
        <f>IFERROR(__xludf.DUMMYFUNCTION("""COMPUTED_VALUE"""),0.0)</f>
        <v>0</v>
      </c>
      <c r="Y36" s="72">
        <f>IFERROR(__xludf.DUMMYFUNCTION("""COMPUTED_VALUE"""),0.0)</f>
        <v>0</v>
      </c>
      <c r="Z36" s="72">
        <f>IFERROR(__xludf.DUMMYFUNCTION("""COMPUTED_VALUE"""),2.0)</f>
        <v>2</v>
      </c>
      <c r="AA36" s="72">
        <f>IFERROR(__xludf.DUMMYFUNCTION("""COMPUTED_VALUE"""),0.0)</f>
        <v>0</v>
      </c>
      <c r="AB36" s="72">
        <f>IFERROR(__xludf.DUMMYFUNCTION("""COMPUTED_VALUE"""),0.0)</f>
        <v>0</v>
      </c>
      <c r="AC36" s="72">
        <f>IFERROR(__xludf.DUMMYFUNCTION("""COMPUTED_VALUE"""),0.0)</f>
        <v>0</v>
      </c>
      <c r="AD36" s="72">
        <f>IFERROR(__xludf.DUMMYFUNCTION("""COMPUTED_VALUE"""),0.0)</f>
        <v>0</v>
      </c>
      <c r="AE36" s="72">
        <f>IFERROR(__xludf.DUMMYFUNCTION("""COMPUTED_VALUE"""),-1.0)</f>
        <v>-1</v>
      </c>
      <c r="AF36" s="72">
        <f>IFERROR(__xludf.DUMMYFUNCTION("""COMPUTED_VALUE"""),0.0)</f>
        <v>0</v>
      </c>
      <c r="AG36" s="72">
        <f>IFERROR(__xludf.DUMMYFUNCTION("""COMPUTED_VALUE"""),0.0)</f>
        <v>0</v>
      </c>
      <c r="AH36" s="72">
        <f>IFERROR(__xludf.DUMMYFUNCTION("""COMPUTED_VALUE"""),0.0)</f>
        <v>0</v>
      </c>
      <c r="AI36" s="72">
        <f>IFERROR(__xludf.DUMMYFUNCTION("""COMPUTED_VALUE"""),0.0)</f>
        <v>0</v>
      </c>
      <c r="AJ36" s="72">
        <f>IFERROR(__xludf.DUMMYFUNCTION("""COMPUTED_VALUE"""),0.0)</f>
        <v>0</v>
      </c>
      <c r="AK36" s="72" t="str">
        <f>IFERROR(__xludf.DUMMYFUNCTION("""COMPUTED_VALUE"""),"")</f>
        <v/>
      </c>
      <c r="AL36" s="72">
        <f>IFERROR(__xludf.DUMMYFUNCTION("""COMPUTED_VALUE"""),1.0)</f>
        <v>1</v>
      </c>
      <c r="AM36" s="72">
        <f>IFERROR(__xludf.DUMMYFUNCTION("""COMPUTED_VALUE"""),-1.0)</f>
        <v>-1</v>
      </c>
      <c r="AN36" s="72">
        <f>IFERROR(__xludf.DUMMYFUNCTION("""COMPUTED_VALUE"""),0.0)</f>
        <v>0</v>
      </c>
      <c r="AO36" s="72">
        <f>IFERROR(__xludf.DUMMYFUNCTION("""COMPUTED_VALUE"""),0.0)</f>
        <v>0</v>
      </c>
      <c r="AP36" s="72">
        <f>IFERROR(__xludf.DUMMYFUNCTION("""COMPUTED_VALUE"""),0.0)</f>
        <v>0</v>
      </c>
      <c r="AQ36" s="72">
        <f>IFERROR(__xludf.DUMMYFUNCTION("""COMPUTED_VALUE"""),0.0)</f>
        <v>0</v>
      </c>
      <c r="AR36" s="72">
        <f>IFERROR(__xludf.DUMMYFUNCTION("""COMPUTED_VALUE"""),0.0)</f>
        <v>0</v>
      </c>
      <c r="AS36" s="72">
        <f>IFERROR(__xludf.DUMMYFUNCTION("""COMPUTED_VALUE"""),0.0)</f>
        <v>0</v>
      </c>
      <c r="AT36" s="72">
        <f>IFERROR(__xludf.DUMMYFUNCTION("""COMPUTED_VALUE"""),0.0)</f>
        <v>0</v>
      </c>
      <c r="AU36" s="72">
        <f>IFERROR(__xludf.DUMMYFUNCTION("""COMPUTED_VALUE"""),0.0)</f>
        <v>0</v>
      </c>
      <c r="AV36" s="72">
        <f>IFERROR(__xludf.DUMMYFUNCTION("""COMPUTED_VALUE"""),-1.0)</f>
        <v>-1</v>
      </c>
      <c r="AW36" s="72">
        <f>IFERROR(__xludf.DUMMYFUNCTION("""COMPUTED_VALUE"""),1.0)</f>
        <v>1</v>
      </c>
      <c r="AX36" s="72">
        <f>IFERROR(__xludf.DUMMYFUNCTION("""COMPUTED_VALUE"""),0.0)</f>
        <v>0</v>
      </c>
      <c r="AY36" s="72">
        <f>IFERROR(__xludf.DUMMYFUNCTION("""COMPUTED_VALUE"""),0.0)</f>
        <v>0</v>
      </c>
      <c r="AZ36" s="72">
        <f>IFERROR(__xludf.DUMMYFUNCTION("""COMPUTED_VALUE"""),0.0)</f>
        <v>0</v>
      </c>
      <c r="BA36" s="72">
        <f>IFERROR(__xludf.DUMMYFUNCTION("""COMPUTED_VALUE"""),0.0)</f>
        <v>0</v>
      </c>
      <c r="BB36" s="72">
        <f>IFERROR(__xludf.DUMMYFUNCTION("""COMPUTED_VALUE"""),0.0)</f>
        <v>0</v>
      </c>
      <c r="BC36" s="72">
        <f>IFERROR(__xludf.DUMMYFUNCTION("""COMPUTED_VALUE"""),1.0)</f>
        <v>1</v>
      </c>
      <c r="BD36" s="69">
        <f>IFERROR(__xludf.DUMMYFUNCTION("""COMPUTED_VALUE"""),1.0)</f>
        <v>1</v>
      </c>
      <c r="BE36" s="69" t="str">
        <f>IFERROR(__xludf.DUMMYFUNCTION("""COMPUTED_VALUE"""),"")</f>
        <v/>
      </c>
      <c r="BF36" s="69" t="str">
        <f>IFERROR(__xludf.DUMMYFUNCTION("""COMPUTED_VALUE"""),"")</f>
        <v/>
      </c>
      <c r="BG36" s="69" t="str">
        <f>IFERROR(__xludf.DUMMYFUNCTION("""COMPUTED_VALUE"""),"")</f>
        <v/>
      </c>
      <c r="BH36" s="69" t="str">
        <f>IFERROR(__xludf.DUMMYFUNCTION("""COMPUTED_VALUE"""),"")</f>
        <v/>
      </c>
      <c r="BI36" s="69" t="str">
        <f>IFERROR(__xludf.DUMMYFUNCTION("""COMPUTED_VALUE"""),"")</f>
        <v/>
      </c>
      <c r="BJ36" s="69" t="str">
        <f>IFERROR(__xludf.DUMMYFUNCTION("""COMPUTED_VALUE"""),"")</f>
        <v/>
      </c>
      <c r="BK36" s="69" t="str">
        <f>IFERROR(__xludf.DUMMYFUNCTION("""COMPUTED_VALUE"""),"")</f>
        <v/>
      </c>
      <c r="BL36" s="69" t="str">
        <f>IFERROR(__xludf.DUMMYFUNCTION("""COMPUTED_VALUE"""),"")</f>
        <v/>
      </c>
      <c r="BM36" s="69" t="str">
        <f>IFERROR(__xludf.DUMMYFUNCTION("""COMPUTED_VALUE"""),"")</f>
        <v/>
      </c>
      <c r="BN36" s="69" t="str">
        <f>IFERROR(__xludf.DUMMYFUNCTION("""COMPUTED_VALUE"""),"")</f>
        <v/>
      </c>
      <c r="BO36" s="69" t="str">
        <f>IFERROR(__xludf.DUMMYFUNCTION("""COMPUTED_VALUE"""),"")</f>
        <v/>
      </c>
      <c r="BP36" s="69" t="str">
        <f>IFERROR(__xludf.DUMMYFUNCTION("""COMPUTED_VALUE"""),"")</f>
        <v/>
      </c>
      <c r="BQ36" s="69" t="str">
        <f>IFERROR(__xludf.DUMMYFUNCTION("""COMPUTED_VALUE"""),"")</f>
        <v/>
      </c>
      <c r="BR36" s="69" t="str">
        <f>IFERROR(__xludf.DUMMYFUNCTION("""COMPUTED_VALUE"""),"")</f>
        <v/>
      </c>
      <c r="BS36" s="69" t="str">
        <f>IFERROR(__xludf.DUMMYFUNCTION("""COMPUTED_VALUE"""),"")</f>
        <v/>
      </c>
      <c r="BT36" s="69" t="str">
        <f>IFERROR(__xludf.DUMMYFUNCTION("""COMPUTED_VALUE"""),"")</f>
        <v/>
      </c>
      <c r="BU36" s="69" t="str">
        <f>IFERROR(__xludf.DUMMYFUNCTION("""COMPUTED_VALUE"""),"")</f>
        <v/>
      </c>
      <c r="BV36" s="69" t="str">
        <f>IFERROR(__xludf.DUMMYFUNCTION("""COMPUTED_VALUE"""),"")</f>
        <v/>
      </c>
      <c r="BW36" s="69"/>
      <c r="BX36" s="69"/>
      <c r="BY36" s="69"/>
      <c r="BZ36" s="69"/>
      <c r="CA36" s="69"/>
      <c r="CB36" s="69"/>
      <c r="CC36" s="69"/>
      <c r="CD36" s="69"/>
      <c r="CE36" s="69"/>
      <c r="CF36" s="69"/>
    </row>
    <row r="37">
      <c r="A37" s="70" t="str">
        <f>IFERROR(__xludf.DUMMYFUNCTION("""COMPUTED_VALUE"""),"Quick Draw")</f>
        <v>Quick Draw</v>
      </c>
      <c r="B37" s="71">
        <f>IFERROR(__xludf.DUMMYFUNCTION("""COMPUTED_VALUE"""),17.0)</f>
        <v>17</v>
      </c>
      <c r="C37" s="72">
        <f>IFERROR(__xludf.DUMMYFUNCTION("""COMPUTED_VALUE"""),0.0)</f>
        <v>0</v>
      </c>
      <c r="D37" s="72">
        <f>IFERROR(__xludf.DUMMYFUNCTION("""COMPUTED_VALUE"""),0.0)</f>
        <v>0</v>
      </c>
      <c r="E37" s="72">
        <f>IFERROR(__xludf.DUMMYFUNCTION("""COMPUTED_VALUE"""),0.0)</f>
        <v>0</v>
      </c>
      <c r="F37" s="72">
        <f>IFERROR(__xludf.DUMMYFUNCTION("""COMPUTED_VALUE"""),0.0)</f>
        <v>0</v>
      </c>
      <c r="G37" s="72">
        <f>IFERROR(__xludf.DUMMYFUNCTION("""COMPUTED_VALUE"""),0.0)</f>
        <v>0</v>
      </c>
      <c r="H37" s="72">
        <f>IFERROR(__xludf.DUMMYFUNCTION("""COMPUTED_VALUE"""),2.0)</f>
        <v>2</v>
      </c>
      <c r="I37" s="72">
        <f>IFERROR(__xludf.DUMMYFUNCTION("""COMPUTED_VALUE"""),0.0)</f>
        <v>0</v>
      </c>
      <c r="J37" s="72">
        <f>IFERROR(__xludf.DUMMYFUNCTION("""COMPUTED_VALUE"""),0.0)</f>
        <v>0</v>
      </c>
      <c r="K37" s="72">
        <f>IFERROR(__xludf.DUMMYFUNCTION("""COMPUTED_VALUE"""),0.0)</f>
        <v>0</v>
      </c>
      <c r="L37" s="72">
        <f>IFERROR(__xludf.DUMMYFUNCTION("""COMPUTED_VALUE"""),1.0)</f>
        <v>1</v>
      </c>
      <c r="M37" s="72">
        <f>IFERROR(__xludf.DUMMYFUNCTION("""COMPUTED_VALUE"""),1.0)</f>
        <v>1</v>
      </c>
      <c r="N37" s="72">
        <f>IFERROR(__xludf.DUMMYFUNCTION("""COMPUTED_VALUE"""),2.0)</f>
        <v>2</v>
      </c>
      <c r="O37" s="72">
        <f>IFERROR(__xludf.DUMMYFUNCTION("""COMPUTED_VALUE"""),0.0)</f>
        <v>0</v>
      </c>
      <c r="P37" s="72">
        <f>IFERROR(__xludf.DUMMYFUNCTION("""COMPUTED_VALUE"""),3.0)</f>
        <v>3</v>
      </c>
      <c r="Q37" s="72">
        <f>IFERROR(__xludf.DUMMYFUNCTION("""COMPUTED_VALUE"""),0.0)</f>
        <v>0</v>
      </c>
      <c r="R37" s="72">
        <f>IFERROR(__xludf.DUMMYFUNCTION("""COMPUTED_VALUE"""),0.0)</f>
        <v>0</v>
      </c>
      <c r="S37" s="72">
        <f>IFERROR(__xludf.DUMMYFUNCTION("""COMPUTED_VALUE"""),0.0)</f>
        <v>0</v>
      </c>
      <c r="T37" s="72">
        <f>IFERROR(__xludf.DUMMYFUNCTION("""COMPUTED_VALUE"""),0.0)</f>
        <v>0</v>
      </c>
      <c r="U37" s="72">
        <f>IFERROR(__xludf.DUMMYFUNCTION("""COMPUTED_VALUE"""),0.0)</f>
        <v>0</v>
      </c>
      <c r="V37" s="72">
        <f>IFERROR(__xludf.DUMMYFUNCTION("""COMPUTED_VALUE"""),0.0)</f>
        <v>0</v>
      </c>
      <c r="W37" s="72">
        <f>IFERROR(__xludf.DUMMYFUNCTION("""COMPUTED_VALUE"""),1.0)</f>
        <v>1</v>
      </c>
      <c r="X37" s="72">
        <f>IFERROR(__xludf.DUMMYFUNCTION("""COMPUTED_VALUE"""),1.0)</f>
        <v>1</v>
      </c>
      <c r="Y37" s="72">
        <f>IFERROR(__xludf.DUMMYFUNCTION("""COMPUTED_VALUE"""),1.0)</f>
        <v>1</v>
      </c>
      <c r="Z37" s="72">
        <f>IFERROR(__xludf.DUMMYFUNCTION("""COMPUTED_VALUE"""),-1.0)</f>
        <v>-1</v>
      </c>
      <c r="AA37" s="72">
        <f>IFERROR(__xludf.DUMMYFUNCTION("""COMPUTED_VALUE"""),1.0)</f>
        <v>1</v>
      </c>
      <c r="AB37" s="72">
        <f>IFERROR(__xludf.DUMMYFUNCTION("""COMPUTED_VALUE"""),0.0)</f>
        <v>0</v>
      </c>
      <c r="AC37" s="72">
        <f>IFERROR(__xludf.DUMMYFUNCTION("""COMPUTED_VALUE"""),1.0)</f>
        <v>1</v>
      </c>
      <c r="AD37" s="72">
        <f>IFERROR(__xludf.DUMMYFUNCTION("""COMPUTED_VALUE"""),0.0)</f>
        <v>0</v>
      </c>
      <c r="AE37" s="72">
        <f>IFERROR(__xludf.DUMMYFUNCTION("""COMPUTED_VALUE"""),0.0)</f>
        <v>0</v>
      </c>
      <c r="AF37" s="72">
        <f>IFERROR(__xludf.DUMMYFUNCTION("""COMPUTED_VALUE"""),0.0)</f>
        <v>0</v>
      </c>
      <c r="AG37" s="72">
        <f>IFERROR(__xludf.DUMMYFUNCTION("""COMPUTED_VALUE"""),0.0)</f>
        <v>0</v>
      </c>
      <c r="AH37" s="72">
        <f>IFERROR(__xludf.DUMMYFUNCTION("""COMPUTED_VALUE"""),0.0)</f>
        <v>0</v>
      </c>
      <c r="AI37" s="72">
        <f>IFERROR(__xludf.DUMMYFUNCTION("""COMPUTED_VALUE"""),1.0)</f>
        <v>1</v>
      </c>
      <c r="AJ37" s="72">
        <f>IFERROR(__xludf.DUMMYFUNCTION("""COMPUTED_VALUE"""),0.0)</f>
        <v>0</v>
      </c>
      <c r="AK37" s="72">
        <f>IFERROR(__xludf.DUMMYFUNCTION("""COMPUTED_VALUE"""),-1.0)</f>
        <v>-1</v>
      </c>
      <c r="AL37" s="72" t="str">
        <f>IFERROR(__xludf.DUMMYFUNCTION("""COMPUTED_VALUE"""),"")</f>
        <v/>
      </c>
      <c r="AM37" s="72">
        <f>IFERROR(__xludf.DUMMYFUNCTION("""COMPUTED_VALUE"""),0.0)</f>
        <v>0</v>
      </c>
      <c r="AN37" s="72">
        <f>IFERROR(__xludf.DUMMYFUNCTION("""COMPUTED_VALUE"""),0.0)</f>
        <v>0</v>
      </c>
      <c r="AO37" s="72">
        <f>IFERROR(__xludf.DUMMYFUNCTION("""COMPUTED_VALUE"""),0.0)</f>
        <v>0</v>
      </c>
      <c r="AP37" s="72">
        <f>IFERROR(__xludf.DUMMYFUNCTION("""COMPUTED_VALUE"""),1.0)</f>
        <v>1</v>
      </c>
      <c r="AQ37" s="72">
        <f>IFERROR(__xludf.DUMMYFUNCTION("""COMPUTED_VALUE"""),1.0)</f>
        <v>1</v>
      </c>
      <c r="AR37" s="72">
        <f>IFERROR(__xludf.DUMMYFUNCTION("""COMPUTED_VALUE"""),2.0)</f>
        <v>2</v>
      </c>
      <c r="AS37" s="72">
        <f>IFERROR(__xludf.DUMMYFUNCTION("""COMPUTED_VALUE"""),1.0)</f>
        <v>1</v>
      </c>
      <c r="AT37" s="72">
        <f>IFERROR(__xludf.DUMMYFUNCTION("""COMPUTED_VALUE"""),0.0)</f>
        <v>0</v>
      </c>
      <c r="AU37" s="72">
        <f>IFERROR(__xludf.DUMMYFUNCTION("""COMPUTED_VALUE"""),0.0)</f>
        <v>0</v>
      </c>
      <c r="AV37" s="72">
        <f>IFERROR(__xludf.DUMMYFUNCTION("""COMPUTED_VALUE"""),0.0)</f>
        <v>0</v>
      </c>
      <c r="AW37" s="72">
        <f>IFERROR(__xludf.DUMMYFUNCTION("""COMPUTED_VALUE"""),-1.0)</f>
        <v>-1</v>
      </c>
      <c r="AX37" s="72">
        <f>IFERROR(__xludf.DUMMYFUNCTION("""COMPUTED_VALUE"""),0.0)</f>
        <v>0</v>
      </c>
      <c r="AY37" s="72">
        <f>IFERROR(__xludf.DUMMYFUNCTION("""COMPUTED_VALUE"""),0.0)</f>
        <v>0</v>
      </c>
      <c r="AZ37" s="72">
        <f>IFERROR(__xludf.DUMMYFUNCTION("""COMPUTED_VALUE"""),0.0)</f>
        <v>0</v>
      </c>
      <c r="BA37" s="72">
        <f>IFERROR(__xludf.DUMMYFUNCTION("""COMPUTED_VALUE"""),0.0)</f>
        <v>0</v>
      </c>
      <c r="BB37" s="72">
        <f>IFERROR(__xludf.DUMMYFUNCTION("""COMPUTED_VALUE"""),0.0)</f>
        <v>0</v>
      </c>
      <c r="BC37" s="72">
        <f>IFERROR(__xludf.DUMMYFUNCTION("""COMPUTED_VALUE"""),0.0)</f>
        <v>0</v>
      </c>
      <c r="BD37" s="69">
        <f>IFERROR(__xludf.DUMMYFUNCTION("""COMPUTED_VALUE"""),0.0)</f>
        <v>0</v>
      </c>
      <c r="BE37" s="69" t="str">
        <f>IFERROR(__xludf.DUMMYFUNCTION("""COMPUTED_VALUE"""),"")</f>
        <v/>
      </c>
      <c r="BF37" s="69" t="str">
        <f>IFERROR(__xludf.DUMMYFUNCTION("""COMPUTED_VALUE"""),"")</f>
        <v/>
      </c>
      <c r="BG37" s="69" t="str">
        <f>IFERROR(__xludf.DUMMYFUNCTION("""COMPUTED_VALUE"""),"")</f>
        <v/>
      </c>
      <c r="BH37" s="69" t="str">
        <f>IFERROR(__xludf.DUMMYFUNCTION("""COMPUTED_VALUE"""),"")</f>
        <v/>
      </c>
      <c r="BI37" s="69" t="str">
        <f>IFERROR(__xludf.DUMMYFUNCTION("""COMPUTED_VALUE"""),"")</f>
        <v/>
      </c>
      <c r="BJ37" s="69" t="str">
        <f>IFERROR(__xludf.DUMMYFUNCTION("""COMPUTED_VALUE"""),"")</f>
        <v/>
      </c>
      <c r="BK37" s="69" t="str">
        <f>IFERROR(__xludf.DUMMYFUNCTION("""COMPUTED_VALUE"""),"")</f>
        <v/>
      </c>
      <c r="BL37" s="69" t="str">
        <f>IFERROR(__xludf.DUMMYFUNCTION("""COMPUTED_VALUE"""),"")</f>
        <v/>
      </c>
      <c r="BM37" s="69" t="str">
        <f>IFERROR(__xludf.DUMMYFUNCTION("""COMPUTED_VALUE"""),"")</f>
        <v/>
      </c>
      <c r="BN37" s="69" t="str">
        <f>IFERROR(__xludf.DUMMYFUNCTION("""COMPUTED_VALUE"""),"")</f>
        <v/>
      </c>
      <c r="BO37" s="69" t="str">
        <f>IFERROR(__xludf.DUMMYFUNCTION("""COMPUTED_VALUE"""),"")</f>
        <v/>
      </c>
      <c r="BP37" s="69" t="str">
        <f>IFERROR(__xludf.DUMMYFUNCTION("""COMPUTED_VALUE"""),"")</f>
        <v/>
      </c>
      <c r="BQ37" s="69" t="str">
        <f>IFERROR(__xludf.DUMMYFUNCTION("""COMPUTED_VALUE"""),"")</f>
        <v/>
      </c>
      <c r="BR37" s="69" t="str">
        <f>IFERROR(__xludf.DUMMYFUNCTION("""COMPUTED_VALUE"""),"")</f>
        <v/>
      </c>
      <c r="BS37" s="69" t="str">
        <f>IFERROR(__xludf.DUMMYFUNCTION("""COMPUTED_VALUE"""),"")</f>
        <v/>
      </c>
      <c r="BT37" s="69" t="str">
        <f>IFERROR(__xludf.DUMMYFUNCTION("""COMPUTED_VALUE"""),"")</f>
        <v/>
      </c>
      <c r="BU37" s="69" t="str">
        <f>IFERROR(__xludf.DUMMYFUNCTION("""COMPUTED_VALUE"""),"")</f>
        <v/>
      </c>
      <c r="BV37" s="69" t="str">
        <f>IFERROR(__xludf.DUMMYFUNCTION("""COMPUTED_VALUE"""),"")</f>
        <v/>
      </c>
      <c r="BW37" s="69"/>
      <c r="BX37" s="69"/>
      <c r="BY37" s="69"/>
      <c r="BZ37" s="69"/>
      <c r="CA37" s="69"/>
      <c r="CB37" s="69"/>
      <c r="CC37" s="69"/>
      <c r="CD37" s="69"/>
      <c r="CE37" s="69"/>
      <c r="CF37" s="69"/>
    </row>
    <row r="38">
      <c r="A38" s="70" t="str">
        <f>IFERROR(__xludf.DUMMYFUNCTION("""COMPUTED_VALUE"""),"Reap the Tides")</f>
        <v>Reap the Tides</v>
      </c>
      <c r="B38" s="71">
        <f>IFERROR(__xludf.DUMMYFUNCTION("""COMPUTED_VALUE"""),8.0)</f>
        <v>8</v>
      </c>
      <c r="C38" s="72">
        <f>IFERROR(__xludf.DUMMYFUNCTION("""COMPUTED_VALUE"""),0.0)</f>
        <v>0</v>
      </c>
      <c r="D38" s="72">
        <f>IFERROR(__xludf.DUMMYFUNCTION("""COMPUTED_VALUE"""),0.0)</f>
        <v>0</v>
      </c>
      <c r="E38" s="72">
        <f>IFERROR(__xludf.DUMMYFUNCTION("""COMPUTED_VALUE"""),0.0)</f>
        <v>0</v>
      </c>
      <c r="F38" s="72">
        <f>IFERROR(__xludf.DUMMYFUNCTION("""COMPUTED_VALUE"""),0.0)</f>
        <v>0</v>
      </c>
      <c r="G38" s="72">
        <f>IFERROR(__xludf.DUMMYFUNCTION("""COMPUTED_VALUE"""),0.0)</f>
        <v>0</v>
      </c>
      <c r="H38" s="72">
        <f>IFERROR(__xludf.DUMMYFUNCTION("""COMPUTED_VALUE"""),0.0)</f>
        <v>0</v>
      </c>
      <c r="I38" s="72">
        <f>IFERROR(__xludf.DUMMYFUNCTION("""COMPUTED_VALUE"""),0.0)</f>
        <v>0</v>
      </c>
      <c r="J38" s="72">
        <f>IFERROR(__xludf.DUMMYFUNCTION("""COMPUTED_VALUE"""),0.0)</f>
        <v>0</v>
      </c>
      <c r="K38" s="72">
        <f>IFERROR(__xludf.DUMMYFUNCTION("""COMPUTED_VALUE"""),0.0)</f>
        <v>0</v>
      </c>
      <c r="L38" s="72">
        <f>IFERROR(__xludf.DUMMYFUNCTION("""COMPUTED_VALUE"""),2.0)</f>
        <v>2</v>
      </c>
      <c r="M38" s="72">
        <f>IFERROR(__xludf.DUMMYFUNCTION("""COMPUTED_VALUE"""),1.0)</f>
        <v>1</v>
      </c>
      <c r="N38" s="72">
        <f>IFERROR(__xludf.DUMMYFUNCTION("""COMPUTED_VALUE"""),0.0)</f>
        <v>0</v>
      </c>
      <c r="O38" s="72">
        <f>IFERROR(__xludf.DUMMYFUNCTION("""COMPUTED_VALUE"""),1.0)</f>
        <v>1</v>
      </c>
      <c r="P38" s="72">
        <f>IFERROR(__xludf.DUMMYFUNCTION("""COMPUTED_VALUE"""),1.0)</f>
        <v>1</v>
      </c>
      <c r="Q38" s="72">
        <f>IFERROR(__xludf.DUMMYFUNCTION("""COMPUTED_VALUE"""),0.0)</f>
        <v>0</v>
      </c>
      <c r="R38" s="72">
        <f>IFERROR(__xludf.DUMMYFUNCTION("""COMPUTED_VALUE"""),0.0)</f>
        <v>0</v>
      </c>
      <c r="S38" s="72">
        <f>IFERROR(__xludf.DUMMYFUNCTION("""COMPUTED_VALUE"""),0.0)</f>
        <v>0</v>
      </c>
      <c r="T38" s="72">
        <f>IFERROR(__xludf.DUMMYFUNCTION("""COMPUTED_VALUE"""),0.0)</f>
        <v>0</v>
      </c>
      <c r="U38" s="72">
        <f>IFERROR(__xludf.DUMMYFUNCTION("""COMPUTED_VALUE"""),1.0)</f>
        <v>1</v>
      </c>
      <c r="V38" s="72">
        <f>IFERROR(__xludf.DUMMYFUNCTION("""COMPUTED_VALUE"""),0.0)</f>
        <v>0</v>
      </c>
      <c r="W38" s="72">
        <f>IFERROR(__xludf.DUMMYFUNCTION("""COMPUTED_VALUE"""),0.0)</f>
        <v>0</v>
      </c>
      <c r="X38" s="72">
        <f>IFERROR(__xludf.DUMMYFUNCTION("""COMPUTED_VALUE"""),0.0)</f>
        <v>0</v>
      </c>
      <c r="Y38" s="72">
        <f>IFERROR(__xludf.DUMMYFUNCTION("""COMPUTED_VALUE"""),0.0)</f>
        <v>0</v>
      </c>
      <c r="Z38" s="72">
        <f>IFERROR(__xludf.DUMMYFUNCTION("""COMPUTED_VALUE"""),0.0)</f>
        <v>0</v>
      </c>
      <c r="AA38" s="72">
        <f>IFERROR(__xludf.DUMMYFUNCTION("""COMPUTED_VALUE"""),0.0)</f>
        <v>0</v>
      </c>
      <c r="AB38" s="72">
        <f>IFERROR(__xludf.DUMMYFUNCTION("""COMPUTED_VALUE"""),0.0)</f>
        <v>0</v>
      </c>
      <c r="AC38" s="72">
        <f>IFERROR(__xludf.DUMMYFUNCTION("""COMPUTED_VALUE"""),0.0)</f>
        <v>0</v>
      </c>
      <c r="AD38" s="72">
        <f>IFERROR(__xludf.DUMMYFUNCTION("""COMPUTED_VALUE"""),0.0)</f>
        <v>0</v>
      </c>
      <c r="AE38" s="72">
        <f>IFERROR(__xludf.DUMMYFUNCTION("""COMPUTED_VALUE"""),0.0)</f>
        <v>0</v>
      </c>
      <c r="AF38" s="72">
        <f>IFERROR(__xludf.DUMMYFUNCTION("""COMPUTED_VALUE"""),0.0)</f>
        <v>0</v>
      </c>
      <c r="AG38" s="72">
        <f>IFERROR(__xludf.DUMMYFUNCTION("""COMPUTED_VALUE"""),0.0)</f>
        <v>0</v>
      </c>
      <c r="AH38" s="72">
        <f>IFERROR(__xludf.DUMMYFUNCTION("""COMPUTED_VALUE"""),0.0)</f>
        <v>0</v>
      </c>
      <c r="AI38" s="72">
        <f>IFERROR(__xludf.DUMMYFUNCTION("""COMPUTED_VALUE"""),0.0)</f>
        <v>0</v>
      </c>
      <c r="AJ38" s="72">
        <f>IFERROR(__xludf.DUMMYFUNCTION("""COMPUTED_VALUE"""),0.0)</f>
        <v>0</v>
      </c>
      <c r="AK38" s="72">
        <f>IFERROR(__xludf.DUMMYFUNCTION("""COMPUTED_VALUE"""),1.0)</f>
        <v>1</v>
      </c>
      <c r="AL38" s="72">
        <f>IFERROR(__xludf.DUMMYFUNCTION("""COMPUTED_VALUE"""),0.0)</f>
        <v>0</v>
      </c>
      <c r="AM38" s="72" t="str">
        <f>IFERROR(__xludf.DUMMYFUNCTION("""COMPUTED_VALUE"""),"")</f>
        <v/>
      </c>
      <c r="AN38" s="72">
        <f>IFERROR(__xludf.DUMMYFUNCTION("""COMPUTED_VALUE"""),0.0)</f>
        <v>0</v>
      </c>
      <c r="AO38" s="72">
        <f>IFERROR(__xludf.DUMMYFUNCTION("""COMPUTED_VALUE"""),0.0)</f>
        <v>0</v>
      </c>
      <c r="AP38" s="72">
        <f>IFERROR(__xludf.DUMMYFUNCTION("""COMPUTED_VALUE"""),0.0)</f>
        <v>0</v>
      </c>
      <c r="AQ38" s="72">
        <f>IFERROR(__xludf.DUMMYFUNCTION("""COMPUTED_VALUE"""),0.0)</f>
        <v>0</v>
      </c>
      <c r="AR38" s="72">
        <f>IFERROR(__xludf.DUMMYFUNCTION("""COMPUTED_VALUE"""),0.0)</f>
        <v>0</v>
      </c>
      <c r="AS38" s="72">
        <f>IFERROR(__xludf.DUMMYFUNCTION("""COMPUTED_VALUE"""),0.0)</f>
        <v>0</v>
      </c>
      <c r="AT38" s="72">
        <f>IFERROR(__xludf.DUMMYFUNCTION("""COMPUTED_VALUE"""),0.0)</f>
        <v>0</v>
      </c>
      <c r="AU38" s="72">
        <f>IFERROR(__xludf.DUMMYFUNCTION("""COMPUTED_VALUE"""),0.0)</f>
        <v>0</v>
      </c>
      <c r="AV38" s="72">
        <f>IFERROR(__xludf.DUMMYFUNCTION("""COMPUTED_VALUE"""),0.0)</f>
        <v>0</v>
      </c>
      <c r="AW38" s="72">
        <f>IFERROR(__xludf.DUMMYFUNCTION("""COMPUTED_VALUE"""),0.0)</f>
        <v>0</v>
      </c>
      <c r="AX38" s="72">
        <f>IFERROR(__xludf.DUMMYFUNCTION("""COMPUTED_VALUE"""),0.0)</f>
        <v>0</v>
      </c>
      <c r="AY38" s="72">
        <f>IFERROR(__xludf.DUMMYFUNCTION("""COMPUTED_VALUE"""),0.0)</f>
        <v>0</v>
      </c>
      <c r="AZ38" s="72">
        <f>IFERROR(__xludf.DUMMYFUNCTION("""COMPUTED_VALUE"""),0.0)</f>
        <v>0</v>
      </c>
      <c r="BA38" s="72">
        <f>IFERROR(__xludf.DUMMYFUNCTION("""COMPUTED_VALUE"""),0.0)</f>
        <v>0</v>
      </c>
      <c r="BB38" s="72">
        <f>IFERROR(__xludf.DUMMYFUNCTION("""COMPUTED_VALUE"""),0.0)</f>
        <v>0</v>
      </c>
      <c r="BC38" s="72">
        <f>IFERROR(__xludf.DUMMYFUNCTION("""COMPUTED_VALUE"""),0.0)</f>
        <v>0</v>
      </c>
      <c r="BD38" s="69">
        <f>IFERROR(__xludf.DUMMYFUNCTION("""COMPUTED_VALUE"""),1.0)</f>
        <v>1</v>
      </c>
      <c r="BE38" s="69" t="str">
        <f>IFERROR(__xludf.DUMMYFUNCTION("""COMPUTED_VALUE"""),"")</f>
        <v/>
      </c>
      <c r="BF38" s="69" t="str">
        <f>IFERROR(__xludf.DUMMYFUNCTION("""COMPUTED_VALUE"""),"")</f>
        <v/>
      </c>
      <c r="BG38" s="69" t="str">
        <f>IFERROR(__xludf.DUMMYFUNCTION("""COMPUTED_VALUE"""),"")</f>
        <v/>
      </c>
      <c r="BH38" s="69" t="str">
        <f>IFERROR(__xludf.DUMMYFUNCTION("""COMPUTED_VALUE"""),"")</f>
        <v/>
      </c>
      <c r="BI38" s="69" t="str">
        <f>IFERROR(__xludf.DUMMYFUNCTION("""COMPUTED_VALUE"""),"")</f>
        <v/>
      </c>
      <c r="BJ38" s="69" t="str">
        <f>IFERROR(__xludf.DUMMYFUNCTION("""COMPUTED_VALUE"""),"")</f>
        <v/>
      </c>
      <c r="BK38" s="69" t="str">
        <f>IFERROR(__xludf.DUMMYFUNCTION("""COMPUTED_VALUE"""),"")</f>
        <v/>
      </c>
      <c r="BL38" s="69" t="str">
        <f>IFERROR(__xludf.DUMMYFUNCTION("""COMPUTED_VALUE"""),"")</f>
        <v/>
      </c>
      <c r="BM38" s="69" t="str">
        <f>IFERROR(__xludf.DUMMYFUNCTION("""COMPUTED_VALUE"""),"")</f>
        <v/>
      </c>
      <c r="BN38" s="69" t="str">
        <f>IFERROR(__xludf.DUMMYFUNCTION("""COMPUTED_VALUE"""),"")</f>
        <v/>
      </c>
      <c r="BO38" s="69" t="str">
        <f>IFERROR(__xludf.DUMMYFUNCTION("""COMPUTED_VALUE"""),"")</f>
        <v/>
      </c>
      <c r="BP38" s="69" t="str">
        <f>IFERROR(__xludf.DUMMYFUNCTION("""COMPUTED_VALUE"""),"")</f>
        <v/>
      </c>
      <c r="BQ38" s="69" t="str">
        <f>IFERROR(__xludf.DUMMYFUNCTION("""COMPUTED_VALUE"""),"")</f>
        <v/>
      </c>
      <c r="BR38" s="69" t="str">
        <f>IFERROR(__xludf.DUMMYFUNCTION("""COMPUTED_VALUE"""),"")</f>
        <v/>
      </c>
      <c r="BS38" s="69" t="str">
        <f>IFERROR(__xludf.DUMMYFUNCTION("""COMPUTED_VALUE"""),"")</f>
        <v/>
      </c>
      <c r="BT38" s="69" t="str">
        <f>IFERROR(__xludf.DUMMYFUNCTION("""COMPUTED_VALUE"""),"")</f>
        <v/>
      </c>
      <c r="BU38" s="69" t="str">
        <f>IFERROR(__xludf.DUMMYFUNCTION("""COMPUTED_VALUE"""),"")</f>
        <v/>
      </c>
      <c r="BV38" s="69" t="str">
        <f>IFERROR(__xludf.DUMMYFUNCTION("""COMPUTED_VALUE"""),"")</f>
        <v/>
      </c>
      <c r="BW38" s="69"/>
      <c r="BX38" s="69"/>
      <c r="BY38" s="69"/>
      <c r="BZ38" s="69"/>
      <c r="CA38" s="69"/>
      <c r="CB38" s="69"/>
      <c r="CC38" s="69"/>
      <c r="CD38" s="69"/>
      <c r="CE38" s="69"/>
      <c r="CF38" s="69"/>
    </row>
    <row r="39">
      <c r="A39" s="70" t="str">
        <f>IFERROR(__xludf.DUMMYFUNCTION("""COMPUTED_VALUE"""),"Rebellion Rising")</f>
        <v>Rebellion Rising</v>
      </c>
      <c r="B39" s="71">
        <f>IFERROR(__xludf.DUMMYFUNCTION("""COMPUTED_VALUE"""),0.0)</f>
        <v>0</v>
      </c>
      <c r="C39" s="72">
        <f>IFERROR(__xludf.DUMMYFUNCTION("""COMPUTED_VALUE"""),0.0)</f>
        <v>0</v>
      </c>
      <c r="D39" s="72">
        <f>IFERROR(__xludf.DUMMYFUNCTION("""COMPUTED_VALUE"""),0.0)</f>
        <v>0</v>
      </c>
      <c r="E39" s="72">
        <f>IFERROR(__xludf.DUMMYFUNCTION("""COMPUTED_VALUE"""),0.0)</f>
        <v>0</v>
      </c>
      <c r="F39" s="72">
        <f>IFERROR(__xludf.DUMMYFUNCTION("""COMPUTED_VALUE"""),1.0)</f>
        <v>1</v>
      </c>
      <c r="G39" s="72">
        <f>IFERROR(__xludf.DUMMYFUNCTION("""COMPUTED_VALUE"""),0.0)</f>
        <v>0</v>
      </c>
      <c r="H39" s="72">
        <f>IFERROR(__xludf.DUMMYFUNCTION("""COMPUTED_VALUE"""),0.0)</f>
        <v>0</v>
      </c>
      <c r="I39" s="72">
        <f>IFERROR(__xludf.DUMMYFUNCTION("""COMPUTED_VALUE"""),0.0)</f>
        <v>0</v>
      </c>
      <c r="J39" s="72">
        <f>IFERROR(__xludf.DUMMYFUNCTION("""COMPUTED_VALUE"""),0.0)</f>
        <v>0</v>
      </c>
      <c r="K39" s="72">
        <f>IFERROR(__xludf.DUMMYFUNCTION("""COMPUTED_VALUE"""),0.0)</f>
        <v>0</v>
      </c>
      <c r="L39" s="72">
        <f>IFERROR(__xludf.DUMMYFUNCTION("""COMPUTED_VALUE"""),-1.0)</f>
        <v>-1</v>
      </c>
      <c r="M39" s="72">
        <f>IFERROR(__xludf.DUMMYFUNCTION("""COMPUTED_VALUE"""),0.0)</f>
        <v>0</v>
      </c>
      <c r="N39" s="72">
        <f>IFERROR(__xludf.DUMMYFUNCTION("""COMPUTED_VALUE"""),0.0)</f>
        <v>0</v>
      </c>
      <c r="O39" s="72">
        <f>IFERROR(__xludf.DUMMYFUNCTION("""COMPUTED_VALUE"""),0.0)</f>
        <v>0</v>
      </c>
      <c r="P39" s="72">
        <f>IFERROR(__xludf.DUMMYFUNCTION("""COMPUTED_VALUE"""),0.0)</f>
        <v>0</v>
      </c>
      <c r="Q39" s="72">
        <f>IFERROR(__xludf.DUMMYFUNCTION("""COMPUTED_VALUE"""),0.0)</f>
        <v>0</v>
      </c>
      <c r="R39" s="72">
        <f>IFERROR(__xludf.DUMMYFUNCTION("""COMPUTED_VALUE"""),0.0)</f>
        <v>0</v>
      </c>
      <c r="S39" s="72">
        <f>IFERROR(__xludf.DUMMYFUNCTION("""COMPUTED_VALUE"""),0.0)</f>
        <v>0</v>
      </c>
      <c r="T39" s="72">
        <f>IFERROR(__xludf.DUMMYFUNCTION("""COMPUTED_VALUE"""),0.0)</f>
        <v>0</v>
      </c>
      <c r="U39" s="72">
        <f>IFERROR(__xludf.DUMMYFUNCTION("""COMPUTED_VALUE"""),0.0)</f>
        <v>0</v>
      </c>
      <c r="V39" s="72">
        <f>IFERROR(__xludf.DUMMYFUNCTION("""COMPUTED_VALUE"""),0.0)</f>
        <v>0</v>
      </c>
      <c r="W39" s="72">
        <f>IFERROR(__xludf.DUMMYFUNCTION("""COMPUTED_VALUE"""),0.0)</f>
        <v>0</v>
      </c>
      <c r="X39" s="72">
        <f>IFERROR(__xludf.DUMMYFUNCTION("""COMPUTED_VALUE"""),0.0)</f>
        <v>0</v>
      </c>
      <c r="Y39" s="72">
        <f>IFERROR(__xludf.DUMMYFUNCTION("""COMPUTED_VALUE"""),0.0)</f>
        <v>0</v>
      </c>
      <c r="Z39" s="72">
        <f>IFERROR(__xludf.DUMMYFUNCTION("""COMPUTED_VALUE"""),0.0)</f>
        <v>0</v>
      </c>
      <c r="AA39" s="72">
        <f>IFERROR(__xludf.DUMMYFUNCTION("""COMPUTED_VALUE"""),1.0)</f>
        <v>1</v>
      </c>
      <c r="AB39" s="72">
        <f>IFERROR(__xludf.DUMMYFUNCTION("""COMPUTED_VALUE"""),0.0)</f>
        <v>0</v>
      </c>
      <c r="AC39" s="72">
        <f>IFERROR(__xludf.DUMMYFUNCTION("""COMPUTED_VALUE"""),0.0)</f>
        <v>0</v>
      </c>
      <c r="AD39" s="72">
        <f>IFERROR(__xludf.DUMMYFUNCTION("""COMPUTED_VALUE"""),0.0)</f>
        <v>0</v>
      </c>
      <c r="AE39" s="72">
        <f>IFERROR(__xludf.DUMMYFUNCTION("""COMPUTED_VALUE"""),0.0)</f>
        <v>0</v>
      </c>
      <c r="AF39" s="72">
        <f>IFERROR(__xludf.DUMMYFUNCTION("""COMPUTED_VALUE"""),0.0)</f>
        <v>0</v>
      </c>
      <c r="AG39" s="72">
        <f>IFERROR(__xludf.DUMMYFUNCTION("""COMPUTED_VALUE"""),0.0)</f>
        <v>0</v>
      </c>
      <c r="AH39" s="72">
        <f>IFERROR(__xludf.DUMMYFUNCTION("""COMPUTED_VALUE"""),0.0)</f>
        <v>0</v>
      </c>
      <c r="AI39" s="72">
        <f>IFERROR(__xludf.DUMMYFUNCTION("""COMPUTED_VALUE"""),0.0)</f>
        <v>0</v>
      </c>
      <c r="AJ39" s="72">
        <f>IFERROR(__xludf.DUMMYFUNCTION("""COMPUTED_VALUE"""),0.0)</f>
        <v>0</v>
      </c>
      <c r="AK39" s="72">
        <f>IFERROR(__xludf.DUMMYFUNCTION("""COMPUTED_VALUE"""),0.0)</f>
        <v>0</v>
      </c>
      <c r="AL39" s="72">
        <f>IFERROR(__xludf.DUMMYFUNCTION("""COMPUTED_VALUE"""),0.0)</f>
        <v>0</v>
      </c>
      <c r="AM39" s="72">
        <f>IFERROR(__xludf.DUMMYFUNCTION("""COMPUTED_VALUE"""),0.0)</f>
        <v>0</v>
      </c>
      <c r="AN39" s="72" t="str">
        <f>IFERROR(__xludf.DUMMYFUNCTION("""COMPUTED_VALUE"""),"")</f>
        <v/>
      </c>
      <c r="AO39" s="72">
        <f>IFERROR(__xludf.DUMMYFUNCTION("""COMPUTED_VALUE"""),0.0)</f>
        <v>0</v>
      </c>
      <c r="AP39" s="72">
        <f>IFERROR(__xludf.DUMMYFUNCTION("""COMPUTED_VALUE"""),0.0)</f>
        <v>0</v>
      </c>
      <c r="AQ39" s="72">
        <f>IFERROR(__xludf.DUMMYFUNCTION("""COMPUTED_VALUE"""),0.0)</f>
        <v>0</v>
      </c>
      <c r="AR39" s="72">
        <f>IFERROR(__xludf.DUMMYFUNCTION("""COMPUTED_VALUE"""),0.0)</f>
        <v>0</v>
      </c>
      <c r="AS39" s="72">
        <f>IFERROR(__xludf.DUMMYFUNCTION("""COMPUTED_VALUE"""),0.0)</f>
        <v>0</v>
      </c>
      <c r="AT39" s="72">
        <f>IFERROR(__xludf.DUMMYFUNCTION("""COMPUTED_VALUE"""),0.0)</f>
        <v>0</v>
      </c>
      <c r="AU39" s="72">
        <f>IFERROR(__xludf.DUMMYFUNCTION("""COMPUTED_VALUE"""),0.0)</f>
        <v>0</v>
      </c>
      <c r="AV39" s="72">
        <f>IFERROR(__xludf.DUMMYFUNCTION("""COMPUTED_VALUE"""),0.0)</f>
        <v>0</v>
      </c>
      <c r="AW39" s="72">
        <f>IFERROR(__xludf.DUMMYFUNCTION("""COMPUTED_VALUE"""),0.0)</f>
        <v>0</v>
      </c>
      <c r="AX39" s="72">
        <f>IFERROR(__xludf.DUMMYFUNCTION("""COMPUTED_VALUE"""),0.0)</f>
        <v>0</v>
      </c>
      <c r="AY39" s="72">
        <f>IFERROR(__xludf.DUMMYFUNCTION("""COMPUTED_VALUE"""),0.0)</f>
        <v>0</v>
      </c>
      <c r="AZ39" s="72">
        <f>IFERROR(__xludf.DUMMYFUNCTION("""COMPUTED_VALUE"""),0.0)</f>
        <v>0</v>
      </c>
      <c r="BA39" s="72">
        <f>IFERROR(__xludf.DUMMYFUNCTION("""COMPUTED_VALUE"""),0.0)</f>
        <v>0</v>
      </c>
      <c r="BB39" s="72">
        <f>IFERROR(__xludf.DUMMYFUNCTION("""COMPUTED_VALUE"""),-1.0)</f>
        <v>-1</v>
      </c>
      <c r="BC39" s="72">
        <f>IFERROR(__xludf.DUMMYFUNCTION("""COMPUTED_VALUE"""),0.0)</f>
        <v>0</v>
      </c>
      <c r="BD39" s="69">
        <f>IFERROR(__xludf.DUMMYFUNCTION("""COMPUTED_VALUE"""),0.0)</f>
        <v>0</v>
      </c>
      <c r="BE39" s="69" t="str">
        <f>IFERROR(__xludf.DUMMYFUNCTION("""COMPUTED_VALUE"""),"")</f>
        <v/>
      </c>
      <c r="BF39" s="69" t="str">
        <f>IFERROR(__xludf.DUMMYFUNCTION("""COMPUTED_VALUE"""),"")</f>
        <v/>
      </c>
      <c r="BG39" s="69" t="str">
        <f>IFERROR(__xludf.DUMMYFUNCTION("""COMPUTED_VALUE"""),"")</f>
        <v/>
      </c>
      <c r="BH39" s="69" t="str">
        <f>IFERROR(__xludf.DUMMYFUNCTION("""COMPUTED_VALUE"""),"")</f>
        <v/>
      </c>
      <c r="BI39" s="69" t="str">
        <f>IFERROR(__xludf.DUMMYFUNCTION("""COMPUTED_VALUE"""),"")</f>
        <v/>
      </c>
      <c r="BJ39" s="69" t="str">
        <f>IFERROR(__xludf.DUMMYFUNCTION("""COMPUTED_VALUE"""),"")</f>
        <v/>
      </c>
      <c r="BK39" s="69" t="str">
        <f>IFERROR(__xludf.DUMMYFUNCTION("""COMPUTED_VALUE"""),"")</f>
        <v/>
      </c>
      <c r="BL39" s="69" t="str">
        <f>IFERROR(__xludf.DUMMYFUNCTION("""COMPUTED_VALUE"""),"")</f>
        <v/>
      </c>
      <c r="BM39" s="69" t="str">
        <f>IFERROR(__xludf.DUMMYFUNCTION("""COMPUTED_VALUE"""),"")</f>
        <v/>
      </c>
      <c r="BN39" s="69" t="str">
        <f>IFERROR(__xludf.DUMMYFUNCTION("""COMPUTED_VALUE"""),"")</f>
        <v/>
      </c>
      <c r="BO39" s="69" t="str">
        <f>IFERROR(__xludf.DUMMYFUNCTION("""COMPUTED_VALUE"""),"")</f>
        <v/>
      </c>
      <c r="BP39" s="69" t="str">
        <f>IFERROR(__xludf.DUMMYFUNCTION("""COMPUTED_VALUE"""),"")</f>
        <v/>
      </c>
      <c r="BQ39" s="69" t="str">
        <f>IFERROR(__xludf.DUMMYFUNCTION("""COMPUTED_VALUE"""),"")</f>
        <v/>
      </c>
      <c r="BR39" s="69" t="str">
        <f>IFERROR(__xludf.DUMMYFUNCTION("""COMPUTED_VALUE"""),"")</f>
        <v/>
      </c>
      <c r="BS39" s="69" t="str">
        <f>IFERROR(__xludf.DUMMYFUNCTION("""COMPUTED_VALUE"""),"")</f>
        <v/>
      </c>
      <c r="BT39" s="69" t="str">
        <f>IFERROR(__xludf.DUMMYFUNCTION("""COMPUTED_VALUE"""),"")</f>
        <v/>
      </c>
      <c r="BU39" s="69" t="str">
        <f>IFERROR(__xludf.DUMMYFUNCTION("""COMPUTED_VALUE"""),"")</f>
        <v/>
      </c>
      <c r="BV39" s="69" t="str">
        <f>IFERROR(__xludf.DUMMYFUNCTION("""COMPUTED_VALUE"""),"")</f>
        <v/>
      </c>
      <c r="BW39" s="69"/>
      <c r="BX39" s="69"/>
      <c r="BY39" s="69"/>
      <c r="BZ39" s="69"/>
      <c r="CA39" s="69"/>
      <c r="CB39" s="69"/>
      <c r="CC39" s="69"/>
      <c r="CD39" s="69"/>
      <c r="CE39" s="69"/>
      <c r="CF39" s="69"/>
    </row>
    <row r="40">
      <c r="A40" s="70" t="str">
        <f>IFERROR(__xludf.DUMMYFUNCTION("""COMPUTED_VALUE"""),"Revival Trance")</f>
        <v>Revival Trance</v>
      </c>
      <c r="B40" s="71">
        <f>IFERROR(__xludf.DUMMYFUNCTION("""COMPUTED_VALUE"""),0.0)</f>
        <v>0</v>
      </c>
      <c r="C40" s="72">
        <f>IFERROR(__xludf.DUMMYFUNCTION("""COMPUTED_VALUE"""),0.0)</f>
        <v>0</v>
      </c>
      <c r="D40" s="72">
        <f>IFERROR(__xludf.DUMMYFUNCTION("""COMPUTED_VALUE"""),0.0)</f>
        <v>0</v>
      </c>
      <c r="E40" s="72">
        <f>IFERROR(__xludf.DUMMYFUNCTION("""COMPUTED_VALUE"""),0.0)</f>
        <v>0</v>
      </c>
      <c r="F40" s="72">
        <f>IFERROR(__xludf.DUMMYFUNCTION("""COMPUTED_VALUE"""),0.0)</f>
        <v>0</v>
      </c>
      <c r="G40" s="72">
        <f>IFERROR(__xludf.DUMMYFUNCTION("""COMPUTED_VALUE"""),1.0)</f>
        <v>1</v>
      </c>
      <c r="H40" s="72">
        <f>IFERROR(__xludf.DUMMYFUNCTION("""COMPUTED_VALUE"""),0.0)</f>
        <v>0</v>
      </c>
      <c r="I40" s="72">
        <f>IFERROR(__xludf.DUMMYFUNCTION("""COMPUTED_VALUE"""),0.0)</f>
        <v>0</v>
      </c>
      <c r="J40" s="72">
        <f>IFERROR(__xludf.DUMMYFUNCTION("""COMPUTED_VALUE"""),0.0)</f>
        <v>0</v>
      </c>
      <c r="K40" s="72">
        <f>IFERROR(__xludf.DUMMYFUNCTION("""COMPUTED_VALUE"""),0.0)</f>
        <v>0</v>
      </c>
      <c r="L40" s="72">
        <f>IFERROR(__xludf.DUMMYFUNCTION("""COMPUTED_VALUE"""),0.0)</f>
        <v>0</v>
      </c>
      <c r="M40" s="72">
        <f>IFERROR(__xludf.DUMMYFUNCTION("""COMPUTED_VALUE"""),0.0)</f>
        <v>0</v>
      </c>
      <c r="N40" s="72">
        <f>IFERROR(__xludf.DUMMYFUNCTION("""COMPUTED_VALUE"""),0.0)</f>
        <v>0</v>
      </c>
      <c r="O40" s="72">
        <f>IFERROR(__xludf.DUMMYFUNCTION("""COMPUTED_VALUE"""),1.0)</f>
        <v>1</v>
      </c>
      <c r="P40" s="72">
        <f>IFERROR(__xludf.DUMMYFUNCTION("""COMPUTED_VALUE"""),-1.0)</f>
        <v>-1</v>
      </c>
      <c r="Q40" s="72">
        <f>IFERROR(__xludf.DUMMYFUNCTION("""COMPUTED_VALUE"""),0.0)</f>
        <v>0</v>
      </c>
      <c r="R40" s="72">
        <f>IFERROR(__xludf.DUMMYFUNCTION("""COMPUTED_VALUE"""),0.0)</f>
        <v>0</v>
      </c>
      <c r="S40" s="72">
        <f>IFERROR(__xludf.DUMMYFUNCTION("""COMPUTED_VALUE"""),0.0)</f>
        <v>0</v>
      </c>
      <c r="T40" s="72">
        <f>IFERROR(__xludf.DUMMYFUNCTION("""COMPUTED_VALUE"""),0.0)</f>
        <v>0</v>
      </c>
      <c r="U40" s="72">
        <f>IFERROR(__xludf.DUMMYFUNCTION("""COMPUTED_VALUE"""),-1.0)</f>
        <v>-1</v>
      </c>
      <c r="V40" s="72">
        <f>IFERROR(__xludf.DUMMYFUNCTION("""COMPUTED_VALUE"""),0.0)</f>
        <v>0</v>
      </c>
      <c r="W40" s="72">
        <f>IFERROR(__xludf.DUMMYFUNCTION("""COMPUTED_VALUE"""),0.0)</f>
        <v>0</v>
      </c>
      <c r="X40" s="72">
        <f>IFERROR(__xludf.DUMMYFUNCTION("""COMPUTED_VALUE"""),0.0)</f>
        <v>0</v>
      </c>
      <c r="Y40" s="72">
        <f>IFERROR(__xludf.DUMMYFUNCTION("""COMPUTED_VALUE"""),0.0)</f>
        <v>0</v>
      </c>
      <c r="Z40" s="72">
        <f>IFERROR(__xludf.DUMMYFUNCTION("""COMPUTED_VALUE"""),0.0)</f>
        <v>0</v>
      </c>
      <c r="AA40" s="72">
        <f>IFERROR(__xludf.DUMMYFUNCTION("""COMPUTED_VALUE"""),0.0)</f>
        <v>0</v>
      </c>
      <c r="AB40" s="72">
        <f>IFERROR(__xludf.DUMMYFUNCTION("""COMPUTED_VALUE"""),0.0)</f>
        <v>0</v>
      </c>
      <c r="AC40" s="72">
        <f>IFERROR(__xludf.DUMMYFUNCTION("""COMPUTED_VALUE"""),0.0)</f>
        <v>0</v>
      </c>
      <c r="AD40" s="72">
        <f>IFERROR(__xludf.DUMMYFUNCTION("""COMPUTED_VALUE"""),0.0)</f>
        <v>0</v>
      </c>
      <c r="AE40" s="72">
        <f>IFERROR(__xludf.DUMMYFUNCTION("""COMPUTED_VALUE"""),0.0)</f>
        <v>0</v>
      </c>
      <c r="AF40" s="72">
        <f>IFERROR(__xludf.DUMMYFUNCTION("""COMPUTED_VALUE"""),0.0)</f>
        <v>0</v>
      </c>
      <c r="AG40" s="72">
        <f>IFERROR(__xludf.DUMMYFUNCTION("""COMPUTED_VALUE"""),0.0)</f>
        <v>0</v>
      </c>
      <c r="AH40" s="72">
        <f>IFERROR(__xludf.DUMMYFUNCTION("""COMPUTED_VALUE"""),1.0)</f>
        <v>1</v>
      </c>
      <c r="AI40" s="72">
        <f>IFERROR(__xludf.DUMMYFUNCTION("""COMPUTED_VALUE"""),0.0)</f>
        <v>0</v>
      </c>
      <c r="AJ40" s="72">
        <f>IFERROR(__xludf.DUMMYFUNCTION("""COMPUTED_VALUE"""),0.0)</f>
        <v>0</v>
      </c>
      <c r="AK40" s="72">
        <f>IFERROR(__xludf.DUMMYFUNCTION("""COMPUTED_VALUE"""),0.0)</f>
        <v>0</v>
      </c>
      <c r="AL40" s="72">
        <f>IFERROR(__xludf.DUMMYFUNCTION("""COMPUTED_VALUE"""),0.0)</f>
        <v>0</v>
      </c>
      <c r="AM40" s="72">
        <f>IFERROR(__xludf.DUMMYFUNCTION("""COMPUTED_VALUE"""),0.0)</f>
        <v>0</v>
      </c>
      <c r="AN40" s="72">
        <f>IFERROR(__xludf.DUMMYFUNCTION("""COMPUTED_VALUE"""),0.0)</f>
        <v>0</v>
      </c>
      <c r="AO40" s="72" t="str">
        <f>IFERROR(__xludf.DUMMYFUNCTION("""COMPUTED_VALUE"""),"")</f>
        <v/>
      </c>
      <c r="AP40" s="72">
        <f>IFERROR(__xludf.DUMMYFUNCTION("""COMPUTED_VALUE"""),0.0)</f>
        <v>0</v>
      </c>
      <c r="AQ40" s="72">
        <f>IFERROR(__xludf.DUMMYFUNCTION("""COMPUTED_VALUE"""),0.0)</f>
        <v>0</v>
      </c>
      <c r="AR40" s="72">
        <f>IFERROR(__xludf.DUMMYFUNCTION("""COMPUTED_VALUE"""),0.0)</f>
        <v>0</v>
      </c>
      <c r="AS40" s="72">
        <f>IFERROR(__xludf.DUMMYFUNCTION("""COMPUTED_VALUE"""),0.0)</f>
        <v>0</v>
      </c>
      <c r="AT40" s="72">
        <f>IFERROR(__xludf.DUMMYFUNCTION("""COMPUTED_VALUE"""),0.0)</f>
        <v>0</v>
      </c>
      <c r="AU40" s="72">
        <f>IFERROR(__xludf.DUMMYFUNCTION("""COMPUTED_VALUE"""),0.0)</f>
        <v>0</v>
      </c>
      <c r="AV40" s="72">
        <f>IFERROR(__xludf.DUMMYFUNCTION("""COMPUTED_VALUE"""),0.0)</f>
        <v>0</v>
      </c>
      <c r="AW40" s="72">
        <f>IFERROR(__xludf.DUMMYFUNCTION("""COMPUTED_VALUE"""),0.0)</f>
        <v>0</v>
      </c>
      <c r="AX40" s="72">
        <f>IFERROR(__xludf.DUMMYFUNCTION("""COMPUTED_VALUE"""),0.0)</f>
        <v>0</v>
      </c>
      <c r="AY40" s="72">
        <f>IFERROR(__xludf.DUMMYFUNCTION("""COMPUTED_VALUE"""),0.0)</f>
        <v>0</v>
      </c>
      <c r="AZ40" s="72">
        <f>IFERROR(__xludf.DUMMYFUNCTION("""COMPUTED_VALUE"""),0.0)</f>
        <v>0</v>
      </c>
      <c r="BA40" s="72">
        <f>IFERROR(__xludf.DUMMYFUNCTION("""COMPUTED_VALUE"""),0.0)</f>
        <v>0</v>
      </c>
      <c r="BB40" s="72">
        <f>IFERROR(__xludf.DUMMYFUNCTION("""COMPUTED_VALUE"""),-1.0)</f>
        <v>-1</v>
      </c>
      <c r="BC40" s="72">
        <f>IFERROR(__xludf.DUMMYFUNCTION("""COMPUTED_VALUE"""),0.0)</f>
        <v>0</v>
      </c>
      <c r="BD40" s="69">
        <f>IFERROR(__xludf.DUMMYFUNCTION("""COMPUTED_VALUE"""),0.0)</f>
        <v>0</v>
      </c>
      <c r="BE40" s="69" t="str">
        <f>IFERROR(__xludf.DUMMYFUNCTION("""COMPUTED_VALUE"""),"")</f>
        <v/>
      </c>
      <c r="BF40" s="69" t="str">
        <f>IFERROR(__xludf.DUMMYFUNCTION("""COMPUTED_VALUE"""),"")</f>
        <v/>
      </c>
      <c r="BG40" s="69" t="str">
        <f>IFERROR(__xludf.DUMMYFUNCTION("""COMPUTED_VALUE"""),"")</f>
        <v/>
      </c>
      <c r="BH40" s="69" t="str">
        <f>IFERROR(__xludf.DUMMYFUNCTION("""COMPUTED_VALUE"""),"")</f>
        <v/>
      </c>
      <c r="BI40" s="69" t="str">
        <f>IFERROR(__xludf.DUMMYFUNCTION("""COMPUTED_VALUE"""),"")</f>
        <v/>
      </c>
      <c r="BJ40" s="69" t="str">
        <f>IFERROR(__xludf.DUMMYFUNCTION("""COMPUTED_VALUE"""),"")</f>
        <v/>
      </c>
      <c r="BK40" s="69" t="str">
        <f>IFERROR(__xludf.DUMMYFUNCTION("""COMPUTED_VALUE"""),"")</f>
        <v/>
      </c>
      <c r="BL40" s="69" t="str">
        <f>IFERROR(__xludf.DUMMYFUNCTION("""COMPUTED_VALUE"""),"")</f>
        <v/>
      </c>
      <c r="BM40" s="69" t="str">
        <f>IFERROR(__xludf.DUMMYFUNCTION("""COMPUTED_VALUE"""),"")</f>
        <v/>
      </c>
      <c r="BN40" s="69" t="str">
        <f>IFERROR(__xludf.DUMMYFUNCTION("""COMPUTED_VALUE"""),"")</f>
        <v/>
      </c>
      <c r="BO40" s="69" t="str">
        <f>IFERROR(__xludf.DUMMYFUNCTION("""COMPUTED_VALUE"""),"")</f>
        <v/>
      </c>
      <c r="BP40" s="69" t="str">
        <f>IFERROR(__xludf.DUMMYFUNCTION("""COMPUTED_VALUE"""),"")</f>
        <v/>
      </c>
      <c r="BQ40" s="69" t="str">
        <f>IFERROR(__xludf.DUMMYFUNCTION("""COMPUTED_VALUE"""),"")</f>
        <v/>
      </c>
      <c r="BR40" s="69" t="str">
        <f>IFERROR(__xludf.DUMMYFUNCTION("""COMPUTED_VALUE"""),"")</f>
        <v/>
      </c>
      <c r="BS40" s="69" t="str">
        <f>IFERROR(__xludf.DUMMYFUNCTION("""COMPUTED_VALUE"""),"")</f>
        <v/>
      </c>
      <c r="BT40" s="69" t="str">
        <f>IFERROR(__xludf.DUMMYFUNCTION("""COMPUTED_VALUE"""),"")</f>
        <v/>
      </c>
      <c r="BU40" s="69" t="str">
        <f>IFERROR(__xludf.DUMMYFUNCTION("""COMPUTED_VALUE"""),"")</f>
        <v/>
      </c>
      <c r="BV40" s="69" t="str">
        <f>IFERROR(__xludf.DUMMYFUNCTION("""COMPUTED_VALUE"""),"")</f>
        <v/>
      </c>
      <c r="BW40" s="69"/>
      <c r="BX40" s="69"/>
      <c r="BY40" s="69"/>
      <c r="BZ40" s="69"/>
      <c r="CA40" s="69"/>
      <c r="CB40" s="69"/>
      <c r="CC40" s="69"/>
      <c r="CD40" s="69"/>
      <c r="CE40" s="69"/>
      <c r="CF40" s="69"/>
    </row>
    <row r="41">
      <c r="A41" s="70" t="str">
        <f>IFERROR(__xludf.DUMMYFUNCTION("""COMPUTED_VALUE"""),"Riders of Rohan")</f>
        <v>Riders of Rohan</v>
      </c>
      <c r="B41" s="71">
        <f>IFERROR(__xludf.DUMMYFUNCTION("""COMPUTED_VALUE"""),2.0)</f>
        <v>2</v>
      </c>
      <c r="C41" s="72">
        <f>IFERROR(__xludf.DUMMYFUNCTION("""COMPUTED_VALUE"""),0.0)</f>
        <v>0</v>
      </c>
      <c r="D41" s="72">
        <f>IFERROR(__xludf.DUMMYFUNCTION("""COMPUTED_VALUE"""),0.0)</f>
        <v>0</v>
      </c>
      <c r="E41" s="72">
        <f>IFERROR(__xludf.DUMMYFUNCTION("""COMPUTED_VALUE"""),0.0)</f>
        <v>0</v>
      </c>
      <c r="F41" s="72">
        <f>IFERROR(__xludf.DUMMYFUNCTION("""COMPUTED_VALUE"""),0.0)</f>
        <v>0</v>
      </c>
      <c r="G41" s="72">
        <f>IFERROR(__xludf.DUMMYFUNCTION("""COMPUTED_VALUE"""),0.0)</f>
        <v>0</v>
      </c>
      <c r="H41" s="72">
        <f>IFERROR(__xludf.DUMMYFUNCTION("""COMPUTED_VALUE"""),0.0)</f>
        <v>0</v>
      </c>
      <c r="I41" s="72">
        <f>IFERROR(__xludf.DUMMYFUNCTION("""COMPUTED_VALUE"""),0.0)</f>
        <v>0</v>
      </c>
      <c r="J41" s="72">
        <f>IFERROR(__xludf.DUMMYFUNCTION("""COMPUTED_VALUE"""),2.0)</f>
        <v>2</v>
      </c>
      <c r="K41" s="72">
        <f>IFERROR(__xludf.DUMMYFUNCTION("""COMPUTED_VALUE"""),0.0)</f>
        <v>0</v>
      </c>
      <c r="L41" s="72">
        <f>IFERROR(__xludf.DUMMYFUNCTION("""COMPUTED_VALUE"""),0.0)</f>
        <v>0</v>
      </c>
      <c r="M41" s="72">
        <f>IFERROR(__xludf.DUMMYFUNCTION("""COMPUTED_VALUE"""),0.0)</f>
        <v>0</v>
      </c>
      <c r="N41" s="72">
        <f>IFERROR(__xludf.DUMMYFUNCTION("""COMPUTED_VALUE"""),1.0)</f>
        <v>1</v>
      </c>
      <c r="O41" s="72">
        <f>IFERROR(__xludf.DUMMYFUNCTION("""COMPUTED_VALUE"""),0.0)</f>
        <v>0</v>
      </c>
      <c r="P41" s="72">
        <f>IFERROR(__xludf.DUMMYFUNCTION("""COMPUTED_VALUE"""),0.0)</f>
        <v>0</v>
      </c>
      <c r="Q41" s="72">
        <f>IFERROR(__xludf.DUMMYFUNCTION("""COMPUTED_VALUE"""),0.0)</f>
        <v>0</v>
      </c>
      <c r="R41" s="72">
        <f>IFERROR(__xludf.DUMMYFUNCTION("""COMPUTED_VALUE"""),0.0)</f>
        <v>0</v>
      </c>
      <c r="S41" s="72">
        <f>IFERROR(__xludf.DUMMYFUNCTION("""COMPUTED_VALUE"""),0.0)</f>
        <v>0</v>
      </c>
      <c r="T41" s="72">
        <f>IFERROR(__xludf.DUMMYFUNCTION("""COMPUTED_VALUE"""),0.0)</f>
        <v>0</v>
      </c>
      <c r="U41" s="72">
        <f>IFERROR(__xludf.DUMMYFUNCTION("""COMPUTED_VALUE"""),0.0)</f>
        <v>0</v>
      </c>
      <c r="V41" s="72">
        <f>IFERROR(__xludf.DUMMYFUNCTION("""COMPUTED_VALUE"""),0.0)</f>
        <v>0</v>
      </c>
      <c r="W41" s="72">
        <f>IFERROR(__xludf.DUMMYFUNCTION("""COMPUTED_VALUE"""),0.0)</f>
        <v>0</v>
      </c>
      <c r="X41" s="72">
        <f>IFERROR(__xludf.DUMMYFUNCTION("""COMPUTED_VALUE"""),0.0)</f>
        <v>0</v>
      </c>
      <c r="Y41" s="72">
        <f>IFERROR(__xludf.DUMMYFUNCTION("""COMPUTED_VALUE"""),0.0)</f>
        <v>0</v>
      </c>
      <c r="Z41" s="72">
        <f>IFERROR(__xludf.DUMMYFUNCTION("""COMPUTED_VALUE"""),-1.0)</f>
        <v>-1</v>
      </c>
      <c r="AA41" s="72">
        <f>IFERROR(__xludf.DUMMYFUNCTION("""COMPUTED_VALUE"""),0.0)</f>
        <v>0</v>
      </c>
      <c r="AB41" s="72">
        <f>IFERROR(__xludf.DUMMYFUNCTION("""COMPUTED_VALUE"""),0.0)</f>
        <v>0</v>
      </c>
      <c r="AC41" s="72">
        <f>IFERROR(__xludf.DUMMYFUNCTION("""COMPUTED_VALUE"""),0.0)</f>
        <v>0</v>
      </c>
      <c r="AD41" s="72">
        <f>IFERROR(__xludf.DUMMYFUNCTION("""COMPUTED_VALUE"""),0.0)</f>
        <v>0</v>
      </c>
      <c r="AE41" s="72">
        <f>IFERROR(__xludf.DUMMYFUNCTION("""COMPUTED_VALUE"""),0.0)</f>
        <v>0</v>
      </c>
      <c r="AF41" s="72">
        <f>IFERROR(__xludf.DUMMYFUNCTION("""COMPUTED_VALUE"""),0.0)</f>
        <v>0</v>
      </c>
      <c r="AG41" s="72">
        <f>IFERROR(__xludf.DUMMYFUNCTION("""COMPUTED_VALUE"""),0.0)</f>
        <v>0</v>
      </c>
      <c r="AH41" s="72">
        <f>IFERROR(__xludf.DUMMYFUNCTION("""COMPUTED_VALUE"""),0.0)</f>
        <v>0</v>
      </c>
      <c r="AI41" s="72">
        <f>IFERROR(__xludf.DUMMYFUNCTION("""COMPUTED_VALUE"""),0.0)</f>
        <v>0</v>
      </c>
      <c r="AJ41" s="72">
        <f>IFERROR(__xludf.DUMMYFUNCTION("""COMPUTED_VALUE"""),0.0)</f>
        <v>0</v>
      </c>
      <c r="AK41" s="72">
        <f>IFERROR(__xludf.DUMMYFUNCTION("""COMPUTED_VALUE"""),0.0)</f>
        <v>0</v>
      </c>
      <c r="AL41" s="72">
        <f>IFERROR(__xludf.DUMMYFUNCTION("""COMPUTED_VALUE"""),-1.0)</f>
        <v>-1</v>
      </c>
      <c r="AM41" s="72">
        <f>IFERROR(__xludf.DUMMYFUNCTION("""COMPUTED_VALUE"""),0.0)</f>
        <v>0</v>
      </c>
      <c r="AN41" s="72">
        <f>IFERROR(__xludf.DUMMYFUNCTION("""COMPUTED_VALUE"""),0.0)</f>
        <v>0</v>
      </c>
      <c r="AO41" s="72">
        <f>IFERROR(__xludf.DUMMYFUNCTION("""COMPUTED_VALUE"""),0.0)</f>
        <v>0</v>
      </c>
      <c r="AP41" s="72" t="str">
        <f>IFERROR(__xludf.DUMMYFUNCTION("""COMPUTED_VALUE"""),"")</f>
        <v/>
      </c>
      <c r="AQ41" s="72">
        <f>IFERROR(__xludf.DUMMYFUNCTION("""COMPUTED_VALUE"""),0.0)</f>
        <v>0</v>
      </c>
      <c r="AR41" s="72">
        <f>IFERROR(__xludf.DUMMYFUNCTION("""COMPUTED_VALUE"""),0.0)</f>
        <v>0</v>
      </c>
      <c r="AS41" s="72">
        <f>IFERROR(__xludf.DUMMYFUNCTION("""COMPUTED_VALUE"""),0.0)</f>
        <v>0</v>
      </c>
      <c r="AT41" s="72">
        <f>IFERROR(__xludf.DUMMYFUNCTION("""COMPUTED_VALUE"""),1.0)</f>
        <v>1</v>
      </c>
      <c r="AU41" s="72">
        <f>IFERROR(__xludf.DUMMYFUNCTION("""COMPUTED_VALUE"""),0.0)</f>
        <v>0</v>
      </c>
      <c r="AV41" s="72">
        <f>IFERROR(__xludf.DUMMYFUNCTION("""COMPUTED_VALUE"""),0.0)</f>
        <v>0</v>
      </c>
      <c r="AW41" s="72">
        <f>IFERROR(__xludf.DUMMYFUNCTION("""COMPUTED_VALUE"""),0.0)</f>
        <v>0</v>
      </c>
      <c r="AX41" s="72">
        <f>IFERROR(__xludf.DUMMYFUNCTION("""COMPUTED_VALUE"""),0.0)</f>
        <v>0</v>
      </c>
      <c r="AY41" s="72">
        <f>IFERROR(__xludf.DUMMYFUNCTION("""COMPUTED_VALUE"""),0.0)</f>
        <v>0</v>
      </c>
      <c r="AZ41" s="72">
        <f>IFERROR(__xludf.DUMMYFUNCTION("""COMPUTED_VALUE"""),0.0)</f>
        <v>0</v>
      </c>
      <c r="BA41" s="72">
        <f>IFERROR(__xludf.DUMMYFUNCTION("""COMPUTED_VALUE"""),0.0)</f>
        <v>0</v>
      </c>
      <c r="BB41" s="72">
        <f>IFERROR(__xludf.DUMMYFUNCTION("""COMPUTED_VALUE"""),0.0)</f>
        <v>0</v>
      </c>
      <c r="BC41" s="72">
        <f>IFERROR(__xludf.DUMMYFUNCTION("""COMPUTED_VALUE"""),0.0)</f>
        <v>0</v>
      </c>
      <c r="BD41" s="69">
        <f>IFERROR(__xludf.DUMMYFUNCTION("""COMPUTED_VALUE"""),0.0)</f>
        <v>0</v>
      </c>
      <c r="BE41" s="69" t="str">
        <f>IFERROR(__xludf.DUMMYFUNCTION("""COMPUTED_VALUE"""),"")</f>
        <v/>
      </c>
      <c r="BF41" s="69" t="str">
        <f>IFERROR(__xludf.DUMMYFUNCTION("""COMPUTED_VALUE"""),"")</f>
        <v/>
      </c>
      <c r="BG41" s="69" t="str">
        <f>IFERROR(__xludf.DUMMYFUNCTION("""COMPUTED_VALUE"""),"")</f>
        <v/>
      </c>
      <c r="BH41" s="69" t="str">
        <f>IFERROR(__xludf.DUMMYFUNCTION("""COMPUTED_VALUE"""),"")</f>
        <v/>
      </c>
      <c r="BI41" s="69" t="str">
        <f>IFERROR(__xludf.DUMMYFUNCTION("""COMPUTED_VALUE"""),"")</f>
        <v/>
      </c>
      <c r="BJ41" s="69" t="str">
        <f>IFERROR(__xludf.DUMMYFUNCTION("""COMPUTED_VALUE"""),"")</f>
        <v/>
      </c>
      <c r="BK41" s="69" t="str">
        <f>IFERROR(__xludf.DUMMYFUNCTION("""COMPUTED_VALUE"""),"")</f>
        <v/>
      </c>
      <c r="BL41" s="69" t="str">
        <f>IFERROR(__xludf.DUMMYFUNCTION("""COMPUTED_VALUE"""),"")</f>
        <v/>
      </c>
      <c r="BM41" s="69" t="str">
        <f>IFERROR(__xludf.DUMMYFUNCTION("""COMPUTED_VALUE"""),"")</f>
        <v/>
      </c>
      <c r="BN41" s="69" t="str">
        <f>IFERROR(__xludf.DUMMYFUNCTION("""COMPUTED_VALUE"""),"")</f>
        <v/>
      </c>
      <c r="BO41" s="69" t="str">
        <f>IFERROR(__xludf.DUMMYFUNCTION("""COMPUTED_VALUE"""),"")</f>
        <v/>
      </c>
      <c r="BP41" s="69" t="str">
        <f>IFERROR(__xludf.DUMMYFUNCTION("""COMPUTED_VALUE"""),"")</f>
        <v/>
      </c>
      <c r="BQ41" s="69" t="str">
        <f>IFERROR(__xludf.DUMMYFUNCTION("""COMPUTED_VALUE"""),"")</f>
        <v/>
      </c>
      <c r="BR41" s="69" t="str">
        <f>IFERROR(__xludf.DUMMYFUNCTION("""COMPUTED_VALUE"""),"")</f>
        <v/>
      </c>
      <c r="BS41" s="69" t="str">
        <f>IFERROR(__xludf.DUMMYFUNCTION("""COMPUTED_VALUE"""),"")</f>
        <v/>
      </c>
      <c r="BT41" s="69" t="str">
        <f>IFERROR(__xludf.DUMMYFUNCTION("""COMPUTED_VALUE"""),"")</f>
        <v/>
      </c>
      <c r="BU41" s="69" t="str">
        <f>IFERROR(__xludf.DUMMYFUNCTION("""COMPUTED_VALUE"""),"")</f>
        <v/>
      </c>
      <c r="BV41" s="69" t="str">
        <f>IFERROR(__xludf.DUMMYFUNCTION("""COMPUTED_VALUE"""),"")</f>
        <v/>
      </c>
      <c r="BW41" s="69"/>
      <c r="BX41" s="69"/>
      <c r="BY41" s="69"/>
      <c r="BZ41" s="69"/>
      <c r="CA41" s="69"/>
      <c r="CB41" s="69"/>
      <c r="CC41" s="69"/>
      <c r="CD41" s="69"/>
      <c r="CE41" s="69"/>
      <c r="CF41" s="69"/>
    </row>
    <row r="42">
      <c r="A42" s="70" t="str">
        <f>IFERROR(__xludf.DUMMYFUNCTION("""COMPUTED_VALUE"""),"Science!")</f>
        <v>Science!</v>
      </c>
      <c r="B42" s="71">
        <f>IFERROR(__xludf.DUMMYFUNCTION("""COMPUTED_VALUE"""),-3.0)</f>
        <v>-3</v>
      </c>
      <c r="C42" s="72">
        <f>IFERROR(__xludf.DUMMYFUNCTION("""COMPUTED_VALUE"""),0.0)</f>
        <v>0</v>
      </c>
      <c r="D42" s="72">
        <f>IFERROR(__xludf.DUMMYFUNCTION("""COMPUTED_VALUE"""),0.0)</f>
        <v>0</v>
      </c>
      <c r="E42" s="72">
        <f>IFERROR(__xludf.DUMMYFUNCTION("""COMPUTED_VALUE"""),0.0)</f>
        <v>0</v>
      </c>
      <c r="F42" s="72">
        <f>IFERROR(__xludf.DUMMYFUNCTION("""COMPUTED_VALUE"""),0.0)</f>
        <v>0</v>
      </c>
      <c r="G42" s="72">
        <f>IFERROR(__xludf.DUMMYFUNCTION("""COMPUTED_VALUE"""),0.0)</f>
        <v>0</v>
      </c>
      <c r="H42" s="72">
        <f>IFERROR(__xludf.DUMMYFUNCTION("""COMPUTED_VALUE"""),0.0)</f>
        <v>0</v>
      </c>
      <c r="I42" s="72">
        <f>IFERROR(__xludf.DUMMYFUNCTION("""COMPUTED_VALUE"""),0.0)</f>
        <v>0</v>
      </c>
      <c r="J42" s="72">
        <f>IFERROR(__xludf.DUMMYFUNCTION("""COMPUTED_VALUE"""),0.0)</f>
        <v>0</v>
      </c>
      <c r="K42" s="72">
        <f>IFERROR(__xludf.DUMMYFUNCTION("""COMPUTED_VALUE"""),-1.0)</f>
        <v>-1</v>
      </c>
      <c r="L42" s="72">
        <f>IFERROR(__xludf.DUMMYFUNCTION("""COMPUTED_VALUE"""),0.0)</f>
        <v>0</v>
      </c>
      <c r="M42" s="72">
        <f>IFERROR(__xludf.DUMMYFUNCTION("""COMPUTED_VALUE"""),0.0)</f>
        <v>0</v>
      </c>
      <c r="N42" s="72">
        <f>IFERROR(__xludf.DUMMYFUNCTION("""COMPUTED_VALUE"""),0.0)</f>
        <v>0</v>
      </c>
      <c r="O42" s="72">
        <f>IFERROR(__xludf.DUMMYFUNCTION("""COMPUTED_VALUE"""),0.0)</f>
        <v>0</v>
      </c>
      <c r="P42" s="72">
        <f>IFERROR(__xludf.DUMMYFUNCTION("""COMPUTED_VALUE"""),0.0)</f>
        <v>0</v>
      </c>
      <c r="Q42" s="72">
        <f>IFERROR(__xludf.DUMMYFUNCTION("""COMPUTED_VALUE"""),0.0)</f>
        <v>0</v>
      </c>
      <c r="R42" s="72">
        <f>IFERROR(__xludf.DUMMYFUNCTION("""COMPUTED_VALUE"""),0.0)</f>
        <v>0</v>
      </c>
      <c r="S42" s="72">
        <f>IFERROR(__xludf.DUMMYFUNCTION("""COMPUTED_VALUE"""),0.0)</f>
        <v>0</v>
      </c>
      <c r="T42" s="72">
        <f>IFERROR(__xludf.DUMMYFUNCTION("""COMPUTED_VALUE"""),0.0)</f>
        <v>0</v>
      </c>
      <c r="U42" s="72">
        <f>IFERROR(__xludf.DUMMYFUNCTION("""COMPUTED_VALUE"""),0.0)</f>
        <v>0</v>
      </c>
      <c r="V42" s="72">
        <f>IFERROR(__xludf.DUMMYFUNCTION("""COMPUTED_VALUE"""),0.0)</f>
        <v>0</v>
      </c>
      <c r="W42" s="72">
        <f>IFERROR(__xludf.DUMMYFUNCTION("""COMPUTED_VALUE"""),0.0)</f>
        <v>0</v>
      </c>
      <c r="X42" s="72">
        <f>IFERROR(__xludf.DUMMYFUNCTION("""COMPUTED_VALUE"""),0.0)</f>
        <v>0</v>
      </c>
      <c r="Y42" s="72">
        <f>IFERROR(__xludf.DUMMYFUNCTION("""COMPUTED_VALUE"""),0.0)</f>
        <v>0</v>
      </c>
      <c r="Z42" s="72">
        <f>IFERROR(__xludf.DUMMYFUNCTION("""COMPUTED_VALUE"""),0.0)</f>
        <v>0</v>
      </c>
      <c r="AA42" s="72">
        <f>IFERROR(__xludf.DUMMYFUNCTION("""COMPUTED_VALUE"""),0.0)</f>
        <v>0</v>
      </c>
      <c r="AB42" s="72">
        <f>IFERROR(__xludf.DUMMYFUNCTION("""COMPUTED_VALUE"""),0.0)</f>
        <v>0</v>
      </c>
      <c r="AC42" s="72">
        <f>IFERROR(__xludf.DUMMYFUNCTION("""COMPUTED_VALUE"""),0.0)</f>
        <v>0</v>
      </c>
      <c r="AD42" s="72">
        <f>IFERROR(__xludf.DUMMYFUNCTION("""COMPUTED_VALUE"""),0.0)</f>
        <v>0</v>
      </c>
      <c r="AE42" s="72">
        <f>IFERROR(__xludf.DUMMYFUNCTION("""COMPUTED_VALUE"""),0.0)</f>
        <v>0</v>
      </c>
      <c r="AF42" s="72">
        <f>IFERROR(__xludf.DUMMYFUNCTION("""COMPUTED_VALUE"""),0.0)</f>
        <v>0</v>
      </c>
      <c r="AG42" s="72">
        <f>IFERROR(__xludf.DUMMYFUNCTION("""COMPUTED_VALUE"""),0.0)</f>
        <v>0</v>
      </c>
      <c r="AH42" s="72">
        <f>IFERROR(__xludf.DUMMYFUNCTION("""COMPUTED_VALUE"""),0.0)</f>
        <v>0</v>
      </c>
      <c r="AI42" s="72">
        <f>IFERROR(__xludf.DUMMYFUNCTION("""COMPUTED_VALUE"""),0.0)</f>
        <v>0</v>
      </c>
      <c r="AJ42" s="72">
        <f>IFERROR(__xludf.DUMMYFUNCTION("""COMPUTED_VALUE"""),0.0)</f>
        <v>0</v>
      </c>
      <c r="AK42" s="72">
        <f>IFERROR(__xludf.DUMMYFUNCTION("""COMPUTED_VALUE"""),0.0)</f>
        <v>0</v>
      </c>
      <c r="AL42" s="72">
        <f>IFERROR(__xludf.DUMMYFUNCTION("""COMPUTED_VALUE"""),-1.0)</f>
        <v>-1</v>
      </c>
      <c r="AM42" s="72">
        <f>IFERROR(__xludf.DUMMYFUNCTION("""COMPUTED_VALUE"""),0.0)</f>
        <v>0</v>
      </c>
      <c r="AN42" s="72">
        <f>IFERROR(__xludf.DUMMYFUNCTION("""COMPUTED_VALUE"""),0.0)</f>
        <v>0</v>
      </c>
      <c r="AO42" s="72">
        <f>IFERROR(__xludf.DUMMYFUNCTION("""COMPUTED_VALUE"""),0.0)</f>
        <v>0</v>
      </c>
      <c r="AP42" s="72">
        <f>IFERROR(__xludf.DUMMYFUNCTION("""COMPUTED_VALUE"""),0.0)</f>
        <v>0</v>
      </c>
      <c r="AQ42" s="72" t="str">
        <f>IFERROR(__xludf.DUMMYFUNCTION("""COMPUTED_VALUE"""),"")</f>
        <v/>
      </c>
      <c r="AR42" s="72">
        <f>IFERROR(__xludf.DUMMYFUNCTION("""COMPUTED_VALUE"""),0.0)</f>
        <v>0</v>
      </c>
      <c r="AS42" s="72">
        <f>IFERROR(__xludf.DUMMYFUNCTION("""COMPUTED_VALUE"""),-1.0)</f>
        <v>-1</v>
      </c>
      <c r="AT42" s="72">
        <f>IFERROR(__xludf.DUMMYFUNCTION("""COMPUTED_VALUE"""),0.0)</f>
        <v>0</v>
      </c>
      <c r="AU42" s="72">
        <f>IFERROR(__xludf.DUMMYFUNCTION("""COMPUTED_VALUE"""),0.0)</f>
        <v>0</v>
      </c>
      <c r="AV42" s="72">
        <f>IFERROR(__xludf.DUMMYFUNCTION("""COMPUTED_VALUE"""),0.0)</f>
        <v>0</v>
      </c>
      <c r="AW42" s="72">
        <f>IFERROR(__xludf.DUMMYFUNCTION("""COMPUTED_VALUE"""),0.0)</f>
        <v>0</v>
      </c>
      <c r="AX42" s="72">
        <f>IFERROR(__xludf.DUMMYFUNCTION("""COMPUTED_VALUE"""),0.0)</f>
        <v>0</v>
      </c>
      <c r="AY42" s="72">
        <f>IFERROR(__xludf.DUMMYFUNCTION("""COMPUTED_VALUE"""),0.0)</f>
        <v>0</v>
      </c>
      <c r="AZ42" s="72">
        <f>IFERROR(__xludf.DUMMYFUNCTION("""COMPUTED_VALUE"""),0.0)</f>
        <v>0</v>
      </c>
      <c r="BA42" s="72">
        <f>IFERROR(__xludf.DUMMYFUNCTION("""COMPUTED_VALUE"""),0.0)</f>
        <v>0</v>
      </c>
      <c r="BB42" s="72">
        <f>IFERROR(__xludf.DUMMYFUNCTION("""COMPUTED_VALUE"""),0.0)</f>
        <v>0</v>
      </c>
      <c r="BC42" s="72">
        <f>IFERROR(__xludf.DUMMYFUNCTION("""COMPUTED_VALUE"""),0.0)</f>
        <v>0</v>
      </c>
      <c r="BD42" s="69">
        <f>IFERROR(__xludf.DUMMYFUNCTION("""COMPUTED_VALUE"""),0.0)</f>
        <v>0</v>
      </c>
      <c r="BE42" s="69" t="str">
        <f>IFERROR(__xludf.DUMMYFUNCTION("""COMPUTED_VALUE"""),"")</f>
        <v/>
      </c>
      <c r="BF42" s="69" t="str">
        <f>IFERROR(__xludf.DUMMYFUNCTION("""COMPUTED_VALUE"""),"")</f>
        <v/>
      </c>
      <c r="BG42" s="69" t="str">
        <f>IFERROR(__xludf.DUMMYFUNCTION("""COMPUTED_VALUE"""),"")</f>
        <v/>
      </c>
      <c r="BH42" s="69" t="str">
        <f>IFERROR(__xludf.DUMMYFUNCTION("""COMPUTED_VALUE"""),"")</f>
        <v/>
      </c>
      <c r="BI42" s="69" t="str">
        <f>IFERROR(__xludf.DUMMYFUNCTION("""COMPUTED_VALUE"""),"")</f>
        <v/>
      </c>
      <c r="BJ42" s="69" t="str">
        <f>IFERROR(__xludf.DUMMYFUNCTION("""COMPUTED_VALUE"""),"")</f>
        <v/>
      </c>
      <c r="BK42" s="69" t="str">
        <f>IFERROR(__xludf.DUMMYFUNCTION("""COMPUTED_VALUE"""),"")</f>
        <v/>
      </c>
      <c r="BL42" s="69" t="str">
        <f>IFERROR(__xludf.DUMMYFUNCTION("""COMPUTED_VALUE"""),"")</f>
        <v/>
      </c>
      <c r="BM42" s="69" t="str">
        <f>IFERROR(__xludf.DUMMYFUNCTION("""COMPUTED_VALUE"""),"")</f>
        <v/>
      </c>
      <c r="BN42" s="69" t="str">
        <f>IFERROR(__xludf.DUMMYFUNCTION("""COMPUTED_VALUE"""),"")</f>
        <v/>
      </c>
      <c r="BO42" s="69" t="str">
        <f>IFERROR(__xludf.DUMMYFUNCTION("""COMPUTED_VALUE"""),"")</f>
        <v/>
      </c>
      <c r="BP42" s="69" t="str">
        <f>IFERROR(__xludf.DUMMYFUNCTION("""COMPUTED_VALUE"""),"")</f>
        <v/>
      </c>
      <c r="BQ42" s="69" t="str">
        <f>IFERROR(__xludf.DUMMYFUNCTION("""COMPUTED_VALUE"""),"")</f>
        <v/>
      </c>
      <c r="BR42" s="69" t="str">
        <f>IFERROR(__xludf.DUMMYFUNCTION("""COMPUTED_VALUE"""),"")</f>
        <v/>
      </c>
      <c r="BS42" s="69" t="str">
        <f>IFERROR(__xludf.DUMMYFUNCTION("""COMPUTED_VALUE"""),"")</f>
        <v/>
      </c>
      <c r="BT42" s="69" t="str">
        <f>IFERROR(__xludf.DUMMYFUNCTION("""COMPUTED_VALUE"""),"")</f>
        <v/>
      </c>
      <c r="BU42" s="69" t="str">
        <f>IFERROR(__xludf.DUMMYFUNCTION("""COMPUTED_VALUE"""),"")</f>
        <v/>
      </c>
      <c r="BV42" s="69" t="str">
        <f>IFERROR(__xludf.DUMMYFUNCTION("""COMPUTED_VALUE"""),"")</f>
        <v/>
      </c>
      <c r="BW42" s="69"/>
      <c r="BX42" s="69"/>
      <c r="BY42" s="69"/>
      <c r="BZ42" s="69"/>
      <c r="CA42" s="69"/>
      <c r="CB42" s="69"/>
      <c r="CC42" s="69"/>
      <c r="CD42" s="69"/>
      <c r="CE42" s="69"/>
      <c r="CF42" s="69"/>
    </row>
    <row r="43">
      <c r="A43" s="70" t="str">
        <f>IFERROR(__xludf.DUMMYFUNCTION("""COMPUTED_VALUE"""),"Scions &amp; Spellcraft")</f>
        <v>Scions &amp; Spellcraft</v>
      </c>
      <c r="B43" s="71">
        <f>IFERROR(__xludf.DUMMYFUNCTION("""COMPUTED_VALUE"""),-7.0)</f>
        <v>-7</v>
      </c>
      <c r="C43" s="72">
        <f>IFERROR(__xludf.DUMMYFUNCTION("""COMPUTED_VALUE"""),0.0)</f>
        <v>0</v>
      </c>
      <c r="D43" s="72">
        <f>IFERROR(__xludf.DUMMYFUNCTION("""COMPUTED_VALUE"""),0.0)</f>
        <v>0</v>
      </c>
      <c r="E43" s="72">
        <f>IFERROR(__xludf.DUMMYFUNCTION("""COMPUTED_VALUE"""),0.0)</f>
        <v>0</v>
      </c>
      <c r="F43" s="72">
        <f>IFERROR(__xludf.DUMMYFUNCTION("""COMPUTED_VALUE"""),0.0)</f>
        <v>0</v>
      </c>
      <c r="G43" s="72">
        <f>IFERROR(__xludf.DUMMYFUNCTION("""COMPUTED_VALUE"""),-1.0)</f>
        <v>-1</v>
      </c>
      <c r="H43" s="72">
        <f>IFERROR(__xludf.DUMMYFUNCTION("""COMPUTED_VALUE"""),0.0)</f>
        <v>0</v>
      </c>
      <c r="I43" s="72">
        <f>IFERROR(__xludf.DUMMYFUNCTION("""COMPUTED_VALUE"""),0.0)</f>
        <v>0</v>
      </c>
      <c r="J43" s="72">
        <f>IFERROR(__xludf.DUMMYFUNCTION("""COMPUTED_VALUE"""),0.0)</f>
        <v>0</v>
      </c>
      <c r="K43" s="72">
        <f>IFERROR(__xludf.DUMMYFUNCTION("""COMPUTED_VALUE"""),0.0)</f>
        <v>0</v>
      </c>
      <c r="L43" s="72">
        <f>IFERROR(__xludf.DUMMYFUNCTION("""COMPUTED_VALUE"""),0.0)</f>
        <v>0</v>
      </c>
      <c r="M43" s="72">
        <f>IFERROR(__xludf.DUMMYFUNCTION("""COMPUTED_VALUE"""),0.0)</f>
        <v>0</v>
      </c>
      <c r="N43" s="72">
        <f>IFERROR(__xludf.DUMMYFUNCTION("""COMPUTED_VALUE"""),0.0)</f>
        <v>0</v>
      </c>
      <c r="O43" s="72">
        <f>IFERROR(__xludf.DUMMYFUNCTION("""COMPUTED_VALUE"""),-1.0)</f>
        <v>-1</v>
      </c>
      <c r="P43" s="72">
        <f>IFERROR(__xludf.DUMMYFUNCTION("""COMPUTED_VALUE"""),-1.0)</f>
        <v>-1</v>
      </c>
      <c r="Q43" s="72">
        <f>IFERROR(__xludf.DUMMYFUNCTION("""COMPUTED_VALUE"""),0.0)</f>
        <v>0</v>
      </c>
      <c r="R43" s="72">
        <f>IFERROR(__xludf.DUMMYFUNCTION("""COMPUTED_VALUE"""),0.0)</f>
        <v>0</v>
      </c>
      <c r="S43" s="72">
        <f>IFERROR(__xludf.DUMMYFUNCTION("""COMPUTED_VALUE"""),0.0)</f>
        <v>0</v>
      </c>
      <c r="T43" s="72">
        <f>IFERROR(__xludf.DUMMYFUNCTION("""COMPUTED_VALUE"""),0.0)</f>
        <v>0</v>
      </c>
      <c r="U43" s="72">
        <f>IFERROR(__xludf.DUMMYFUNCTION("""COMPUTED_VALUE"""),-1.0)</f>
        <v>-1</v>
      </c>
      <c r="V43" s="72">
        <f>IFERROR(__xludf.DUMMYFUNCTION("""COMPUTED_VALUE"""),0.0)</f>
        <v>0</v>
      </c>
      <c r="W43" s="72">
        <f>IFERROR(__xludf.DUMMYFUNCTION("""COMPUTED_VALUE"""),1.0)</f>
        <v>1</v>
      </c>
      <c r="X43" s="72">
        <f>IFERROR(__xludf.DUMMYFUNCTION("""COMPUTED_VALUE"""),0.0)</f>
        <v>0</v>
      </c>
      <c r="Y43" s="72">
        <f>IFERROR(__xludf.DUMMYFUNCTION("""COMPUTED_VALUE"""),0.0)</f>
        <v>0</v>
      </c>
      <c r="Z43" s="72">
        <f>IFERROR(__xludf.DUMMYFUNCTION("""COMPUTED_VALUE"""),0.0)</f>
        <v>0</v>
      </c>
      <c r="AA43" s="72">
        <f>IFERROR(__xludf.DUMMYFUNCTION("""COMPUTED_VALUE"""),0.0)</f>
        <v>0</v>
      </c>
      <c r="AB43" s="72">
        <f>IFERROR(__xludf.DUMMYFUNCTION("""COMPUTED_VALUE"""),0.0)</f>
        <v>0</v>
      </c>
      <c r="AC43" s="72">
        <f>IFERROR(__xludf.DUMMYFUNCTION("""COMPUTED_VALUE"""),-1.0)</f>
        <v>-1</v>
      </c>
      <c r="AD43" s="72">
        <f>IFERROR(__xludf.DUMMYFUNCTION("""COMPUTED_VALUE"""),0.0)</f>
        <v>0</v>
      </c>
      <c r="AE43" s="72">
        <f>IFERROR(__xludf.DUMMYFUNCTION("""COMPUTED_VALUE"""),-1.0)</f>
        <v>-1</v>
      </c>
      <c r="AF43" s="72">
        <f>IFERROR(__xludf.DUMMYFUNCTION("""COMPUTED_VALUE"""),0.0)</f>
        <v>0</v>
      </c>
      <c r="AG43" s="72">
        <f>IFERROR(__xludf.DUMMYFUNCTION("""COMPUTED_VALUE"""),0.0)</f>
        <v>0</v>
      </c>
      <c r="AH43" s="72">
        <f>IFERROR(__xludf.DUMMYFUNCTION("""COMPUTED_VALUE"""),1.0)</f>
        <v>1</v>
      </c>
      <c r="AI43" s="72">
        <f>IFERROR(__xludf.DUMMYFUNCTION("""COMPUTED_VALUE"""),0.0)</f>
        <v>0</v>
      </c>
      <c r="AJ43" s="72">
        <f>IFERROR(__xludf.DUMMYFUNCTION("""COMPUTED_VALUE"""),0.0)</f>
        <v>0</v>
      </c>
      <c r="AK43" s="72">
        <f>IFERROR(__xludf.DUMMYFUNCTION("""COMPUTED_VALUE"""),0.0)</f>
        <v>0</v>
      </c>
      <c r="AL43" s="72">
        <f>IFERROR(__xludf.DUMMYFUNCTION("""COMPUTED_VALUE"""),-2.0)</f>
        <v>-2</v>
      </c>
      <c r="AM43" s="72">
        <f>IFERROR(__xludf.DUMMYFUNCTION("""COMPUTED_VALUE"""),0.0)</f>
        <v>0</v>
      </c>
      <c r="AN43" s="72">
        <f>IFERROR(__xludf.DUMMYFUNCTION("""COMPUTED_VALUE"""),0.0)</f>
        <v>0</v>
      </c>
      <c r="AO43" s="72">
        <f>IFERROR(__xludf.DUMMYFUNCTION("""COMPUTED_VALUE"""),0.0)</f>
        <v>0</v>
      </c>
      <c r="AP43" s="72">
        <f>IFERROR(__xludf.DUMMYFUNCTION("""COMPUTED_VALUE"""),0.0)</f>
        <v>0</v>
      </c>
      <c r="AQ43" s="72">
        <f>IFERROR(__xludf.DUMMYFUNCTION("""COMPUTED_VALUE"""),0.0)</f>
        <v>0</v>
      </c>
      <c r="AR43" s="72" t="str">
        <f>IFERROR(__xludf.DUMMYFUNCTION("""COMPUTED_VALUE"""),"")</f>
        <v/>
      </c>
      <c r="AS43" s="72">
        <f>IFERROR(__xludf.DUMMYFUNCTION("""COMPUTED_VALUE"""),0.0)</f>
        <v>0</v>
      </c>
      <c r="AT43" s="72">
        <f>IFERROR(__xludf.DUMMYFUNCTION("""COMPUTED_VALUE"""),-1.0)</f>
        <v>-1</v>
      </c>
      <c r="AU43" s="72">
        <f>IFERROR(__xludf.DUMMYFUNCTION("""COMPUTED_VALUE"""),0.0)</f>
        <v>0</v>
      </c>
      <c r="AV43" s="72">
        <f>IFERROR(__xludf.DUMMYFUNCTION("""COMPUTED_VALUE"""),0.0)</f>
        <v>0</v>
      </c>
      <c r="AW43" s="72">
        <f>IFERROR(__xludf.DUMMYFUNCTION("""COMPUTED_VALUE"""),0.0)</f>
        <v>0</v>
      </c>
      <c r="AX43" s="72">
        <f>IFERROR(__xludf.DUMMYFUNCTION("""COMPUTED_VALUE"""),0.0)</f>
        <v>0</v>
      </c>
      <c r="AY43" s="72">
        <f>IFERROR(__xludf.DUMMYFUNCTION("""COMPUTED_VALUE"""),0.0)</f>
        <v>0</v>
      </c>
      <c r="AZ43" s="72">
        <f>IFERROR(__xludf.DUMMYFUNCTION("""COMPUTED_VALUE"""),0.0)</f>
        <v>0</v>
      </c>
      <c r="BA43" s="72">
        <f>IFERROR(__xludf.DUMMYFUNCTION("""COMPUTED_VALUE"""),0.0)</f>
        <v>0</v>
      </c>
      <c r="BB43" s="72">
        <f>IFERROR(__xludf.DUMMYFUNCTION("""COMPUTED_VALUE"""),-1.0)</f>
        <v>-1</v>
      </c>
      <c r="BC43" s="72">
        <f>IFERROR(__xludf.DUMMYFUNCTION("""COMPUTED_VALUE"""),0.0)</f>
        <v>0</v>
      </c>
      <c r="BD43" s="69">
        <f>IFERROR(__xludf.DUMMYFUNCTION("""COMPUTED_VALUE"""),1.0)</f>
        <v>1</v>
      </c>
      <c r="BE43" s="69" t="str">
        <f>IFERROR(__xludf.DUMMYFUNCTION("""COMPUTED_VALUE"""),"")</f>
        <v/>
      </c>
      <c r="BF43" s="69" t="str">
        <f>IFERROR(__xludf.DUMMYFUNCTION("""COMPUTED_VALUE"""),"")</f>
        <v/>
      </c>
      <c r="BG43" s="69" t="str">
        <f>IFERROR(__xludf.DUMMYFUNCTION("""COMPUTED_VALUE"""),"")</f>
        <v/>
      </c>
      <c r="BH43" s="69" t="str">
        <f>IFERROR(__xludf.DUMMYFUNCTION("""COMPUTED_VALUE"""),"")</f>
        <v/>
      </c>
      <c r="BI43" s="69" t="str">
        <f>IFERROR(__xludf.DUMMYFUNCTION("""COMPUTED_VALUE"""),"")</f>
        <v/>
      </c>
      <c r="BJ43" s="69" t="str">
        <f>IFERROR(__xludf.DUMMYFUNCTION("""COMPUTED_VALUE"""),"")</f>
        <v/>
      </c>
      <c r="BK43" s="69" t="str">
        <f>IFERROR(__xludf.DUMMYFUNCTION("""COMPUTED_VALUE"""),"")</f>
        <v/>
      </c>
      <c r="BL43" s="69" t="str">
        <f>IFERROR(__xludf.DUMMYFUNCTION("""COMPUTED_VALUE"""),"")</f>
        <v/>
      </c>
      <c r="BM43" s="69" t="str">
        <f>IFERROR(__xludf.DUMMYFUNCTION("""COMPUTED_VALUE"""),"")</f>
        <v/>
      </c>
      <c r="BN43" s="69" t="str">
        <f>IFERROR(__xludf.DUMMYFUNCTION("""COMPUTED_VALUE"""),"")</f>
        <v/>
      </c>
      <c r="BO43" s="69" t="str">
        <f>IFERROR(__xludf.DUMMYFUNCTION("""COMPUTED_VALUE"""),"")</f>
        <v/>
      </c>
      <c r="BP43" s="69" t="str">
        <f>IFERROR(__xludf.DUMMYFUNCTION("""COMPUTED_VALUE"""),"")</f>
        <v/>
      </c>
      <c r="BQ43" s="69" t="str">
        <f>IFERROR(__xludf.DUMMYFUNCTION("""COMPUTED_VALUE"""),"")</f>
        <v/>
      </c>
      <c r="BR43" s="69" t="str">
        <f>IFERROR(__xludf.DUMMYFUNCTION("""COMPUTED_VALUE"""),"")</f>
        <v/>
      </c>
      <c r="BS43" s="69" t="str">
        <f>IFERROR(__xludf.DUMMYFUNCTION("""COMPUTED_VALUE"""),"")</f>
        <v/>
      </c>
      <c r="BT43" s="69" t="str">
        <f>IFERROR(__xludf.DUMMYFUNCTION("""COMPUTED_VALUE"""),"")</f>
        <v/>
      </c>
      <c r="BU43" s="69" t="str">
        <f>IFERROR(__xludf.DUMMYFUNCTION("""COMPUTED_VALUE"""),"")</f>
        <v/>
      </c>
      <c r="BV43" s="69" t="str">
        <f>IFERROR(__xludf.DUMMYFUNCTION("""COMPUTED_VALUE"""),"")</f>
        <v/>
      </c>
      <c r="BW43" s="69"/>
      <c r="BX43" s="69"/>
      <c r="BY43" s="69"/>
      <c r="BZ43" s="69"/>
      <c r="CA43" s="69"/>
      <c r="CB43" s="69"/>
      <c r="CC43" s="69"/>
      <c r="CD43" s="69"/>
      <c r="CE43" s="69"/>
      <c r="CF43" s="69"/>
    </row>
    <row r="44">
      <c r="A44" s="70" t="str">
        <f>IFERROR(__xludf.DUMMYFUNCTION("""COMPUTED_VALUE"""),"Scrappy Survivors")</f>
        <v>Scrappy Survivors</v>
      </c>
      <c r="B44" s="71">
        <f>IFERROR(__xludf.DUMMYFUNCTION("""COMPUTED_VALUE"""),1.0)</f>
        <v>1</v>
      </c>
      <c r="C44" s="72">
        <f>IFERROR(__xludf.DUMMYFUNCTION("""COMPUTED_VALUE"""),0.0)</f>
        <v>0</v>
      </c>
      <c r="D44" s="72">
        <f>IFERROR(__xludf.DUMMYFUNCTION("""COMPUTED_VALUE"""),0.0)</f>
        <v>0</v>
      </c>
      <c r="E44" s="72">
        <f>IFERROR(__xludf.DUMMYFUNCTION("""COMPUTED_VALUE"""),1.0)</f>
        <v>1</v>
      </c>
      <c r="F44" s="72">
        <f>IFERROR(__xludf.DUMMYFUNCTION("""COMPUTED_VALUE"""),0.0)</f>
        <v>0</v>
      </c>
      <c r="G44" s="72">
        <f>IFERROR(__xludf.DUMMYFUNCTION("""COMPUTED_VALUE"""),0.0)</f>
        <v>0</v>
      </c>
      <c r="H44" s="72">
        <f>IFERROR(__xludf.DUMMYFUNCTION("""COMPUTED_VALUE"""),0.0)</f>
        <v>0</v>
      </c>
      <c r="I44" s="72">
        <f>IFERROR(__xludf.DUMMYFUNCTION("""COMPUTED_VALUE"""),0.0)</f>
        <v>0</v>
      </c>
      <c r="J44" s="72">
        <f>IFERROR(__xludf.DUMMYFUNCTION("""COMPUTED_VALUE"""),0.0)</f>
        <v>0</v>
      </c>
      <c r="K44" s="72">
        <f>IFERROR(__xludf.DUMMYFUNCTION("""COMPUTED_VALUE"""),0.0)</f>
        <v>0</v>
      </c>
      <c r="L44" s="72">
        <f>IFERROR(__xludf.DUMMYFUNCTION("""COMPUTED_VALUE"""),0.0)</f>
        <v>0</v>
      </c>
      <c r="M44" s="72">
        <f>IFERROR(__xludf.DUMMYFUNCTION("""COMPUTED_VALUE"""),1.0)</f>
        <v>1</v>
      </c>
      <c r="N44" s="72">
        <f>IFERROR(__xludf.DUMMYFUNCTION("""COMPUTED_VALUE"""),0.0)</f>
        <v>0</v>
      </c>
      <c r="O44" s="72">
        <f>IFERROR(__xludf.DUMMYFUNCTION("""COMPUTED_VALUE"""),0.0)</f>
        <v>0</v>
      </c>
      <c r="P44" s="72">
        <f>IFERROR(__xludf.DUMMYFUNCTION("""COMPUTED_VALUE"""),0.0)</f>
        <v>0</v>
      </c>
      <c r="Q44" s="72">
        <f>IFERROR(__xludf.DUMMYFUNCTION("""COMPUTED_VALUE"""),0.0)</f>
        <v>0</v>
      </c>
      <c r="R44" s="72">
        <f>IFERROR(__xludf.DUMMYFUNCTION("""COMPUTED_VALUE"""),0.0)</f>
        <v>0</v>
      </c>
      <c r="S44" s="72">
        <f>IFERROR(__xludf.DUMMYFUNCTION("""COMPUTED_VALUE"""),0.0)</f>
        <v>0</v>
      </c>
      <c r="T44" s="72">
        <f>IFERROR(__xludf.DUMMYFUNCTION("""COMPUTED_VALUE"""),0.0)</f>
        <v>0</v>
      </c>
      <c r="U44" s="72">
        <f>IFERROR(__xludf.DUMMYFUNCTION("""COMPUTED_VALUE"""),0.0)</f>
        <v>0</v>
      </c>
      <c r="V44" s="72">
        <f>IFERROR(__xludf.DUMMYFUNCTION("""COMPUTED_VALUE"""),0.0)</f>
        <v>0</v>
      </c>
      <c r="W44" s="72">
        <f>IFERROR(__xludf.DUMMYFUNCTION("""COMPUTED_VALUE"""),0.0)</f>
        <v>0</v>
      </c>
      <c r="X44" s="72">
        <f>IFERROR(__xludf.DUMMYFUNCTION("""COMPUTED_VALUE"""),0.0)</f>
        <v>0</v>
      </c>
      <c r="Y44" s="72">
        <f>IFERROR(__xludf.DUMMYFUNCTION("""COMPUTED_VALUE"""),0.0)</f>
        <v>0</v>
      </c>
      <c r="Z44" s="72">
        <f>IFERROR(__xludf.DUMMYFUNCTION("""COMPUTED_VALUE"""),0.0)</f>
        <v>0</v>
      </c>
      <c r="AA44" s="72">
        <f>IFERROR(__xludf.DUMMYFUNCTION("""COMPUTED_VALUE"""),0.0)</f>
        <v>0</v>
      </c>
      <c r="AB44" s="72">
        <f>IFERROR(__xludf.DUMMYFUNCTION("""COMPUTED_VALUE"""),0.0)</f>
        <v>0</v>
      </c>
      <c r="AC44" s="72">
        <f>IFERROR(__xludf.DUMMYFUNCTION("""COMPUTED_VALUE"""),0.0)</f>
        <v>0</v>
      </c>
      <c r="AD44" s="72">
        <f>IFERROR(__xludf.DUMMYFUNCTION("""COMPUTED_VALUE"""),0.0)</f>
        <v>0</v>
      </c>
      <c r="AE44" s="72">
        <f>IFERROR(__xludf.DUMMYFUNCTION("""COMPUTED_VALUE"""),0.0)</f>
        <v>0</v>
      </c>
      <c r="AF44" s="72">
        <f>IFERROR(__xludf.DUMMYFUNCTION("""COMPUTED_VALUE"""),0.0)</f>
        <v>0</v>
      </c>
      <c r="AG44" s="72">
        <f>IFERROR(__xludf.DUMMYFUNCTION("""COMPUTED_VALUE"""),0.0)</f>
        <v>0</v>
      </c>
      <c r="AH44" s="72">
        <f>IFERROR(__xludf.DUMMYFUNCTION("""COMPUTED_VALUE"""),0.0)</f>
        <v>0</v>
      </c>
      <c r="AI44" s="72">
        <f>IFERROR(__xludf.DUMMYFUNCTION("""COMPUTED_VALUE"""),0.0)</f>
        <v>0</v>
      </c>
      <c r="AJ44" s="72">
        <f>IFERROR(__xludf.DUMMYFUNCTION("""COMPUTED_VALUE"""),0.0)</f>
        <v>0</v>
      </c>
      <c r="AK44" s="72">
        <f>IFERROR(__xludf.DUMMYFUNCTION("""COMPUTED_VALUE"""),0.0)</f>
        <v>0</v>
      </c>
      <c r="AL44" s="72">
        <f>IFERROR(__xludf.DUMMYFUNCTION("""COMPUTED_VALUE"""),-1.0)</f>
        <v>-1</v>
      </c>
      <c r="AM44" s="72">
        <f>IFERROR(__xludf.DUMMYFUNCTION("""COMPUTED_VALUE"""),0.0)</f>
        <v>0</v>
      </c>
      <c r="AN44" s="72">
        <f>IFERROR(__xludf.DUMMYFUNCTION("""COMPUTED_VALUE"""),0.0)</f>
        <v>0</v>
      </c>
      <c r="AO44" s="72">
        <f>IFERROR(__xludf.DUMMYFUNCTION("""COMPUTED_VALUE"""),0.0)</f>
        <v>0</v>
      </c>
      <c r="AP44" s="72">
        <f>IFERROR(__xludf.DUMMYFUNCTION("""COMPUTED_VALUE"""),0.0)</f>
        <v>0</v>
      </c>
      <c r="AQ44" s="72">
        <f>IFERROR(__xludf.DUMMYFUNCTION("""COMPUTED_VALUE"""),1.0)</f>
        <v>1</v>
      </c>
      <c r="AR44" s="72">
        <f>IFERROR(__xludf.DUMMYFUNCTION("""COMPUTED_VALUE"""),0.0)</f>
        <v>0</v>
      </c>
      <c r="AS44" s="72" t="str">
        <f>IFERROR(__xludf.DUMMYFUNCTION("""COMPUTED_VALUE"""),"")</f>
        <v/>
      </c>
      <c r="AT44" s="72">
        <f>IFERROR(__xludf.DUMMYFUNCTION("""COMPUTED_VALUE"""),0.0)</f>
        <v>0</v>
      </c>
      <c r="AU44" s="72">
        <f>IFERROR(__xludf.DUMMYFUNCTION("""COMPUTED_VALUE"""),0.0)</f>
        <v>0</v>
      </c>
      <c r="AV44" s="72">
        <f>IFERROR(__xludf.DUMMYFUNCTION("""COMPUTED_VALUE"""),0.0)</f>
        <v>0</v>
      </c>
      <c r="AW44" s="72">
        <f>IFERROR(__xludf.DUMMYFUNCTION("""COMPUTED_VALUE"""),0.0)</f>
        <v>0</v>
      </c>
      <c r="AX44" s="72">
        <f>IFERROR(__xludf.DUMMYFUNCTION("""COMPUTED_VALUE"""),-1.0)</f>
        <v>-1</v>
      </c>
      <c r="AY44" s="72">
        <f>IFERROR(__xludf.DUMMYFUNCTION("""COMPUTED_VALUE"""),0.0)</f>
        <v>0</v>
      </c>
      <c r="AZ44" s="72">
        <f>IFERROR(__xludf.DUMMYFUNCTION("""COMPUTED_VALUE"""),0.0)</f>
        <v>0</v>
      </c>
      <c r="BA44" s="72">
        <f>IFERROR(__xludf.DUMMYFUNCTION("""COMPUTED_VALUE"""),0.0)</f>
        <v>0</v>
      </c>
      <c r="BB44" s="72">
        <f>IFERROR(__xludf.DUMMYFUNCTION("""COMPUTED_VALUE"""),0.0)</f>
        <v>0</v>
      </c>
      <c r="BC44" s="72">
        <f>IFERROR(__xludf.DUMMYFUNCTION("""COMPUTED_VALUE"""),0.0)</f>
        <v>0</v>
      </c>
      <c r="BD44" s="69">
        <f>IFERROR(__xludf.DUMMYFUNCTION("""COMPUTED_VALUE"""),0.0)</f>
        <v>0</v>
      </c>
      <c r="BE44" s="69" t="str">
        <f>IFERROR(__xludf.DUMMYFUNCTION("""COMPUTED_VALUE"""),"")</f>
        <v/>
      </c>
      <c r="BF44" s="69" t="str">
        <f>IFERROR(__xludf.DUMMYFUNCTION("""COMPUTED_VALUE"""),"")</f>
        <v/>
      </c>
      <c r="BG44" s="69" t="str">
        <f>IFERROR(__xludf.DUMMYFUNCTION("""COMPUTED_VALUE"""),"")</f>
        <v/>
      </c>
      <c r="BH44" s="69" t="str">
        <f>IFERROR(__xludf.DUMMYFUNCTION("""COMPUTED_VALUE"""),"")</f>
        <v/>
      </c>
      <c r="BI44" s="69" t="str">
        <f>IFERROR(__xludf.DUMMYFUNCTION("""COMPUTED_VALUE"""),"")</f>
        <v/>
      </c>
      <c r="BJ44" s="69" t="str">
        <f>IFERROR(__xludf.DUMMYFUNCTION("""COMPUTED_VALUE"""),"")</f>
        <v/>
      </c>
      <c r="BK44" s="69" t="str">
        <f>IFERROR(__xludf.DUMMYFUNCTION("""COMPUTED_VALUE"""),"")</f>
        <v/>
      </c>
      <c r="BL44" s="69" t="str">
        <f>IFERROR(__xludf.DUMMYFUNCTION("""COMPUTED_VALUE"""),"")</f>
        <v/>
      </c>
      <c r="BM44" s="69" t="str">
        <f>IFERROR(__xludf.DUMMYFUNCTION("""COMPUTED_VALUE"""),"")</f>
        <v/>
      </c>
      <c r="BN44" s="69" t="str">
        <f>IFERROR(__xludf.DUMMYFUNCTION("""COMPUTED_VALUE"""),"")</f>
        <v/>
      </c>
      <c r="BO44" s="69" t="str">
        <f>IFERROR(__xludf.DUMMYFUNCTION("""COMPUTED_VALUE"""),"")</f>
        <v/>
      </c>
      <c r="BP44" s="69" t="str">
        <f>IFERROR(__xludf.DUMMYFUNCTION("""COMPUTED_VALUE"""),"")</f>
        <v/>
      </c>
      <c r="BQ44" s="69" t="str">
        <f>IFERROR(__xludf.DUMMYFUNCTION("""COMPUTED_VALUE"""),"")</f>
        <v/>
      </c>
      <c r="BR44" s="69" t="str">
        <f>IFERROR(__xludf.DUMMYFUNCTION("""COMPUTED_VALUE"""),"")</f>
        <v/>
      </c>
      <c r="BS44" s="69" t="str">
        <f>IFERROR(__xludf.DUMMYFUNCTION("""COMPUTED_VALUE"""),"")</f>
        <v/>
      </c>
      <c r="BT44" s="69" t="str">
        <f>IFERROR(__xludf.DUMMYFUNCTION("""COMPUTED_VALUE"""),"")</f>
        <v/>
      </c>
      <c r="BU44" s="69" t="str">
        <f>IFERROR(__xludf.DUMMYFUNCTION("""COMPUTED_VALUE"""),"")</f>
        <v/>
      </c>
      <c r="BV44" s="69" t="str">
        <f>IFERROR(__xludf.DUMMYFUNCTION("""COMPUTED_VALUE"""),"")</f>
        <v/>
      </c>
      <c r="BW44" s="69"/>
      <c r="BX44" s="69"/>
      <c r="BY44" s="69"/>
      <c r="BZ44" s="69"/>
      <c r="CA44" s="69"/>
      <c r="CB44" s="69"/>
      <c r="CC44" s="69"/>
      <c r="CD44" s="69"/>
      <c r="CE44" s="69"/>
      <c r="CF44" s="69"/>
    </row>
    <row r="45">
      <c r="A45" s="70" t="str">
        <f>IFERROR(__xludf.DUMMYFUNCTION("""COMPUTED_VALUE"""),"Silverquill Influence")</f>
        <v>Silverquill Influence</v>
      </c>
      <c r="B45" s="71">
        <f>IFERROR(__xludf.DUMMYFUNCTION("""COMPUTED_VALUE"""),1.0)</f>
        <v>1</v>
      </c>
      <c r="C45" s="72">
        <f>IFERROR(__xludf.DUMMYFUNCTION("""COMPUTED_VALUE"""),0.0)</f>
        <v>0</v>
      </c>
      <c r="D45" s="72">
        <f>IFERROR(__xludf.DUMMYFUNCTION("""COMPUTED_VALUE"""),0.0)</f>
        <v>0</v>
      </c>
      <c r="E45" s="72">
        <f>IFERROR(__xludf.DUMMYFUNCTION("""COMPUTED_VALUE"""),0.0)</f>
        <v>0</v>
      </c>
      <c r="F45" s="72">
        <f>IFERROR(__xludf.DUMMYFUNCTION("""COMPUTED_VALUE"""),0.0)</f>
        <v>0</v>
      </c>
      <c r="G45" s="72">
        <f>IFERROR(__xludf.DUMMYFUNCTION("""COMPUTED_VALUE"""),0.0)</f>
        <v>0</v>
      </c>
      <c r="H45" s="72">
        <f>IFERROR(__xludf.DUMMYFUNCTION("""COMPUTED_VALUE"""),0.0)</f>
        <v>0</v>
      </c>
      <c r="I45" s="72">
        <f>IFERROR(__xludf.DUMMYFUNCTION("""COMPUTED_VALUE"""),0.0)</f>
        <v>0</v>
      </c>
      <c r="J45" s="72">
        <f>IFERROR(__xludf.DUMMYFUNCTION("""COMPUTED_VALUE"""),0.0)</f>
        <v>0</v>
      </c>
      <c r="K45" s="72">
        <f>IFERROR(__xludf.DUMMYFUNCTION("""COMPUTED_VALUE"""),0.0)</f>
        <v>0</v>
      </c>
      <c r="L45" s="72">
        <f>IFERROR(__xludf.DUMMYFUNCTION("""COMPUTED_VALUE"""),0.0)</f>
        <v>0</v>
      </c>
      <c r="M45" s="72">
        <f>IFERROR(__xludf.DUMMYFUNCTION("""COMPUTED_VALUE"""),1.0)</f>
        <v>1</v>
      </c>
      <c r="N45" s="72">
        <f>IFERROR(__xludf.DUMMYFUNCTION("""COMPUTED_VALUE"""),0.0)</f>
        <v>0</v>
      </c>
      <c r="O45" s="72">
        <f>IFERROR(__xludf.DUMMYFUNCTION("""COMPUTED_VALUE"""),0.0)</f>
        <v>0</v>
      </c>
      <c r="P45" s="72">
        <f>IFERROR(__xludf.DUMMYFUNCTION("""COMPUTED_VALUE"""),0.0)</f>
        <v>0</v>
      </c>
      <c r="Q45" s="72">
        <f>IFERROR(__xludf.DUMMYFUNCTION("""COMPUTED_VALUE"""),0.0)</f>
        <v>0</v>
      </c>
      <c r="R45" s="72">
        <f>IFERROR(__xludf.DUMMYFUNCTION("""COMPUTED_VALUE"""),0.0)</f>
        <v>0</v>
      </c>
      <c r="S45" s="72">
        <f>IFERROR(__xludf.DUMMYFUNCTION("""COMPUTED_VALUE"""),0.0)</f>
        <v>0</v>
      </c>
      <c r="T45" s="72">
        <f>IFERROR(__xludf.DUMMYFUNCTION("""COMPUTED_VALUE"""),0.0)</f>
        <v>0</v>
      </c>
      <c r="U45" s="72">
        <f>IFERROR(__xludf.DUMMYFUNCTION("""COMPUTED_VALUE"""),0.0)</f>
        <v>0</v>
      </c>
      <c r="V45" s="72">
        <f>IFERROR(__xludf.DUMMYFUNCTION("""COMPUTED_VALUE"""),0.0)</f>
        <v>0</v>
      </c>
      <c r="W45" s="72">
        <f>IFERROR(__xludf.DUMMYFUNCTION("""COMPUTED_VALUE"""),0.0)</f>
        <v>0</v>
      </c>
      <c r="X45" s="72">
        <f>IFERROR(__xludf.DUMMYFUNCTION("""COMPUTED_VALUE"""),0.0)</f>
        <v>0</v>
      </c>
      <c r="Y45" s="72">
        <f>IFERROR(__xludf.DUMMYFUNCTION("""COMPUTED_VALUE"""),0.0)</f>
        <v>0</v>
      </c>
      <c r="Z45" s="72">
        <f>IFERROR(__xludf.DUMMYFUNCTION("""COMPUTED_VALUE"""),0.0)</f>
        <v>0</v>
      </c>
      <c r="AA45" s="72">
        <f>IFERROR(__xludf.DUMMYFUNCTION("""COMPUTED_VALUE"""),0.0)</f>
        <v>0</v>
      </c>
      <c r="AB45" s="72">
        <f>IFERROR(__xludf.DUMMYFUNCTION("""COMPUTED_VALUE"""),0.0)</f>
        <v>0</v>
      </c>
      <c r="AC45" s="72">
        <f>IFERROR(__xludf.DUMMYFUNCTION("""COMPUTED_VALUE"""),-1.0)</f>
        <v>-1</v>
      </c>
      <c r="AD45" s="72">
        <f>IFERROR(__xludf.DUMMYFUNCTION("""COMPUTED_VALUE"""),0.0)</f>
        <v>0</v>
      </c>
      <c r="AE45" s="72">
        <f>IFERROR(__xludf.DUMMYFUNCTION("""COMPUTED_VALUE"""),0.0)</f>
        <v>0</v>
      </c>
      <c r="AF45" s="72">
        <f>IFERROR(__xludf.DUMMYFUNCTION("""COMPUTED_VALUE"""),0.0)</f>
        <v>0</v>
      </c>
      <c r="AG45" s="72">
        <f>IFERROR(__xludf.DUMMYFUNCTION("""COMPUTED_VALUE"""),0.0)</f>
        <v>0</v>
      </c>
      <c r="AH45" s="72">
        <f>IFERROR(__xludf.DUMMYFUNCTION("""COMPUTED_VALUE"""),0.0)</f>
        <v>0</v>
      </c>
      <c r="AI45" s="72">
        <f>IFERROR(__xludf.DUMMYFUNCTION("""COMPUTED_VALUE"""),0.0)</f>
        <v>0</v>
      </c>
      <c r="AJ45" s="72">
        <f>IFERROR(__xludf.DUMMYFUNCTION("""COMPUTED_VALUE"""),0.0)</f>
        <v>0</v>
      </c>
      <c r="AK45" s="72">
        <f>IFERROR(__xludf.DUMMYFUNCTION("""COMPUTED_VALUE"""),0.0)</f>
        <v>0</v>
      </c>
      <c r="AL45" s="72">
        <f>IFERROR(__xludf.DUMMYFUNCTION("""COMPUTED_VALUE"""),0.0)</f>
        <v>0</v>
      </c>
      <c r="AM45" s="72">
        <f>IFERROR(__xludf.DUMMYFUNCTION("""COMPUTED_VALUE"""),0.0)</f>
        <v>0</v>
      </c>
      <c r="AN45" s="72">
        <f>IFERROR(__xludf.DUMMYFUNCTION("""COMPUTED_VALUE"""),0.0)</f>
        <v>0</v>
      </c>
      <c r="AO45" s="72">
        <f>IFERROR(__xludf.DUMMYFUNCTION("""COMPUTED_VALUE"""),0.0)</f>
        <v>0</v>
      </c>
      <c r="AP45" s="72">
        <f>IFERROR(__xludf.DUMMYFUNCTION("""COMPUTED_VALUE"""),-1.0)</f>
        <v>-1</v>
      </c>
      <c r="AQ45" s="72">
        <f>IFERROR(__xludf.DUMMYFUNCTION("""COMPUTED_VALUE"""),0.0)</f>
        <v>0</v>
      </c>
      <c r="AR45" s="72">
        <f>IFERROR(__xludf.DUMMYFUNCTION("""COMPUTED_VALUE"""),1.0)</f>
        <v>1</v>
      </c>
      <c r="AS45" s="72">
        <f>IFERROR(__xludf.DUMMYFUNCTION("""COMPUTED_VALUE"""),0.0)</f>
        <v>0</v>
      </c>
      <c r="AT45" s="72" t="str">
        <f>IFERROR(__xludf.DUMMYFUNCTION("""COMPUTED_VALUE"""),"")</f>
        <v/>
      </c>
      <c r="AU45" s="72">
        <f>IFERROR(__xludf.DUMMYFUNCTION("""COMPUTED_VALUE"""),0.0)</f>
        <v>0</v>
      </c>
      <c r="AV45" s="72">
        <f>IFERROR(__xludf.DUMMYFUNCTION("""COMPUTED_VALUE"""),0.0)</f>
        <v>0</v>
      </c>
      <c r="AW45" s="72">
        <f>IFERROR(__xludf.DUMMYFUNCTION("""COMPUTED_VALUE"""),0.0)</f>
        <v>0</v>
      </c>
      <c r="AX45" s="72">
        <f>IFERROR(__xludf.DUMMYFUNCTION("""COMPUTED_VALUE"""),1.0)</f>
        <v>1</v>
      </c>
      <c r="AY45" s="72">
        <f>IFERROR(__xludf.DUMMYFUNCTION("""COMPUTED_VALUE"""),0.0)</f>
        <v>0</v>
      </c>
      <c r="AZ45" s="72">
        <f>IFERROR(__xludf.DUMMYFUNCTION("""COMPUTED_VALUE"""),0.0)</f>
        <v>0</v>
      </c>
      <c r="BA45" s="72">
        <f>IFERROR(__xludf.DUMMYFUNCTION("""COMPUTED_VALUE"""),0.0)</f>
        <v>0</v>
      </c>
      <c r="BB45" s="72">
        <f>IFERROR(__xludf.DUMMYFUNCTION("""COMPUTED_VALUE"""),0.0)</f>
        <v>0</v>
      </c>
      <c r="BC45" s="72">
        <f>IFERROR(__xludf.DUMMYFUNCTION("""COMPUTED_VALUE"""),0.0)</f>
        <v>0</v>
      </c>
      <c r="BD45" s="69">
        <f>IFERROR(__xludf.DUMMYFUNCTION("""COMPUTED_VALUE"""),0.0)</f>
        <v>0</v>
      </c>
      <c r="BE45" s="69" t="str">
        <f>IFERROR(__xludf.DUMMYFUNCTION("""COMPUTED_VALUE"""),"")</f>
        <v/>
      </c>
      <c r="BF45" s="69" t="str">
        <f>IFERROR(__xludf.DUMMYFUNCTION("""COMPUTED_VALUE"""),"")</f>
        <v/>
      </c>
      <c r="BG45" s="69" t="str">
        <f>IFERROR(__xludf.DUMMYFUNCTION("""COMPUTED_VALUE"""),"")</f>
        <v/>
      </c>
      <c r="BH45" s="69" t="str">
        <f>IFERROR(__xludf.DUMMYFUNCTION("""COMPUTED_VALUE"""),"")</f>
        <v/>
      </c>
      <c r="BI45" s="69" t="str">
        <f>IFERROR(__xludf.DUMMYFUNCTION("""COMPUTED_VALUE"""),"")</f>
        <v/>
      </c>
      <c r="BJ45" s="69" t="str">
        <f>IFERROR(__xludf.DUMMYFUNCTION("""COMPUTED_VALUE"""),"")</f>
        <v/>
      </c>
      <c r="BK45" s="69" t="str">
        <f>IFERROR(__xludf.DUMMYFUNCTION("""COMPUTED_VALUE"""),"")</f>
        <v/>
      </c>
      <c r="BL45" s="69" t="str">
        <f>IFERROR(__xludf.DUMMYFUNCTION("""COMPUTED_VALUE"""),"")</f>
        <v/>
      </c>
      <c r="BM45" s="69" t="str">
        <f>IFERROR(__xludf.DUMMYFUNCTION("""COMPUTED_VALUE"""),"")</f>
        <v/>
      </c>
      <c r="BN45" s="69" t="str">
        <f>IFERROR(__xludf.DUMMYFUNCTION("""COMPUTED_VALUE"""),"")</f>
        <v/>
      </c>
      <c r="BO45" s="69" t="str">
        <f>IFERROR(__xludf.DUMMYFUNCTION("""COMPUTED_VALUE"""),"")</f>
        <v/>
      </c>
      <c r="BP45" s="69" t="str">
        <f>IFERROR(__xludf.DUMMYFUNCTION("""COMPUTED_VALUE"""),"")</f>
        <v/>
      </c>
      <c r="BQ45" s="69" t="str">
        <f>IFERROR(__xludf.DUMMYFUNCTION("""COMPUTED_VALUE"""),"")</f>
        <v/>
      </c>
      <c r="BR45" s="69" t="str">
        <f>IFERROR(__xludf.DUMMYFUNCTION("""COMPUTED_VALUE"""),"")</f>
        <v/>
      </c>
      <c r="BS45" s="69" t="str">
        <f>IFERROR(__xludf.DUMMYFUNCTION("""COMPUTED_VALUE"""),"")</f>
        <v/>
      </c>
      <c r="BT45" s="69" t="str">
        <f>IFERROR(__xludf.DUMMYFUNCTION("""COMPUTED_VALUE"""),"")</f>
        <v/>
      </c>
      <c r="BU45" s="69" t="str">
        <f>IFERROR(__xludf.DUMMYFUNCTION("""COMPUTED_VALUE"""),"")</f>
        <v/>
      </c>
      <c r="BV45" s="69" t="str">
        <f>IFERROR(__xludf.DUMMYFUNCTION("""COMPUTED_VALUE"""),"")</f>
        <v/>
      </c>
      <c r="BW45" s="69"/>
      <c r="BX45" s="69"/>
      <c r="BY45" s="69"/>
      <c r="BZ45" s="69"/>
      <c r="CA45" s="69"/>
      <c r="CB45" s="69"/>
      <c r="CC45" s="69"/>
      <c r="CD45" s="69"/>
      <c r="CE45" s="69"/>
      <c r="CF45" s="69"/>
    </row>
    <row r="46">
      <c r="A46" s="70" t="str">
        <f>IFERROR(__xludf.DUMMYFUNCTION("""COMPUTED_VALUE"""),"Spirit Squadron")</f>
        <v>Spirit Squadron</v>
      </c>
      <c r="B46" s="71">
        <f>IFERROR(__xludf.DUMMYFUNCTION("""COMPUTED_VALUE"""),-2.0)</f>
        <v>-2</v>
      </c>
      <c r="C46" s="72">
        <f>IFERROR(__xludf.DUMMYFUNCTION("""COMPUTED_VALUE"""),0.0)</f>
        <v>0</v>
      </c>
      <c r="D46" s="72">
        <f>IFERROR(__xludf.DUMMYFUNCTION("""COMPUTED_VALUE"""),0.0)</f>
        <v>0</v>
      </c>
      <c r="E46" s="72">
        <f>IFERROR(__xludf.DUMMYFUNCTION("""COMPUTED_VALUE"""),0.0)</f>
        <v>0</v>
      </c>
      <c r="F46" s="72">
        <f>IFERROR(__xludf.DUMMYFUNCTION("""COMPUTED_VALUE"""),0.0)</f>
        <v>0</v>
      </c>
      <c r="G46" s="72">
        <f>IFERROR(__xludf.DUMMYFUNCTION("""COMPUTED_VALUE"""),0.0)</f>
        <v>0</v>
      </c>
      <c r="H46" s="72">
        <f>IFERROR(__xludf.DUMMYFUNCTION("""COMPUTED_VALUE"""),0.0)</f>
        <v>0</v>
      </c>
      <c r="I46" s="72">
        <f>IFERROR(__xludf.DUMMYFUNCTION("""COMPUTED_VALUE"""),0.0)</f>
        <v>0</v>
      </c>
      <c r="J46" s="72">
        <f>IFERROR(__xludf.DUMMYFUNCTION("""COMPUTED_VALUE"""),0.0)</f>
        <v>0</v>
      </c>
      <c r="K46" s="72">
        <f>IFERROR(__xludf.DUMMYFUNCTION("""COMPUTED_VALUE"""),0.0)</f>
        <v>0</v>
      </c>
      <c r="L46" s="72">
        <f>IFERROR(__xludf.DUMMYFUNCTION("""COMPUTED_VALUE"""),0.0)</f>
        <v>0</v>
      </c>
      <c r="M46" s="72">
        <f>IFERROR(__xludf.DUMMYFUNCTION("""COMPUTED_VALUE"""),0.0)</f>
        <v>0</v>
      </c>
      <c r="N46" s="72">
        <f>IFERROR(__xludf.DUMMYFUNCTION("""COMPUTED_VALUE"""),0.0)</f>
        <v>0</v>
      </c>
      <c r="O46" s="72">
        <f>IFERROR(__xludf.DUMMYFUNCTION("""COMPUTED_VALUE"""),0.0)</f>
        <v>0</v>
      </c>
      <c r="P46" s="72">
        <f>IFERROR(__xludf.DUMMYFUNCTION("""COMPUTED_VALUE"""),0.0)</f>
        <v>0</v>
      </c>
      <c r="Q46" s="72">
        <f>IFERROR(__xludf.DUMMYFUNCTION("""COMPUTED_VALUE"""),-1.0)</f>
        <v>-1</v>
      </c>
      <c r="R46" s="72">
        <f>IFERROR(__xludf.DUMMYFUNCTION("""COMPUTED_VALUE"""),0.0)</f>
        <v>0</v>
      </c>
      <c r="S46" s="72">
        <f>IFERROR(__xludf.DUMMYFUNCTION("""COMPUTED_VALUE"""),0.0)</f>
        <v>0</v>
      </c>
      <c r="T46" s="72">
        <f>IFERROR(__xludf.DUMMYFUNCTION("""COMPUTED_VALUE"""),0.0)</f>
        <v>0</v>
      </c>
      <c r="U46" s="72">
        <f>IFERROR(__xludf.DUMMYFUNCTION("""COMPUTED_VALUE"""),0.0)</f>
        <v>0</v>
      </c>
      <c r="V46" s="72">
        <f>IFERROR(__xludf.DUMMYFUNCTION("""COMPUTED_VALUE"""),0.0)</f>
        <v>0</v>
      </c>
      <c r="W46" s="72">
        <f>IFERROR(__xludf.DUMMYFUNCTION("""COMPUTED_VALUE"""),0.0)</f>
        <v>0</v>
      </c>
      <c r="X46" s="72">
        <f>IFERROR(__xludf.DUMMYFUNCTION("""COMPUTED_VALUE"""),0.0)</f>
        <v>0</v>
      </c>
      <c r="Y46" s="72">
        <f>IFERROR(__xludf.DUMMYFUNCTION("""COMPUTED_VALUE"""),0.0)</f>
        <v>0</v>
      </c>
      <c r="Z46" s="72">
        <f>IFERROR(__xludf.DUMMYFUNCTION("""COMPUTED_VALUE"""),0.0)</f>
        <v>0</v>
      </c>
      <c r="AA46" s="72">
        <f>IFERROR(__xludf.DUMMYFUNCTION("""COMPUTED_VALUE"""),0.0)</f>
        <v>0</v>
      </c>
      <c r="AB46" s="72">
        <f>IFERROR(__xludf.DUMMYFUNCTION("""COMPUTED_VALUE"""),0.0)</f>
        <v>0</v>
      </c>
      <c r="AC46" s="72">
        <f>IFERROR(__xludf.DUMMYFUNCTION("""COMPUTED_VALUE"""),0.0)</f>
        <v>0</v>
      </c>
      <c r="AD46" s="72">
        <f>IFERROR(__xludf.DUMMYFUNCTION("""COMPUTED_VALUE"""),0.0)</f>
        <v>0</v>
      </c>
      <c r="AE46" s="72">
        <f>IFERROR(__xludf.DUMMYFUNCTION("""COMPUTED_VALUE"""),0.0)</f>
        <v>0</v>
      </c>
      <c r="AF46" s="72">
        <f>IFERROR(__xludf.DUMMYFUNCTION("""COMPUTED_VALUE"""),0.0)</f>
        <v>0</v>
      </c>
      <c r="AG46" s="72">
        <f>IFERROR(__xludf.DUMMYFUNCTION("""COMPUTED_VALUE"""),0.0)</f>
        <v>0</v>
      </c>
      <c r="AH46" s="72">
        <f>IFERROR(__xludf.DUMMYFUNCTION("""COMPUTED_VALUE"""),0.0)</f>
        <v>0</v>
      </c>
      <c r="AI46" s="72">
        <f>IFERROR(__xludf.DUMMYFUNCTION("""COMPUTED_VALUE"""),0.0)</f>
        <v>0</v>
      </c>
      <c r="AJ46" s="72">
        <f>IFERROR(__xludf.DUMMYFUNCTION("""COMPUTED_VALUE"""),0.0)</f>
        <v>0</v>
      </c>
      <c r="AK46" s="72">
        <f>IFERROR(__xludf.DUMMYFUNCTION("""COMPUTED_VALUE"""),0.0)</f>
        <v>0</v>
      </c>
      <c r="AL46" s="72">
        <f>IFERROR(__xludf.DUMMYFUNCTION("""COMPUTED_VALUE"""),0.0)</f>
        <v>0</v>
      </c>
      <c r="AM46" s="72">
        <f>IFERROR(__xludf.DUMMYFUNCTION("""COMPUTED_VALUE"""),0.0)</f>
        <v>0</v>
      </c>
      <c r="AN46" s="72">
        <f>IFERROR(__xludf.DUMMYFUNCTION("""COMPUTED_VALUE"""),0.0)</f>
        <v>0</v>
      </c>
      <c r="AO46" s="72">
        <f>IFERROR(__xludf.DUMMYFUNCTION("""COMPUTED_VALUE"""),0.0)</f>
        <v>0</v>
      </c>
      <c r="AP46" s="72">
        <f>IFERROR(__xludf.DUMMYFUNCTION("""COMPUTED_VALUE"""),0.0)</f>
        <v>0</v>
      </c>
      <c r="AQ46" s="72">
        <f>IFERROR(__xludf.DUMMYFUNCTION("""COMPUTED_VALUE"""),0.0)</f>
        <v>0</v>
      </c>
      <c r="AR46" s="72">
        <f>IFERROR(__xludf.DUMMYFUNCTION("""COMPUTED_VALUE"""),0.0)</f>
        <v>0</v>
      </c>
      <c r="AS46" s="72">
        <f>IFERROR(__xludf.DUMMYFUNCTION("""COMPUTED_VALUE"""),0.0)</f>
        <v>0</v>
      </c>
      <c r="AT46" s="72">
        <f>IFERROR(__xludf.DUMMYFUNCTION("""COMPUTED_VALUE"""),0.0)</f>
        <v>0</v>
      </c>
      <c r="AU46" s="72" t="str">
        <f>IFERROR(__xludf.DUMMYFUNCTION("""COMPUTED_VALUE"""),"")</f>
        <v/>
      </c>
      <c r="AV46" s="72">
        <f>IFERROR(__xludf.DUMMYFUNCTION("""COMPUTED_VALUE"""),-1.0)</f>
        <v>-1</v>
      </c>
      <c r="AW46" s="72">
        <f>IFERROR(__xludf.DUMMYFUNCTION("""COMPUTED_VALUE"""),0.0)</f>
        <v>0</v>
      </c>
      <c r="AX46" s="72">
        <f>IFERROR(__xludf.DUMMYFUNCTION("""COMPUTED_VALUE"""),0.0)</f>
        <v>0</v>
      </c>
      <c r="AY46" s="72">
        <f>IFERROR(__xludf.DUMMYFUNCTION("""COMPUTED_VALUE"""),0.0)</f>
        <v>0</v>
      </c>
      <c r="AZ46" s="72">
        <f>IFERROR(__xludf.DUMMYFUNCTION("""COMPUTED_VALUE"""),0.0)</f>
        <v>0</v>
      </c>
      <c r="BA46" s="72">
        <f>IFERROR(__xludf.DUMMYFUNCTION("""COMPUTED_VALUE"""),0.0)</f>
        <v>0</v>
      </c>
      <c r="BB46" s="72">
        <f>IFERROR(__xludf.DUMMYFUNCTION("""COMPUTED_VALUE"""),0.0)</f>
        <v>0</v>
      </c>
      <c r="BC46" s="72">
        <f>IFERROR(__xludf.DUMMYFUNCTION("""COMPUTED_VALUE"""),0.0)</f>
        <v>0</v>
      </c>
      <c r="BD46" s="69">
        <f>IFERROR(__xludf.DUMMYFUNCTION("""COMPUTED_VALUE"""),0.0)</f>
        <v>0</v>
      </c>
      <c r="BE46" s="69" t="str">
        <f>IFERROR(__xludf.DUMMYFUNCTION("""COMPUTED_VALUE"""),"")</f>
        <v/>
      </c>
      <c r="BF46" s="69" t="str">
        <f>IFERROR(__xludf.DUMMYFUNCTION("""COMPUTED_VALUE"""),"")</f>
        <v/>
      </c>
      <c r="BG46" s="69" t="str">
        <f>IFERROR(__xludf.DUMMYFUNCTION("""COMPUTED_VALUE"""),"")</f>
        <v/>
      </c>
      <c r="BH46" s="69" t="str">
        <f>IFERROR(__xludf.DUMMYFUNCTION("""COMPUTED_VALUE"""),"")</f>
        <v/>
      </c>
      <c r="BI46" s="69" t="str">
        <f>IFERROR(__xludf.DUMMYFUNCTION("""COMPUTED_VALUE"""),"")</f>
        <v/>
      </c>
      <c r="BJ46" s="69" t="str">
        <f>IFERROR(__xludf.DUMMYFUNCTION("""COMPUTED_VALUE"""),"")</f>
        <v/>
      </c>
      <c r="BK46" s="69" t="str">
        <f>IFERROR(__xludf.DUMMYFUNCTION("""COMPUTED_VALUE"""),"")</f>
        <v/>
      </c>
      <c r="BL46" s="69" t="str">
        <f>IFERROR(__xludf.DUMMYFUNCTION("""COMPUTED_VALUE"""),"")</f>
        <v/>
      </c>
      <c r="BM46" s="69" t="str">
        <f>IFERROR(__xludf.DUMMYFUNCTION("""COMPUTED_VALUE"""),"")</f>
        <v/>
      </c>
      <c r="BN46" s="69" t="str">
        <f>IFERROR(__xludf.DUMMYFUNCTION("""COMPUTED_VALUE"""),"")</f>
        <v/>
      </c>
      <c r="BO46" s="69" t="str">
        <f>IFERROR(__xludf.DUMMYFUNCTION("""COMPUTED_VALUE"""),"")</f>
        <v/>
      </c>
      <c r="BP46" s="69" t="str">
        <f>IFERROR(__xludf.DUMMYFUNCTION("""COMPUTED_VALUE"""),"")</f>
        <v/>
      </c>
      <c r="BQ46" s="69" t="str">
        <f>IFERROR(__xludf.DUMMYFUNCTION("""COMPUTED_VALUE"""),"")</f>
        <v/>
      </c>
      <c r="BR46" s="69" t="str">
        <f>IFERROR(__xludf.DUMMYFUNCTION("""COMPUTED_VALUE"""),"")</f>
        <v/>
      </c>
      <c r="BS46" s="69" t="str">
        <f>IFERROR(__xludf.DUMMYFUNCTION("""COMPUTED_VALUE"""),"")</f>
        <v/>
      </c>
      <c r="BT46" s="69" t="str">
        <f>IFERROR(__xludf.DUMMYFUNCTION("""COMPUTED_VALUE"""),"")</f>
        <v/>
      </c>
      <c r="BU46" s="69" t="str">
        <f>IFERROR(__xludf.DUMMYFUNCTION("""COMPUTED_VALUE"""),"")</f>
        <v/>
      </c>
      <c r="BV46" s="69" t="str">
        <f>IFERROR(__xludf.DUMMYFUNCTION("""COMPUTED_VALUE"""),"")</f>
        <v/>
      </c>
      <c r="BW46" s="69"/>
      <c r="BX46" s="69"/>
      <c r="BY46" s="69"/>
      <c r="BZ46" s="69"/>
      <c r="CA46" s="69"/>
      <c r="CB46" s="69"/>
      <c r="CC46" s="69"/>
      <c r="CD46" s="69"/>
      <c r="CE46" s="69"/>
      <c r="CF46" s="69"/>
    </row>
    <row r="47">
      <c r="A47" s="70" t="str">
        <f>IFERROR(__xludf.DUMMYFUNCTION("""COMPUTED_VALUE"""),"Squirreled Away")</f>
        <v>Squirreled Away</v>
      </c>
      <c r="B47" s="71">
        <f>IFERROR(__xludf.DUMMYFUNCTION("""COMPUTED_VALUE"""),3.0)</f>
        <v>3</v>
      </c>
      <c r="C47" s="72">
        <f>IFERROR(__xludf.DUMMYFUNCTION("""COMPUTED_VALUE"""),0.0)</f>
        <v>0</v>
      </c>
      <c r="D47" s="72">
        <f>IFERROR(__xludf.DUMMYFUNCTION("""COMPUTED_VALUE"""),0.0)</f>
        <v>0</v>
      </c>
      <c r="E47" s="72">
        <f>IFERROR(__xludf.DUMMYFUNCTION("""COMPUTED_VALUE"""),1.0)</f>
        <v>1</v>
      </c>
      <c r="F47" s="72">
        <f>IFERROR(__xludf.DUMMYFUNCTION("""COMPUTED_VALUE"""),0.0)</f>
        <v>0</v>
      </c>
      <c r="G47" s="72">
        <f>IFERROR(__xludf.DUMMYFUNCTION("""COMPUTED_VALUE"""),0.0)</f>
        <v>0</v>
      </c>
      <c r="H47" s="72">
        <f>IFERROR(__xludf.DUMMYFUNCTION("""COMPUTED_VALUE"""),0.0)</f>
        <v>0</v>
      </c>
      <c r="I47" s="72">
        <f>IFERROR(__xludf.DUMMYFUNCTION("""COMPUTED_VALUE"""),0.0)</f>
        <v>0</v>
      </c>
      <c r="J47" s="72">
        <f>IFERROR(__xludf.DUMMYFUNCTION("""COMPUTED_VALUE"""),0.0)</f>
        <v>0</v>
      </c>
      <c r="K47" s="72">
        <f>IFERROR(__xludf.DUMMYFUNCTION("""COMPUTED_VALUE"""),-1.0)</f>
        <v>-1</v>
      </c>
      <c r="L47" s="72">
        <f>IFERROR(__xludf.DUMMYFUNCTION("""COMPUTED_VALUE"""),0.0)</f>
        <v>0</v>
      </c>
      <c r="M47" s="72">
        <f>IFERROR(__xludf.DUMMYFUNCTION("""COMPUTED_VALUE"""),0.0)</f>
        <v>0</v>
      </c>
      <c r="N47" s="72">
        <f>IFERROR(__xludf.DUMMYFUNCTION("""COMPUTED_VALUE"""),0.0)</f>
        <v>0</v>
      </c>
      <c r="O47" s="72">
        <f>IFERROR(__xludf.DUMMYFUNCTION("""COMPUTED_VALUE"""),0.0)</f>
        <v>0</v>
      </c>
      <c r="P47" s="72">
        <f>IFERROR(__xludf.DUMMYFUNCTION("""COMPUTED_VALUE"""),1.0)</f>
        <v>1</v>
      </c>
      <c r="Q47" s="72">
        <f>IFERROR(__xludf.DUMMYFUNCTION("""COMPUTED_VALUE"""),0.0)</f>
        <v>0</v>
      </c>
      <c r="R47" s="72">
        <f>IFERROR(__xludf.DUMMYFUNCTION("""COMPUTED_VALUE"""),0.0)</f>
        <v>0</v>
      </c>
      <c r="S47" s="72">
        <f>IFERROR(__xludf.DUMMYFUNCTION("""COMPUTED_VALUE"""),0.0)</f>
        <v>0</v>
      </c>
      <c r="T47" s="72">
        <f>IFERROR(__xludf.DUMMYFUNCTION("""COMPUTED_VALUE"""),0.0)</f>
        <v>0</v>
      </c>
      <c r="U47" s="72">
        <f>IFERROR(__xludf.DUMMYFUNCTION("""COMPUTED_VALUE"""),0.0)</f>
        <v>0</v>
      </c>
      <c r="V47" s="72">
        <f>IFERROR(__xludf.DUMMYFUNCTION("""COMPUTED_VALUE"""),0.0)</f>
        <v>0</v>
      </c>
      <c r="W47" s="72">
        <f>IFERROR(__xludf.DUMMYFUNCTION("""COMPUTED_VALUE"""),-1.0)</f>
        <v>-1</v>
      </c>
      <c r="X47" s="72">
        <f>IFERROR(__xludf.DUMMYFUNCTION("""COMPUTED_VALUE"""),0.0)</f>
        <v>0</v>
      </c>
      <c r="Y47" s="72">
        <f>IFERROR(__xludf.DUMMYFUNCTION("""COMPUTED_VALUE"""),0.0)</f>
        <v>0</v>
      </c>
      <c r="Z47" s="72">
        <f>IFERROR(__xludf.DUMMYFUNCTION("""COMPUTED_VALUE"""),0.0)</f>
        <v>0</v>
      </c>
      <c r="AA47" s="72">
        <f>IFERROR(__xludf.DUMMYFUNCTION("""COMPUTED_VALUE"""),0.0)</f>
        <v>0</v>
      </c>
      <c r="AB47" s="72">
        <f>IFERROR(__xludf.DUMMYFUNCTION("""COMPUTED_VALUE"""),0.0)</f>
        <v>0</v>
      </c>
      <c r="AC47" s="72">
        <f>IFERROR(__xludf.DUMMYFUNCTION("""COMPUTED_VALUE"""),0.0)</f>
        <v>0</v>
      </c>
      <c r="AD47" s="72">
        <f>IFERROR(__xludf.DUMMYFUNCTION("""COMPUTED_VALUE"""),0.0)</f>
        <v>0</v>
      </c>
      <c r="AE47" s="72">
        <f>IFERROR(__xludf.DUMMYFUNCTION("""COMPUTED_VALUE"""),0.0)</f>
        <v>0</v>
      </c>
      <c r="AF47" s="72">
        <f>IFERROR(__xludf.DUMMYFUNCTION("""COMPUTED_VALUE"""),0.0)</f>
        <v>0</v>
      </c>
      <c r="AG47" s="72">
        <f>IFERROR(__xludf.DUMMYFUNCTION("""COMPUTED_VALUE"""),0.0)</f>
        <v>0</v>
      </c>
      <c r="AH47" s="72">
        <f>IFERROR(__xludf.DUMMYFUNCTION("""COMPUTED_VALUE"""),0.0)</f>
        <v>0</v>
      </c>
      <c r="AI47" s="72">
        <f>IFERROR(__xludf.DUMMYFUNCTION("""COMPUTED_VALUE"""),0.0)</f>
        <v>0</v>
      </c>
      <c r="AJ47" s="72">
        <f>IFERROR(__xludf.DUMMYFUNCTION("""COMPUTED_VALUE"""),0.0)</f>
        <v>0</v>
      </c>
      <c r="AK47" s="72">
        <f>IFERROR(__xludf.DUMMYFUNCTION("""COMPUTED_VALUE"""),1.0)</f>
        <v>1</v>
      </c>
      <c r="AL47" s="72">
        <f>IFERROR(__xludf.DUMMYFUNCTION("""COMPUTED_VALUE"""),0.0)</f>
        <v>0</v>
      </c>
      <c r="AM47" s="72">
        <f>IFERROR(__xludf.DUMMYFUNCTION("""COMPUTED_VALUE"""),0.0)</f>
        <v>0</v>
      </c>
      <c r="AN47" s="72">
        <f>IFERROR(__xludf.DUMMYFUNCTION("""COMPUTED_VALUE"""),0.0)</f>
        <v>0</v>
      </c>
      <c r="AO47" s="72">
        <f>IFERROR(__xludf.DUMMYFUNCTION("""COMPUTED_VALUE"""),0.0)</f>
        <v>0</v>
      </c>
      <c r="AP47" s="72">
        <f>IFERROR(__xludf.DUMMYFUNCTION("""COMPUTED_VALUE"""),0.0)</f>
        <v>0</v>
      </c>
      <c r="AQ47" s="72">
        <f>IFERROR(__xludf.DUMMYFUNCTION("""COMPUTED_VALUE"""),0.0)</f>
        <v>0</v>
      </c>
      <c r="AR47" s="72">
        <f>IFERROR(__xludf.DUMMYFUNCTION("""COMPUTED_VALUE"""),0.0)</f>
        <v>0</v>
      </c>
      <c r="AS47" s="72">
        <f>IFERROR(__xludf.DUMMYFUNCTION("""COMPUTED_VALUE"""),0.0)</f>
        <v>0</v>
      </c>
      <c r="AT47" s="72">
        <f>IFERROR(__xludf.DUMMYFUNCTION("""COMPUTED_VALUE"""),0.0)</f>
        <v>0</v>
      </c>
      <c r="AU47" s="72">
        <f>IFERROR(__xludf.DUMMYFUNCTION("""COMPUTED_VALUE"""),1.0)</f>
        <v>1</v>
      </c>
      <c r="AV47" s="72" t="str">
        <f>IFERROR(__xludf.DUMMYFUNCTION("""COMPUTED_VALUE"""),"")</f>
        <v/>
      </c>
      <c r="AW47" s="72">
        <f>IFERROR(__xludf.DUMMYFUNCTION("""COMPUTED_VALUE"""),0.0)</f>
        <v>0</v>
      </c>
      <c r="AX47" s="72">
        <f>IFERROR(__xludf.DUMMYFUNCTION("""COMPUTED_VALUE"""),1.0)</f>
        <v>1</v>
      </c>
      <c r="AY47" s="72">
        <f>IFERROR(__xludf.DUMMYFUNCTION("""COMPUTED_VALUE"""),0.0)</f>
        <v>0</v>
      </c>
      <c r="AZ47" s="72">
        <f>IFERROR(__xludf.DUMMYFUNCTION("""COMPUTED_VALUE"""),0.0)</f>
        <v>0</v>
      </c>
      <c r="BA47" s="72">
        <f>IFERROR(__xludf.DUMMYFUNCTION("""COMPUTED_VALUE"""),0.0)</f>
        <v>0</v>
      </c>
      <c r="BB47" s="72">
        <f>IFERROR(__xludf.DUMMYFUNCTION("""COMPUTED_VALUE"""),0.0)</f>
        <v>0</v>
      </c>
      <c r="BC47" s="72">
        <f>IFERROR(__xludf.DUMMYFUNCTION("""COMPUTED_VALUE"""),0.0)</f>
        <v>0</v>
      </c>
      <c r="BD47" s="69">
        <f>IFERROR(__xludf.DUMMYFUNCTION("""COMPUTED_VALUE"""),0.0)</f>
        <v>0</v>
      </c>
      <c r="BE47" s="69" t="str">
        <f>IFERROR(__xludf.DUMMYFUNCTION("""COMPUTED_VALUE"""),"")</f>
        <v/>
      </c>
      <c r="BF47" s="69" t="str">
        <f>IFERROR(__xludf.DUMMYFUNCTION("""COMPUTED_VALUE"""),"")</f>
        <v/>
      </c>
      <c r="BG47" s="69" t="str">
        <f>IFERROR(__xludf.DUMMYFUNCTION("""COMPUTED_VALUE"""),"")</f>
        <v/>
      </c>
      <c r="BH47" s="69" t="str">
        <f>IFERROR(__xludf.DUMMYFUNCTION("""COMPUTED_VALUE"""),"")</f>
        <v/>
      </c>
      <c r="BI47" s="69" t="str">
        <f>IFERROR(__xludf.DUMMYFUNCTION("""COMPUTED_VALUE"""),"")</f>
        <v/>
      </c>
      <c r="BJ47" s="69" t="str">
        <f>IFERROR(__xludf.DUMMYFUNCTION("""COMPUTED_VALUE"""),"")</f>
        <v/>
      </c>
      <c r="BK47" s="69" t="str">
        <f>IFERROR(__xludf.DUMMYFUNCTION("""COMPUTED_VALUE"""),"")</f>
        <v/>
      </c>
      <c r="BL47" s="69" t="str">
        <f>IFERROR(__xludf.DUMMYFUNCTION("""COMPUTED_VALUE"""),"")</f>
        <v/>
      </c>
      <c r="BM47" s="69" t="str">
        <f>IFERROR(__xludf.DUMMYFUNCTION("""COMPUTED_VALUE"""),"")</f>
        <v/>
      </c>
      <c r="BN47" s="69" t="str">
        <f>IFERROR(__xludf.DUMMYFUNCTION("""COMPUTED_VALUE"""),"")</f>
        <v/>
      </c>
      <c r="BO47" s="69" t="str">
        <f>IFERROR(__xludf.DUMMYFUNCTION("""COMPUTED_VALUE"""),"")</f>
        <v/>
      </c>
      <c r="BP47" s="69" t="str">
        <f>IFERROR(__xludf.DUMMYFUNCTION("""COMPUTED_VALUE"""),"")</f>
        <v/>
      </c>
      <c r="BQ47" s="69" t="str">
        <f>IFERROR(__xludf.DUMMYFUNCTION("""COMPUTED_VALUE"""),"")</f>
        <v/>
      </c>
      <c r="BR47" s="69" t="str">
        <f>IFERROR(__xludf.DUMMYFUNCTION("""COMPUTED_VALUE"""),"")</f>
        <v/>
      </c>
      <c r="BS47" s="69" t="str">
        <f>IFERROR(__xludf.DUMMYFUNCTION("""COMPUTED_VALUE"""),"")</f>
        <v/>
      </c>
      <c r="BT47" s="69" t="str">
        <f>IFERROR(__xludf.DUMMYFUNCTION("""COMPUTED_VALUE"""),"")</f>
        <v/>
      </c>
      <c r="BU47" s="69" t="str">
        <f>IFERROR(__xludf.DUMMYFUNCTION("""COMPUTED_VALUE"""),"")</f>
        <v/>
      </c>
      <c r="BV47" s="69" t="str">
        <f>IFERROR(__xludf.DUMMYFUNCTION("""COMPUTED_VALUE"""),"")</f>
        <v/>
      </c>
      <c r="BW47" s="69"/>
      <c r="BX47" s="69"/>
      <c r="BY47" s="69"/>
      <c r="BZ47" s="69"/>
      <c r="CA47" s="69"/>
      <c r="CB47" s="69"/>
      <c r="CC47" s="69"/>
      <c r="CD47" s="69"/>
      <c r="CE47" s="69"/>
      <c r="CF47" s="69"/>
    </row>
    <row r="48">
      <c r="A48" s="70" t="str">
        <f>IFERROR(__xludf.DUMMYFUNCTION("""COMPUTED_VALUE"""),"Sultai Arisen")</f>
        <v>Sultai Arisen</v>
      </c>
      <c r="B48" s="71">
        <f>IFERROR(__xludf.DUMMYFUNCTION("""COMPUTED_VALUE"""),-3.0)</f>
        <v>-3</v>
      </c>
      <c r="C48" s="72">
        <f>IFERROR(__xludf.DUMMYFUNCTION("""COMPUTED_VALUE"""),0.0)</f>
        <v>0</v>
      </c>
      <c r="D48" s="72">
        <f>IFERROR(__xludf.DUMMYFUNCTION("""COMPUTED_VALUE"""),0.0)</f>
        <v>0</v>
      </c>
      <c r="E48" s="72">
        <f>IFERROR(__xludf.DUMMYFUNCTION("""COMPUTED_VALUE"""),0.0)</f>
        <v>0</v>
      </c>
      <c r="F48" s="72">
        <f>IFERROR(__xludf.DUMMYFUNCTION("""COMPUTED_VALUE"""),0.0)</f>
        <v>0</v>
      </c>
      <c r="G48" s="72">
        <f>IFERROR(__xludf.DUMMYFUNCTION("""COMPUTED_VALUE"""),0.0)</f>
        <v>0</v>
      </c>
      <c r="H48" s="72">
        <f>IFERROR(__xludf.DUMMYFUNCTION("""COMPUTED_VALUE"""),0.0)</f>
        <v>0</v>
      </c>
      <c r="I48" s="72">
        <f>IFERROR(__xludf.DUMMYFUNCTION("""COMPUTED_VALUE"""),0.0)</f>
        <v>0</v>
      </c>
      <c r="J48" s="72">
        <f>IFERROR(__xludf.DUMMYFUNCTION("""COMPUTED_VALUE"""),0.0)</f>
        <v>0</v>
      </c>
      <c r="K48" s="72">
        <f>IFERROR(__xludf.DUMMYFUNCTION("""COMPUTED_VALUE"""),0.0)</f>
        <v>0</v>
      </c>
      <c r="L48" s="72">
        <f>IFERROR(__xludf.DUMMYFUNCTION("""COMPUTED_VALUE"""),-1.0)</f>
        <v>-1</v>
      </c>
      <c r="M48" s="72">
        <f>IFERROR(__xludf.DUMMYFUNCTION("""COMPUTED_VALUE"""),0.0)</f>
        <v>0</v>
      </c>
      <c r="N48" s="72">
        <f>IFERROR(__xludf.DUMMYFUNCTION("""COMPUTED_VALUE"""),0.0)</f>
        <v>0</v>
      </c>
      <c r="O48" s="72">
        <f>IFERROR(__xludf.DUMMYFUNCTION("""COMPUTED_VALUE"""),-1.0)</f>
        <v>-1</v>
      </c>
      <c r="P48" s="72">
        <f>IFERROR(__xludf.DUMMYFUNCTION("""COMPUTED_VALUE"""),0.0)</f>
        <v>0</v>
      </c>
      <c r="Q48" s="72">
        <f>IFERROR(__xludf.DUMMYFUNCTION("""COMPUTED_VALUE"""),0.0)</f>
        <v>0</v>
      </c>
      <c r="R48" s="72">
        <f>IFERROR(__xludf.DUMMYFUNCTION("""COMPUTED_VALUE"""),0.0)</f>
        <v>0</v>
      </c>
      <c r="S48" s="72">
        <f>IFERROR(__xludf.DUMMYFUNCTION("""COMPUTED_VALUE"""),0.0)</f>
        <v>0</v>
      </c>
      <c r="T48" s="72">
        <f>IFERROR(__xludf.DUMMYFUNCTION("""COMPUTED_VALUE"""),0.0)</f>
        <v>0</v>
      </c>
      <c r="U48" s="72">
        <f>IFERROR(__xludf.DUMMYFUNCTION("""COMPUTED_VALUE"""),0.0)</f>
        <v>0</v>
      </c>
      <c r="V48" s="72">
        <f>IFERROR(__xludf.DUMMYFUNCTION("""COMPUTED_VALUE"""),0.0)</f>
        <v>0</v>
      </c>
      <c r="W48" s="72">
        <f>IFERROR(__xludf.DUMMYFUNCTION("""COMPUTED_VALUE"""),-1.0)</f>
        <v>-1</v>
      </c>
      <c r="X48" s="72">
        <f>IFERROR(__xludf.DUMMYFUNCTION("""COMPUTED_VALUE"""),0.0)</f>
        <v>0</v>
      </c>
      <c r="Y48" s="72">
        <f>IFERROR(__xludf.DUMMYFUNCTION("""COMPUTED_VALUE"""),0.0)</f>
        <v>0</v>
      </c>
      <c r="Z48" s="72">
        <f>IFERROR(__xludf.DUMMYFUNCTION("""COMPUTED_VALUE"""),0.0)</f>
        <v>0</v>
      </c>
      <c r="AA48" s="72">
        <f>IFERROR(__xludf.DUMMYFUNCTION("""COMPUTED_VALUE"""),0.0)</f>
        <v>0</v>
      </c>
      <c r="AB48" s="72">
        <f>IFERROR(__xludf.DUMMYFUNCTION("""COMPUTED_VALUE"""),0.0)</f>
        <v>0</v>
      </c>
      <c r="AC48" s="72">
        <f>IFERROR(__xludf.DUMMYFUNCTION("""COMPUTED_VALUE"""),-1.0)</f>
        <v>-1</v>
      </c>
      <c r="AD48" s="72">
        <f>IFERROR(__xludf.DUMMYFUNCTION("""COMPUTED_VALUE"""),0.0)</f>
        <v>0</v>
      </c>
      <c r="AE48" s="72">
        <f>IFERROR(__xludf.DUMMYFUNCTION("""COMPUTED_VALUE"""),0.0)</f>
        <v>0</v>
      </c>
      <c r="AF48" s="72">
        <f>IFERROR(__xludf.DUMMYFUNCTION("""COMPUTED_VALUE"""),0.0)</f>
        <v>0</v>
      </c>
      <c r="AG48" s="72">
        <f>IFERROR(__xludf.DUMMYFUNCTION("""COMPUTED_VALUE"""),1.0)</f>
        <v>1</v>
      </c>
      <c r="AH48" s="72">
        <f>IFERROR(__xludf.DUMMYFUNCTION("""COMPUTED_VALUE"""),0.0)</f>
        <v>0</v>
      </c>
      <c r="AI48" s="72">
        <f>IFERROR(__xludf.DUMMYFUNCTION("""COMPUTED_VALUE"""),0.0)</f>
        <v>0</v>
      </c>
      <c r="AJ48" s="72">
        <f>IFERROR(__xludf.DUMMYFUNCTION("""COMPUTED_VALUE"""),0.0)</f>
        <v>0</v>
      </c>
      <c r="AK48" s="72">
        <f>IFERROR(__xludf.DUMMYFUNCTION("""COMPUTED_VALUE"""),-1.0)</f>
        <v>-1</v>
      </c>
      <c r="AL48" s="72">
        <f>IFERROR(__xludf.DUMMYFUNCTION("""COMPUTED_VALUE"""),1.0)</f>
        <v>1</v>
      </c>
      <c r="AM48" s="72">
        <f>IFERROR(__xludf.DUMMYFUNCTION("""COMPUTED_VALUE"""),0.0)</f>
        <v>0</v>
      </c>
      <c r="AN48" s="72">
        <f>IFERROR(__xludf.DUMMYFUNCTION("""COMPUTED_VALUE"""),0.0)</f>
        <v>0</v>
      </c>
      <c r="AO48" s="72">
        <f>IFERROR(__xludf.DUMMYFUNCTION("""COMPUTED_VALUE"""),0.0)</f>
        <v>0</v>
      </c>
      <c r="AP48" s="72">
        <f>IFERROR(__xludf.DUMMYFUNCTION("""COMPUTED_VALUE"""),0.0)</f>
        <v>0</v>
      </c>
      <c r="AQ48" s="72">
        <f>IFERROR(__xludf.DUMMYFUNCTION("""COMPUTED_VALUE"""),0.0)</f>
        <v>0</v>
      </c>
      <c r="AR48" s="72">
        <f>IFERROR(__xludf.DUMMYFUNCTION("""COMPUTED_VALUE"""),0.0)</f>
        <v>0</v>
      </c>
      <c r="AS48" s="72">
        <f>IFERROR(__xludf.DUMMYFUNCTION("""COMPUTED_VALUE"""),0.0)</f>
        <v>0</v>
      </c>
      <c r="AT48" s="72">
        <f>IFERROR(__xludf.DUMMYFUNCTION("""COMPUTED_VALUE"""),0.0)</f>
        <v>0</v>
      </c>
      <c r="AU48" s="72">
        <f>IFERROR(__xludf.DUMMYFUNCTION("""COMPUTED_VALUE"""),0.0)</f>
        <v>0</v>
      </c>
      <c r="AV48" s="72">
        <f>IFERROR(__xludf.DUMMYFUNCTION("""COMPUTED_VALUE"""),0.0)</f>
        <v>0</v>
      </c>
      <c r="AW48" s="72" t="str">
        <f>IFERROR(__xludf.DUMMYFUNCTION("""COMPUTED_VALUE"""),"")</f>
        <v/>
      </c>
      <c r="AX48" s="72">
        <f>IFERROR(__xludf.DUMMYFUNCTION("""COMPUTED_VALUE"""),0.0)</f>
        <v>0</v>
      </c>
      <c r="AY48" s="72">
        <f>IFERROR(__xludf.DUMMYFUNCTION("""COMPUTED_VALUE"""),0.0)</f>
        <v>0</v>
      </c>
      <c r="AZ48" s="72">
        <f>IFERROR(__xludf.DUMMYFUNCTION("""COMPUTED_VALUE"""),0.0)</f>
        <v>0</v>
      </c>
      <c r="BA48" s="72">
        <f>IFERROR(__xludf.DUMMYFUNCTION("""COMPUTED_VALUE"""),0.0)</f>
        <v>0</v>
      </c>
      <c r="BB48" s="72">
        <f>IFERROR(__xludf.DUMMYFUNCTION("""COMPUTED_VALUE"""),0.0)</f>
        <v>0</v>
      </c>
      <c r="BC48" s="72">
        <f>IFERROR(__xludf.DUMMYFUNCTION("""COMPUTED_VALUE"""),0.0)</f>
        <v>0</v>
      </c>
      <c r="BD48" s="69">
        <f>IFERROR(__xludf.DUMMYFUNCTION("""COMPUTED_VALUE"""),0.0)</f>
        <v>0</v>
      </c>
      <c r="BE48" s="69" t="str">
        <f>IFERROR(__xludf.DUMMYFUNCTION("""COMPUTED_VALUE"""),"")</f>
        <v/>
      </c>
      <c r="BF48" s="69" t="str">
        <f>IFERROR(__xludf.DUMMYFUNCTION("""COMPUTED_VALUE"""),"")</f>
        <v/>
      </c>
      <c r="BG48" s="69" t="str">
        <f>IFERROR(__xludf.DUMMYFUNCTION("""COMPUTED_VALUE"""),"")</f>
        <v/>
      </c>
      <c r="BH48" s="69" t="str">
        <f>IFERROR(__xludf.DUMMYFUNCTION("""COMPUTED_VALUE"""),"")</f>
        <v/>
      </c>
      <c r="BI48" s="69" t="str">
        <f>IFERROR(__xludf.DUMMYFUNCTION("""COMPUTED_VALUE"""),"")</f>
        <v/>
      </c>
      <c r="BJ48" s="69" t="str">
        <f>IFERROR(__xludf.DUMMYFUNCTION("""COMPUTED_VALUE"""),"")</f>
        <v/>
      </c>
      <c r="BK48" s="69" t="str">
        <f>IFERROR(__xludf.DUMMYFUNCTION("""COMPUTED_VALUE"""),"")</f>
        <v/>
      </c>
      <c r="BL48" s="69" t="str">
        <f>IFERROR(__xludf.DUMMYFUNCTION("""COMPUTED_VALUE"""),"")</f>
        <v/>
      </c>
      <c r="BM48" s="69" t="str">
        <f>IFERROR(__xludf.DUMMYFUNCTION("""COMPUTED_VALUE"""),"")</f>
        <v/>
      </c>
      <c r="BN48" s="69" t="str">
        <f>IFERROR(__xludf.DUMMYFUNCTION("""COMPUTED_VALUE"""),"")</f>
        <v/>
      </c>
      <c r="BO48" s="69" t="str">
        <f>IFERROR(__xludf.DUMMYFUNCTION("""COMPUTED_VALUE"""),"")</f>
        <v/>
      </c>
      <c r="BP48" s="69" t="str">
        <f>IFERROR(__xludf.DUMMYFUNCTION("""COMPUTED_VALUE"""),"")</f>
        <v/>
      </c>
      <c r="BQ48" s="69" t="str">
        <f>IFERROR(__xludf.DUMMYFUNCTION("""COMPUTED_VALUE"""),"")</f>
        <v/>
      </c>
      <c r="BR48" s="69" t="str">
        <f>IFERROR(__xludf.DUMMYFUNCTION("""COMPUTED_VALUE"""),"")</f>
        <v/>
      </c>
      <c r="BS48" s="69" t="str">
        <f>IFERROR(__xludf.DUMMYFUNCTION("""COMPUTED_VALUE"""),"")</f>
        <v/>
      </c>
      <c r="BT48" s="69" t="str">
        <f>IFERROR(__xludf.DUMMYFUNCTION("""COMPUTED_VALUE"""),"")</f>
        <v/>
      </c>
      <c r="BU48" s="69" t="str">
        <f>IFERROR(__xludf.DUMMYFUNCTION("""COMPUTED_VALUE"""),"")</f>
        <v/>
      </c>
      <c r="BV48" s="69" t="str">
        <f>IFERROR(__xludf.DUMMYFUNCTION("""COMPUTED_VALUE"""),"")</f>
        <v/>
      </c>
      <c r="BW48" s="69"/>
      <c r="BX48" s="69"/>
      <c r="BY48" s="69"/>
      <c r="BZ48" s="69"/>
      <c r="CA48" s="69"/>
      <c r="CB48" s="69"/>
      <c r="CC48" s="69"/>
      <c r="CD48" s="69"/>
      <c r="CE48" s="69"/>
      <c r="CF48" s="69"/>
    </row>
    <row r="49">
      <c r="A49" s="70" t="str">
        <f>IFERROR(__xludf.DUMMYFUNCTION("""COMPUTED_VALUE"""),"Temur Roar")</f>
        <v>Temur Roar</v>
      </c>
      <c r="B49" s="71">
        <f>IFERROR(__xludf.DUMMYFUNCTION("""COMPUTED_VALUE"""),-1.0)</f>
        <v>-1</v>
      </c>
      <c r="C49" s="72">
        <f>IFERROR(__xludf.DUMMYFUNCTION("""COMPUTED_VALUE"""),0.0)</f>
        <v>0</v>
      </c>
      <c r="D49" s="72">
        <f>IFERROR(__xludf.DUMMYFUNCTION("""COMPUTED_VALUE"""),0.0)</f>
        <v>0</v>
      </c>
      <c r="E49" s="72">
        <f>IFERROR(__xludf.DUMMYFUNCTION("""COMPUTED_VALUE"""),1.0)</f>
        <v>1</v>
      </c>
      <c r="F49" s="72">
        <f>IFERROR(__xludf.DUMMYFUNCTION("""COMPUTED_VALUE"""),0.0)</f>
        <v>0</v>
      </c>
      <c r="G49" s="72">
        <f>IFERROR(__xludf.DUMMYFUNCTION("""COMPUTED_VALUE"""),0.0)</f>
        <v>0</v>
      </c>
      <c r="H49" s="72">
        <f>IFERROR(__xludf.DUMMYFUNCTION("""COMPUTED_VALUE"""),0.0)</f>
        <v>0</v>
      </c>
      <c r="I49" s="72">
        <f>IFERROR(__xludf.DUMMYFUNCTION("""COMPUTED_VALUE"""),0.0)</f>
        <v>0</v>
      </c>
      <c r="J49" s="72">
        <f>IFERROR(__xludf.DUMMYFUNCTION("""COMPUTED_VALUE"""),0.0)</f>
        <v>0</v>
      </c>
      <c r="K49" s="72">
        <f>IFERROR(__xludf.DUMMYFUNCTION("""COMPUTED_VALUE"""),0.0)</f>
        <v>0</v>
      </c>
      <c r="L49" s="72">
        <f>IFERROR(__xludf.DUMMYFUNCTION("""COMPUTED_VALUE"""),0.0)</f>
        <v>0</v>
      </c>
      <c r="M49" s="72">
        <f>IFERROR(__xludf.DUMMYFUNCTION("""COMPUTED_VALUE"""),0.0)</f>
        <v>0</v>
      </c>
      <c r="N49" s="72">
        <f>IFERROR(__xludf.DUMMYFUNCTION("""COMPUTED_VALUE"""),0.0)</f>
        <v>0</v>
      </c>
      <c r="O49" s="72">
        <f>IFERROR(__xludf.DUMMYFUNCTION("""COMPUTED_VALUE"""),0.0)</f>
        <v>0</v>
      </c>
      <c r="P49" s="72">
        <f>IFERROR(__xludf.DUMMYFUNCTION("""COMPUTED_VALUE"""),0.0)</f>
        <v>0</v>
      </c>
      <c r="Q49" s="72">
        <f>IFERROR(__xludf.DUMMYFUNCTION("""COMPUTED_VALUE"""),0.0)</f>
        <v>0</v>
      </c>
      <c r="R49" s="72">
        <f>IFERROR(__xludf.DUMMYFUNCTION("""COMPUTED_VALUE"""),-1.0)</f>
        <v>-1</v>
      </c>
      <c r="S49" s="72">
        <f>IFERROR(__xludf.DUMMYFUNCTION("""COMPUTED_VALUE"""),0.0)</f>
        <v>0</v>
      </c>
      <c r="T49" s="72">
        <f>IFERROR(__xludf.DUMMYFUNCTION("""COMPUTED_VALUE"""),0.0)</f>
        <v>0</v>
      </c>
      <c r="U49" s="72">
        <f>IFERROR(__xludf.DUMMYFUNCTION("""COMPUTED_VALUE"""),0.0)</f>
        <v>0</v>
      </c>
      <c r="V49" s="72">
        <f>IFERROR(__xludf.DUMMYFUNCTION("""COMPUTED_VALUE"""),0.0)</f>
        <v>0</v>
      </c>
      <c r="W49" s="72">
        <f>IFERROR(__xludf.DUMMYFUNCTION("""COMPUTED_VALUE"""),0.0)</f>
        <v>0</v>
      </c>
      <c r="X49" s="72">
        <f>IFERROR(__xludf.DUMMYFUNCTION("""COMPUTED_VALUE"""),0.0)</f>
        <v>0</v>
      </c>
      <c r="Y49" s="72">
        <f>IFERROR(__xludf.DUMMYFUNCTION("""COMPUTED_VALUE"""),0.0)</f>
        <v>0</v>
      </c>
      <c r="Z49" s="72">
        <f>IFERROR(__xludf.DUMMYFUNCTION("""COMPUTED_VALUE"""),0.0)</f>
        <v>0</v>
      </c>
      <c r="AA49" s="72">
        <f>IFERROR(__xludf.DUMMYFUNCTION("""COMPUTED_VALUE"""),0.0)</f>
        <v>0</v>
      </c>
      <c r="AB49" s="72">
        <f>IFERROR(__xludf.DUMMYFUNCTION("""COMPUTED_VALUE"""),0.0)</f>
        <v>0</v>
      </c>
      <c r="AC49" s="72">
        <f>IFERROR(__xludf.DUMMYFUNCTION("""COMPUTED_VALUE"""),0.0)</f>
        <v>0</v>
      </c>
      <c r="AD49" s="72">
        <f>IFERROR(__xludf.DUMMYFUNCTION("""COMPUTED_VALUE"""),0.0)</f>
        <v>0</v>
      </c>
      <c r="AE49" s="72">
        <f>IFERROR(__xludf.DUMMYFUNCTION("""COMPUTED_VALUE"""),0.0)</f>
        <v>0</v>
      </c>
      <c r="AF49" s="72">
        <f>IFERROR(__xludf.DUMMYFUNCTION("""COMPUTED_VALUE"""),0.0)</f>
        <v>0</v>
      </c>
      <c r="AG49" s="72">
        <f>IFERROR(__xludf.DUMMYFUNCTION("""COMPUTED_VALUE"""),0.0)</f>
        <v>0</v>
      </c>
      <c r="AH49" s="72">
        <f>IFERROR(__xludf.DUMMYFUNCTION("""COMPUTED_VALUE"""),0.0)</f>
        <v>0</v>
      </c>
      <c r="AI49" s="72">
        <f>IFERROR(__xludf.DUMMYFUNCTION("""COMPUTED_VALUE"""),0.0)</f>
        <v>0</v>
      </c>
      <c r="AJ49" s="72">
        <f>IFERROR(__xludf.DUMMYFUNCTION("""COMPUTED_VALUE"""),0.0)</f>
        <v>0</v>
      </c>
      <c r="AK49" s="72">
        <f>IFERROR(__xludf.DUMMYFUNCTION("""COMPUTED_VALUE"""),0.0)</f>
        <v>0</v>
      </c>
      <c r="AL49" s="72">
        <f>IFERROR(__xludf.DUMMYFUNCTION("""COMPUTED_VALUE"""),0.0)</f>
        <v>0</v>
      </c>
      <c r="AM49" s="72">
        <f>IFERROR(__xludf.DUMMYFUNCTION("""COMPUTED_VALUE"""),0.0)</f>
        <v>0</v>
      </c>
      <c r="AN49" s="72">
        <f>IFERROR(__xludf.DUMMYFUNCTION("""COMPUTED_VALUE"""),0.0)</f>
        <v>0</v>
      </c>
      <c r="AO49" s="72">
        <f>IFERROR(__xludf.DUMMYFUNCTION("""COMPUTED_VALUE"""),0.0)</f>
        <v>0</v>
      </c>
      <c r="AP49" s="72">
        <f>IFERROR(__xludf.DUMMYFUNCTION("""COMPUTED_VALUE"""),0.0)</f>
        <v>0</v>
      </c>
      <c r="AQ49" s="72">
        <f>IFERROR(__xludf.DUMMYFUNCTION("""COMPUTED_VALUE"""),0.0)</f>
        <v>0</v>
      </c>
      <c r="AR49" s="72">
        <f>IFERROR(__xludf.DUMMYFUNCTION("""COMPUTED_VALUE"""),0.0)</f>
        <v>0</v>
      </c>
      <c r="AS49" s="72">
        <f>IFERROR(__xludf.DUMMYFUNCTION("""COMPUTED_VALUE"""),1.0)</f>
        <v>1</v>
      </c>
      <c r="AT49" s="72">
        <f>IFERROR(__xludf.DUMMYFUNCTION("""COMPUTED_VALUE"""),-1.0)</f>
        <v>-1</v>
      </c>
      <c r="AU49" s="72">
        <f>IFERROR(__xludf.DUMMYFUNCTION("""COMPUTED_VALUE"""),0.0)</f>
        <v>0</v>
      </c>
      <c r="AV49" s="72">
        <f>IFERROR(__xludf.DUMMYFUNCTION("""COMPUTED_VALUE"""),-1.0)</f>
        <v>-1</v>
      </c>
      <c r="AW49" s="72">
        <f>IFERROR(__xludf.DUMMYFUNCTION("""COMPUTED_VALUE"""),0.0)</f>
        <v>0</v>
      </c>
      <c r="AX49" s="72" t="str">
        <f>IFERROR(__xludf.DUMMYFUNCTION("""COMPUTED_VALUE"""),"")</f>
        <v/>
      </c>
      <c r="AY49" s="72">
        <f>IFERROR(__xludf.DUMMYFUNCTION("""COMPUTED_VALUE"""),0.0)</f>
        <v>0</v>
      </c>
      <c r="AZ49" s="72">
        <f>IFERROR(__xludf.DUMMYFUNCTION("""COMPUTED_VALUE"""),0.0)</f>
        <v>0</v>
      </c>
      <c r="BA49" s="72">
        <f>IFERROR(__xludf.DUMMYFUNCTION("""COMPUTED_VALUE"""),0.0)</f>
        <v>0</v>
      </c>
      <c r="BB49" s="72">
        <f>IFERROR(__xludf.DUMMYFUNCTION("""COMPUTED_VALUE"""),0.0)</f>
        <v>0</v>
      </c>
      <c r="BC49" s="72">
        <f>IFERROR(__xludf.DUMMYFUNCTION("""COMPUTED_VALUE"""),0.0)</f>
        <v>0</v>
      </c>
      <c r="BD49" s="69">
        <f>IFERROR(__xludf.DUMMYFUNCTION("""COMPUTED_VALUE"""),0.0)</f>
        <v>0</v>
      </c>
      <c r="BE49" s="69" t="str">
        <f>IFERROR(__xludf.DUMMYFUNCTION("""COMPUTED_VALUE"""),"")</f>
        <v/>
      </c>
      <c r="BF49" s="69" t="str">
        <f>IFERROR(__xludf.DUMMYFUNCTION("""COMPUTED_VALUE"""),"")</f>
        <v/>
      </c>
      <c r="BG49" s="69" t="str">
        <f>IFERROR(__xludf.DUMMYFUNCTION("""COMPUTED_VALUE"""),"")</f>
        <v/>
      </c>
      <c r="BH49" s="69" t="str">
        <f>IFERROR(__xludf.DUMMYFUNCTION("""COMPUTED_VALUE"""),"")</f>
        <v/>
      </c>
      <c r="BI49" s="69" t="str">
        <f>IFERROR(__xludf.DUMMYFUNCTION("""COMPUTED_VALUE"""),"")</f>
        <v/>
      </c>
      <c r="BJ49" s="69" t="str">
        <f>IFERROR(__xludf.DUMMYFUNCTION("""COMPUTED_VALUE"""),"")</f>
        <v/>
      </c>
      <c r="BK49" s="69" t="str">
        <f>IFERROR(__xludf.DUMMYFUNCTION("""COMPUTED_VALUE"""),"")</f>
        <v/>
      </c>
      <c r="BL49" s="69" t="str">
        <f>IFERROR(__xludf.DUMMYFUNCTION("""COMPUTED_VALUE"""),"")</f>
        <v/>
      </c>
      <c r="BM49" s="69" t="str">
        <f>IFERROR(__xludf.DUMMYFUNCTION("""COMPUTED_VALUE"""),"")</f>
        <v/>
      </c>
      <c r="BN49" s="69" t="str">
        <f>IFERROR(__xludf.DUMMYFUNCTION("""COMPUTED_VALUE"""),"")</f>
        <v/>
      </c>
      <c r="BO49" s="69" t="str">
        <f>IFERROR(__xludf.DUMMYFUNCTION("""COMPUTED_VALUE"""),"")</f>
        <v/>
      </c>
      <c r="BP49" s="69" t="str">
        <f>IFERROR(__xludf.DUMMYFUNCTION("""COMPUTED_VALUE"""),"")</f>
        <v/>
      </c>
      <c r="BQ49" s="69" t="str">
        <f>IFERROR(__xludf.DUMMYFUNCTION("""COMPUTED_VALUE"""),"")</f>
        <v/>
      </c>
      <c r="BR49" s="69" t="str">
        <f>IFERROR(__xludf.DUMMYFUNCTION("""COMPUTED_VALUE"""),"")</f>
        <v/>
      </c>
      <c r="BS49" s="69" t="str">
        <f>IFERROR(__xludf.DUMMYFUNCTION("""COMPUTED_VALUE"""),"")</f>
        <v/>
      </c>
      <c r="BT49" s="69" t="str">
        <f>IFERROR(__xludf.DUMMYFUNCTION("""COMPUTED_VALUE"""),"")</f>
        <v/>
      </c>
      <c r="BU49" s="69" t="str">
        <f>IFERROR(__xludf.DUMMYFUNCTION("""COMPUTED_VALUE"""),"")</f>
        <v/>
      </c>
      <c r="BV49" s="69" t="str">
        <f>IFERROR(__xludf.DUMMYFUNCTION("""COMPUTED_VALUE"""),"")</f>
        <v/>
      </c>
      <c r="BW49" s="69"/>
      <c r="BX49" s="69"/>
      <c r="BY49" s="69"/>
      <c r="BZ49" s="69"/>
      <c r="CA49" s="69"/>
      <c r="CB49" s="69"/>
      <c r="CC49" s="69"/>
      <c r="CD49" s="69"/>
      <c r="CE49" s="69"/>
      <c r="CF49" s="69"/>
    </row>
    <row r="50">
      <c r="A50" s="70" t="str">
        <f>IFERROR(__xludf.DUMMYFUNCTION("""COMPUTED_VALUE"""),"The Hosts of Mordor")</f>
        <v>The Hosts of Mordor</v>
      </c>
      <c r="B50" s="71">
        <f>IFERROR(__xludf.DUMMYFUNCTION("""COMPUTED_VALUE"""),-2.0)</f>
        <v>-2</v>
      </c>
      <c r="C50" s="72">
        <f>IFERROR(__xludf.DUMMYFUNCTION("""COMPUTED_VALUE"""),0.0)</f>
        <v>0</v>
      </c>
      <c r="D50" s="72">
        <f>IFERROR(__xludf.DUMMYFUNCTION("""COMPUTED_VALUE"""),0.0)</f>
        <v>0</v>
      </c>
      <c r="E50" s="72">
        <f>IFERROR(__xludf.DUMMYFUNCTION("""COMPUTED_VALUE"""),0.0)</f>
        <v>0</v>
      </c>
      <c r="F50" s="72">
        <f>IFERROR(__xludf.DUMMYFUNCTION("""COMPUTED_VALUE"""),0.0)</f>
        <v>0</v>
      </c>
      <c r="G50" s="72">
        <f>IFERROR(__xludf.DUMMYFUNCTION("""COMPUTED_VALUE"""),0.0)</f>
        <v>0</v>
      </c>
      <c r="H50" s="72">
        <f>IFERROR(__xludf.DUMMYFUNCTION("""COMPUTED_VALUE"""),0.0)</f>
        <v>0</v>
      </c>
      <c r="I50" s="72">
        <f>IFERROR(__xludf.DUMMYFUNCTION("""COMPUTED_VALUE"""),0.0)</f>
        <v>0</v>
      </c>
      <c r="J50" s="72">
        <f>IFERROR(__xludf.DUMMYFUNCTION("""COMPUTED_VALUE"""),0.0)</f>
        <v>0</v>
      </c>
      <c r="K50" s="72">
        <f>IFERROR(__xludf.DUMMYFUNCTION("""COMPUTED_VALUE"""),0.0)</f>
        <v>0</v>
      </c>
      <c r="L50" s="72">
        <f>IFERROR(__xludf.DUMMYFUNCTION("""COMPUTED_VALUE"""),0.0)</f>
        <v>0</v>
      </c>
      <c r="M50" s="72">
        <f>IFERROR(__xludf.DUMMYFUNCTION("""COMPUTED_VALUE"""),0.0)</f>
        <v>0</v>
      </c>
      <c r="N50" s="72">
        <f>IFERROR(__xludf.DUMMYFUNCTION("""COMPUTED_VALUE"""),0.0)</f>
        <v>0</v>
      </c>
      <c r="O50" s="72">
        <f>IFERROR(__xludf.DUMMYFUNCTION("""COMPUTED_VALUE"""),-1.0)</f>
        <v>-1</v>
      </c>
      <c r="P50" s="72">
        <f>IFERROR(__xludf.DUMMYFUNCTION("""COMPUTED_VALUE"""),0.0)</f>
        <v>0</v>
      </c>
      <c r="Q50" s="72">
        <f>IFERROR(__xludf.DUMMYFUNCTION("""COMPUTED_VALUE"""),0.0)</f>
        <v>0</v>
      </c>
      <c r="R50" s="72">
        <f>IFERROR(__xludf.DUMMYFUNCTION("""COMPUTED_VALUE"""),0.0)</f>
        <v>0</v>
      </c>
      <c r="S50" s="72">
        <f>IFERROR(__xludf.DUMMYFUNCTION("""COMPUTED_VALUE"""),0.0)</f>
        <v>0</v>
      </c>
      <c r="T50" s="72">
        <f>IFERROR(__xludf.DUMMYFUNCTION("""COMPUTED_VALUE"""),0.0)</f>
        <v>0</v>
      </c>
      <c r="U50" s="72">
        <f>IFERROR(__xludf.DUMMYFUNCTION("""COMPUTED_VALUE"""),0.0)</f>
        <v>0</v>
      </c>
      <c r="V50" s="72">
        <f>IFERROR(__xludf.DUMMYFUNCTION("""COMPUTED_VALUE"""),0.0)</f>
        <v>0</v>
      </c>
      <c r="W50" s="72">
        <f>IFERROR(__xludf.DUMMYFUNCTION("""COMPUTED_VALUE"""),0.0)</f>
        <v>0</v>
      </c>
      <c r="X50" s="72">
        <f>IFERROR(__xludf.DUMMYFUNCTION("""COMPUTED_VALUE"""),0.0)</f>
        <v>0</v>
      </c>
      <c r="Y50" s="72">
        <f>IFERROR(__xludf.DUMMYFUNCTION("""COMPUTED_VALUE"""),0.0)</f>
        <v>0</v>
      </c>
      <c r="Z50" s="72">
        <f>IFERROR(__xludf.DUMMYFUNCTION("""COMPUTED_VALUE"""),0.0)</f>
        <v>0</v>
      </c>
      <c r="AA50" s="72">
        <f>IFERROR(__xludf.DUMMYFUNCTION("""COMPUTED_VALUE"""),0.0)</f>
        <v>0</v>
      </c>
      <c r="AB50" s="72">
        <f>IFERROR(__xludf.DUMMYFUNCTION("""COMPUTED_VALUE"""),0.0)</f>
        <v>0</v>
      </c>
      <c r="AC50" s="72">
        <f>IFERROR(__xludf.DUMMYFUNCTION("""COMPUTED_VALUE"""),0.0)</f>
        <v>0</v>
      </c>
      <c r="AD50" s="72">
        <f>IFERROR(__xludf.DUMMYFUNCTION("""COMPUTED_VALUE"""),0.0)</f>
        <v>0</v>
      </c>
      <c r="AE50" s="72">
        <f>IFERROR(__xludf.DUMMYFUNCTION("""COMPUTED_VALUE"""),-1.0)</f>
        <v>-1</v>
      </c>
      <c r="AF50" s="72">
        <f>IFERROR(__xludf.DUMMYFUNCTION("""COMPUTED_VALUE"""),0.0)</f>
        <v>0</v>
      </c>
      <c r="AG50" s="72">
        <f>IFERROR(__xludf.DUMMYFUNCTION("""COMPUTED_VALUE"""),0.0)</f>
        <v>0</v>
      </c>
      <c r="AH50" s="72">
        <f>IFERROR(__xludf.DUMMYFUNCTION("""COMPUTED_VALUE"""),0.0)</f>
        <v>0</v>
      </c>
      <c r="AI50" s="72">
        <f>IFERROR(__xludf.DUMMYFUNCTION("""COMPUTED_VALUE"""),0.0)</f>
        <v>0</v>
      </c>
      <c r="AJ50" s="72">
        <f>IFERROR(__xludf.DUMMYFUNCTION("""COMPUTED_VALUE"""),0.0)</f>
        <v>0</v>
      </c>
      <c r="AK50" s="72">
        <f>IFERROR(__xludf.DUMMYFUNCTION("""COMPUTED_VALUE"""),0.0)</f>
        <v>0</v>
      </c>
      <c r="AL50" s="72">
        <f>IFERROR(__xludf.DUMMYFUNCTION("""COMPUTED_VALUE"""),0.0)</f>
        <v>0</v>
      </c>
      <c r="AM50" s="72">
        <f>IFERROR(__xludf.DUMMYFUNCTION("""COMPUTED_VALUE"""),0.0)</f>
        <v>0</v>
      </c>
      <c r="AN50" s="72">
        <f>IFERROR(__xludf.DUMMYFUNCTION("""COMPUTED_VALUE"""),0.0)</f>
        <v>0</v>
      </c>
      <c r="AO50" s="72">
        <f>IFERROR(__xludf.DUMMYFUNCTION("""COMPUTED_VALUE"""),0.0)</f>
        <v>0</v>
      </c>
      <c r="AP50" s="72">
        <f>IFERROR(__xludf.DUMMYFUNCTION("""COMPUTED_VALUE"""),0.0)</f>
        <v>0</v>
      </c>
      <c r="AQ50" s="72">
        <f>IFERROR(__xludf.DUMMYFUNCTION("""COMPUTED_VALUE"""),0.0)</f>
        <v>0</v>
      </c>
      <c r="AR50" s="72">
        <f>IFERROR(__xludf.DUMMYFUNCTION("""COMPUTED_VALUE"""),0.0)</f>
        <v>0</v>
      </c>
      <c r="AS50" s="72">
        <f>IFERROR(__xludf.DUMMYFUNCTION("""COMPUTED_VALUE"""),0.0)</f>
        <v>0</v>
      </c>
      <c r="AT50" s="72">
        <f>IFERROR(__xludf.DUMMYFUNCTION("""COMPUTED_VALUE"""),0.0)</f>
        <v>0</v>
      </c>
      <c r="AU50" s="72">
        <f>IFERROR(__xludf.DUMMYFUNCTION("""COMPUTED_VALUE"""),0.0)</f>
        <v>0</v>
      </c>
      <c r="AV50" s="72">
        <f>IFERROR(__xludf.DUMMYFUNCTION("""COMPUTED_VALUE"""),0.0)</f>
        <v>0</v>
      </c>
      <c r="AW50" s="72">
        <f>IFERROR(__xludf.DUMMYFUNCTION("""COMPUTED_VALUE"""),0.0)</f>
        <v>0</v>
      </c>
      <c r="AX50" s="72">
        <f>IFERROR(__xludf.DUMMYFUNCTION("""COMPUTED_VALUE"""),0.0)</f>
        <v>0</v>
      </c>
      <c r="AY50" s="72" t="str">
        <f>IFERROR(__xludf.DUMMYFUNCTION("""COMPUTED_VALUE"""),"")</f>
        <v/>
      </c>
      <c r="AZ50" s="72">
        <f>IFERROR(__xludf.DUMMYFUNCTION("""COMPUTED_VALUE"""),0.0)</f>
        <v>0</v>
      </c>
      <c r="BA50" s="72">
        <f>IFERROR(__xludf.DUMMYFUNCTION("""COMPUTED_VALUE"""),0.0)</f>
        <v>0</v>
      </c>
      <c r="BB50" s="72">
        <f>IFERROR(__xludf.DUMMYFUNCTION("""COMPUTED_VALUE"""),0.0)</f>
        <v>0</v>
      </c>
      <c r="BC50" s="72">
        <f>IFERROR(__xludf.DUMMYFUNCTION("""COMPUTED_VALUE"""),0.0)</f>
        <v>0</v>
      </c>
      <c r="BD50" s="69">
        <f>IFERROR(__xludf.DUMMYFUNCTION("""COMPUTED_VALUE"""),0.0)</f>
        <v>0</v>
      </c>
      <c r="BE50" s="69" t="str">
        <f>IFERROR(__xludf.DUMMYFUNCTION("""COMPUTED_VALUE"""),"")</f>
        <v/>
      </c>
      <c r="BF50" s="69" t="str">
        <f>IFERROR(__xludf.DUMMYFUNCTION("""COMPUTED_VALUE"""),"")</f>
        <v/>
      </c>
      <c r="BG50" s="69" t="str">
        <f>IFERROR(__xludf.DUMMYFUNCTION("""COMPUTED_VALUE"""),"")</f>
        <v/>
      </c>
      <c r="BH50" s="69" t="str">
        <f>IFERROR(__xludf.DUMMYFUNCTION("""COMPUTED_VALUE"""),"")</f>
        <v/>
      </c>
      <c r="BI50" s="69" t="str">
        <f>IFERROR(__xludf.DUMMYFUNCTION("""COMPUTED_VALUE"""),"")</f>
        <v/>
      </c>
      <c r="BJ50" s="69" t="str">
        <f>IFERROR(__xludf.DUMMYFUNCTION("""COMPUTED_VALUE"""),"")</f>
        <v/>
      </c>
      <c r="BK50" s="69" t="str">
        <f>IFERROR(__xludf.DUMMYFUNCTION("""COMPUTED_VALUE"""),"")</f>
        <v/>
      </c>
      <c r="BL50" s="69" t="str">
        <f>IFERROR(__xludf.DUMMYFUNCTION("""COMPUTED_VALUE"""),"")</f>
        <v/>
      </c>
      <c r="BM50" s="69" t="str">
        <f>IFERROR(__xludf.DUMMYFUNCTION("""COMPUTED_VALUE"""),"")</f>
        <v/>
      </c>
      <c r="BN50" s="69" t="str">
        <f>IFERROR(__xludf.DUMMYFUNCTION("""COMPUTED_VALUE"""),"")</f>
        <v/>
      </c>
      <c r="BO50" s="69" t="str">
        <f>IFERROR(__xludf.DUMMYFUNCTION("""COMPUTED_VALUE"""),"")</f>
        <v/>
      </c>
      <c r="BP50" s="69" t="str">
        <f>IFERROR(__xludf.DUMMYFUNCTION("""COMPUTED_VALUE"""),"")</f>
        <v/>
      </c>
      <c r="BQ50" s="69" t="str">
        <f>IFERROR(__xludf.DUMMYFUNCTION("""COMPUTED_VALUE"""),"")</f>
        <v/>
      </c>
      <c r="BR50" s="69" t="str">
        <f>IFERROR(__xludf.DUMMYFUNCTION("""COMPUTED_VALUE"""),"")</f>
        <v/>
      </c>
      <c r="BS50" s="69" t="str">
        <f>IFERROR(__xludf.DUMMYFUNCTION("""COMPUTED_VALUE"""),"")</f>
        <v/>
      </c>
      <c r="BT50" s="69" t="str">
        <f>IFERROR(__xludf.DUMMYFUNCTION("""COMPUTED_VALUE"""),"")</f>
        <v/>
      </c>
      <c r="BU50" s="69" t="str">
        <f>IFERROR(__xludf.DUMMYFUNCTION("""COMPUTED_VALUE"""),"")</f>
        <v/>
      </c>
      <c r="BV50" s="69" t="str">
        <f>IFERROR(__xludf.DUMMYFUNCTION("""COMPUTED_VALUE"""),"")</f>
        <v/>
      </c>
      <c r="BW50" s="69"/>
      <c r="BX50" s="69"/>
      <c r="BY50" s="69"/>
      <c r="BZ50" s="69"/>
      <c r="CA50" s="69"/>
      <c r="CB50" s="69"/>
      <c r="CC50" s="69"/>
      <c r="CD50" s="69"/>
      <c r="CE50" s="69"/>
      <c r="CF50" s="69"/>
    </row>
    <row r="51">
      <c r="A51" s="70" t="str">
        <f>IFERROR(__xludf.DUMMYFUNCTION("""COMPUTED_VALUE"""),"The Ruinous Powers")</f>
        <v>The Ruinous Powers</v>
      </c>
      <c r="B51" s="71">
        <f>IFERROR(__xludf.DUMMYFUNCTION("""COMPUTED_VALUE"""),-1.0)</f>
        <v>-1</v>
      </c>
      <c r="C51" s="72">
        <f>IFERROR(__xludf.DUMMYFUNCTION("""COMPUTED_VALUE"""),0.0)</f>
        <v>0</v>
      </c>
      <c r="D51" s="72">
        <f>IFERROR(__xludf.DUMMYFUNCTION("""COMPUTED_VALUE"""),0.0)</f>
        <v>0</v>
      </c>
      <c r="E51" s="72">
        <f>IFERROR(__xludf.DUMMYFUNCTION("""COMPUTED_VALUE"""),0.0)</f>
        <v>0</v>
      </c>
      <c r="F51" s="72">
        <f>IFERROR(__xludf.DUMMYFUNCTION("""COMPUTED_VALUE"""),0.0)</f>
        <v>0</v>
      </c>
      <c r="G51" s="72">
        <f>IFERROR(__xludf.DUMMYFUNCTION("""COMPUTED_VALUE"""),0.0)</f>
        <v>0</v>
      </c>
      <c r="H51" s="72">
        <f>IFERROR(__xludf.DUMMYFUNCTION("""COMPUTED_VALUE"""),0.0)</f>
        <v>0</v>
      </c>
      <c r="I51" s="72">
        <f>IFERROR(__xludf.DUMMYFUNCTION("""COMPUTED_VALUE"""),0.0)</f>
        <v>0</v>
      </c>
      <c r="J51" s="72">
        <f>IFERROR(__xludf.DUMMYFUNCTION("""COMPUTED_VALUE"""),0.0)</f>
        <v>0</v>
      </c>
      <c r="K51" s="72">
        <f>IFERROR(__xludf.DUMMYFUNCTION("""COMPUTED_VALUE"""),0.0)</f>
        <v>0</v>
      </c>
      <c r="L51" s="72">
        <f>IFERROR(__xludf.DUMMYFUNCTION("""COMPUTED_VALUE"""),0.0)</f>
        <v>0</v>
      </c>
      <c r="M51" s="72">
        <f>IFERROR(__xludf.DUMMYFUNCTION("""COMPUTED_VALUE"""),0.0)</f>
        <v>0</v>
      </c>
      <c r="N51" s="72">
        <f>IFERROR(__xludf.DUMMYFUNCTION("""COMPUTED_VALUE"""),0.0)</f>
        <v>0</v>
      </c>
      <c r="O51" s="72">
        <f>IFERROR(__xludf.DUMMYFUNCTION("""COMPUTED_VALUE"""),0.0)</f>
        <v>0</v>
      </c>
      <c r="P51" s="72">
        <f>IFERROR(__xludf.DUMMYFUNCTION("""COMPUTED_VALUE"""),0.0)</f>
        <v>0</v>
      </c>
      <c r="Q51" s="72">
        <f>IFERROR(__xludf.DUMMYFUNCTION("""COMPUTED_VALUE"""),-1.0)</f>
        <v>-1</v>
      </c>
      <c r="R51" s="72">
        <f>IFERROR(__xludf.DUMMYFUNCTION("""COMPUTED_VALUE"""),0.0)</f>
        <v>0</v>
      </c>
      <c r="S51" s="72">
        <f>IFERROR(__xludf.DUMMYFUNCTION("""COMPUTED_VALUE"""),0.0)</f>
        <v>0</v>
      </c>
      <c r="T51" s="72">
        <f>IFERROR(__xludf.DUMMYFUNCTION("""COMPUTED_VALUE"""),0.0)</f>
        <v>0</v>
      </c>
      <c r="U51" s="72">
        <f>IFERROR(__xludf.DUMMYFUNCTION("""COMPUTED_VALUE"""),0.0)</f>
        <v>0</v>
      </c>
      <c r="V51" s="72">
        <f>IFERROR(__xludf.DUMMYFUNCTION("""COMPUTED_VALUE"""),0.0)</f>
        <v>0</v>
      </c>
      <c r="W51" s="72">
        <f>IFERROR(__xludf.DUMMYFUNCTION("""COMPUTED_VALUE"""),0.0)</f>
        <v>0</v>
      </c>
      <c r="X51" s="72">
        <f>IFERROR(__xludf.DUMMYFUNCTION("""COMPUTED_VALUE"""),0.0)</f>
        <v>0</v>
      </c>
      <c r="Y51" s="72">
        <f>IFERROR(__xludf.DUMMYFUNCTION("""COMPUTED_VALUE"""),0.0)</f>
        <v>0</v>
      </c>
      <c r="Z51" s="72">
        <f>IFERROR(__xludf.DUMMYFUNCTION("""COMPUTED_VALUE"""),0.0)</f>
        <v>0</v>
      </c>
      <c r="AA51" s="72">
        <f>IFERROR(__xludf.DUMMYFUNCTION("""COMPUTED_VALUE"""),0.0)</f>
        <v>0</v>
      </c>
      <c r="AB51" s="72">
        <f>IFERROR(__xludf.DUMMYFUNCTION("""COMPUTED_VALUE"""),0.0)</f>
        <v>0</v>
      </c>
      <c r="AC51" s="72">
        <f>IFERROR(__xludf.DUMMYFUNCTION("""COMPUTED_VALUE"""),0.0)</f>
        <v>0</v>
      </c>
      <c r="AD51" s="72">
        <f>IFERROR(__xludf.DUMMYFUNCTION("""COMPUTED_VALUE"""),0.0)</f>
        <v>0</v>
      </c>
      <c r="AE51" s="72">
        <f>IFERROR(__xludf.DUMMYFUNCTION("""COMPUTED_VALUE"""),0.0)</f>
        <v>0</v>
      </c>
      <c r="AF51" s="72">
        <f>IFERROR(__xludf.DUMMYFUNCTION("""COMPUTED_VALUE"""),0.0)</f>
        <v>0</v>
      </c>
      <c r="AG51" s="72">
        <f>IFERROR(__xludf.DUMMYFUNCTION("""COMPUTED_VALUE"""),0.0)</f>
        <v>0</v>
      </c>
      <c r="AH51" s="72">
        <f>IFERROR(__xludf.DUMMYFUNCTION("""COMPUTED_VALUE"""),0.0)</f>
        <v>0</v>
      </c>
      <c r="AI51" s="72">
        <f>IFERROR(__xludf.DUMMYFUNCTION("""COMPUTED_VALUE"""),0.0)</f>
        <v>0</v>
      </c>
      <c r="AJ51" s="72">
        <f>IFERROR(__xludf.DUMMYFUNCTION("""COMPUTED_VALUE"""),0.0)</f>
        <v>0</v>
      </c>
      <c r="AK51" s="72">
        <f>IFERROR(__xludf.DUMMYFUNCTION("""COMPUTED_VALUE"""),0.0)</f>
        <v>0</v>
      </c>
      <c r="AL51" s="72">
        <f>IFERROR(__xludf.DUMMYFUNCTION("""COMPUTED_VALUE"""),0.0)</f>
        <v>0</v>
      </c>
      <c r="AM51" s="72">
        <f>IFERROR(__xludf.DUMMYFUNCTION("""COMPUTED_VALUE"""),0.0)</f>
        <v>0</v>
      </c>
      <c r="AN51" s="72">
        <f>IFERROR(__xludf.DUMMYFUNCTION("""COMPUTED_VALUE"""),0.0)</f>
        <v>0</v>
      </c>
      <c r="AO51" s="72">
        <f>IFERROR(__xludf.DUMMYFUNCTION("""COMPUTED_VALUE"""),0.0)</f>
        <v>0</v>
      </c>
      <c r="AP51" s="72">
        <f>IFERROR(__xludf.DUMMYFUNCTION("""COMPUTED_VALUE"""),0.0)</f>
        <v>0</v>
      </c>
      <c r="AQ51" s="72">
        <f>IFERROR(__xludf.DUMMYFUNCTION("""COMPUTED_VALUE"""),0.0)</f>
        <v>0</v>
      </c>
      <c r="AR51" s="72">
        <f>IFERROR(__xludf.DUMMYFUNCTION("""COMPUTED_VALUE"""),0.0)</f>
        <v>0</v>
      </c>
      <c r="AS51" s="72">
        <f>IFERROR(__xludf.DUMMYFUNCTION("""COMPUTED_VALUE"""),0.0)</f>
        <v>0</v>
      </c>
      <c r="AT51" s="72">
        <f>IFERROR(__xludf.DUMMYFUNCTION("""COMPUTED_VALUE"""),0.0)</f>
        <v>0</v>
      </c>
      <c r="AU51" s="72">
        <f>IFERROR(__xludf.DUMMYFUNCTION("""COMPUTED_VALUE"""),0.0)</f>
        <v>0</v>
      </c>
      <c r="AV51" s="72">
        <f>IFERROR(__xludf.DUMMYFUNCTION("""COMPUTED_VALUE"""),0.0)</f>
        <v>0</v>
      </c>
      <c r="AW51" s="72">
        <f>IFERROR(__xludf.DUMMYFUNCTION("""COMPUTED_VALUE"""),0.0)</f>
        <v>0</v>
      </c>
      <c r="AX51" s="72">
        <f>IFERROR(__xludf.DUMMYFUNCTION("""COMPUTED_VALUE"""),0.0)</f>
        <v>0</v>
      </c>
      <c r="AY51" s="72">
        <f>IFERROR(__xludf.DUMMYFUNCTION("""COMPUTED_VALUE"""),0.0)</f>
        <v>0</v>
      </c>
      <c r="AZ51" s="72" t="str">
        <f>IFERROR(__xludf.DUMMYFUNCTION("""COMPUTED_VALUE"""),"")</f>
        <v/>
      </c>
      <c r="BA51" s="72">
        <f>IFERROR(__xludf.DUMMYFUNCTION("""COMPUTED_VALUE"""),0.0)</f>
        <v>0</v>
      </c>
      <c r="BB51" s="72">
        <f>IFERROR(__xludf.DUMMYFUNCTION("""COMPUTED_VALUE"""),0.0)</f>
        <v>0</v>
      </c>
      <c r="BC51" s="72">
        <f>IFERROR(__xludf.DUMMYFUNCTION("""COMPUTED_VALUE"""),0.0)</f>
        <v>0</v>
      </c>
      <c r="BD51" s="69">
        <f>IFERROR(__xludf.DUMMYFUNCTION("""COMPUTED_VALUE"""),0.0)</f>
        <v>0</v>
      </c>
      <c r="BE51" s="69" t="str">
        <f>IFERROR(__xludf.DUMMYFUNCTION("""COMPUTED_VALUE"""),"")</f>
        <v/>
      </c>
      <c r="BF51" s="69" t="str">
        <f>IFERROR(__xludf.DUMMYFUNCTION("""COMPUTED_VALUE"""),"")</f>
        <v/>
      </c>
      <c r="BG51" s="69" t="str">
        <f>IFERROR(__xludf.DUMMYFUNCTION("""COMPUTED_VALUE"""),"")</f>
        <v/>
      </c>
      <c r="BH51" s="69" t="str">
        <f>IFERROR(__xludf.DUMMYFUNCTION("""COMPUTED_VALUE"""),"")</f>
        <v/>
      </c>
      <c r="BI51" s="69" t="str">
        <f>IFERROR(__xludf.DUMMYFUNCTION("""COMPUTED_VALUE"""),"")</f>
        <v/>
      </c>
      <c r="BJ51" s="69" t="str">
        <f>IFERROR(__xludf.DUMMYFUNCTION("""COMPUTED_VALUE"""),"")</f>
        <v/>
      </c>
      <c r="BK51" s="69" t="str">
        <f>IFERROR(__xludf.DUMMYFUNCTION("""COMPUTED_VALUE"""),"")</f>
        <v/>
      </c>
      <c r="BL51" s="69" t="str">
        <f>IFERROR(__xludf.DUMMYFUNCTION("""COMPUTED_VALUE"""),"")</f>
        <v/>
      </c>
      <c r="BM51" s="69" t="str">
        <f>IFERROR(__xludf.DUMMYFUNCTION("""COMPUTED_VALUE"""),"")</f>
        <v/>
      </c>
      <c r="BN51" s="69" t="str">
        <f>IFERROR(__xludf.DUMMYFUNCTION("""COMPUTED_VALUE"""),"")</f>
        <v/>
      </c>
      <c r="BO51" s="69" t="str">
        <f>IFERROR(__xludf.DUMMYFUNCTION("""COMPUTED_VALUE"""),"")</f>
        <v/>
      </c>
      <c r="BP51" s="69" t="str">
        <f>IFERROR(__xludf.DUMMYFUNCTION("""COMPUTED_VALUE"""),"")</f>
        <v/>
      </c>
      <c r="BQ51" s="69" t="str">
        <f>IFERROR(__xludf.DUMMYFUNCTION("""COMPUTED_VALUE"""),"")</f>
        <v/>
      </c>
      <c r="BR51" s="69" t="str">
        <f>IFERROR(__xludf.DUMMYFUNCTION("""COMPUTED_VALUE"""),"")</f>
        <v/>
      </c>
      <c r="BS51" s="69" t="str">
        <f>IFERROR(__xludf.DUMMYFUNCTION("""COMPUTED_VALUE"""),"")</f>
        <v/>
      </c>
      <c r="BT51" s="69" t="str">
        <f>IFERROR(__xludf.DUMMYFUNCTION("""COMPUTED_VALUE"""),"")</f>
        <v/>
      </c>
      <c r="BU51" s="69" t="str">
        <f>IFERROR(__xludf.DUMMYFUNCTION("""COMPUTED_VALUE"""),"")</f>
        <v/>
      </c>
      <c r="BV51" s="69" t="str">
        <f>IFERROR(__xludf.DUMMYFUNCTION("""COMPUTED_VALUE"""),"")</f>
        <v/>
      </c>
      <c r="BW51" s="69"/>
      <c r="BX51" s="69"/>
      <c r="BY51" s="69"/>
      <c r="BZ51" s="69"/>
      <c r="CA51" s="69"/>
      <c r="CB51" s="69"/>
      <c r="CC51" s="69"/>
      <c r="CD51" s="69"/>
      <c r="CE51" s="69"/>
      <c r="CF51" s="69"/>
    </row>
    <row r="52">
      <c r="A52" s="70" t="str">
        <f>IFERROR(__xludf.DUMMYFUNCTION("""COMPUTED_VALUE"""),"Timey-Wimey")</f>
        <v>Timey-Wimey</v>
      </c>
      <c r="B52" s="71">
        <f>IFERROR(__xludf.DUMMYFUNCTION("""COMPUTED_VALUE"""),-1.0)</f>
        <v>-1</v>
      </c>
      <c r="C52" s="72">
        <f>IFERROR(__xludf.DUMMYFUNCTION("""COMPUTED_VALUE"""),0.0)</f>
        <v>0</v>
      </c>
      <c r="D52" s="72">
        <f>IFERROR(__xludf.DUMMYFUNCTION("""COMPUTED_VALUE"""),0.0)</f>
        <v>0</v>
      </c>
      <c r="E52" s="72">
        <f>IFERROR(__xludf.DUMMYFUNCTION("""COMPUTED_VALUE"""),0.0)</f>
        <v>0</v>
      </c>
      <c r="F52" s="72">
        <f>IFERROR(__xludf.DUMMYFUNCTION("""COMPUTED_VALUE"""),0.0)</f>
        <v>0</v>
      </c>
      <c r="G52" s="72">
        <f>IFERROR(__xludf.DUMMYFUNCTION("""COMPUTED_VALUE"""),0.0)</f>
        <v>0</v>
      </c>
      <c r="H52" s="72">
        <f>IFERROR(__xludf.DUMMYFUNCTION("""COMPUTED_VALUE"""),0.0)</f>
        <v>0</v>
      </c>
      <c r="I52" s="72">
        <f>IFERROR(__xludf.DUMMYFUNCTION("""COMPUTED_VALUE"""),0.0)</f>
        <v>0</v>
      </c>
      <c r="J52" s="72">
        <f>IFERROR(__xludf.DUMMYFUNCTION("""COMPUTED_VALUE"""),0.0)</f>
        <v>0</v>
      </c>
      <c r="K52" s="72">
        <f>IFERROR(__xludf.DUMMYFUNCTION("""COMPUTED_VALUE"""),0.0)</f>
        <v>0</v>
      </c>
      <c r="L52" s="72">
        <f>IFERROR(__xludf.DUMMYFUNCTION("""COMPUTED_VALUE"""),0.0)</f>
        <v>0</v>
      </c>
      <c r="M52" s="72">
        <f>IFERROR(__xludf.DUMMYFUNCTION("""COMPUTED_VALUE"""),0.0)</f>
        <v>0</v>
      </c>
      <c r="N52" s="72">
        <f>IFERROR(__xludf.DUMMYFUNCTION("""COMPUTED_VALUE"""),0.0)</f>
        <v>0</v>
      </c>
      <c r="O52" s="72">
        <f>IFERROR(__xludf.DUMMYFUNCTION("""COMPUTED_VALUE"""),0.0)</f>
        <v>0</v>
      </c>
      <c r="P52" s="72">
        <f>IFERROR(__xludf.DUMMYFUNCTION("""COMPUTED_VALUE"""),-1.0)</f>
        <v>-1</v>
      </c>
      <c r="Q52" s="72">
        <f>IFERROR(__xludf.DUMMYFUNCTION("""COMPUTED_VALUE"""),0.0)</f>
        <v>0</v>
      </c>
      <c r="R52" s="72">
        <f>IFERROR(__xludf.DUMMYFUNCTION("""COMPUTED_VALUE"""),0.0)</f>
        <v>0</v>
      </c>
      <c r="S52" s="72">
        <f>IFERROR(__xludf.DUMMYFUNCTION("""COMPUTED_VALUE"""),0.0)</f>
        <v>0</v>
      </c>
      <c r="T52" s="72">
        <f>IFERROR(__xludf.DUMMYFUNCTION("""COMPUTED_VALUE"""),0.0)</f>
        <v>0</v>
      </c>
      <c r="U52" s="72">
        <f>IFERROR(__xludf.DUMMYFUNCTION("""COMPUTED_VALUE"""),0.0)</f>
        <v>0</v>
      </c>
      <c r="V52" s="72">
        <f>IFERROR(__xludf.DUMMYFUNCTION("""COMPUTED_VALUE"""),0.0)</f>
        <v>0</v>
      </c>
      <c r="W52" s="72">
        <f>IFERROR(__xludf.DUMMYFUNCTION("""COMPUTED_VALUE"""),0.0)</f>
        <v>0</v>
      </c>
      <c r="X52" s="72">
        <f>IFERROR(__xludf.DUMMYFUNCTION("""COMPUTED_VALUE"""),0.0)</f>
        <v>0</v>
      </c>
      <c r="Y52" s="72">
        <f>IFERROR(__xludf.DUMMYFUNCTION("""COMPUTED_VALUE"""),0.0)</f>
        <v>0</v>
      </c>
      <c r="Z52" s="72">
        <f>IFERROR(__xludf.DUMMYFUNCTION("""COMPUTED_VALUE"""),0.0)</f>
        <v>0</v>
      </c>
      <c r="AA52" s="72">
        <f>IFERROR(__xludf.DUMMYFUNCTION("""COMPUTED_VALUE"""),0.0)</f>
        <v>0</v>
      </c>
      <c r="AB52" s="72">
        <f>IFERROR(__xludf.DUMMYFUNCTION("""COMPUTED_VALUE"""),0.0)</f>
        <v>0</v>
      </c>
      <c r="AC52" s="72">
        <f>IFERROR(__xludf.DUMMYFUNCTION("""COMPUTED_VALUE"""),0.0)</f>
        <v>0</v>
      </c>
      <c r="AD52" s="72">
        <f>IFERROR(__xludf.DUMMYFUNCTION("""COMPUTED_VALUE"""),0.0)</f>
        <v>0</v>
      </c>
      <c r="AE52" s="72">
        <f>IFERROR(__xludf.DUMMYFUNCTION("""COMPUTED_VALUE"""),0.0)</f>
        <v>0</v>
      </c>
      <c r="AF52" s="72">
        <f>IFERROR(__xludf.DUMMYFUNCTION("""COMPUTED_VALUE"""),0.0)</f>
        <v>0</v>
      </c>
      <c r="AG52" s="72">
        <f>IFERROR(__xludf.DUMMYFUNCTION("""COMPUTED_VALUE"""),0.0)</f>
        <v>0</v>
      </c>
      <c r="AH52" s="72">
        <f>IFERROR(__xludf.DUMMYFUNCTION("""COMPUTED_VALUE"""),0.0)</f>
        <v>0</v>
      </c>
      <c r="AI52" s="72">
        <f>IFERROR(__xludf.DUMMYFUNCTION("""COMPUTED_VALUE"""),0.0)</f>
        <v>0</v>
      </c>
      <c r="AJ52" s="72">
        <f>IFERROR(__xludf.DUMMYFUNCTION("""COMPUTED_VALUE"""),0.0)</f>
        <v>0</v>
      </c>
      <c r="AK52" s="72">
        <f>IFERROR(__xludf.DUMMYFUNCTION("""COMPUTED_VALUE"""),0.0)</f>
        <v>0</v>
      </c>
      <c r="AL52" s="72">
        <f>IFERROR(__xludf.DUMMYFUNCTION("""COMPUTED_VALUE"""),0.0)</f>
        <v>0</v>
      </c>
      <c r="AM52" s="72">
        <f>IFERROR(__xludf.DUMMYFUNCTION("""COMPUTED_VALUE"""),0.0)</f>
        <v>0</v>
      </c>
      <c r="AN52" s="72">
        <f>IFERROR(__xludf.DUMMYFUNCTION("""COMPUTED_VALUE"""),0.0)</f>
        <v>0</v>
      </c>
      <c r="AO52" s="72">
        <f>IFERROR(__xludf.DUMMYFUNCTION("""COMPUTED_VALUE"""),0.0)</f>
        <v>0</v>
      </c>
      <c r="AP52" s="72">
        <f>IFERROR(__xludf.DUMMYFUNCTION("""COMPUTED_VALUE"""),0.0)</f>
        <v>0</v>
      </c>
      <c r="AQ52" s="72">
        <f>IFERROR(__xludf.DUMMYFUNCTION("""COMPUTED_VALUE"""),0.0)</f>
        <v>0</v>
      </c>
      <c r="AR52" s="72">
        <f>IFERROR(__xludf.DUMMYFUNCTION("""COMPUTED_VALUE"""),0.0)</f>
        <v>0</v>
      </c>
      <c r="AS52" s="72">
        <f>IFERROR(__xludf.DUMMYFUNCTION("""COMPUTED_VALUE"""),0.0)</f>
        <v>0</v>
      </c>
      <c r="AT52" s="72">
        <f>IFERROR(__xludf.DUMMYFUNCTION("""COMPUTED_VALUE"""),0.0)</f>
        <v>0</v>
      </c>
      <c r="AU52" s="72">
        <f>IFERROR(__xludf.DUMMYFUNCTION("""COMPUTED_VALUE"""),0.0)</f>
        <v>0</v>
      </c>
      <c r="AV52" s="72">
        <f>IFERROR(__xludf.DUMMYFUNCTION("""COMPUTED_VALUE"""),0.0)</f>
        <v>0</v>
      </c>
      <c r="AW52" s="72">
        <f>IFERROR(__xludf.DUMMYFUNCTION("""COMPUTED_VALUE"""),0.0)</f>
        <v>0</v>
      </c>
      <c r="AX52" s="72">
        <f>IFERROR(__xludf.DUMMYFUNCTION("""COMPUTED_VALUE"""),0.0)</f>
        <v>0</v>
      </c>
      <c r="AY52" s="72">
        <f>IFERROR(__xludf.DUMMYFUNCTION("""COMPUTED_VALUE"""),0.0)</f>
        <v>0</v>
      </c>
      <c r="AZ52" s="72">
        <f>IFERROR(__xludf.DUMMYFUNCTION("""COMPUTED_VALUE"""),0.0)</f>
        <v>0</v>
      </c>
      <c r="BA52" s="72" t="str">
        <f>IFERROR(__xludf.DUMMYFUNCTION("""COMPUTED_VALUE"""),"")</f>
        <v/>
      </c>
      <c r="BB52" s="72">
        <f>IFERROR(__xludf.DUMMYFUNCTION("""COMPUTED_VALUE"""),0.0)</f>
        <v>0</v>
      </c>
      <c r="BC52" s="72">
        <f>IFERROR(__xludf.DUMMYFUNCTION("""COMPUTED_VALUE"""),0.0)</f>
        <v>0</v>
      </c>
      <c r="BD52" s="69">
        <f>IFERROR(__xludf.DUMMYFUNCTION("""COMPUTED_VALUE"""),0.0)</f>
        <v>0</v>
      </c>
      <c r="BE52" s="69" t="str">
        <f>IFERROR(__xludf.DUMMYFUNCTION("""COMPUTED_VALUE"""),"")</f>
        <v/>
      </c>
      <c r="BF52" s="69" t="str">
        <f>IFERROR(__xludf.DUMMYFUNCTION("""COMPUTED_VALUE"""),"")</f>
        <v/>
      </c>
      <c r="BG52" s="69" t="str">
        <f>IFERROR(__xludf.DUMMYFUNCTION("""COMPUTED_VALUE"""),"")</f>
        <v/>
      </c>
      <c r="BH52" s="69" t="str">
        <f>IFERROR(__xludf.DUMMYFUNCTION("""COMPUTED_VALUE"""),"")</f>
        <v/>
      </c>
      <c r="BI52" s="69" t="str">
        <f>IFERROR(__xludf.DUMMYFUNCTION("""COMPUTED_VALUE"""),"")</f>
        <v/>
      </c>
      <c r="BJ52" s="69" t="str">
        <f>IFERROR(__xludf.DUMMYFUNCTION("""COMPUTED_VALUE"""),"")</f>
        <v/>
      </c>
      <c r="BK52" s="69" t="str">
        <f>IFERROR(__xludf.DUMMYFUNCTION("""COMPUTED_VALUE"""),"")</f>
        <v/>
      </c>
      <c r="BL52" s="69" t="str">
        <f>IFERROR(__xludf.DUMMYFUNCTION("""COMPUTED_VALUE"""),"")</f>
        <v/>
      </c>
      <c r="BM52" s="69" t="str">
        <f>IFERROR(__xludf.DUMMYFUNCTION("""COMPUTED_VALUE"""),"")</f>
        <v/>
      </c>
      <c r="BN52" s="69" t="str">
        <f>IFERROR(__xludf.DUMMYFUNCTION("""COMPUTED_VALUE"""),"")</f>
        <v/>
      </c>
      <c r="BO52" s="69" t="str">
        <f>IFERROR(__xludf.DUMMYFUNCTION("""COMPUTED_VALUE"""),"")</f>
        <v/>
      </c>
      <c r="BP52" s="69" t="str">
        <f>IFERROR(__xludf.DUMMYFUNCTION("""COMPUTED_VALUE"""),"")</f>
        <v/>
      </c>
      <c r="BQ52" s="69" t="str">
        <f>IFERROR(__xludf.DUMMYFUNCTION("""COMPUTED_VALUE"""),"")</f>
        <v/>
      </c>
      <c r="BR52" s="69" t="str">
        <f>IFERROR(__xludf.DUMMYFUNCTION("""COMPUTED_VALUE"""),"")</f>
        <v/>
      </c>
      <c r="BS52" s="69" t="str">
        <f>IFERROR(__xludf.DUMMYFUNCTION("""COMPUTED_VALUE"""),"")</f>
        <v/>
      </c>
      <c r="BT52" s="69" t="str">
        <f>IFERROR(__xludf.DUMMYFUNCTION("""COMPUTED_VALUE"""),"")</f>
        <v/>
      </c>
      <c r="BU52" s="69" t="str">
        <f>IFERROR(__xludf.DUMMYFUNCTION("""COMPUTED_VALUE"""),"")</f>
        <v/>
      </c>
      <c r="BV52" s="69" t="str">
        <f>IFERROR(__xludf.DUMMYFUNCTION("""COMPUTED_VALUE"""),"")</f>
        <v/>
      </c>
      <c r="BW52" s="69"/>
      <c r="BX52" s="69"/>
      <c r="BY52" s="69"/>
      <c r="BZ52" s="69"/>
      <c r="CA52" s="69"/>
      <c r="CB52" s="69"/>
      <c r="CC52" s="69"/>
      <c r="CD52" s="69"/>
      <c r="CE52" s="69"/>
      <c r="CF52" s="69"/>
    </row>
    <row r="53">
      <c r="A53" s="70" t="str">
        <f>IFERROR(__xludf.DUMMYFUNCTION("""COMPUTED_VALUE"""),"Tinker Time")</f>
        <v>Tinker Time</v>
      </c>
      <c r="B53" s="71">
        <f>IFERROR(__xludf.DUMMYFUNCTION("""COMPUTED_VALUE"""),0.0)</f>
        <v>0</v>
      </c>
      <c r="C53" s="72">
        <f>IFERROR(__xludf.DUMMYFUNCTION("""COMPUTED_VALUE"""),0.0)</f>
        <v>0</v>
      </c>
      <c r="D53" s="72">
        <f>IFERROR(__xludf.DUMMYFUNCTION("""COMPUTED_VALUE"""),0.0)</f>
        <v>0</v>
      </c>
      <c r="E53" s="72">
        <f>IFERROR(__xludf.DUMMYFUNCTION("""COMPUTED_VALUE"""),0.0)</f>
        <v>0</v>
      </c>
      <c r="F53" s="72">
        <f>IFERROR(__xludf.DUMMYFUNCTION("""COMPUTED_VALUE"""),0.0)</f>
        <v>0</v>
      </c>
      <c r="G53" s="72">
        <f>IFERROR(__xludf.DUMMYFUNCTION("""COMPUTED_VALUE"""),0.0)</f>
        <v>0</v>
      </c>
      <c r="H53" s="72">
        <f>IFERROR(__xludf.DUMMYFUNCTION("""COMPUTED_VALUE"""),0.0)</f>
        <v>0</v>
      </c>
      <c r="I53" s="72">
        <f>IFERROR(__xludf.DUMMYFUNCTION("""COMPUTED_VALUE"""),0.0)</f>
        <v>0</v>
      </c>
      <c r="J53" s="72">
        <f>IFERROR(__xludf.DUMMYFUNCTION("""COMPUTED_VALUE"""),0.0)</f>
        <v>0</v>
      </c>
      <c r="K53" s="72">
        <f>IFERROR(__xludf.DUMMYFUNCTION("""COMPUTED_VALUE"""),0.0)</f>
        <v>0</v>
      </c>
      <c r="L53" s="72">
        <f>IFERROR(__xludf.DUMMYFUNCTION("""COMPUTED_VALUE"""),-1.0)</f>
        <v>-1</v>
      </c>
      <c r="M53" s="72">
        <f>IFERROR(__xludf.DUMMYFUNCTION("""COMPUTED_VALUE"""),0.0)</f>
        <v>0</v>
      </c>
      <c r="N53" s="72">
        <f>IFERROR(__xludf.DUMMYFUNCTION("""COMPUTED_VALUE"""),0.0)</f>
        <v>0</v>
      </c>
      <c r="O53" s="72">
        <f>IFERROR(__xludf.DUMMYFUNCTION("""COMPUTED_VALUE"""),0.0)</f>
        <v>0</v>
      </c>
      <c r="P53" s="72">
        <f>IFERROR(__xludf.DUMMYFUNCTION("""COMPUTED_VALUE"""),-1.0)</f>
        <v>-1</v>
      </c>
      <c r="Q53" s="72">
        <f>IFERROR(__xludf.DUMMYFUNCTION("""COMPUTED_VALUE"""),0.0)</f>
        <v>0</v>
      </c>
      <c r="R53" s="72">
        <f>IFERROR(__xludf.DUMMYFUNCTION("""COMPUTED_VALUE"""),0.0)</f>
        <v>0</v>
      </c>
      <c r="S53" s="72">
        <f>IFERROR(__xludf.DUMMYFUNCTION("""COMPUTED_VALUE"""),0.0)</f>
        <v>0</v>
      </c>
      <c r="T53" s="72">
        <f>IFERROR(__xludf.DUMMYFUNCTION("""COMPUTED_VALUE"""),0.0)</f>
        <v>0</v>
      </c>
      <c r="U53" s="72">
        <f>IFERROR(__xludf.DUMMYFUNCTION("""COMPUTED_VALUE"""),-1.0)</f>
        <v>-1</v>
      </c>
      <c r="V53" s="72">
        <f>IFERROR(__xludf.DUMMYFUNCTION("""COMPUTED_VALUE"""),0.0)</f>
        <v>0</v>
      </c>
      <c r="W53" s="72">
        <f>IFERROR(__xludf.DUMMYFUNCTION("""COMPUTED_VALUE"""),0.0)</f>
        <v>0</v>
      </c>
      <c r="X53" s="72">
        <f>IFERROR(__xludf.DUMMYFUNCTION("""COMPUTED_VALUE"""),0.0)</f>
        <v>0</v>
      </c>
      <c r="Y53" s="72">
        <f>IFERROR(__xludf.DUMMYFUNCTION("""COMPUTED_VALUE"""),0.0)</f>
        <v>0</v>
      </c>
      <c r="Z53" s="72">
        <f>IFERROR(__xludf.DUMMYFUNCTION("""COMPUTED_VALUE"""),0.0)</f>
        <v>0</v>
      </c>
      <c r="AA53" s="72">
        <f>IFERROR(__xludf.DUMMYFUNCTION("""COMPUTED_VALUE"""),0.0)</f>
        <v>0</v>
      </c>
      <c r="AB53" s="72">
        <f>IFERROR(__xludf.DUMMYFUNCTION("""COMPUTED_VALUE"""),0.0)</f>
        <v>0</v>
      </c>
      <c r="AC53" s="72">
        <f>IFERROR(__xludf.DUMMYFUNCTION("""COMPUTED_VALUE"""),0.0)</f>
        <v>0</v>
      </c>
      <c r="AD53" s="72">
        <f>IFERROR(__xludf.DUMMYFUNCTION("""COMPUTED_VALUE"""),0.0)</f>
        <v>0</v>
      </c>
      <c r="AE53" s="72">
        <f>IFERROR(__xludf.DUMMYFUNCTION("""COMPUTED_VALUE"""),0.0)</f>
        <v>0</v>
      </c>
      <c r="AF53" s="72">
        <f>IFERROR(__xludf.DUMMYFUNCTION("""COMPUTED_VALUE"""),0.0)</f>
        <v>0</v>
      </c>
      <c r="AG53" s="72">
        <f>IFERROR(__xludf.DUMMYFUNCTION("""COMPUTED_VALUE"""),0.0)</f>
        <v>0</v>
      </c>
      <c r="AH53" s="72">
        <f>IFERROR(__xludf.DUMMYFUNCTION("""COMPUTED_VALUE"""),0.0)</f>
        <v>0</v>
      </c>
      <c r="AI53" s="72">
        <f>IFERROR(__xludf.DUMMYFUNCTION("""COMPUTED_VALUE"""),0.0)</f>
        <v>0</v>
      </c>
      <c r="AJ53" s="72">
        <f>IFERROR(__xludf.DUMMYFUNCTION("""COMPUTED_VALUE"""),0.0)</f>
        <v>0</v>
      </c>
      <c r="AK53" s="72">
        <f>IFERROR(__xludf.DUMMYFUNCTION("""COMPUTED_VALUE"""),0.0)</f>
        <v>0</v>
      </c>
      <c r="AL53" s="72">
        <f>IFERROR(__xludf.DUMMYFUNCTION("""COMPUTED_VALUE"""),0.0)</f>
        <v>0</v>
      </c>
      <c r="AM53" s="72">
        <f>IFERROR(__xludf.DUMMYFUNCTION("""COMPUTED_VALUE"""),0.0)</f>
        <v>0</v>
      </c>
      <c r="AN53" s="72">
        <f>IFERROR(__xludf.DUMMYFUNCTION("""COMPUTED_VALUE"""),1.0)</f>
        <v>1</v>
      </c>
      <c r="AO53" s="72">
        <f>IFERROR(__xludf.DUMMYFUNCTION("""COMPUTED_VALUE"""),1.0)</f>
        <v>1</v>
      </c>
      <c r="AP53" s="72">
        <f>IFERROR(__xludf.DUMMYFUNCTION("""COMPUTED_VALUE"""),0.0)</f>
        <v>0</v>
      </c>
      <c r="AQ53" s="72">
        <f>IFERROR(__xludf.DUMMYFUNCTION("""COMPUTED_VALUE"""),0.0)</f>
        <v>0</v>
      </c>
      <c r="AR53" s="72">
        <f>IFERROR(__xludf.DUMMYFUNCTION("""COMPUTED_VALUE"""),1.0)</f>
        <v>1</v>
      </c>
      <c r="AS53" s="72">
        <f>IFERROR(__xludf.DUMMYFUNCTION("""COMPUTED_VALUE"""),0.0)</f>
        <v>0</v>
      </c>
      <c r="AT53" s="72">
        <f>IFERROR(__xludf.DUMMYFUNCTION("""COMPUTED_VALUE"""),0.0)</f>
        <v>0</v>
      </c>
      <c r="AU53" s="72">
        <f>IFERROR(__xludf.DUMMYFUNCTION("""COMPUTED_VALUE"""),0.0)</f>
        <v>0</v>
      </c>
      <c r="AV53" s="72">
        <f>IFERROR(__xludf.DUMMYFUNCTION("""COMPUTED_VALUE"""),0.0)</f>
        <v>0</v>
      </c>
      <c r="AW53" s="72">
        <f>IFERROR(__xludf.DUMMYFUNCTION("""COMPUTED_VALUE"""),0.0)</f>
        <v>0</v>
      </c>
      <c r="AX53" s="72">
        <f>IFERROR(__xludf.DUMMYFUNCTION("""COMPUTED_VALUE"""),0.0)</f>
        <v>0</v>
      </c>
      <c r="AY53" s="72">
        <f>IFERROR(__xludf.DUMMYFUNCTION("""COMPUTED_VALUE"""),0.0)</f>
        <v>0</v>
      </c>
      <c r="AZ53" s="72">
        <f>IFERROR(__xludf.DUMMYFUNCTION("""COMPUTED_VALUE"""),0.0)</f>
        <v>0</v>
      </c>
      <c r="BA53" s="72">
        <f>IFERROR(__xludf.DUMMYFUNCTION("""COMPUTED_VALUE"""),0.0)</f>
        <v>0</v>
      </c>
      <c r="BB53" s="72" t="str">
        <f>IFERROR(__xludf.DUMMYFUNCTION("""COMPUTED_VALUE"""),"")</f>
        <v/>
      </c>
      <c r="BC53" s="72">
        <f>IFERROR(__xludf.DUMMYFUNCTION("""COMPUTED_VALUE"""),0.0)</f>
        <v>0</v>
      </c>
      <c r="BD53" s="69">
        <f>IFERROR(__xludf.DUMMYFUNCTION("""COMPUTED_VALUE"""),0.0)</f>
        <v>0</v>
      </c>
      <c r="BE53" s="69" t="str">
        <f>IFERROR(__xludf.DUMMYFUNCTION("""COMPUTED_VALUE"""),"")</f>
        <v/>
      </c>
      <c r="BF53" s="69" t="str">
        <f>IFERROR(__xludf.DUMMYFUNCTION("""COMPUTED_VALUE"""),"")</f>
        <v/>
      </c>
      <c r="BG53" s="69" t="str">
        <f>IFERROR(__xludf.DUMMYFUNCTION("""COMPUTED_VALUE"""),"")</f>
        <v/>
      </c>
      <c r="BH53" s="69" t="str">
        <f>IFERROR(__xludf.DUMMYFUNCTION("""COMPUTED_VALUE"""),"")</f>
        <v/>
      </c>
      <c r="BI53" s="69" t="str">
        <f>IFERROR(__xludf.DUMMYFUNCTION("""COMPUTED_VALUE"""),"")</f>
        <v/>
      </c>
      <c r="BJ53" s="69" t="str">
        <f>IFERROR(__xludf.DUMMYFUNCTION("""COMPUTED_VALUE"""),"")</f>
        <v/>
      </c>
      <c r="BK53" s="69" t="str">
        <f>IFERROR(__xludf.DUMMYFUNCTION("""COMPUTED_VALUE"""),"")</f>
        <v/>
      </c>
      <c r="BL53" s="69" t="str">
        <f>IFERROR(__xludf.DUMMYFUNCTION("""COMPUTED_VALUE"""),"")</f>
        <v/>
      </c>
      <c r="BM53" s="69" t="str">
        <f>IFERROR(__xludf.DUMMYFUNCTION("""COMPUTED_VALUE"""),"")</f>
        <v/>
      </c>
      <c r="BN53" s="69" t="str">
        <f>IFERROR(__xludf.DUMMYFUNCTION("""COMPUTED_VALUE"""),"")</f>
        <v/>
      </c>
      <c r="BO53" s="69" t="str">
        <f>IFERROR(__xludf.DUMMYFUNCTION("""COMPUTED_VALUE"""),"")</f>
        <v/>
      </c>
      <c r="BP53" s="69" t="str">
        <f>IFERROR(__xludf.DUMMYFUNCTION("""COMPUTED_VALUE"""),"")</f>
        <v/>
      </c>
      <c r="BQ53" s="69" t="str">
        <f>IFERROR(__xludf.DUMMYFUNCTION("""COMPUTED_VALUE"""),"")</f>
        <v/>
      </c>
      <c r="BR53" s="69" t="str">
        <f>IFERROR(__xludf.DUMMYFUNCTION("""COMPUTED_VALUE"""),"")</f>
        <v/>
      </c>
      <c r="BS53" s="69" t="str">
        <f>IFERROR(__xludf.DUMMYFUNCTION("""COMPUTED_VALUE"""),"")</f>
        <v/>
      </c>
      <c r="BT53" s="69" t="str">
        <f>IFERROR(__xludf.DUMMYFUNCTION("""COMPUTED_VALUE"""),"")</f>
        <v/>
      </c>
      <c r="BU53" s="69" t="str">
        <f>IFERROR(__xludf.DUMMYFUNCTION("""COMPUTED_VALUE"""),"")</f>
        <v/>
      </c>
      <c r="BV53" s="69" t="str">
        <f>IFERROR(__xludf.DUMMYFUNCTION("""COMPUTED_VALUE"""),"")</f>
        <v/>
      </c>
      <c r="BW53" s="69"/>
      <c r="BX53" s="69"/>
      <c r="BY53" s="69"/>
      <c r="BZ53" s="69"/>
      <c r="CA53" s="69"/>
      <c r="CB53" s="69"/>
      <c r="CC53" s="69"/>
      <c r="CD53" s="69"/>
      <c r="CE53" s="69"/>
      <c r="CF53" s="69"/>
    </row>
    <row r="54">
      <c r="A54" s="70" t="str">
        <f>IFERROR(__xludf.DUMMYFUNCTION("""COMPUTED_VALUE"""),"Turtle Power!")</f>
        <v>Turtle Power!</v>
      </c>
      <c r="B54" s="71">
        <f>IFERROR(__xludf.DUMMYFUNCTION("""COMPUTED_VALUE"""),-11.0)</f>
        <v>-11</v>
      </c>
      <c r="C54" s="72">
        <f>IFERROR(__xludf.DUMMYFUNCTION("""COMPUTED_VALUE"""),0.0)</f>
        <v>0</v>
      </c>
      <c r="D54" s="72">
        <f>IFERROR(__xludf.DUMMYFUNCTION("""COMPUTED_VALUE"""),0.0)</f>
        <v>0</v>
      </c>
      <c r="E54" s="72">
        <f>IFERROR(__xludf.DUMMYFUNCTION("""COMPUTED_VALUE"""),0.0)</f>
        <v>0</v>
      </c>
      <c r="F54" s="72">
        <f>IFERROR(__xludf.DUMMYFUNCTION("""COMPUTED_VALUE"""),0.0)</f>
        <v>0</v>
      </c>
      <c r="G54" s="72">
        <f>IFERROR(__xludf.DUMMYFUNCTION("""COMPUTED_VALUE"""),0.0)</f>
        <v>0</v>
      </c>
      <c r="H54" s="72">
        <f>IFERROR(__xludf.DUMMYFUNCTION("""COMPUTED_VALUE"""),0.0)</f>
        <v>0</v>
      </c>
      <c r="I54" s="72">
        <f>IFERROR(__xludf.DUMMYFUNCTION("""COMPUTED_VALUE"""),0.0)</f>
        <v>0</v>
      </c>
      <c r="J54" s="72">
        <f>IFERROR(__xludf.DUMMYFUNCTION("""COMPUTED_VALUE"""),0.0)</f>
        <v>0</v>
      </c>
      <c r="K54" s="72">
        <f>IFERROR(__xludf.DUMMYFUNCTION("""COMPUTED_VALUE"""),0.0)</f>
        <v>0</v>
      </c>
      <c r="L54" s="72">
        <f>IFERROR(__xludf.DUMMYFUNCTION("""COMPUTED_VALUE"""),-1.0)</f>
        <v>-1</v>
      </c>
      <c r="M54" s="72">
        <f>IFERROR(__xludf.DUMMYFUNCTION("""COMPUTED_VALUE"""),-1.0)</f>
        <v>-1</v>
      </c>
      <c r="N54" s="72">
        <f>IFERROR(__xludf.DUMMYFUNCTION("""COMPUTED_VALUE"""),0.0)</f>
        <v>0</v>
      </c>
      <c r="O54" s="72">
        <f>IFERROR(__xludf.DUMMYFUNCTION("""COMPUTED_VALUE"""),-1.0)</f>
        <v>-1</v>
      </c>
      <c r="P54" s="72">
        <f>IFERROR(__xludf.DUMMYFUNCTION("""COMPUTED_VALUE"""),0.0)</f>
        <v>0</v>
      </c>
      <c r="Q54" s="72">
        <f>IFERROR(__xludf.DUMMYFUNCTION("""COMPUTED_VALUE"""),-2.0)</f>
        <v>-2</v>
      </c>
      <c r="R54" s="72">
        <f>IFERROR(__xludf.DUMMYFUNCTION("""COMPUTED_VALUE"""),0.0)</f>
        <v>0</v>
      </c>
      <c r="S54" s="72">
        <f>IFERROR(__xludf.DUMMYFUNCTION("""COMPUTED_VALUE"""),0.0)</f>
        <v>0</v>
      </c>
      <c r="T54" s="72">
        <f>IFERROR(__xludf.DUMMYFUNCTION("""COMPUTED_VALUE"""),0.0)</f>
        <v>0</v>
      </c>
      <c r="U54" s="72">
        <f>IFERROR(__xludf.DUMMYFUNCTION("""COMPUTED_VALUE"""),-1.0)</f>
        <v>-1</v>
      </c>
      <c r="V54" s="72">
        <f>IFERROR(__xludf.DUMMYFUNCTION("""COMPUTED_VALUE"""),0.0)</f>
        <v>0</v>
      </c>
      <c r="W54" s="72">
        <f>IFERROR(__xludf.DUMMYFUNCTION("""COMPUTED_VALUE"""),0.0)</f>
        <v>0</v>
      </c>
      <c r="X54" s="72">
        <f>IFERROR(__xludf.DUMMYFUNCTION("""COMPUTED_VALUE"""),0.0)</f>
        <v>0</v>
      </c>
      <c r="Y54" s="72">
        <f>IFERROR(__xludf.DUMMYFUNCTION("""COMPUTED_VALUE"""),0.0)</f>
        <v>0</v>
      </c>
      <c r="Z54" s="72">
        <f>IFERROR(__xludf.DUMMYFUNCTION("""COMPUTED_VALUE"""),-1.0)</f>
        <v>-1</v>
      </c>
      <c r="AA54" s="72">
        <f>IFERROR(__xludf.DUMMYFUNCTION("""COMPUTED_VALUE"""),0.0)</f>
        <v>0</v>
      </c>
      <c r="AB54" s="72">
        <f>IFERROR(__xludf.DUMMYFUNCTION("""COMPUTED_VALUE"""),0.0)</f>
        <v>0</v>
      </c>
      <c r="AC54" s="72">
        <f>IFERROR(__xludf.DUMMYFUNCTION("""COMPUTED_VALUE"""),-2.0)</f>
        <v>-2</v>
      </c>
      <c r="AD54" s="72">
        <f>IFERROR(__xludf.DUMMYFUNCTION("""COMPUTED_VALUE"""),0.0)</f>
        <v>0</v>
      </c>
      <c r="AE54" s="72">
        <f>IFERROR(__xludf.DUMMYFUNCTION("""COMPUTED_VALUE"""),0.0)</f>
        <v>0</v>
      </c>
      <c r="AF54" s="72">
        <f>IFERROR(__xludf.DUMMYFUNCTION("""COMPUTED_VALUE"""),0.0)</f>
        <v>0</v>
      </c>
      <c r="AG54" s="72">
        <f>IFERROR(__xludf.DUMMYFUNCTION("""COMPUTED_VALUE"""),0.0)</f>
        <v>0</v>
      </c>
      <c r="AH54" s="72">
        <f>IFERROR(__xludf.DUMMYFUNCTION("""COMPUTED_VALUE"""),0.0)</f>
        <v>0</v>
      </c>
      <c r="AI54" s="72">
        <f>IFERROR(__xludf.DUMMYFUNCTION("""COMPUTED_VALUE"""),-1.0)</f>
        <v>-1</v>
      </c>
      <c r="AJ54" s="72">
        <f>IFERROR(__xludf.DUMMYFUNCTION("""COMPUTED_VALUE"""),0.0)</f>
        <v>0</v>
      </c>
      <c r="AK54" s="72">
        <f>IFERROR(__xludf.DUMMYFUNCTION("""COMPUTED_VALUE"""),-1.0)</f>
        <v>-1</v>
      </c>
      <c r="AL54" s="72">
        <f>IFERROR(__xludf.DUMMYFUNCTION("""COMPUTED_VALUE"""),0.0)</f>
        <v>0</v>
      </c>
      <c r="AM54" s="72">
        <f>IFERROR(__xludf.DUMMYFUNCTION("""COMPUTED_VALUE"""),0.0)</f>
        <v>0</v>
      </c>
      <c r="AN54" s="72">
        <f>IFERROR(__xludf.DUMMYFUNCTION("""COMPUTED_VALUE"""),0.0)</f>
        <v>0</v>
      </c>
      <c r="AO54" s="72">
        <f>IFERROR(__xludf.DUMMYFUNCTION("""COMPUTED_VALUE"""),0.0)</f>
        <v>0</v>
      </c>
      <c r="AP54" s="72">
        <f>IFERROR(__xludf.DUMMYFUNCTION("""COMPUTED_VALUE"""),0.0)</f>
        <v>0</v>
      </c>
      <c r="AQ54" s="72">
        <f>IFERROR(__xludf.DUMMYFUNCTION("""COMPUTED_VALUE"""),0.0)</f>
        <v>0</v>
      </c>
      <c r="AR54" s="72">
        <f>IFERROR(__xludf.DUMMYFUNCTION("""COMPUTED_VALUE"""),0.0)</f>
        <v>0</v>
      </c>
      <c r="AS54" s="72">
        <f>IFERROR(__xludf.DUMMYFUNCTION("""COMPUTED_VALUE"""),0.0)</f>
        <v>0</v>
      </c>
      <c r="AT54" s="72">
        <f>IFERROR(__xludf.DUMMYFUNCTION("""COMPUTED_VALUE"""),0.0)</f>
        <v>0</v>
      </c>
      <c r="AU54" s="72">
        <f>IFERROR(__xludf.DUMMYFUNCTION("""COMPUTED_VALUE"""),0.0)</f>
        <v>0</v>
      </c>
      <c r="AV54" s="72">
        <f>IFERROR(__xludf.DUMMYFUNCTION("""COMPUTED_VALUE"""),0.0)</f>
        <v>0</v>
      </c>
      <c r="AW54" s="72">
        <f>IFERROR(__xludf.DUMMYFUNCTION("""COMPUTED_VALUE"""),0.0)</f>
        <v>0</v>
      </c>
      <c r="AX54" s="72">
        <f>IFERROR(__xludf.DUMMYFUNCTION("""COMPUTED_VALUE"""),0.0)</f>
        <v>0</v>
      </c>
      <c r="AY54" s="72">
        <f>IFERROR(__xludf.DUMMYFUNCTION("""COMPUTED_VALUE"""),0.0)</f>
        <v>0</v>
      </c>
      <c r="AZ54" s="72">
        <f>IFERROR(__xludf.DUMMYFUNCTION("""COMPUTED_VALUE"""),0.0)</f>
        <v>0</v>
      </c>
      <c r="BA54" s="72">
        <f>IFERROR(__xludf.DUMMYFUNCTION("""COMPUTED_VALUE"""),0.0)</f>
        <v>0</v>
      </c>
      <c r="BB54" s="72">
        <f>IFERROR(__xludf.DUMMYFUNCTION("""COMPUTED_VALUE"""),0.0)</f>
        <v>0</v>
      </c>
      <c r="BC54" s="72" t="str">
        <f>IFERROR(__xludf.DUMMYFUNCTION("""COMPUTED_VALUE"""),"")</f>
        <v/>
      </c>
      <c r="BD54" s="69">
        <f>IFERROR(__xludf.DUMMYFUNCTION("""COMPUTED_VALUE"""),0.0)</f>
        <v>0</v>
      </c>
      <c r="BE54" s="69" t="str">
        <f>IFERROR(__xludf.DUMMYFUNCTION("""COMPUTED_VALUE"""),"")</f>
        <v/>
      </c>
      <c r="BF54" s="69" t="str">
        <f>IFERROR(__xludf.DUMMYFUNCTION("""COMPUTED_VALUE"""),"")</f>
        <v/>
      </c>
      <c r="BG54" s="69" t="str">
        <f>IFERROR(__xludf.DUMMYFUNCTION("""COMPUTED_VALUE"""),"")</f>
        <v/>
      </c>
      <c r="BH54" s="69" t="str">
        <f>IFERROR(__xludf.DUMMYFUNCTION("""COMPUTED_VALUE"""),"")</f>
        <v/>
      </c>
      <c r="BI54" s="69" t="str">
        <f>IFERROR(__xludf.DUMMYFUNCTION("""COMPUTED_VALUE"""),"")</f>
        <v/>
      </c>
      <c r="BJ54" s="69" t="str">
        <f>IFERROR(__xludf.DUMMYFUNCTION("""COMPUTED_VALUE"""),"")</f>
        <v/>
      </c>
      <c r="BK54" s="69" t="str">
        <f>IFERROR(__xludf.DUMMYFUNCTION("""COMPUTED_VALUE"""),"")</f>
        <v/>
      </c>
      <c r="BL54" s="69" t="str">
        <f>IFERROR(__xludf.DUMMYFUNCTION("""COMPUTED_VALUE"""),"")</f>
        <v/>
      </c>
      <c r="BM54" s="69" t="str">
        <f>IFERROR(__xludf.DUMMYFUNCTION("""COMPUTED_VALUE"""),"")</f>
        <v/>
      </c>
      <c r="BN54" s="69" t="str">
        <f>IFERROR(__xludf.DUMMYFUNCTION("""COMPUTED_VALUE"""),"")</f>
        <v/>
      </c>
      <c r="BO54" s="69" t="str">
        <f>IFERROR(__xludf.DUMMYFUNCTION("""COMPUTED_VALUE"""),"")</f>
        <v/>
      </c>
      <c r="BP54" s="69" t="str">
        <f>IFERROR(__xludf.DUMMYFUNCTION("""COMPUTED_VALUE"""),"")</f>
        <v/>
      </c>
      <c r="BQ54" s="69" t="str">
        <f>IFERROR(__xludf.DUMMYFUNCTION("""COMPUTED_VALUE"""),"")</f>
        <v/>
      </c>
      <c r="BR54" s="69" t="str">
        <f>IFERROR(__xludf.DUMMYFUNCTION("""COMPUTED_VALUE"""),"")</f>
        <v/>
      </c>
      <c r="BS54" s="69" t="str">
        <f>IFERROR(__xludf.DUMMYFUNCTION("""COMPUTED_VALUE"""),"")</f>
        <v/>
      </c>
      <c r="BT54" s="69" t="str">
        <f>IFERROR(__xludf.DUMMYFUNCTION("""COMPUTED_VALUE"""),"")</f>
        <v/>
      </c>
      <c r="BU54" s="69" t="str">
        <f>IFERROR(__xludf.DUMMYFUNCTION("""COMPUTED_VALUE"""),"")</f>
        <v/>
      </c>
      <c r="BV54" s="69" t="str">
        <f>IFERROR(__xludf.DUMMYFUNCTION("""COMPUTED_VALUE"""),"")</f>
        <v/>
      </c>
      <c r="BW54" s="69"/>
      <c r="BX54" s="69"/>
      <c r="BY54" s="69"/>
      <c r="BZ54" s="69"/>
      <c r="CA54" s="69"/>
      <c r="CB54" s="69"/>
      <c r="CC54" s="69"/>
      <c r="CD54" s="69"/>
      <c r="CE54" s="69"/>
      <c r="CF54" s="69"/>
    </row>
    <row r="55">
      <c r="A55" s="70" t="str">
        <f>IFERROR(__xludf.DUMMYFUNCTION("""COMPUTED_VALUE"""),"Veloci-ramp-tor")</f>
        <v>Veloci-ramp-tor</v>
      </c>
      <c r="B55" s="71">
        <f>IFERROR(__xludf.DUMMYFUNCTION("""COMPUTED_VALUE"""),-5.0)</f>
        <v>-5</v>
      </c>
      <c r="C55" s="72">
        <f>IFERROR(__xludf.DUMMYFUNCTION("""COMPUTED_VALUE"""),0.0)</f>
        <v>0</v>
      </c>
      <c r="D55" s="72">
        <f>IFERROR(__xludf.DUMMYFUNCTION("""COMPUTED_VALUE"""),0.0)</f>
        <v>0</v>
      </c>
      <c r="E55" s="72">
        <f>IFERROR(__xludf.DUMMYFUNCTION("""COMPUTED_VALUE"""),0.0)</f>
        <v>0</v>
      </c>
      <c r="F55" s="72">
        <f>IFERROR(__xludf.DUMMYFUNCTION("""COMPUTED_VALUE"""),0.0)</f>
        <v>0</v>
      </c>
      <c r="G55" s="72">
        <f>IFERROR(__xludf.DUMMYFUNCTION("""COMPUTED_VALUE"""),0.0)</f>
        <v>0</v>
      </c>
      <c r="H55" s="72">
        <f>IFERROR(__xludf.DUMMYFUNCTION("""COMPUTED_VALUE"""),0.0)</f>
        <v>0</v>
      </c>
      <c r="I55" s="72">
        <f>IFERROR(__xludf.DUMMYFUNCTION("""COMPUTED_VALUE"""),0.0)</f>
        <v>0</v>
      </c>
      <c r="J55" s="72">
        <f>IFERROR(__xludf.DUMMYFUNCTION("""COMPUTED_VALUE"""),0.0)</f>
        <v>0</v>
      </c>
      <c r="K55" s="72">
        <f>IFERROR(__xludf.DUMMYFUNCTION("""COMPUTED_VALUE"""),0.0)</f>
        <v>0</v>
      </c>
      <c r="L55" s="72">
        <f>IFERROR(__xludf.DUMMYFUNCTION("""COMPUTED_VALUE"""),0.0)</f>
        <v>0</v>
      </c>
      <c r="M55" s="72">
        <f>IFERROR(__xludf.DUMMYFUNCTION("""COMPUTED_VALUE"""),-1.0)</f>
        <v>-1</v>
      </c>
      <c r="N55" s="72">
        <f>IFERROR(__xludf.DUMMYFUNCTION("""COMPUTED_VALUE"""),0.0)</f>
        <v>0</v>
      </c>
      <c r="O55" s="72">
        <f>IFERROR(__xludf.DUMMYFUNCTION("""COMPUTED_VALUE"""),0.0)</f>
        <v>0</v>
      </c>
      <c r="P55" s="72">
        <f>IFERROR(__xludf.DUMMYFUNCTION("""COMPUTED_VALUE"""),0.0)</f>
        <v>0</v>
      </c>
      <c r="Q55" s="72">
        <f>IFERROR(__xludf.DUMMYFUNCTION("""COMPUTED_VALUE"""),0.0)</f>
        <v>0</v>
      </c>
      <c r="R55" s="72">
        <f>IFERROR(__xludf.DUMMYFUNCTION("""COMPUTED_VALUE"""),0.0)</f>
        <v>0</v>
      </c>
      <c r="S55" s="72">
        <f>IFERROR(__xludf.DUMMYFUNCTION("""COMPUTED_VALUE"""),0.0)</f>
        <v>0</v>
      </c>
      <c r="T55" s="72">
        <f>IFERROR(__xludf.DUMMYFUNCTION("""COMPUTED_VALUE"""),0.0)</f>
        <v>0</v>
      </c>
      <c r="U55" s="72">
        <f>IFERROR(__xludf.DUMMYFUNCTION("""COMPUTED_VALUE"""),0.0)</f>
        <v>0</v>
      </c>
      <c r="V55" s="72">
        <f>IFERROR(__xludf.DUMMYFUNCTION("""COMPUTED_VALUE"""),0.0)</f>
        <v>0</v>
      </c>
      <c r="W55" s="72">
        <f>IFERROR(__xludf.DUMMYFUNCTION("""COMPUTED_VALUE"""),-1.0)</f>
        <v>-1</v>
      </c>
      <c r="X55" s="72">
        <f>IFERROR(__xludf.DUMMYFUNCTION("""COMPUTED_VALUE"""),0.0)</f>
        <v>0</v>
      </c>
      <c r="Y55" s="72">
        <f>IFERROR(__xludf.DUMMYFUNCTION("""COMPUTED_VALUE"""),0.0)</f>
        <v>0</v>
      </c>
      <c r="Z55" s="72">
        <f>IFERROR(__xludf.DUMMYFUNCTION("""COMPUTED_VALUE"""),0.0)</f>
        <v>0</v>
      </c>
      <c r="AA55" s="72">
        <f>IFERROR(__xludf.DUMMYFUNCTION("""COMPUTED_VALUE"""),0.0)</f>
        <v>0</v>
      </c>
      <c r="AB55" s="72">
        <f>IFERROR(__xludf.DUMMYFUNCTION("""COMPUTED_VALUE"""),0.0)</f>
        <v>0</v>
      </c>
      <c r="AC55" s="72">
        <f>IFERROR(__xludf.DUMMYFUNCTION("""COMPUTED_VALUE"""),0.0)</f>
        <v>0</v>
      </c>
      <c r="AD55" s="72">
        <f>IFERROR(__xludf.DUMMYFUNCTION("""COMPUTED_VALUE"""),0.0)</f>
        <v>0</v>
      </c>
      <c r="AE55" s="72">
        <f>IFERROR(__xludf.DUMMYFUNCTION("""COMPUTED_VALUE"""),0.0)</f>
        <v>0</v>
      </c>
      <c r="AF55" s="72">
        <f>IFERROR(__xludf.DUMMYFUNCTION("""COMPUTED_VALUE"""),0.0)</f>
        <v>0</v>
      </c>
      <c r="AG55" s="72">
        <f>IFERROR(__xludf.DUMMYFUNCTION("""COMPUTED_VALUE"""),0.0)</f>
        <v>0</v>
      </c>
      <c r="AH55" s="72">
        <f>IFERROR(__xludf.DUMMYFUNCTION("""COMPUTED_VALUE"""),0.0)</f>
        <v>0</v>
      </c>
      <c r="AI55" s="72">
        <f>IFERROR(__xludf.DUMMYFUNCTION("""COMPUTED_VALUE"""),0.0)</f>
        <v>0</v>
      </c>
      <c r="AJ55" s="72">
        <f>IFERROR(__xludf.DUMMYFUNCTION("""COMPUTED_VALUE"""),0.0)</f>
        <v>0</v>
      </c>
      <c r="AK55" s="72">
        <f>IFERROR(__xludf.DUMMYFUNCTION("""COMPUTED_VALUE"""),-1.0)</f>
        <v>-1</v>
      </c>
      <c r="AL55" s="72">
        <f>IFERROR(__xludf.DUMMYFUNCTION("""COMPUTED_VALUE"""),0.0)</f>
        <v>0</v>
      </c>
      <c r="AM55" s="72">
        <f>IFERROR(__xludf.DUMMYFUNCTION("""COMPUTED_VALUE"""),-1.0)</f>
        <v>-1</v>
      </c>
      <c r="AN55" s="72">
        <f>IFERROR(__xludf.DUMMYFUNCTION("""COMPUTED_VALUE"""),0.0)</f>
        <v>0</v>
      </c>
      <c r="AO55" s="72">
        <f>IFERROR(__xludf.DUMMYFUNCTION("""COMPUTED_VALUE"""),0.0)</f>
        <v>0</v>
      </c>
      <c r="AP55" s="72">
        <f>IFERROR(__xludf.DUMMYFUNCTION("""COMPUTED_VALUE"""),0.0)</f>
        <v>0</v>
      </c>
      <c r="AQ55" s="72">
        <f>IFERROR(__xludf.DUMMYFUNCTION("""COMPUTED_VALUE"""),0.0)</f>
        <v>0</v>
      </c>
      <c r="AR55" s="72">
        <f>IFERROR(__xludf.DUMMYFUNCTION("""COMPUTED_VALUE"""),-1.0)</f>
        <v>-1</v>
      </c>
      <c r="AS55" s="72">
        <f>IFERROR(__xludf.DUMMYFUNCTION("""COMPUTED_VALUE"""),0.0)</f>
        <v>0</v>
      </c>
      <c r="AT55" s="72">
        <f>IFERROR(__xludf.DUMMYFUNCTION("""COMPUTED_VALUE"""),0.0)</f>
        <v>0</v>
      </c>
      <c r="AU55" s="72">
        <f>IFERROR(__xludf.DUMMYFUNCTION("""COMPUTED_VALUE"""),0.0)</f>
        <v>0</v>
      </c>
      <c r="AV55" s="72">
        <f>IFERROR(__xludf.DUMMYFUNCTION("""COMPUTED_VALUE"""),0.0)</f>
        <v>0</v>
      </c>
      <c r="AW55" s="72">
        <f>IFERROR(__xludf.DUMMYFUNCTION("""COMPUTED_VALUE"""),0.0)</f>
        <v>0</v>
      </c>
      <c r="AX55" s="72">
        <f>IFERROR(__xludf.DUMMYFUNCTION("""COMPUTED_VALUE"""),0.0)</f>
        <v>0</v>
      </c>
      <c r="AY55" s="72">
        <f>IFERROR(__xludf.DUMMYFUNCTION("""COMPUTED_VALUE"""),0.0)</f>
        <v>0</v>
      </c>
      <c r="AZ55" s="72">
        <f>IFERROR(__xludf.DUMMYFUNCTION("""COMPUTED_VALUE"""),0.0)</f>
        <v>0</v>
      </c>
      <c r="BA55" s="72">
        <f>IFERROR(__xludf.DUMMYFUNCTION("""COMPUTED_VALUE"""),0.0)</f>
        <v>0</v>
      </c>
      <c r="BB55" s="72">
        <f>IFERROR(__xludf.DUMMYFUNCTION("""COMPUTED_VALUE"""),0.0)</f>
        <v>0</v>
      </c>
      <c r="BC55" s="72">
        <f>IFERROR(__xludf.DUMMYFUNCTION("""COMPUTED_VALUE"""),0.0)</f>
        <v>0</v>
      </c>
      <c r="BD55" s="69" t="str">
        <f>IFERROR(__xludf.DUMMYFUNCTION("""COMPUTED_VALUE"""),"")</f>
        <v/>
      </c>
      <c r="BE55" s="69" t="str">
        <f>IFERROR(__xludf.DUMMYFUNCTION("""COMPUTED_VALUE"""),"")</f>
        <v/>
      </c>
      <c r="BF55" s="69" t="str">
        <f>IFERROR(__xludf.DUMMYFUNCTION("""COMPUTED_VALUE"""),"")</f>
        <v/>
      </c>
      <c r="BG55" s="69" t="str">
        <f>IFERROR(__xludf.DUMMYFUNCTION("""COMPUTED_VALUE"""),"")</f>
        <v/>
      </c>
      <c r="BH55" s="69" t="str">
        <f>IFERROR(__xludf.DUMMYFUNCTION("""COMPUTED_VALUE"""),"")</f>
        <v/>
      </c>
      <c r="BI55" s="69" t="str">
        <f>IFERROR(__xludf.DUMMYFUNCTION("""COMPUTED_VALUE"""),"")</f>
        <v/>
      </c>
      <c r="BJ55" s="69" t="str">
        <f>IFERROR(__xludf.DUMMYFUNCTION("""COMPUTED_VALUE"""),"")</f>
        <v/>
      </c>
      <c r="BK55" s="69" t="str">
        <f>IFERROR(__xludf.DUMMYFUNCTION("""COMPUTED_VALUE"""),"")</f>
        <v/>
      </c>
      <c r="BL55" s="69" t="str">
        <f>IFERROR(__xludf.DUMMYFUNCTION("""COMPUTED_VALUE"""),"")</f>
        <v/>
      </c>
      <c r="BM55" s="69" t="str">
        <f>IFERROR(__xludf.DUMMYFUNCTION("""COMPUTED_VALUE"""),"")</f>
        <v/>
      </c>
      <c r="BN55" s="69" t="str">
        <f>IFERROR(__xludf.DUMMYFUNCTION("""COMPUTED_VALUE"""),"")</f>
        <v/>
      </c>
      <c r="BO55" s="69" t="str">
        <f>IFERROR(__xludf.DUMMYFUNCTION("""COMPUTED_VALUE"""),"")</f>
        <v/>
      </c>
      <c r="BP55" s="69" t="str">
        <f>IFERROR(__xludf.DUMMYFUNCTION("""COMPUTED_VALUE"""),"")</f>
        <v/>
      </c>
      <c r="BQ55" s="69" t="str">
        <f>IFERROR(__xludf.DUMMYFUNCTION("""COMPUTED_VALUE"""),"")</f>
        <v/>
      </c>
      <c r="BR55" s="69" t="str">
        <f>IFERROR(__xludf.DUMMYFUNCTION("""COMPUTED_VALUE"""),"")</f>
        <v/>
      </c>
      <c r="BS55" s="69" t="str">
        <f>IFERROR(__xludf.DUMMYFUNCTION("""COMPUTED_VALUE"""),"")</f>
        <v/>
      </c>
      <c r="BT55" s="69" t="str">
        <f>IFERROR(__xludf.DUMMYFUNCTION("""COMPUTED_VALUE"""),"")</f>
        <v/>
      </c>
      <c r="BU55" s="69" t="str">
        <f>IFERROR(__xludf.DUMMYFUNCTION("""COMPUTED_VALUE"""),"")</f>
        <v/>
      </c>
      <c r="BV55" s="69" t="str">
        <f>IFERROR(__xludf.DUMMYFUNCTION("""COMPUTED_VALUE"""),"")</f>
        <v/>
      </c>
      <c r="BW55" s="69"/>
      <c r="BX55" s="69"/>
      <c r="BY55" s="69"/>
      <c r="BZ55" s="69"/>
      <c r="CA55" s="69"/>
      <c r="CB55" s="69"/>
      <c r="CC55" s="69"/>
      <c r="CD55" s="69"/>
      <c r="CE55" s="69"/>
      <c r="CF55" s="69"/>
    </row>
    <row r="56">
      <c r="A56" s="69" t="str">
        <f>IFERROR(__xludf.DUMMYFUNCTION("""COMPUTED_VALUE"""),"Virtue and Valor")</f>
        <v>Virtue and Valor</v>
      </c>
      <c r="B56" s="71"/>
      <c r="C56" s="72">
        <f>IFERROR(__xludf.DUMMYFUNCTION("""COMPUTED_VALUE"""),0.0)</f>
        <v>0</v>
      </c>
      <c r="D56" s="72">
        <f>IFERROR(__xludf.DUMMYFUNCTION("""COMPUTED_VALUE"""),0.0)</f>
        <v>0</v>
      </c>
      <c r="E56" s="72">
        <f>IFERROR(__xludf.DUMMYFUNCTION("""COMPUTED_VALUE"""),0.0)</f>
        <v>0</v>
      </c>
      <c r="F56" s="72">
        <f>IFERROR(__xludf.DUMMYFUNCTION("""COMPUTED_VALUE"""),1.0)</f>
        <v>1</v>
      </c>
      <c r="G56" s="72">
        <f>IFERROR(__xludf.DUMMYFUNCTION("""COMPUTED_VALUE"""),0.0)</f>
        <v>0</v>
      </c>
      <c r="H56" s="72">
        <f>IFERROR(__xludf.DUMMYFUNCTION("""COMPUTED_VALUE"""),0.0)</f>
        <v>0</v>
      </c>
      <c r="I56" s="72">
        <f>IFERROR(__xludf.DUMMYFUNCTION("""COMPUTED_VALUE"""),0.0)</f>
        <v>0</v>
      </c>
      <c r="J56" s="72">
        <f>IFERROR(__xludf.DUMMYFUNCTION("""COMPUTED_VALUE"""),0.0)</f>
        <v>0</v>
      </c>
      <c r="K56" s="72">
        <f>IFERROR(__xludf.DUMMYFUNCTION("""COMPUTED_VALUE"""),0.0)</f>
        <v>0</v>
      </c>
      <c r="L56" s="72">
        <f>IFERROR(__xludf.DUMMYFUNCTION("""COMPUTED_VALUE"""),1.0)</f>
        <v>1</v>
      </c>
      <c r="M56" s="72">
        <f>IFERROR(__xludf.DUMMYFUNCTION("""COMPUTED_VALUE"""),0.0)</f>
        <v>0</v>
      </c>
      <c r="N56" s="72">
        <f>IFERROR(__xludf.DUMMYFUNCTION("""COMPUTED_VALUE"""),0.0)</f>
        <v>0</v>
      </c>
      <c r="O56" s="72">
        <f>IFERROR(__xludf.DUMMYFUNCTION("""COMPUTED_VALUE"""),0.0)</f>
        <v>0</v>
      </c>
      <c r="P56" s="72">
        <f>IFERROR(__xludf.DUMMYFUNCTION("""COMPUTED_VALUE"""),0.0)</f>
        <v>0</v>
      </c>
      <c r="Q56" s="72">
        <f>IFERROR(__xludf.DUMMYFUNCTION("""COMPUTED_VALUE"""),0.0)</f>
        <v>0</v>
      </c>
      <c r="R56" s="72">
        <f>IFERROR(__xludf.DUMMYFUNCTION("""COMPUTED_VALUE"""),0.0)</f>
        <v>0</v>
      </c>
      <c r="S56" s="72">
        <f>IFERROR(__xludf.DUMMYFUNCTION("""COMPUTED_VALUE"""),0.0)</f>
        <v>0</v>
      </c>
      <c r="T56" s="72">
        <f>IFERROR(__xludf.DUMMYFUNCTION("""COMPUTED_VALUE"""),0.0)</f>
        <v>0</v>
      </c>
      <c r="U56" s="72">
        <f>IFERROR(__xludf.DUMMYFUNCTION("""COMPUTED_VALUE"""),0.0)</f>
        <v>0</v>
      </c>
      <c r="V56" s="72">
        <f>IFERROR(__xludf.DUMMYFUNCTION("""COMPUTED_VALUE"""),0.0)</f>
        <v>0</v>
      </c>
      <c r="W56" s="72">
        <f>IFERROR(__xludf.DUMMYFUNCTION("""COMPUTED_VALUE"""),1.0)</f>
        <v>1</v>
      </c>
      <c r="X56" s="72">
        <f>IFERROR(__xludf.DUMMYFUNCTION("""COMPUTED_VALUE"""),0.0)</f>
        <v>0</v>
      </c>
      <c r="Y56" s="72">
        <f>IFERROR(__xludf.DUMMYFUNCTION("""COMPUTED_VALUE"""),0.0)</f>
        <v>0</v>
      </c>
      <c r="Z56" s="72">
        <f>IFERROR(__xludf.DUMMYFUNCTION("""COMPUTED_VALUE"""),0.0)</f>
        <v>0</v>
      </c>
      <c r="AA56" s="72">
        <f>IFERROR(__xludf.DUMMYFUNCTION("""COMPUTED_VALUE"""),0.0)</f>
        <v>0</v>
      </c>
      <c r="AB56" s="72">
        <f>IFERROR(__xludf.DUMMYFUNCTION("""COMPUTED_VALUE"""),0.0)</f>
        <v>0</v>
      </c>
      <c r="AC56" s="72">
        <f>IFERROR(__xludf.DUMMYFUNCTION("""COMPUTED_VALUE"""),0.0)</f>
        <v>0</v>
      </c>
      <c r="AD56" s="72">
        <f>IFERROR(__xludf.DUMMYFUNCTION("""COMPUTED_VALUE"""),0.0)</f>
        <v>0</v>
      </c>
      <c r="AE56" s="72">
        <f>IFERROR(__xludf.DUMMYFUNCTION("""COMPUTED_VALUE"""),0.0)</f>
        <v>0</v>
      </c>
      <c r="AF56" s="72">
        <f>IFERROR(__xludf.DUMMYFUNCTION("""COMPUTED_VALUE"""),0.0)</f>
        <v>0</v>
      </c>
      <c r="AG56" s="72">
        <f>IFERROR(__xludf.DUMMYFUNCTION("""COMPUTED_VALUE"""),0.0)</f>
        <v>0</v>
      </c>
      <c r="AH56" s="72">
        <f>IFERROR(__xludf.DUMMYFUNCTION("""COMPUTED_VALUE"""),0.0)</f>
        <v>0</v>
      </c>
      <c r="AI56" s="72">
        <f>IFERROR(__xludf.DUMMYFUNCTION("""COMPUTED_VALUE"""),0.0)</f>
        <v>0</v>
      </c>
      <c r="AJ56" s="72">
        <f>IFERROR(__xludf.DUMMYFUNCTION("""COMPUTED_VALUE"""),0.0)</f>
        <v>0</v>
      </c>
      <c r="AK56" s="72">
        <f>IFERROR(__xludf.DUMMYFUNCTION("""COMPUTED_VALUE"""),0.0)</f>
        <v>0</v>
      </c>
      <c r="AL56" s="72">
        <f>IFERROR(__xludf.DUMMYFUNCTION("""COMPUTED_VALUE"""),1.0)</f>
        <v>1</v>
      </c>
      <c r="AM56" s="72">
        <f>IFERROR(__xludf.DUMMYFUNCTION("""COMPUTED_VALUE"""),0.0)</f>
        <v>0</v>
      </c>
      <c r="AN56" s="72">
        <f>IFERROR(__xludf.DUMMYFUNCTION("""COMPUTED_VALUE"""),0.0)</f>
        <v>0</v>
      </c>
      <c r="AO56" s="72">
        <f>IFERROR(__xludf.DUMMYFUNCTION("""COMPUTED_VALUE"""),1.0)</f>
        <v>1</v>
      </c>
      <c r="AP56" s="72">
        <f>IFERROR(__xludf.DUMMYFUNCTION("""COMPUTED_VALUE"""),0.0)</f>
        <v>0</v>
      </c>
      <c r="AQ56" s="72">
        <f>IFERROR(__xludf.DUMMYFUNCTION("""COMPUTED_VALUE"""),0.0)</f>
        <v>0</v>
      </c>
      <c r="AR56" s="72">
        <f>IFERROR(__xludf.DUMMYFUNCTION("""COMPUTED_VALUE"""),1.0)</f>
        <v>1</v>
      </c>
      <c r="AS56" s="72">
        <f>IFERROR(__xludf.DUMMYFUNCTION("""COMPUTED_VALUE"""),0.0)</f>
        <v>0</v>
      </c>
      <c r="AT56" s="72">
        <f>IFERROR(__xludf.DUMMYFUNCTION("""COMPUTED_VALUE"""),0.0)</f>
        <v>0</v>
      </c>
      <c r="AU56" s="72">
        <f>IFERROR(__xludf.DUMMYFUNCTION("""COMPUTED_VALUE"""),0.0)</f>
        <v>0</v>
      </c>
      <c r="AV56" s="72">
        <f>IFERROR(__xludf.DUMMYFUNCTION("""COMPUTED_VALUE"""),0.0)</f>
        <v>0</v>
      </c>
      <c r="AW56" s="72">
        <f>IFERROR(__xludf.DUMMYFUNCTION("""COMPUTED_VALUE"""),0.0)</f>
        <v>0</v>
      </c>
      <c r="AX56" s="72">
        <f>IFERROR(__xludf.DUMMYFUNCTION("""COMPUTED_VALUE"""),0.0)</f>
        <v>0</v>
      </c>
      <c r="AY56" s="72">
        <f>IFERROR(__xludf.DUMMYFUNCTION("""COMPUTED_VALUE"""),0.0)</f>
        <v>0</v>
      </c>
      <c r="AZ56" s="72">
        <f>IFERROR(__xludf.DUMMYFUNCTION("""COMPUTED_VALUE"""),0.0)</f>
        <v>0</v>
      </c>
      <c r="BA56" s="72">
        <f>IFERROR(__xludf.DUMMYFUNCTION("""COMPUTED_VALUE"""),0.0)</f>
        <v>0</v>
      </c>
      <c r="BB56" s="72">
        <f>IFERROR(__xludf.DUMMYFUNCTION("""COMPUTED_VALUE"""),0.0)</f>
        <v>0</v>
      </c>
      <c r="BC56" s="72">
        <f>IFERROR(__xludf.DUMMYFUNCTION("""COMPUTED_VALUE"""),0.0)</f>
        <v>0</v>
      </c>
      <c r="BD56" s="69">
        <f>IFERROR(__xludf.DUMMYFUNCTION("""COMPUTED_VALUE"""),0.0)</f>
        <v>0</v>
      </c>
      <c r="BE56" s="69" t="str">
        <f>IFERROR(__xludf.DUMMYFUNCTION("""COMPUTED_VALUE"""),"")</f>
        <v/>
      </c>
      <c r="BF56" s="69" t="str">
        <f>IFERROR(__xludf.DUMMYFUNCTION("""COMPUTED_VALUE"""),"")</f>
        <v/>
      </c>
      <c r="BG56" s="69" t="str">
        <f>IFERROR(__xludf.DUMMYFUNCTION("""COMPUTED_VALUE"""),"")</f>
        <v/>
      </c>
      <c r="BH56" s="69" t="str">
        <f>IFERROR(__xludf.DUMMYFUNCTION("""COMPUTED_VALUE"""),"")</f>
        <v/>
      </c>
      <c r="BI56" s="69" t="str">
        <f>IFERROR(__xludf.DUMMYFUNCTION("""COMPUTED_VALUE"""),"")</f>
        <v/>
      </c>
      <c r="BJ56" s="69" t="str">
        <f>IFERROR(__xludf.DUMMYFUNCTION("""COMPUTED_VALUE"""),"")</f>
        <v/>
      </c>
      <c r="BK56" s="69" t="str">
        <f>IFERROR(__xludf.DUMMYFUNCTION("""COMPUTED_VALUE"""),"")</f>
        <v/>
      </c>
      <c r="BL56" s="69" t="str">
        <f>IFERROR(__xludf.DUMMYFUNCTION("""COMPUTED_VALUE"""),"")</f>
        <v/>
      </c>
      <c r="BM56" s="69" t="str">
        <f>IFERROR(__xludf.DUMMYFUNCTION("""COMPUTED_VALUE"""),"")</f>
        <v/>
      </c>
      <c r="BN56" s="69" t="str">
        <f>IFERROR(__xludf.DUMMYFUNCTION("""COMPUTED_VALUE"""),"")</f>
        <v/>
      </c>
      <c r="BO56" s="69" t="str">
        <f>IFERROR(__xludf.DUMMYFUNCTION("""COMPUTED_VALUE"""),"")</f>
        <v/>
      </c>
      <c r="BP56" s="69" t="str">
        <f>IFERROR(__xludf.DUMMYFUNCTION("""COMPUTED_VALUE"""),"")</f>
        <v/>
      </c>
      <c r="BQ56" s="69" t="str">
        <f>IFERROR(__xludf.DUMMYFUNCTION("""COMPUTED_VALUE"""),"")</f>
        <v/>
      </c>
      <c r="BR56" s="69" t="str">
        <f>IFERROR(__xludf.DUMMYFUNCTION("""COMPUTED_VALUE"""),"")</f>
        <v/>
      </c>
      <c r="BS56" s="69" t="str">
        <f>IFERROR(__xludf.DUMMYFUNCTION("""COMPUTED_VALUE"""),"")</f>
        <v/>
      </c>
      <c r="BT56" s="69" t="str">
        <f>IFERROR(__xludf.DUMMYFUNCTION("""COMPUTED_VALUE"""),"")</f>
        <v/>
      </c>
      <c r="BU56" s="69" t="str">
        <f>IFERROR(__xludf.DUMMYFUNCTION("""COMPUTED_VALUE"""),"")</f>
        <v/>
      </c>
      <c r="BV56" s="69" t="str">
        <f>IFERROR(__xludf.DUMMYFUNCTION("""COMPUTED_VALUE"""),"")</f>
        <v/>
      </c>
      <c r="BW56" s="69"/>
      <c r="BX56" s="69"/>
      <c r="BY56" s="69"/>
      <c r="BZ56" s="69"/>
      <c r="CA56" s="69"/>
      <c r="CB56" s="69"/>
      <c r="CC56" s="69"/>
      <c r="CD56" s="69"/>
      <c r="CE56" s="69"/>
      <c r="CF56" s="69"/>
    </row>
    <row r="57">
      <c r="A57" s="69" t="str">
        <f>IFERROR(__xludf.DUMMYFUNCTION("""COMPUTED_VALUE"""),"Wakanda Forever")</f>
        <v>Wakanda Forever</v>
      </c>
      <c r="B57" s="71"/>
      <c r="C57" s="72">
        <f>IFERROR(__xludf.DUMMYFUNCTION("""COMPUTED_VALUE"""),0.0)</f>
        <v>0</v>
      </c>
      <c r="D57" s="72">
        <f>IFERROR(__xludf.DUMMYFUNCTION("""COMPUTED_VALUE"""),0.0)</f>
        <v>0</v>
      </c>
      <c r="E57" s="72">
        <f>IFERROR(__xludf.DUMMYFUNCTION("""COMPUTED_VALUE"""),0.0)</f>
        <v>0</v>
      </c>
      <c r="F57" s="72">
        <f>IFERROR(__xludf.DUMMYFUNCTION("""COMPUTED_VALUE"""),0.0)</f>
        <v>0</v>
      </c>
      <c r="G57" s="72">
        <f>IFERROR(__xludf.DUMMYFUNCTION("""COMPUTED_VALUE"""),0.0)</f>
        <v>0</v>
      </c>
      <c r="H57" s="72">
        <f>IFERROR(__xludf.DUMMYFUNCTION("""COMPUTED_VALUE"""),0.0)</f>
        <v>0</v>
      </c>
      <c r="I57" s="72">
        <f>IFERROR(__xludf.DUMMYFUNCTION("""COMPUTED_VALUE"""),0.0)</f>
        <v>0</v>
      </c>
      <c r="J57" s="72">
        <f>IFERROR(__xludf.DUMMYFUNCTION("""COMPUTED_VALUE"""),0.0)</f>
        <v>0</v>
      </c>
      <c r="K57" s="72">
        <f>IFERROR(__xludf.DUMMYFUNCTION("""COMPUTED_VALUE"""),0.0)</f>
        <v>0</v>
      </c>
      <c r="L57" s="72">
        <f>IFERROR(__xludf.DUMMYFUNCTION("""COMPUTED_VALUE"""),0.0)</f>
        <v>0</v>
      </c>
      <c r="M57" s="72">
        <f>IFERROR(__xludf.DUMMYFUNCTION("""COMPUTED_VALUE"""),0.0)</f>
        <v>0</v>
      </c>
      <c r="N57" s="72">
        <f>IFERROR(__xludf.DUMMYFUNCTION("""COMPUTED_VALUE"""),0.0)</f>
        <v>0</v>
      </c>
      <c r="O57" s="72">
        <f>IFERROR(__xludf.DUMMYFUNCTION("""COMPUTED_VALUE"""),0.0)</f>
        <v>0</v>
      </c>
      <c r="P57" s="72">
        <f>IFERROR(__xludf.DUMMYFUNCTION("""COMPUTED_VALUE"""),0.0)</f>
        <v>0</v>
      </c>
      <c r="Q57" s="72">
        <f>IFERROR(__xludf.DUMMYFUNCTION("""COMPUTED_VALUE"""),0.0)</f>
        <v>0</v>
      </c>
      <c r="R57" s="72">
        <f>IFERROR(__xludf.DUMMYFUNCTION("""COMPUTED_VALUE"""),0.0)</f>
        <v>0</v>
      </c>
      <c r="S57" s="72">
        <f>IFERROR(__xludf.DUMMYFUNCTION("""COMPUTED_VALUE"""),0.0)</f>
        <v>0</v>
      </c>
      <c r="T57" s="72">
        <f>IFERROR(__xludf.DUMMYFUNCTION("""COMPUTED_VALUE"""),0.0)</f>
        <v>0</v>
      </c>
      <c r="U57" s="72">
        <f>IFERROR(__xludf.DUMMYFUNCTION("""COMPUTED_VALUE"""),0.0)</f>
        <v>0</v>
      </c>
      <c r="V57" s="72">
        <f>IFERROR(__xludf.DUMMYFUNCTION("""COMPUTED_VALUE"""),0.0)</f>
        <v>0</v>
      </c>
      <c r="W57" s="72">
        <f>IFERROR(__xludf.DUMMYFUNCTION("""COMPUTED_VALUE"""),0.0)</f>
        <v>0</v>
      </c>
      <c r="X57" s="72">
        <f>IFERROR(__xludf.DUMMYFUNCTION("""COMPUTED_VALUE"""),0.0)</f>
        <v>0</v>
      </c>
      <c r="Y57" s="72">
        <f>IFERROR(__xludf.DUMMYFUNCTION("""COMPUTED_VALUE"""),0.0)</f>
        <v>0</v>
      </c>
      <c r="Z57" s="72">
        <f>IFERROR(__xludf.DUMMYFUNCTION("""COMPUTED_VALUE"""),-1.0)</f>
        <v>-1</v>
      </c>
      <c r="AA57" s="72">
        <f>IFERROR(__xludf.DUMMYFUNCTION("""COMPUTED_VALUE"""),0.0)</f>
        <v>0</v>
      </c>
      <c r="AB57" s="72">
        <f>IFERROR(__xludf.DUMMYFUNCTION("""COMPUTED_VALUE"""),0.0)</f>
        <v>0</v>
      </c>
      <c r="AC57" s="72">
        <f>IFERROR(__xludf.DUMMYFUNCTION("""COMPUTED_VALUE"""),0.0)</f>
        <v>0</v>
      </c>
      <c r="AD57" s="72">
        <f>IFERROR(__xludf.DUMMYFUNCTION("""COMPUTED_VALUE"""),0.0)</f>
        <v>0</v>
      </c>
      <c r="AE57" s="72">
        <f>IFERROR(__xludf.DUMMYFUNCTION("""COMPUTED_VALUE"""),0.0)</f>
        <v>0</v>
      </c>
      <c r="AF57" s="72">
        <f>IFERROR(__xludf.DUMMYFUNCTION("""COMPUTED_VALUE"""),0.0)</f>
        <v>0</v>
      </c>
      <c r="AG57" s="72">
        <f>IFERROR(__xludf.DUMMYFUNCTION("""COMPUTED_VALUE"""),0.0)</f>
        <v>0</v>
      </c>
      <c r="AH57" s="72">
        <f>IFERROR(__xludf.DUMMYFUNCTION("""COMPUTED_VALUE"""),0.0)</f>
        <v>0</v>
      </c>
      <c r="AI57" s="72">
        <f>IFERROR(__xludf.DUMMYFUNCTION("""COMPUTED_VALUE"""),0.0)</f>
        <v>0</v>
      </c>
      <c r="AJ57" s="72">
        <f>IFERROR(__xludf.DUMMYFUNCTION("""COMPUTED_VALUE"""),0.0)</f>
        <v>0</v>
      </c>
      <c r="AK57" s="72">
        <f>IFERROR(__xludf.DUMMYFUNCTION("""COMPUTED_VALUE"""),0.0)</f>
        <v>0</v>
      </c>
      <c r="AL57" s="72">
        <f>IFERROR(__xludf.DUMMYFUNCTION("""COMPUTED_VALUE"""),0.0)</f>
        <v>0</v>
      </c>
      <c r="AM57" s="72">
        <f>IFERROR(__xludf.DUMMYFUNCTION("""COMPUTED_VALUE"""),0.0)</f>
        <v>0</v>
      </c>
      <c r="AN57" s="72">
        <f>IFERROR(__xludf.DUMMYFUNCTION("""COMPUTED_VALUE"""),0.0)</f>
        <v>0</v>
      </c>
      <c r="AO57" s="72">
        <f>IFERROR(__xludf.DUMMYFUNCTION("""COMPUTED_VALUE"""),0.0)</f>
        <v>0</v>
      </c>
      <c r="AP57" s="72">
        <f>IFERROR(__xludf.DUMMYFUNCTION("""COMPUTED_VALUE"""),0.0)</f>
        <v>0</v>
      </c>
      <c r="AQ57" s="72">
        <f>IFERROR(__xludf.DUMMYFUNCTION("""COMPUTED_VALUE"""),0.0)</f>
        <v>0</v>
      </c>
      <c r="AR57" s="72">
        <f>IFERROR(__xludf.DUMMYFUNCTION("""COMPUTED_VALUE"""),0.0)</f>
        <v>0</v>
      </c>
      <c r="AS57" s="72">
        <f>IFERROR(__xludf.DUMMYFUNCTION("""COMPUTED_VALUE"""),0.0)</f>
        <v>0</v>
      </c>
      <c r="AT57" s="72">
        <f>IFERROR(__xludf.DUMMYFUNCTION("""COMPUTED_VALUE"""),0.0)</f>
        <v>0</v>
      </c>
      <c r="AU57" s="72">
        <f>IFERROR(__xludf.DUMMYFUNCTION("""COMPUTED_VALUE"""),0.0)</f>
        <v>0</v>
      </c>
      <c r="AV57" s="72">
        <f>IFERROR(__xludf.DUMMYFUNCTION("""COMPUTED_VALUE"""),0.0)</f>
        <v>0</v>
      </c>
      <c r="AW57" s="72">
        <f>IFERROR(__xludf.DUMMYFUNCTION("""COMPUTED_VALUE"""),0.0)</f>
        <v>0</v>
      </c>
      <c r="AX57" s="72">
        <f>IFERROR(__xludf.DUMMYFUNCTION("""COMPUTED_VALUE"""),0.0)</f>
        <v>0</v>
      </c>
      <c r="AY57" s="72">
        <f>IFERROR(__xludf.DUMMYFUNCTION("""COMPUTED_VALUE"""),0.0)</f>
        <v>0</v>
      </c>
      <c r="AZ57" s="72">
        <f>IFERROR(__xludf.DUMMYFUNCTION("""COMPUTED_VALUE"""),0.0)</f>
        <v>0</v>
      </c>
      <c r="BA57" s="72">
        <f>IFERROR(__xludf.DUMMYFUNCTION("""COMPUTED_VALUE"""),0.0)</f>
        <v>0</v>
      </c>
      <c r="BB57" s="72">
        <f>IFERROR(__xludf.DUMMYFUNCTION("""COMPUTED_VALUE"""),0.0)</f>
        <v>0</v>
      </c>
      <c r="BC57" s="72">
        <f>IFERROR(__xludf.DUMMYFUNCTION("""COMPUTED_VALUE"""),0.0)</f>
        <v>0</v>
      </c>
      <c r="BD57" s="69">
        <f>IFERROR(__xludf.DUMMYFUNCTION("""COMPUTED_VALUE"""),0.0)</f>
        <v>0</v>
      </c>
      <c r="BE57" s="69" t="str">
        <f>IFERROR(__xludf.DUMMYFUNCTION("""COMPUTED_VALUE"""),"")</f>
        <v/>
      </c>
      <c r="BF57" s="69" t="str">
        <f>IFERROR(__xludf.DUMMYFUNCTION("""COMPUTED_VALUE"""),"")</f>
        <v/>
      </c>
      <c r="BG57" s="69" t="str">
        <f>IFERROR(__xludf.DUMMYFUNCTION("""COMPUTED_VALUE"""),"")</f>
        <v/>
      </c>
      <c r="BH57" s="69" t="str">
        <f>IFERROR(__xludf.DUMMYFUNCTION("""COMPUTED_VALUE"""),"")</f>
        <v/>
      </c>
      <c r="BI57" s="69" t="str">
        <f>IFERROR(__xludf.DUMMYFUNCTION("""COMPUTED_VALUE"""),"")</f>
        <v/>
      </c>
      <c r="BJ57" s="69" t="str">
        <f>IFERROR(__xludf.DUMMYFUNCTION("""COMPUTED_VALUE"""),"")</f>
        <v/>
      </c>
      <c r="BK57" s="69" t="str">
        <f>IFERROR(__xludf.DUMMYFUNCTION("""COMPUTED_VALUE"""),"")</f>
        <v/>
      </c>
      <c r="BL57" s="69" t="str">
        <f>IFERROR(__xludf.DUMMYFUNCTION("""COMPUTED_VALUE"""),"")</f>
        <v/>
      </c>
      <c r="BM57" s="69" t="str">
        <f>IFERROR(__xludf.DUMMYFUNCTION("""COMPUTED_VALUE"""),"")</f>
        <v/>
      </c>
      <c r="BN57" s="69" t="str">
        <f>IFERROR(__xludf.DUMMYFUNCTION("""COMPUTED_VALUE"""),"")</f>
        <v/>
      </c>
      <c r="BO57" s="69" t="str">
        <f>IFERROR(__xludf.DUMMYFUNCTION("""COMPUTED_VALUE"""),"")</f>
        <v/>
      </c>
      <c r="BP57" s="69" t="str">
        <f>IFERROR(__xludf.DUMMYFUNCTION("""COMPUTED_VALUE"""),"")</f>
        <v/>
      </c>
      <c r="BQ57" s="69" t="str">
        <f>IFERROR(__xludf.DUMMYFUNCTION("""COMPUTED_VALUE"""),"")</f>
        <v/>
      </c>
      <c r="BR57" s="69" t="str">
        <f>IFERROR(__xludf.DUMMYFUNCTION("""COMPUTED_VALUE"""),"")</f>
        <v/>
      </c>
      <c r="BS57" s="69" t="str">
        <f>IFERROR(__xludf.DUMMYFUNCTION("""COMPUTED_VALUE"""),"")</f>
        <v/>
      </c>
      <c r="BT57" s="69" t="str">
        <f>IFERROR(__xludf.DUMMYFUNCTION("""COMPUTED_VALUE"""),"")</f>
        <v/>
      </c>
      <c r="BU57" s="69" t="str">
        <f>IFERROR(__xludf.DUMMYFUNCTION("""COMPUTED_VALUE"""),"")</f>
        <v/>
      </c>
      <c r="BV57" s="69" t="str">
        <f>IFERROR(__xludf.DUMMYFUNCTION("""COMPUTED_VALUE"""),"")</f>
        <v/>
      </c>
      <c r="BW57" s="69"/>
      <c r="BX57" s="69"/>
      <c r="BY57" s="69"/>
      <c r="BZ57" s="69"/>
      <c r="CA57" s="69"/>
      <c r="CB57" s="69"/>
      <c r="CC57" s="69"/>
      <c r="CD57" s="69"/>
      <c r="CE57" s="69"/>
      <c r="CF57" s="69"/>
    </row>
    <row r="58">
      <c r="A58" s="69" t="str">
        <f>IFERROR(__xludf.DUMMYFUNCTION("""COMPUTED_VALUE"""),"Witherbloom Pestilence")</f>
        <v>Witherbloom Pestilence</v>
      </c>
      <c r="B58" s="71"/>
      <c r="C58" s="72">
        <f>IFERROR(__xludf.DUMMYFUNCTION("""COMPUTED_VALUE"""),0.0)</f>
        <v>0</v>
      </c>
      <c r="D58" s="72">
        <f>IFERROR(__xludf.DUMMYFUNCTION("""COMPUTED_VALUE"""),0.0)</f>
        <v>0</v>
      </c>
      <c r="E58" s="72">
        <f>IFERROR(__xludf.DUMMYFUNCTION("""COMPUTED_VALUE"""),0.0)</f>
        <v>0</v>
      </c>
      <c r="F58" s="72">
        <f>IFERROR(__xludf.DUMMYFUNCTION("""COMPUTED_VALUE"""),0.0)</f>
        <v>0</v>
      </c>
      <c r="G58" s="72">
        <f>IFERROR(__xludf.DUMMYFUNCTION("""COMPUTED_VALUE"""),0.0)</f>
        <v>0</v>
      </c>
      <c r="H58" s="72">
        <f>IFERROR(__xludf.DUMMYFUNCTION("""COMPUTED_VALUE"""),0.0)</f>
        <v>0</v>
      </c>
      <c r="I58" s="72">
        <f>IFERROR(__xludf.DUMMYFUNCTION("""COMPUTED_VALUE"""),0.0)</f>
        <v>0</v>
      </c>
      <c r="J58" s="72">
        <f>IFERROR(__xludf.DUMMYFUNCTION("""COMPUTED_VALUE"""),0.0)</f>
        <v>0</v>
      </c>
      <c r="K58" s="72">
        <f>IFERROR(__xludf.DUMMYFUNCTION("""COMPUTED_VALUE"""),-1.0)</f>
        <v>-1</v>
      </c>
      <c r="L58" s="72">
        <f>IFERROR(__xludf.DUMMYFUNCTION("""COMPUTED_VALUE"""),0.0)</f>
        <v>0</v>
      </c>
      <c r="M58" s="72">
        <f>IFERROR(__xludf.DUMMYFUNCTION("""COMPUTED_VALUE"""),0.0)</f>
        <v>0</v>
      </c>
      <c r="N58" s="72">
        <f>IFERROR(__xludf.DUMMYFUNCTION("""COMPUTED_VALUE"""),0.0)</f>
        <v>0</v>
      </c>
      <c r="O58" s="72">
        <f>IFERROR(__xludf.DUMMYFUNCTION("""COMPUTED_VALUE"""),-1.0)</f>
        <v>-1</v>
      </c>
      <c r="P58" s="72">
        <f>IFERROR(__xludf.DUMMYFUNCTION("""COMPUTED_VALUE"""),0.0)</f>
        <v>0</v>
      </c>
      <c r="Q58" s="72">
        <f>IFERROR(__xludf.DUMMYFUNCTION("""COMPUTED_VALUE"""),0.0)</f>
        <v>0</v>
      </c>
      <c r="R58" s="72">
        <f>IFERROR(__xludf.DUMMYFUNCTION("""COMPUTED_VALUE"""),-1.0)</f>
        <v>-1</v>
      </c>
      <c r="S58" s="72">
        <f>IFERROR(__xludf.DUMMYFUNCTION("""COMPUTED_VALUE"""),0.0)</f>
        <v>0</v>
      </c>
      <c r="T58" s="72">
        <f>IFERROR(__xludf.DUMMYFUNCTION("""COMPUTED_VALUE"""),0.0)</f>
        <v>0</v>
      </c>
      <c r="U58" s="72">
        <f>IFERROR(__xludf.DUMMYFUNCTION("""COMPUTED_VALUE"""),0.0)</f>
        <v>0</v>
      </c>
      <c r="V58" s="72">
        <f>IFERROR(__xludf.DUMMYFUNCTION("""COMPUTED_VALUE"""),0.0)</f>
        <v>0</v>
      </c>
      <c r="W58" s="72">
        <f>IFERROR(__xludf.DUMMYFUNCTION("""COMPUTED_VALUE"""),0.0)</f>
        <v>0</v>
      </c>
      <c r="X58" s="72">
        <f>IFERROR(__xludf.DUMMYFUNCTION("""COMPUTED_VALUE"""),0.0)</f>
        <v>0</v>
      </c>
      <c r="Y58" s="72">
        <f>IFERROR(__xludf.DUMMYFUNCTION("""COMPUTED_VALUE"""),0.0)</f>
        <v>0</v>
      </c>
      <c r="Z58" s="72">
        <f>IFERROR(__xludf.DUMMYFUNCTION("""COMPUTED_VALUE"""),-1.0)</f>
        <v>-1</v>
      </c>
      <c r="AA58" s="72">
        <f>IFERROR(__xludf.DUMMYFUNCTION("""COMPUTED_VALUE"""),0.0)</f>
        <v>0</v>
      </c>
      <c r="AB58" s="72">
        <f>IFERROR(__xludf.DUMMYFUNCTION("""COMPUTED_VALUE"""),0.0)</f>
        <v>0</v>
      </c>
      <c r="AC58" s="72">
        <f>IFERROR(__xludf.DUMMYFUNCTION("""COMPUTED_VALUE"""),0.0)</f>
        <v>0</v>
      </c>
      <c r="AD58" s="72">
        <f>IFERROR(__xludf.DUMMYFUNCTION("""COMPUTED_VALUE"""),0.0)</f>
        <v>0</v>
      </c>
      <c r="AE58" s="72">
        <f>IFERROR(__xludf.DUMMYFUNCTION("""COMPUTED_VALUE"""),0.0)</f>
        <v>0</v>
      </c>
      <c r="AF58" s="72">
        <f>IFERROR(__xludf.DUMMYFUNCTION("""COMPUTED_VALUE"""),0.0)</f>
        <v>0</v>
      </c>
      <c r="AG58" s="72">
        <f>IFERROR(__xludf.DUMMYFUNCTION("""COMPUTED_VALUE"""),0.0)</f>
        <v>0</v>
      </c>
      <c r="AH58" s="72">
        <f>IFERROR(__xludf.DUMMYFUNCTION("""COMPUTED_VALUE"""),0.0)</f>
        <v>0</v>
      </c>
      <c r="AI58" s="72">
        <f>IFERROR(__xludf.DUMMYFUNCTION("""COMPUTED_VALUE"""),0.0)</f>
        <v>0</v>
      </c>
      <c r="AJ58" s="72">
        <f>IFERROR(__xludf.DUMMYFUNCTION("""COMPUTED_VALUE"""),0.0)</f>
        <v>0</v>
      </c>
      <c r="AK58" s="72">
        <f>IFERROR(__xludf.DUMMYFUNCTION("""COMPUTED_VALUE"""),-1.0)</f>
        <v>-1</v>
      </c>
      <c r="AL58" s="72">
        <f>IFERROR(__xludf.DUMMYFUNCTION("""COMPUTED_VALUE"""),0.0)</f>
        <v>0</v>
      </c>
      <c r="AM58" s="72">
        <f>IFERROR(__xludf.DUMMYFUNCTION("""COMPUTED_VALUE"""),0.0)</f>
        <v>0</v>
      </c>
      <c r="AN58" s="72">
        <f>IFERROR(__xludf.DUMMYFUNCTION("""COMPUTED_VALUE"""),0.0)</f>
        <v>0</v>
      </c>
      <c r="AO58" s="72">
        <f>IFERROR(__xludf.DUMMYFUNCTION("""COMPUTED_VALUE"""),0.0)</f>
        <v>0</v>
      </c>
      <c r="AP58" s="72">
        <f>IFERROR(__xludf.DUMMYFUNCTION("""COMPUTED_VALUE"""),-1.0)</f>
        <v>-1</v>
      </c>
      <c r="AQ58" s="72">
        <f>IFERROR(__xludf.DUMMYFUNCTION("""COMPUTED_VALUE"""),0.0)</f>
        <v>0</v>
      </c>
      <c r="AR58" s="72">
        <f>IFERROR(__xludf.DUMMYFUNCTION("""COMPUTED_VALUE"""),0.0)</f>
        <v>0</v>
      </c>
      <c r="AS58" s="72">
        <f>IFERROR(__xludf.DUMMYFUNCTION("""COMPUTED_VALUE"""),0.0)</f>
        <v>0</v>
      </c>
      <c r="AT58" s="72">
        <f>IFERROR(__xludf.DUMMYFUNCTION("""COMPUTED_VALUE"""),0.0)</f>
        <v>0</v>
      </c>
      <c r="AU58" s="72">
        <f>IFERROR(__xludf.DUMMYFUNCTION("""COMPUTED_VALUE"""),0.0)</f>
        <v>0</v>
      </c>
      <c r="AV58" s="72">
        <f>IFERROR(__xludf.DUMMYFUNCTION("""COMPUTED_VALUE"""),-1.0)</f>
        <v>-1</v>
      </c>
      <c r="AW58" s="72">
        <f>IFERROR(__xludf.DUMMYFUNCTION("""COMPUTED_VALUE"""),-1.0)</f>
        <v>-1</v>
      </c>
      <c r="AX58" s="72">
        <f>IFERROR(__xludf.DUMMYFUNCTION("""COMPUTED_VALUE"""),0.0)</f>
        <v>0</v>
      </c>
      <c r="AY58" s="72">
        <f>IFERROR(__xludf.DUMMYFUNCTION("""COMPUTED_VALUE"""),0.0)</f>
        <v>0</v>
      </c>
      <c r="AZ58" s="72">
        <f>IFERROR(__xludf.DUMMYFUNCTION("""COMPUTED_VALUE"""),0.0)</f>
        <v>0</v>
      </c>
      <c r="BA58" s="72">
        <f>IFERROR(__xludf.DUMMYFUNCTION("""COMPUTED_VALUE"""),0.0)</f>
        <v>0</v>
      </c>
      <c r="BB58" s="72">
        <f>IFERROR(__xludf.DUMMYFUNCTION("""COMPUTED_VALUE"""),0.0)</f>
        <v>0</v>
      </c>
      <c r="BC58" s="72">
        <f>IFERROR(__xludf.DUMMYFUNCTION("""COMPUTED_VALUE"""),0.0)</f>
        <v>0</v>
      </c>
      <c r="BD58" s="69">
        <f>IFERROR(__xludf.DUMMYFUNCTION("""COMPUTED_VALUE"""),0.0)</f>
        <v>0</v>
      </c>
      <c r="BE58" s="69" t="str">
        <f>IFERROR(__xludf.DUMMYFUNCTION("""COMPUTED_VALUE"""),"")</f>
        <v/>
      </c>
      <c r="BF58" s="69" t="str">
        <f>IFERROR(__xludf.DUMMYFUNCTION("""COMPUTED_VALUE"""),"")</f>
        <v/>
      </c>
      <c r="BG58" s="69" t="str">
        <f>IFERROR(__xludf.DUMMYFUNCTION("""COMPUTED_VALUE"""),"")</f>
        <v/>
      </c>
      <c r="BH58" s="69" t="str">
        <f>IFERROR(__xludf.DUMMYFUNCTION("""COMPUTED_VALUE"""),"")</f>
        <v/>
      </c>
      <c r="BI58" s="69" t="str">
        <f>IFERROR(__xludf.DUMMYFUNCTION("""COMPUTED_VALUE"""),"")</f>
        <v/>
      </c>
      <c r="BJ58" s="69" t="str">
        <f>IFERROR(__xludf.DUMMYFUNCTION("""COMPUTED_VALUE"""),"")</f>
        <v/>
      </c>
      <c r="BK58" s="69" t="str">
        <f>IFERROR(__xludf.DUMMYFUNCTION("""COMPUTED_VALUE"""),"")</f>
        <v/>
      </c>
      <c r="BL58" s="69" t="str">
        <f>IFERROR(__xludf.DUMMYFUNCTION("""COMPUTED_VALUE"""),"")</f>
        <v/>
      </c>
      <c r="BM58" s="69" t="str">
        <f>IFERROR(__xludf.DUMMYFUNCTION("""COMPUTED_VALUE"""),"")</f>
        <v/>
      </c>
      <c r="BN58" s="69" t="str">
        <f>IFERROR(__xludf.DUMMYFUNCTION("""COMPUTED_VALUE"""),"")</f>
        <v/>
      </c>
      <c r="BO58" s="69" t="str">
        <f>IFERROR(__xludf.DUMMYFUNCTION("""COMPUTED_VALUE"""),"")</f>
        <v/>
      </c>
      <c r="BP58" s="69" t="str">
        <f>IFERROR(__xludf.DUMMYFUNCTION("""COMPUTED_VALUE"""),"")</f>
        <v/>
      </c>
      <c r="BQ58" s="69" t="str">
        <f>IFERROR(__xludf.DUMMYFUNCTION("""COMPUTED_VALUE"""),"")</f>
        <v/>
      </c>
      <c r="BR58" s="69" t="str">
        <f>IFERROR(__xludf.DUMMYFUNCTION("""COMPUTED_VALUE"""),"")</f>
        <v/>
      </c>
      <c r="BS58" s="69" t="str">
        <f>IFERROR(__xludf.DUMMYFUNCTION("""COMPUTED_VALUE"""),"")</f>
        <v/>
      </c>
      <c r="BT58" s="69" t="str">
        <f>IFERROR(__xludf.DUMMYFUNCTION("""COMPUTED_VALUE"""),"")</f>
        <v/>
      </c>
      <c r="BU58" s="69" t="str">
        <f>IFERROR(__xludf.DUMMYFUNCTION("""COMPUTED_VALUE"""),"")</f>
        <v/>
      </c>
      <c r="BV58" s="69" t="str">
        <f>IFERROR(__xludf.DUMMYFUNCTION("""COMPUTED_VALUE"""),"")</f>
        <v/>
      </c>
      <c r="BW58" s="69"/>
      <c r="BX58" s="69"/>
      <c r="BY58" s="69"/>
      <c r="BZ58" s="69"/>
      <c r="CA58" s="69"/>
      <c r="CB58" s="69"/>
      <c r="CC58" s="69"/>
      <c r="CD58" s="69"/>
      <c r="CE58" s="69"/>
      <c r="CF58" s="69"/>
    </row>
    <row r="59">
      <c r="A59" s="69" t="str">
        <f>IFERROR(__xludf.DUMMYFUNCTION("""COMPUTED_VALUE"""),"World Shaper")</f>
        <v>World Shaper</v>
      </c>
      <c r="B59" s="71"/>
      <c r="C59" s="72">
        <f>IFERROR(__xludf.DUMMYFUNCTION("""COMPUTED_VALUE"""),0.0)</f>
        <v>0</v>
      </c>
      <c r="D59" s="72">
        <f>IFERROR(__xludf.DUMMYFUNCTION("""COMPUTED_VALUE"""),0.0)</f>
        <v>0</v>
      </c>
      <c r="E59" s="72">
        <f>IFERROR(__xludf.DUMMYFUNCTION("""COMPUTED_VALUE"""),0.0)</f>
        <v>0</v>
      </c>
      <c r="F59" s="72">
        <f>IFERROR(__xludf.DUMMYFUNCTION("""COMPUTED_VALUE"""),0.0)</f>
        <v>0</v>
      </c>
      <c r="G59" s="72">
        <f>IFERROR(__xludf.DUMMYFUNCTION("""COMPUTED_VALUE"""),0.0)</f>
        <v>0</v>
      </c>
      <c r="H59" s="72">
        <f>IFERROR(__xludf.DUMMYFUNCTION("""COMPUTED_VALUE"""),0.0)</f>
        <v>0</v>
      </c>
      <c r="I59" s="72">
        <f>IFERROR(__xludf.DUMMYFUNCTION("""COMPUTED_VALUE"""),0.0)</f>
        <v>0</v>
      </c>
      <c r="J59" s="72">
        <f>IFERROR(__xludf.DUMMYFUNCTION("""COMPUTED_VALUE"""),0.0)</f>
        <v>0</v>
      </c>
      <c r="K59" s="72">
        <f>IFERROR(__xludf.DUMMYFUNCTION("""COMPUTED_VALUE"""),0.0)</f>
        <v>0</v>
      </c>
      <c r="L59" s="72">
        <f>IFERROR(__xludf.DUMMYFUNCTION("""COMPUTED_VALUE"""),0.0)</f>
        <v>0</v>
      </c>
      <c r="M59" s="72">
        <f>IFERROR(__xludf.DUMMYFUNCTION("""COMPUTED_VALUE"""),0.0)</f>
        <v>0</v>
      </c>
      <c r="N59" s="72">
        <f>IFERROR(__xludf.DUMMYFUNCTION("""COMPUTED_VALUE"""),0.0)</f>
        <v>0</v>
      </c>
      <c r="O59" s="72">
        <f>IFERROR(__xludf.DUMMYFUNCTION("""COMPUTED_VALUE"""),-2.0)</f>
        <v>-2</v>
      </c>
      <c r="P59" s="72">
        <f>IFERROR(__xludf.DUMMYFUNCTION("""COMPUTED_VALUE"""),-1.0)</f>
        <v>-1</v>
      </c>
      <c r="Q59" s="72">
        <f>IFERROR(__xludf.DUMMYFUNCTION("""COMPUTED_VALUE"""),1.0)</f>
        <v>1</v>
      </c>
      <c r="R59" s="72">
        <f>IFERROR(__xludf.DUMMYFUNCTION("""COMPUTED_VALUE"""),0.0)</f>
        <v>0</v>
      </c>
      <c r="S59" s="72">
        <f>IFERROR(__xludf.DUMMYFUNCTION("""COMPUTED_VALUE"""),0.0)</f>
        <v>0</v>
      </c>
      <c r="T59" s="72">
        <f>IFERROR(__xludf.DUMMYFUNCTION("""COMPUTED_VALUE"""),0.0)</f>
        <v>0</v>
      </c>
      <c r="U59" s="72">
        <f>IFERROR(__xludf.DUMMYFUNCTION("""COMPUTED_VALUE"""),0.0)</f>
        <v>0</v>
      </c>
      <c r="V59" s="72">
        <f>IFERROR(__xludf.DUMMYFUNCTION("""COMPUTED_VALUE"""),0.0)</f>
        <v>0</v>
      </c>
      <c r="W59" s="72">
        <f>IFERROR(__xludf.DUMMYFUNCTION("""COMPUTED_VALUE"""),0.0)</f>
        <v>0</v>
      </c>
      <c r="X59" s="72">
        <f>IFERROR(__xludf.DUMMYFUNCTION("""COMPUTED_VALUE"""),0.0)</f>
        <v>0</v>
      </c>
      <c r="Y59" s="72">
        <f>IFERROR(__xludf.DUMMYFUNCTION("""COMPUTED_VALUE"""),2.0)</f>
        <v>2</v>
      </c>
      <c r="Z59" s="72">
        <f>IFERROR(__xludf.DUMMYFUNCTION("""COMPUTED_VALUE"""),0.0)</f>
        <v>0</v>
      </c>
      <c r="AA59" s="72">
        <f>IFERROR(__xludf.DUMMYFUNCTION("""COMPUTED_VALUE"""),0.0)</f>
        <v>0</v>
      </c>
      <c r="AB59" s="72">
        <f>IFERROR(__xludf.DUMMYFUNCTION("""COMPUTED_VALUE"""),0.0)</f>
        <v>0</v>
      </c>
      <c r="AC59" s="72">
        <f>IFERROR(__xludf.DUMMYFUNCTION("""COMPUTED_VALUE"""),0.0)</f>
        <v>0</v>
      </c>
      <c r="AD59" s="72">
        <f>IFERROR(__xludf.DUMMYFUNCTION("""COMPUTED_VALUE"""),0.0)</f>
        <v>0</v>
      </c>
      <c r="AE59" s="72">
        <f>IFERROR(__xludf.DUMMYFUNCTION("""COMPUTED_VALUE"""),0.0)</f>
        <v>0</v>
      </c>
      <c r="AF59" s="72">
        <f>IFERROR(__xludf.DUMMYFUNCTION("""COMPUTED_VALUE"""),0.0)</f>
        <v>0</v>
      </c>
      <c r="AG59" s="72">
        <f>IFERROR(__xludf.DUMMYFUNCTION("""COMPUTED_VALUE"""),0.0)</f>
        <v>0</v>
      </c>
      <c r="AH59" s="72">
        <f>IFERROR(__xludf.DUMMYFUNCTION("""COMPUTED_VALUE"""),0.0)</f>
        <v>0</v>
      </c>
      <c r="AI59" s="72">
        <f>IFERROR(__xludf.DUMMYFUNCTION("""COMPUTED_VALUE"""),0.0)</f>
        <v>0</v>
      </c>
      <c r="AJ59" s="72">
        <f>IFERROR(__xludf.DUMMYFUNCTION("""COMPUTED_VALUE"""),0.0)</f>
        <v>0</v>
      </c>
      <c r="AK59" s="72">
        <f>IFERROR(__xludf.DUMMYFUNCTION("""COMPUTED_VALUE"""),0.0)</f>
        <v>0</v>
      </c>
      <c r="AL59" s="72">
        <f>IFERROR(__xludf.DUMMYFUNCTION("""COMPUTED_VALUE"""),0.0)</f>
        <v>0</v>
      </c>
      <c r="AM59" s="72">
        <f>IFERROR(__xludf.DUMMYFUNCTION("""COMPUTED_VALUE"""),0.0)</f>
        <v>0</v>
      </c>
      <c r="AN59" s="72">
        <f>IFERROR(__xludf.DUMMYFUNCTION("""COMPUTED_VALUE"""),-1.0)</f>
        <v>-1</v>
      </c>
      <c r="AO59" s="72">
        <f>IFERROR(__xludf.DUMMYFUNCTION("""COMPUTED_VALUE"""),0.0)</f>
        <v>0</v>
      </c>
      <c r="AP59" s="72">
        <f>IFERROR(__xludf.DUMMYFUNCTION("""COMPUTED_VALUE"""),0.0)</f>
        <v>0</v>
      </c>
      <c r="AQ59" s="72">
        <f>IFERROR(__xludf.DUMMYFUNCTION("""COMPUTED_VALUE"""),0.0)</f>
        <v>0</v>
      </c>
      <c r="AR59" s="72">
        <f>IFERROR(__xludf.DUMMYFUNCTION("""COMPUTED_VALUE"""),0.0)</f>
        <v>0</v>
      </c>
      <c r="AS59" s="72">
        <f>IFERROR(__xludf.DUMMYFUNCTION("""COMPUTED_VALUE"""),0.0)</f>
        <v>0</v>
      </c>
      <c r="AT59" s="72">
        <f>IFERROR(__xludf.DUMMYFUNCTION("""COMPUTED_VALUE"""),0.0)</f>
        <v>0</v>
      </c>
      <c r="AU59" s="72">
        <f>IFERROR(__xludf.DUMMYFUNCTION("""COMPUTED_VALUE"""),0.0)</f>
        <v>0</v>
      </c>
      <c r="AV59" s="72">
        <f>IFERROR(__xludf.DUMMYFUNCTION("""COMPUTED_VALUE"""),-1.0)</f>
        <v>-1</v>
      </c>
      <c r="AW59" s="72">
        <f>IFERROR(__xludf.DUMMYFUNCTION("""COMPUTED_VALUE"""),0.0)</f>
        <v>0</v>
      </c>
      <c r="AX59" s="72">
        <f>IFERROR(__xludf.DUMMYFUNCTION("""COMPUTED_VALUE"""),2.0)</f>
        <v>2</v>
      </c>
      <c r="AY59" s="72">
        <f>IFERROR(__xludf.DUMMYFUNCTION("""COMPUTED_VALUE"""),0.0)</f>
        <v>0</v>
      </c>
      <c r="AZ59" s="72">
        <f>IFERROR(__xludf.DUMMYFUNCTION("""COMPUTED_VALUE"""),0.0)</f>
        <v>0</v>
      </c>
      <c r="BA59" s="72">
        <f>IFERROR(__xludf.DUMMYFUNCTION("""COMPUTED_VALUE"""),0.0)</f>
        <v>0</v>
      </c>
      <c r="BB59" s="72">
        <f>IFERROR(__xludf.DUMMYFUNCTION("""COMPUTED_VALUE"""),0.0)</f>
        <v>0</v>
      </c>
      <c r="BC59" s="72">
        <f>IFERROR(__xludf.DUMMYFUNCTION("""COMPUTED_VALUE"""),0.0)</f>
        <v>0</v>
      </c>
      <c r="BD59" s="69">
        <f>IFERROR(__xludf.DUMMYFUNCTION("""COMPUTED_VALUE"""),0.0)</f>
        <v>0</v>
      </c>
      <c r="BE59" s="69" t="str">
        <f>IFERROR(__xludf.DUMMYFUNCTION("""COMPUTED_VALUE"""),"")</f>
        <v/>
      </c>
      <c r="BF59" s="69" t="str">
        <f>IFERROR(__xludf.DUMMYFUNCTION("""COMPUTED_VALUE"""),"")</f>
        <v/>
      </c>
      <c r="BG59" s="69" t="str">
        <f>IFERROR(__xludf.DUMMYFUNCTION("""COMPUTED_VALUE"""),"")</f>
        <v/>
      </c>
      <c r="BH59" s="69" t="str">
        <f>IFERROR(__xludf.DUMMYFUNCTION("""COMPUTED_VALUE"""),"")</f>
        <v/>
      </c>
      <c r="BI59" s="69" t="str">
        <f>IFERROR(__xludf.DUMMYFUNCTION("""COMPUTED_VALUE"""),"")</f>
        <v/>
      </c>
      <c r="BJ59" s="69" t="str">
        <f>IFERROR(__xludf.DUMMYFUNCTION("""COMPUTED_VALUE"""),"")</f>
        <v/>
      </c>
      <c r="BK59" s="69" t="str">
        <f>IFERROR(__xludf.DUMMYFUNCTION("""COMPUTED_VALUE"""),"")</f>
        <v/>
      </c>
      <c r="BL59" s="69" t="str">
        <f>IFERROR(__xludf.DUMMYFUNCTION("""COMPUTED_VALUE"""),"")</f>
        <v/>
      </c>
      <c r="BM59" s="69" t="str">
        <f>IFERROR(__xludf.DUMMYFUNCTION("""COMPUTED_VALUE"""),"")</f>
        <v/>
      </c>
      <c r="BN59" s="69" t="str">
        <f>IFERROR(__xludf.DUMMYFUNCTION("""COMPUTED_VALUE"""),"")</f>
        <v/>
      </c>
      <c r="BO59" s="69" t="str">
        <f>IFERROR(__xludf.DUMMYFUNCTION("""COMPUTED_VALUE"""),"")</f>
        <v/>
      </c>
      <c r="BP59" s="69" t="str">
        <f>IFERROR(__xludf.DUMMYFUNCTION("""COMPUTED_VALUE"""),"")</f>
        <v/>
      </c>
      <c r="BQ59" s="69" t="str">
        <f>IFERROR(__xludf.DUMMYFUNCTION("""COMPUTED_VALUE"""),"")</f>
        <v/>
      </c>
      <c r="BR59" s="69" t="str">
        <f>IFERROR(__xludf.DUMMYFUNCTION("""COMPUTED_VALUE"""),"")</f>
        <v/>
      </c>
      <c r="BS59" s="69" t="str">
        <f>IFERROR(__xludf.DUMMYFUNCTION("""COMPUTED_VALUE"""),"")</f>
        <v/>
      </c>
      <c r="BT59" s="69" t="str">
        <f>IFERROR(__xludf.DUMMYFUNCTION("""COMPUTED_VALUE"""),"")</f>
        <v/>
      </c>
      <c r="BU59" s="69" t="str">
        <f>IFERROR(__xludf.DUMMYFUNCTION("""COMPUTED_VALUE"""),"")</f>
        <v/>
      </c>
      <c r="BV59" s="69" t="str">
        <f>IFERROR(__xludf.DUMMYFUNCTION("""COMPUTED_VALUE"""),"")</f>
        <v/>
      </c>
      <c r="BW59" s="69"/>
      <c r="BX59" s="69"/>
      <c r="BY59" s="69"/>
      <c r="BZ59" s="69"/>
      <c r="CA59" s="69"/>
      <c r="CB59" s="69"/>
      <c r="CC59" s="69"/>
      <c r="CD59" s="69"/>
      <c r="CE59" s="69"/>
      <c r="CF59" s="69"/>
    </row>
    <row r="60">
      <c r="A60" s="69"/>
      <c r="B60" s="71"/>
      <c r="C60" s="72" t="str">
        <f>IFERROR(__xludf.DUMMYFUNCTION("""COMPUTED_VALUE"""),"")</f>
        <v/>
      </c>
      <c r="D60" s="72" t="str">
        <f>IFERROR(__xludf.DUMMYFUNCTION("""COMPUTED_VALUE"""),"")</f>
        <v/>
      </c>
      <c r="E60" s="72" t="str">
        <f>IFERROR(__xludf.DUMMYFUNCTION("""COMPUTED_VALUE"""),"")</f>
        <v/>
      </c>
      <c r="F60" s="72" t="str">
        <f>IFERROR(__xludf.DUMMYFUNCTION("""COMPUTED_VALUE"""),"")</f>
        <v/>
      </c>
      <c r="G60" s="72" t="str">
        <f>IFERROR(__xludf.DUMMYFUNCTION("""COMPUTED_VALUE"""),"")</f>
        <v/>
      </c>
      <c r="H60" s="72" t="str">
        <f>IFERROR(__xludf.DUMMYFUNCTION("""COMPUTED_VALUE"""),"")</f>
        <v/>
      </c>
      <c r="I60" s="72" t="str">
        <f>IFERROR(__xludf.DUMMYFUNCTION("""COMPUTED_VALUE"""),"")</f>
        <v/>
      </c>
      <c r="J60" s="72" t="str">
        <f>IFERROR(__xludf.DUMMYFUNCTION("""COMPUTED_VALUE"""),"")</f>
        <v/>
      </c>
      <c r="K60" s="72" t="str">
        <f>IFERROR(__xludf.DUMMYFUNCTION("""COMPUTED_VALUE"""),"")</f>
        <v/>
      </c>
      <c r="L60" s="72" t="str">
        <f>IFERROR(__xludf.DUMMYFUNCTION("""COMPUTED_VALUE"""),"")</f>
        <v/>
      </c>
      <c r="M60" s="72" t="str">
        <f>IFERROR(__xludf.DUMMYFUNCTION("""COMPUTED_VALUE"""),"")</f>
        <v/>
      </c>
      <c r="N60" s="72" t="str">
        <f>IFERROR(__xludf.DUMMYFUNCTION("""COMPUTED_VALUE"""),"")</f>
        <v/>
      </c>
      <c r="O60" s="72" t="str">
        <f>IFERROR(__xludf.DUMMYFUNCTION("""COMPUTED_VALUE"""),"")</f>
        <v/>
      </c>
      <c r="P60" s="72" t="str">
        <f>IFERROR(__xludf.DUMMYFUNCTION("""COMPUTED_VALUE"""),"")</f>
        <v/>
      </c>
      <c r="Q60" s="72" t="str">
        <f>IFERROR(__xludf.DUMMYFUNCTION("""COMPUTED_VALUE"""),"")</f>
        <v/>
      </c>
      <c r="R60" s="72" t="str">
        <f>IFERROR(__xludf.DUMMYFUNCTION("""COMPUTED_VALUE"""),"")</f>
        <v/>
      </c>
      <c r="S60" s="72" t="str">
        <f>IFERROR(__xludf.DUMMYFUNCTION("""COMPUTED_VALUE"""),"")</f>
        <v/>
      </c>
      <c r="T60" s="72" t="str">
        <f>IFERROR(__xludf.DUMMYFUNCTION("""COMPUTED_VALUE"""),"")</f>
        <v/>
      </c>
      <c r="U60" s="72" t="str">
        <f>IFERROR(__xludf.DUMMYFUNCTION("""COMPUTED_VALUE"""),"")</f>
        <v/>
      </c>
      <c r="V60" s="72" t="str">
        <f>IFERROR(__xludf.DUMMYFUNCTION("""COMPUTED_VALUE"""),"")</f>
        <v/>
      </c>
      <c r="W60" s="72" t="str">
        <f>IFERROR(__xludf.DUMMYFUNCTION("""COMPUTED_VALUE"""),"")</f>
        <v/>
      </c>
      <c r="X60" s="72" t="str">
        <f>IFERROR(__xludf.DUMMYFUNCTION("""COMPUTED_VALUE"""),"")</f>
        <v/>
      </c>
      <c r="Y60" s="72" t="str">
        <f>IFERROR(__xludf.DUMMYFUNCTION("""COMPUTED_VALUE"""),"")</f>
        <v/>
      </c>
      <c r="Z60" s="72" t="str">
        <f>IFERROR(__xludf.DUMMYFUNCTION("""COMPUTED_VALUE"""),"")</f>
        <v/>
      </c>
      <c r="AA60" s="72" t="str">
        <f>IFERROR(__xludf.DUMMYFUNCTION("""COMPUTED_VALUE"""),"")</f>
        <v/>
      </c>
      <c r="AB60" s="72" t="str">
        <f>IFERROR(__xludf.DUMMYFUNCTION("""COMPUTED_VALUE"""),"")</f>
        <v/>
      </c>
      <c r="AC60" s="72" t="str">
        <f>IFERROR(__xludf.DUMMYFUNCTION("""COMPUTED_VALUE"""),"")</f>
        <v/>
      </c>
      <c r="AD60" s="72" t="str">
        <f>IFERROR(__xludf.DUMMYFUNCTION("""COMPUTED_VALUE"""),"")</f>
        <v/>
      </c>
      <c r="AE60" s="72" t="str">
        <f>IFERROR(__xludf.DUMMYFUNCTION("""COMPUTED_VALUE"""),"")</f>
        <v/>
      </c>
      <c r="AF60" s="72" t="str">
        <f>IFERROR(__xludf.DUMMYFUNCTION("""COMPUTED_VALUE"""),"")</f>
        <v/>
      </c>
      <c r="AG60" s="72" t="str">
        <f>IFERROR(__xludf.DUMMYFUNCTION("""COMPUTED_VALUE"""),"")</f>
        <v/>
      </c>
      <c r="AH60" s="72" t="str">
        <f>IFERROR(__xludf.DUMMYFUNCTION("""COMPUTED_VALUE"""),"")</f>
        <v/>
      </c>
      <c r="AI60" s="72" t="str">
        <f>IFERROR(__xludf.DUMMYFUNCTION("""COMPUTED_VALUE"""),"")</f>
        <v/>
      </c>
      <c r="AJ60" s="72" t="str">
        <f>IFERROR(__xludf.DUMMYFUNCTION("""COMPUTED_VALUE"""),"")</f>
        <v/>
      </c>
      <c r="AK60" s="72" t="str">
        <f>IFERROR(__xludf.DUMMYFUNCTION("""COMPUTED_VALUE"""),"")</f>
        <v/>
      </c>
      <c r="AL60" s="72" t="str">
        <f>IFERROR(__xludf.DUMMYFUNCTION("""COMPUTED_VALUE"""),"")</f>
        <v/>
      </c>
      <c r="AM60" s="72" t="str">
        <f>IFERROR(__xludf.DUMMYFUNCTION("""COMPUTED_VALUE"""),"")</f>
        <v/>
      </c>
      <c r="AN60" s="72" t="str">
        <f>IFERROR(__xludf.DUMMYFUNCTION("""COMPUTED_VALUE"""),"")</f>
        <v/>
      </c>
      <c r="AO60" s="72" t="str">
        <f>IFERROR(__xludf.DUMMYFUNCTION("""COMPUTED_VALUE"""),"")</f>
        <v/>
      </c>
      <c r="AP60" s="72" t="str">
        <f>IFERROR(__xludf.DUMMYFUNCTION("""COMPUTED_VALUE"""),"")</f>
        <v/>
      </c>
      <c r="AQ60" s="72" t="str">
        <f>IFERROR(__xludf.DUMMYFUNCTION("""COMPUTED_VALUE"""),"")</f>
        <v/>
      </c>
      <c r="AR60" s="72" t="str">
        <f>IFERROR(__xludf.DUMMYFUNCTION("""COMPUTED_VALUE"""),"")</f>
        <v/>
      </c>
      <c r="AS60" s="72" t="str">
        <f>IFERROR(__xludf.DUMMYFUNCTION("""COMPUTED_VALUE"""),"")</f>
        <v/>
      </c>
      <c r="AT60" s="72" t="str">
        <f>IFERROR(__xludf.DUMMYFUNCTION("""COMPUTED_VALUE"""),"")</f>
        <v/>
      </c>
      <c r="AU60" s="72" t="str">
        <f>IFERROR(__xludf.DUMMYFUNCTION("""COMPUTED_VALUE"""),"")</f>
        <v/>
      </c>
      <c r="AV60" s="72" t="str">
        <f>IFERROR(__xludf.DUMMYFUNCTION("""COMPUTED_VALUE"""),"")</f>
        <v/>
      </c>
      <c r="AW60" s="72" t="str">
        <f>IFERROR(__xludf.DUMMYFUNCTION("""COMPUTED_VALUE"""),"")</f>
        <v/>
      </c>
      <c r="AX60" s="72" t="str">
        <f>IFERROR(__xludf.DUMMYFUNCTION("""COMPUTED_VALUE"""),"")</f>
        <v/>
      </c>
      <c r="AY60" s="72" t="str">
        <f>IFERROR(__xludf.DUMMYFUNCTION("""COMPUTED_VALUE"""),"")</f>
        <v/>
      </c>
      <c r="AZ60" s="72" t="str">
        <f>IFERROR(__xludf.DUMMYFUNCTION("""COMPUTED_VALUE"""),"")</f>
        <v/>
      </c>
      <c r="BA60" s="72" t="str">
        <f>IFERROR(__xludf.DUMMYFUNCTION("""COMPUTED_VALUE"""),"")</f>
        <v/>
      </c>
      <c r="BB60" s="72" t="str">
        <f>IFERROR(__xludf.DUMMYFUNCTION("""COMPUTED_VALUE"""),"")</f>
        <v/>
      </c>
      <c r="BC60" s="72" t="str">
        <f>IFERROR(__xludf.DUMMYFUNCTION("""COMPUTED_VALUE"""),"")</f>
        <v/>
      </c>
      <c r="BD60" s="69" t="str">
        <f>IFERROR(__xludf.DUMMYFUNCTION("""COMPUTED_VALUE"""),"")</f>
        <v/>
      </c>
      <c r="BE60" s="69" t="str">
        <f>IFERROR(__xludf.DUMMYFUNCTION("""COMPUTED_VALUE"""),"")</f>
        <v/>
      </c>
      <c r="BF60" s="69" t="str">
        <f>IFERROR(__xludf.DUMMYFUNCTION("""COMPUTED_VALUE"""),"")</f>
        <v/>
      </c>
      <c r="BG60" s="69" t="str">
        <f>IFERROR(__xludf.DUMMYFUNCTION("""COMPUTED_VALUE"""),"")</f>
        <v/>
      </c>
      <c r="BH60" s="69" t="str">
        <f>IFERROR(__xludf.DUMMYFUNCTION("""COMPUTED_VALUE"""),"")</f>
        <v/>
      </c>
      <c r="BI60" s="69" t="str">
        <f>IFERROR(__xludf.DUMMYFUNCTION("""COMPUTED_VALUE"""),"")</f>
        <v/>
      </c>
      <c r="BJ60" s="69" t="str">
        <f>IFERROR(__xludf.DUMMYFUNCTION("""COMPUTED_VALUE"""),"")</f>
        <v/>
      </c>
      <c r="BK60" s="69" t="str">
        <f>IFERROR(__xludf.DUMMYFUNCTION("""COMPUTED_VALUE"""),"")</f>
        <v/>
      </c>
      <c r="BL60" s="69" t="str">
        <f>IFERROR(__xludf.DUMMYFUNCTION("""COMPUTED_VALUE"""),"")</f>
        <v/>
      </c>
      <c r="BM60" s="69" t="str">
        <f>IFERROR(__xludf.DUMMYFUNCTION("""COMPUTED_VALUE"""),"")</f>
        <v/>
      </c>
      <c r="BN60" s="69" t="str">
        <f>IFERROR(__xludf.DUMMYFUNCTION("""COMPUTED_VALUE"""),"")</f>
        <v/>
      </c>
      <c r="BO60" s="69" t="str">
        <f>IFERROR(__xludf.DUMMYFUNCTION("""COMPUTED_VALUE"""),"")</f>
        <v/>
      </c>
      <c r="BP60" s="69" t="str">
        <f>IFERROR(__xludf.DUMMYFUNCTION("""COMPUTED_VALUE"""),"")</f>
        <v/>
      </c>
      <c r="BQ60" s="69" t="str">
        <f>IFERROR(__xludf.DUMMYFUNCTION("""COMPUTED_VALUE"""),"")</f>
        <v/>
      </c>
      <c r="BR60" s="69" t="str">
        <f>IFERROR(__xludf.DUMMYFUNCTION("""COMPUTED_VALUE"""),"")</f>
        <v/>
      </c>
      <c r="BS60" s="69" t="str">
        <f>IFERROR(__xludf.DUMMYFUNCTION("""COMPUTED_VALUE"""),"")</f>
        <v/>
      </c>
      <c r="BT60" s="69" t="str">
        <f>IFERROR(__xludf.DUMMYFUNCTION("""COMPUTED_VALUE"""),"")</f>
        <v/>
      </c>
      <c r="BU60" s="69" t="str">
        <f>IFERROR(__xludf.DUMMYFUNCTION("""COMPUTED_VALUE"""),"")</f>
        <v/>
      </c>
      <c r="BV60" s="69" t="str">
        <f>IFERROR(__xludf.DUMMYFUNCTION("""COMPUTED_VALUE"""),"")</f>
        <v/>
      </c>
      <c r="BW60" s="69"/>
      <c r="BX60" s="69"/>
      <c r="BY60" s="69"/>
      <c r="BZ60" s="69"/>
      <c r="CA60" s="69"/>
      <c r="CB60" s="69"/>
      <c r="CC60" s="69"/>
      <c r="CD60" s="69"/>
      <c r="CE60" s="69"/>
      <c r="CF60" s="69"/>
    </row>
    <row r="61">
      <c r="A61" s="69"/>
      <c r="B61" s="71"/>
      <c r="C61" s="72" t="str">
        <f>IFERROR(__xludf.DUMMYFUNCTION("""COMPUTED_VALUE"""),"")</f>
        <v/>
      </c>
      <c r="D61" s="72" t="str">
        <f>IFERROR(__xludf.DUMMYFUNCTION("""COMPUTED_VALUE"""),"")</f>
        <v/>
      </c>
      <c r="E61" s="72" t="str">
        <f>IFERROR(__xludf.DUMMYFUNCTION("""COMPUTED_VALUE"""),"")</f>
        <v/>
      </c>
      <c r="F61" s="72" t="str">
        <f>IFERROR(__xludf.DUMMYFUNCTION("""COMPUTED_VALUE"""),"")</f>
        <v/>
      </c>
      <c r="G61" s="72" t="str">
        <f>IFERROR(__xludf.DUMMYFUNCTION("""COMPUTED_VALUE"""),"")</f>
        <v/>
      </c>
      <c r="H61" s="72" t="str">
        <f>IFERROR(__xludf.DUMMYFUNCTION("""COMPUTED_VALUE"""),"")</f>
        <v/>
      </c>
      <c r="I61" s="72" t="str">
        <f>IFERROR(__xludf.DUMMYFUNCTION("""COMPUTED_VALUE"""),"")</f>
        <v/>
      </c>
      <c r="J61" s="72" t="str">
        <f>IFERROR(__xludf.DUMMYFUNCTION("""COMPUTED_VALUE"""),"")</f>
        <v/>
      </c>
      <c r="K61" s="72" t="str">
        <f>IFERROR(__xludf.DUMMYFUNCTION("""COMPUTED_VALUE"""),"")</f>
        <v/>
      </c>
      <c r="L61" s="72" t="str">
        <f>IFERROR(__xludf.DUMMYFUNCTION("""COMPUTED_VALUE"""),"")</f>
        <v/>
      </c>
      <c r="M61" s="72" t="str">
        <f>IFERROR(__xludf.DUMMYFUNCTION("""COMPUTED_VALUE"""),"")</f>
        <v/>
      </c>
      <c r="N61" s="72" t="str">
        <f>IFERROR(__xludf.DUMMYFUNCTION("""COMPUTED_VALUE"""),"")</f>
        <v/>
      </c>
      <c r="O61" s="72" t="str">
        <f>IFERROR(__xludf.DUMMYFUNCTION("""COMPUTED_VALUE"""),"")</f>
        <v/>
      </c>
      <c r="P61" s="72" t="str">
        <f>IFERROR(__xludf.DUMMYFUNCTION("""COMPUTED_VALUE"""),"")</f>
        <v/>
      </c>
      <c r="Q61" s="72" t="str">
        <f>IFERROR(__xludf.DUMMYFUNCTION("""COMPUTED_VALUE"""),"")</f>
        <v/>
      </c>
      <c r="R61" s="72" t="str">
        <f>IFERROR(__xludf.DUMMYFUNCTION("""COMPUTED_VALUE"""),"")</f>
        <v/>
      </c>
      <c r="S61" s="72" t="str">
        <f>IFERROR(__xludf.DUMMYFUNCTION("""COMPUTED_VALUE"""),"")</f>
        <v/>
      </c>
      <c r="T61" s="72" t="str">
        <f>IFERROR(__xludf.DUMMYFUNCTION("""COMPUTED_VALUE"""),"")</f>
        <v/>
      </c>
      <c r="U61" s="72" t="str">
        <f>IFERROR(__xludf.DUMMYFUNCTION("""COMPUTED_VALUE"""),"")</f>
        <v/>
      </c>
      <c r="V61" s="72" t="str">
        <f>IFERROR(__xludf.DUMMYFUNCTION("""COMPUTED_VALUE"""),"")</f>
        <v/>
      </c>
      <c r="W61" s="72" t="str">
        <f>IFERROR(__xludf.DUMMYFUNCTION("""COMPUTED_VALUE"""),"")</f>
        <v/>
      </c>
      <c r="X61" s="72" t="str">
        <f>IFERROR(__xludf.DUMMYFUNCTION("""COMPUTED_VALUE"""),"")</f>
        <v/>
      </c>
      <c r="Y61" s="72" t="str">
        <f>IFERROR(__xludf.DUMMYFUNCTION("""COMPUTED_VALUE"""),"")</f>
        <v/>
      </c>
      <c r="Z61" s="72" t="str">
        <f>IFERROR(__xludf.DUMMYFUNCTION("""COMPUTED_VALUE"""),"")</f>
        <v/>
      </c>
      <c r="AA61" s="72" t="str">
        <f>IFERROR(__xludf.DUMMYFUNCTION("""COMPUTED_VALUE"""),"")</f>
        <v/>
      </c>
      <c r="AB61" s="72" t="str">
        <f>IFERROR(__xludf.DUMMYFUNCTION("""COMPUTED_VALUE"""),"")</f>
        <v/>
      </c>
      <c r="AC61" s="72" t="str">
        <f>IFERROR(__xludf.DUMMYFUNCTION("""COMPUTED_VALUE"""),"")</f>
        <v/>
      </c>
      <c r="AD61" s="72" t="str">
        <f>IFERROR(__xludf.DUMMYFUNCTION("""COMPUTED_VALUE"""),"")</f>
        <v/>
      </c>
      <c r="AE61" s="72" t="str">
        <f>IFERROR(__xludf.DUMMYFUNCTION("""COMPUTED_VALUE"""),"")</f>
        <v/>
      </c>
      <c r="AF61" s="72" t="str">
        <f>IFERROR(__xludf.DUMMYFUNCTION("""COMPUTED_VALUE"""),"")</f>
        <v/>
      </c>
      <c r="AG61" s="72" t="str">
        <f>IFERROR(__xludf.DUMMYFUNCTION("""COMPUTED_VALUE"""),"")</f>
        <v/>
      </c>
      <c r="AH61" s="72" t="str">
        <f>IFERROR(__xludf.DUMMYFUNCTION("""COMPUTED_VALUE"""),"")</f>
        <v/>
      </c>
      <c r="AI61" s="72" t="str">
        <f>IFERROR(__xludf.DUMMYFUNCTION("""COMPUTED_VALUE"""),"")</f>
        <v/>
      </c>
      <c r="AJ61" s="72" t="str">
        <f>IFERROR(__xludf.DUMMYFUNCTION("""COMPUTED_VALUE"""),"")</f>
        <v/>
      </c>
      <c r="AK61" s="72" t="str">
        <f>IFERROR(__xludf.DUMMYFUNCTION("""COMPUTED_VALUE"""),"")</f>
        <v/>
      </c>
      <c r="AL61" s="72" t="str">
        <f>IFERROR(__xludf.DUMMYFUNCTION("""COMPUTED_VALUE"""),"")</f>
        <v/>
      </c>
      <c r="AM61" s="72" t="str">
        <f>IFERROR(__xludf.DUMMYFUNCTION("""COMPUTED_VALUE"""),"")</f>
        <v/>
      </c>
      <c r="AN61" s="72" t="str">
        <f>IFERROR(__xludf.DUMMYFUNCTION("""COMPUTED_VALUE"""),"")</f>
        <v/>
      </c>
      <c r="AO61" s="72" t="str">
        <f>IFERROR(__xludf.DUMMYFUNCTION("""COMPUTED_VALUE"""),"")</f>
        <v/>
      </c>
      <c r="AP61" s="72" t="str">
        <f>IFERROR(__xludf.DUMMYFUNCTION("""COMPUTED_VALUE"""),"")</f>
        <v/>
      </c>
      <c r="AQ61" s="72" t="str">
        <f>IFERROR(__xludf.DUMMYFUNCTION("""COMPUTED_VALUE"""),"")</f>
        <v/>
      </c>
      <c r="AR61" s="72" t="str">
        <f>IFERROR(__xludf.DUMMYFUNCTION("""COMPUTED_VALUE"""),"")</f>
        <v/>
      </c>
      <c r="AS61" s="72" t="str">
        <f>IFERROR(__xludf.DUMMYFUNCTION("""COMPUTED_VALUE"""),"")</f>
        <v/>
      </c>
      <c r="AT61" s="72" t="str">
        <f>IFERROR(__xludf.DUMMYFUNCTION("""COMPUTED_VALUE"""),"")</f>
        <v/>
      </c>
      <c r="AU61" s="72" t="str">
        <f>IFERROR(__xludf.DUMMYFUNCTION("""COMPUTED_VALUE"""),"")</f>
        <v/>
      </c>
      <c r="AV61" s="72" t="str">
        <f>IFERROR(__xludf.DUMMYFUNCTION("""COMPUTED_VALUE"""),"")</f>
        <v/>
      </c>
      <c r="AW61" s="72" t="str">
        <f>IFERROR(__xludf.DUMMYFUNCTION("""COMPUTED_VALUE"""),"")</f>
        <v/>
      </c>
      <c r="AX61" s="72" t="str">
        <f>IFERROR(__xludf.DUMMYFUNCTION("""COMPUTED_VALUE"""),"")</f>
        <v/>
      </c>
      <c r="AY61" s="72" t="str">
        <f>IFERROR(__xludf.DUMMYFUNCTION("""COMPUTED_VALUE"""),"")</f>
        <v/>
      </c>
      <c r="AZ61" s="72" t="str">
        <f>IFERROR(__xludf.DUMMYFUNCTION("""COMPUTED_VALUE"""),"")</f>
        <v/>
      </c>
      <c r="BA61" s="72" t="str">
        <f>IFERROR(__xludf.DUMMYFUNCTION("""COMPUTED_VALUE"""),"")</f>
        <v/>
      </c>
      <c r="BB61" s="72" t="str">
        <f>IFERROR(__xludf.DUMMYFUNCTION("""COMPUTED_VALUE"""),"")</f>
        <v/>
      </c>
      <c r="BC61" s="72" t="str">
        <f>IFERROR(__xludf.DUMMYFUNCTION("""COMPUTED_VALUE"""),"")</f>
        <v/>
      </c>
      <c r="BD61" s="69" t="str">
        <f>IFERROR(__xludf.DUMMYFUNCTION("""COMPUTED_VALUE"""),"")</f>
        <v/>
      </c>
      <c r="BE61" s="69" t="str">
        <f>IFERROR(__xludf.DUMMYFUNCTION("""COMPUTED_VALUE"""),"")</f>
        <v/>
      </c>
      <c r="BF61" s="69" t="str">
        <f>IFERROR(__xludf.DUMMYFUNCTION("""COMPUTED_VALUE"""),"")</f>
        <v/>
      </c>
      <c r="BG61" s="69" t="str">
        <f>IFERROR(__xludf.DUMMYFUNCTION("""COMPUTED_VALUE"""),"")</f>
        <v/>
      </c>
      <c r="BH61" s="69" t="str">
        <f>IFERROR(__xludf.DUMMYFUNCTION("""COMPUTED_VALUE"""),"")</f>
        <v/>
      </c>
      <c r="BI61" s="69" t="str">
        <f>IFERROR(__xludf.DUMMYFUNCTION("""COMPUTED_VALUE"""),"")</f>
        <v/>
      </c>
      <c r="BJ61" s="69" t="str">
        <f>IFERROR(__xludf.DUMMYFUNCTION("""COMPUTED_VALUE"""),"")</f>
        <v/>
      </c>
      <c r="BK61" s="69" t="str">
        <f>IFERROR(__xludf.DUMMYFUNCTION("""COMPUTED_VALUE"""),"")</f>
        <v/>
      </c>
      <c r="BL61" s="69" t="str">
        <f>IFERROR(__xludf.DUMMYFUNCTION("""COMPUTED_VALUE"""),"")</f>
        <v/>
      </c>
      <c r="BM61" s="69" t="str">
        <f>IFERROR(__xludf.DUMMYFUNCTION("""COMPUTED_VALUE"""),"")</f>
        <v/>
      </c>
      <c r="BN61" s="69" t="str">
        <f>IFERROR(__xludf.DUMMYFUNCTION("""COMPUTED_VALUE"""),"")</f>
        <v/>
      </c>
      <c r="BO61" s="69" t="str">
        <f>IFERROR(__xludf.DUMMYFUNCTION("""COMPUTED_VALUE"""),"")</f>
        <v/>
      </c>
      <c r="BP61" s="69" t="str">
        <f>IFERROR(__xludf.DUMMYFUNCTION("""COMPUTED_VALUE"""),"")</f>
        <v/>
      </c>
      <c r="BQ61" s="69" t="str">
        <f>IFERROR(__xludf.DUMMYFUNCTION("""COMPUTED_VALUE"""),"")</f>
        <v/>
      </c>
      <c r="BR61" s="69" t="str">
        <f>IFERROR(__xludf.DUMMYFUNCTION("""COMPUTED_VALUE"""),"")</f>
        <v/>
      </c>
      <c r="BS61" s="69" t="str">
        <f>IFERROR(__xludf.DUMMYFUNCTION("""COMPUTED_VALUE"""),"")</f>
        <v/>
      </c>
      <c r="BT61" s="69" t="str">
        <f>IFERROR(__xludf.DUMMYFUNCTION("""COMPUTED_VALUE"""),"")</f>
        <v/>
      </c>
      <c r="BU61" s="69" t="str">
        <f>IFERROR(__xludf.DUMMYFUNCTION("""COMPUTED_VALUE"""),"")</f>
        <v/>
      </c>
      <c r="BV61" s="69" t="str">
        <f>IFERROR(__xludf.DUMMYFUNCTION("""COMPUTED_VALUE"""),"")</f>
        <v/>
      </c>
      <c r="BW61" s="69"/>
      <c r="BX61" s="69"/>
      <c r="BY61" s="69"/>
      <c r="BZ61" s="69"/>
      <c r="CA61" s="69"/>
      <c r="CB61" s="69"/>
      <c r="CC61" s="69"/>
      <c r="CD61" s="69"/>
      <c r="CE61" s="69"/>
      <c r="CF61" s="69"/>
    </row>
    <row r="62">
      <c r="A62" s="69"/>
      <c r="B62" s="71"/>
      <c r="C62" s="72" t="str">
        <f>IFERROR(__xludf.DUMMYFUNCTION("""COMPUTED_VALUE"""),"")</f>
        <v/>
      </c>
      <c r="D62" s="72" t="str">
        <f>IFERROR(__xludf.DUMMYFUNCTION("""COMPUTED_VALUE"""),"")</f>
        <v/>
      </c>
      <c r="E62" s="72" t="str">
        <f>IFERROR(__xludf.DUMMYFUNCTION("""COMPUTED_VALUE"""),"")</f>
        <v/>
      </c>
      <c r="F62" s="72" t="str">
        <f>IFERROR(__xludf.DUMMYFUNCTION("""COMPUTED_VALUE"""),"")</f>
        <v/>
      </c>
      <c r="G62" s="72" t="str">
        <f>IFERROR(__xludf.DUMMYFUNCTION("""COMPUTED_VALUE"""),"")</f>
        <v/>
      </c>
      <c r="H62" s="72" t="str">
        <f>IFERROR(__xludf.DUMMYFUNCTION("""COMPUTED_VALUE"""),"")</f>
        <v/>
      </c>
      <c r="I62" s="72" t="str">
        <f>IFERROR(__xludf.DUMMYFUNCTION("""COMPUTED_VALUE"""),"")</f>
        <v/>
      </c>
      <c r="J62" s="72" t="str">
        <f>IFERROR(__xludf.DUMMYFUNCTION("""COMPUTED_VALUE"""),"")</f>
        <v/>
      </c>
      <c r="K62" s="72" t="str">
        <f>IFERROR(__xludf.DUMMYFUNCTION("""COMPUTED_VALUE"""),"")</f>
        <v/>
      </c>
      <c r="L62" s="72" t="str">
        <f>IFERROR(__xludf.DUMMYFUNCTION("""COMPUTED_VALUE"""),"")</f>
        <v/>
      </c>
      <c r="M62" s="72" t="str">
        <f>IFERROR(__xludf.DUMMYFUNCTION("""COMPUTED_VALUE"""),"")</f>
        <v/>
      </c>
      <c r="N62" s="72" t="str">
        <f>IFERROR(__xludf.DUMMYFUNCTION("""COMPUTED_VALUE"""),"")</f>
        <v/>
      </c>
      <c r="O62" s="72" t="str">
        <f>IFERROR(__xludf.DUMMYFUNCTION("""COMPUTED_VALUE"""),"")</f>
        <v/>
      </c>
      <c r="P62" s="72" t="str">
        <f>IFERROR(__xludf.DUMMYFUNCTION("""COMPUTED_VALUE"""),"")</f>
        <v/>
      </c>
      <c r="Q62" s="72" t="str">
        <f>IFERROR(__xludf.DUMMYFUNCTION("""COMPUTED_VALUE"""),"")</f>
        <v/>
      </c>
      <c r="R62" s="72" t="str">
        <f>IFERROR(__xludf.DUMMYFUNCTION("""COMPUTED_VALUE"""),"")</f>
        <v/>
      </c>
      <c r="S62" s="72" t="str">
        <f>IFERROR(__xludf.DUMMYFUNCTION("""COMPUTED_VALUE"""),"")</f>
        <v/>
      </c>
      <c r="T62" s="72" t="str">
        <f>IFERROR(__xludf.DUMMYFUNCTION("""COMPUTED_VALUE"""),"")</f>
        <v/>
      </c>
      <c r="U62" s="72" t="str">
        <f>IFERROR(__xludf.DUMMYFUNCTION("""COMPUTED_VALUE"""),"")</f>
        <v/>
      </c>
      <c r="V62" s="72" t="str">
        <f>IFERROR(__xludf.DUMMYFUNCTION("""COMPUTED_VALUE"""),"")</f>
        <v/>
      </c>
      <c r="W62" s="72" t="str">
        <f>IFERROR(__xludf.DUMMYFUNCTION("""COMPUTED_VALUE"""),"")</f>
        <v/>
      </c>
      <c r="X62" s="72" t="str">
        <f>IFERROR(__xludf.DUMMYFUNCTION("""COMPUTED_VALUE"""),"")</f>
        <v/>
      </c>
      <c r="Y62" s="72" t="str">
        <f>IFERROR(__xludf.DUMMYFUNCTION("""COMPUTED_VALUE"""),"")</f>
        <v/>
      </c>
      <c r="Z62" s="72" t="str">
        <f>IFERROR(__xludf.DUMMYFUNCTION("""COMPUTED_VALUE"""),"")</f>
        <v/>
      </c>
      <c r="AA62" s="72" t="str">
        <f>IFERROR(__xludf.DUMMYFUNCTION("""COMPUTED_VALUE"""),"")</f>
        <v/>
      </c>
      <c r="AB62" s="72" t="str">
        <f>IFERROR(__xludf.DUMMYFUNCTION("""COMPUTED_VALUE"""),"")</f>
        <v/>
      </c>
      <c r="AC62" s="72" t="str">
        <f>IFERROR(__xludf.DUMMYFUNCTION("""COMPUTED_VALUE"""),"")</f>
        <v/>
      </c>
      <c r="AD62" s="72" t="str">
        <f>IFERROR(__xludf.DUMMYFUNCTION("""COMPUTED_VALUE"""),"")</f>
        <v/>
      </c>
      <c r="AE62" s="72" t="str">
        <f>IFERROR(__xludf.DUMMYFUNCTION("""COMPUTED_VALUE"""),"")</f>
        <v/>
      </c>
      <c r="AF62" s="72" t="str">
        <f>IFERROR(__xludf.DUMMYFUNCTION("""COMPUTED_VALUE"""),"")</f>
        <v/>
      </c>
      <c r="AG62" s="72" t="str">
        <f>IFERROR(__xludf.DUMMYFUNCTION("""COMPUTED_VALUE"""),"")</f>
        <v/>
      </c>
      <c r="AH62" s="72" t="str">
        <f>IFERROR(__xludf.DUMMYFUNCTION("""COMPUTED_VALUE"""),"")</f>
        <v/>
      </c>
      <c r="AI62" s="72" t="str">
        <f>IFERROR(__xludf.DUMMYFUNCTION("""COMPUTED_VALUE"""),"")</f>
        <v/>
      </c>
      <c r="AJ62" s="72" t="str">
        <f>IFERROR(__xludf.DUMMYFUNCTION("""COMPUTED_VALUE"""),"")</f>
        <v/>
      </c>
      <c r="AK62" s="72" t="str">
        <f>IFERROR(__xludf.DUMMYFUNCTION("""COMPUTED_VALUE"""),"")</f>
        <v/>
      </c>
      <c r="AL62" s="72" t="str">
        <f>IFERROR(__xludf.DUMMYFUNCTION("""COMPUTED_VALUE"""),"")</f>
        <v/>
      </c>
      <c r="AM62" s="72" t="str">
        <f>IFERROR(__xludf.DUMMYFUNCTION("""COMPUTED_VALUE"""),"")</f>
        <v/>
      </c>
      <c r="AN62" s="72" t="str">
        <f>IFERROR(__xludf.DUMMYFUNCTION("""COMPUTED_VALUE"""),"")</f>
        <v/>
      </c>
      <c r="AO62" s="72" t="str">
        <f>IFERROR(__xludf.DUMMYFUNCTION("""COMPUTED_VALUE"""),"")</f>
        <v/>
      </c>
      <c r="AP62" s="72" t="str">
        <f>IFERROR(__xludf.DUMMYFUNCTION("""COMPUTED_VALUE"""),"")</f>
        <v/>
      </c>
      <c r="AQ62" s="72" t="str">
        <f>IFERROR(__xludf.DUMMYFUNCTION("""COMPUTED_VALUE"""),"")</f>
        <v/>
      </c>
      <c r="AR62" s="72" t="str">
        <f>IFERROR(__xludf.DUMMYFUNCTION("""COMPUTED_VALUE"""),"")</f>
        <v/>
      </c>
      <c r="AS62" s="72" t="str">
        <f>IFERROR(__xludf.DUMMYFUNCTION("""COMPUTED_VALUE"""),"")</f>
        <v/>
      </c>
      <c r="AT62" s="72" t="str">
        <f>IFERROR(__xludf.DUMMYFUNCTION("""COMPUTED_VALUE"""),"")</f>
        <v/>
      </c>
      <c r="AU62" s="72" t="str">
        <f>IFERROR(__xludf.DUMMYFUNCTION("""COMPUTED_VALUE"""),"")</f>
        <v/>
      </c>
      <c r="AV62" s="72" t="str">
        <f>IFERROR(__xludf.DUMMYFUNCTION("""COMPUTED_VALUE"""),"")</f>
        <v/>
      </c>
      <c r="AW62" s="72" t="str">
        <f>IFERROR(__xludf.DUMMYFUNCTION("""COMPUTED_VALUE"""),"")</f>
        <v/>
      </c>
      <c r="AX62" s="72" t="str">
        <f>IFERROR(__xludf.DUMMYFUNCTION("""COMPUTED_VALUE"""),"")</f>
        <v/>
      </c>
      <c r="AY62" s="72" t="str">
        <f>IFERROR(__xludf.DUMMYFUNCTION("""COMPUTED_VALUE"""),"")</f>
        <v/>
      </c>
      <c r="AZ62" s="72" t="str">
        <f>IFERROR(__xludf.DUMMYFUNCTION("""COMPUTED_VALUE"""),"")</f>
        <v/>
      </c>
      <c r="BA62" s="72" t="str">
        <f>IFERROR(__xludf.DUMMYFUNCTION("""COMPUTED_VALUE"""),"")</f>
        <v/>
      </c>
      <c r="BB62" s="72" t="str">
        <f>IFERROR(__xludf.DUMMYFUNCTION("""COMPUTED_VALUE"""),"")</f>
        <v/>
      </c>
      <c r="BC62" s="72" t="str">
        <f>IFERROR(__xludf.DUMMYFUNCTION("""COMPUTED_VALUE"""),"")</f>
        <v/>
      </c>
      <c r="BD62" s="69" t="str">
        <f>IFERROR(__xludf.DUMMYFUNCTION("""COMPUTED_VALUE"""),"")</f>
        <v/>
      </c>
      <c r="BE62" s="69" t="str">
        <f>IFERROR(__xludf.DUMMYFUNCTION("""COMPUTED_VALUE"""),"")</f>
        <v/>
      </c>
      <c r="BF62" s="69" t="str">
        <f>IFERROR(__xludf.DUMMYFUNCTION("""COMPUTED_VALUE"""),"")</f>
        <v/>
      </c>
      <c r="BG62" s="69" t="str">
        <f>IFERROR(__xludf.DUMMYFUNCTION("""COMPUTED_VALUE"""),"")</f>
        <v/>
      </c>
      <c r="BH62" s="69" t="str">
        <f>IFERROR(__xludf.DUMMYFUNCTION("""COMPUTED_VALUE"""),"")</f>
        <v/>
      </c>
      <c r="BI62" s="69" t="str">
        <f>IFERROR(__xludf.DUMMYFUNCTION("""COMPUTED_VALUE"""),"")</f>
        <v/>
      </c>
      <c r="BJ62" s="69" t="str">
        <f>IFERROR(__xludf.DUMMYFUNCTION("""COMPUTED_VALUE"""),"")</f>
        <v/>
      </c>
      <c r="BK62" s="69" t="str">
        <f>IFERROR(__xludf.DUMMYFUNCTION("""COMPUTED_VALUE"""),"")</f>
        <v/>
      </c>
      <c r="BL62" s="69" t="str">
        <f>IFERROR(__xludf.DUMMYFUNCTION("""COMPUTED_VALUE"""),"")</f>
        <v/>
      </c>
      <c r="BM62" s="69" t="str">
        <f>IFERROR(__xludf.DUMMYFUNCTION("""COMPUTED_VALUE"""),"")</f>
        <v/>
      </c>
      <c r="BN62" s="69" t="str">
        <f>IFERROR(__xludf.DUMMYFUNCTION("""COMPUTED_VALUE"""),"")</f>
        <v/>
      </c>
      <c r="BO62" s="69" t="str">
        <f>IFERROR(__xludf.DUMMYFUNCTION("""COMPUTED_VALUE"""),"")</f>
        <v/>
      </c>
      <c r="BP62" s="69" t="str">
        <f>IFERROR(__xludf.DUMMYFUNCTION("""COMPUTED_VALUE"""),"")</f>
        <v/>
      </c>
      <c r="BQ62" s="69" t="str">
        <f>IFERROR(__xludf.DUMMYFUNCTION("""COMPUTED_VALUE"""),"")</f>
        <v/>
      </c>
      <c r="BR62" s="69" t="str">
        <f>IFERROR(__xludf.DUMMYFUNCTION("""COMPUTED_VALUE"""),"")</f>
        <v/>
      </c>
      <c r="BS62" s="69" t="str">
        <f>IFERROR(__xludf.DUMMYFUNCTION("""COMPUTED_VALUE"""),"")</f>
        <v/>
      </c>
      <c r="BT62" s="69" t="str">
        <f>IFERROR(__xludf.DUMMYFUNCTION("""COMPUTED_VALUE"""),"")</f>
        <v/>
      </c>
      <c r="BU62" s="69" t="str">
        <f>IFERROR(__xludf.DUMMYFUNCTION("""COMPUTED_VALUE"""),"")</f>
        <v/>
      </c>
      <c r="BV62" s="69" t="str">
        <f>IFERROR(__xludf.DUMMYFUNCTION("""COMPUTED_VALUE"""),"")</f>
        <v/>
      </c>
      <c r="BW62" s="69"/>
      <c r="BX62" s="69"/>
      <c r="BY62" s="69"/>
      <c r="BZ62" s="69"/>
      <c r="CA62" s="69"/>
      <c r="CB62" s="69"/>
      <c r="CC62" s="69"/>
      <c r="CD62" s="69"/>
      <c r="CE62" s="69"/>
      <c r="CF62" s="69"/>
    </row>
    <row r="63">
      <c r="A63" s="69"/>
      <c r="B63" s="71"/>
      <c r="C63" s="72" t="str">
        <f>IFERROR(__xludf.DUMMYFUNCTION("""COMPUTED_VALUE"""),"")</f>
        <v/>
      </c>
      <c r="D63" s="72" t="str">
        <f>IFERROR(__xludf.DUMMYFUNCTION("""COMPUTED_VALUE"""),"")</f>
        <v/>
      </c>
      <c r="E63" s="72" t="str">
        <f>IFERROR(__xludf.DUMMYFUNCTION("""COMPUTED_VALUE"""),"")</f>
        <v/>
      </c>
      <c r="F63" s="72" t="str">
        <f>IFERROR(__xludf.DUMMYFUNCTION("""COMPUTED_VALUE"""),"")</f>
        <v/>
      </c>
      <c r="G63" s="72" t="str">
        <f>IFERROR(__xludf.DUMMYFUNCTION("""COMPUTED_VALUE"""),"")</f>
        <v/>
      </c>
      <c r="H63" s="72" t="str">
        <f>IFERROR(__xludf.DUMMYFUNCTION("""COMPUTED_VALUE"""),"")</f>
        <v/>
      </c>
      <c r="I63" s="72" t="str">
        <f>IFERROR(__xludf.DUMMYFUNCTION("""COMPUTED_VALUE"""),"")</f>
        <v/>
      </c>
      <c r="J63" s="72" t="str">
        <f>IFERROR(__xludf.DUMMYFUNCTION("""COMPUTED_VALUE"""),"")</f>
        <v/>
      </c>
      <c r="K63" s="72" t="str">
        <f>IFERROR(__xludf.DUMMYFUNCTION("""COMPUTED_VALUE"""),"")</f>
        <v/>
      </c>
      <c r="L63" s="72" t="str">
        <f>IFERROR(__xludf.DUMMYFUNCTION("""COMPUTED_VALUE"""),"")</f>
        <v/>
      </c>
      <c r="M63" s="72" t="str">
        <f>IFERROR(__xludf.DUMMYFUNCTION("""COMPUTED_VALUE"""),"")</f>
        <v/>
      </c>
      <c r="N63" s="72" t="str">
        <f>IFERROR(__xludf.DUMMYFUNCTION("""COMPUTED_VALUE"""),"")</f>
        <v/>
      </c>
      <c r="O63" s="72" t="str">
        <f>IFERROR(__xludf.DUMMYFUNCTION("""COMPUTED_VALUE"""),"")</f>
        <v/>
      </c>
      <c r="P63" s="72" t="str">
        <f>IFERROR(__xludf.DUMMYFUNCTION("""COMPUTED_VALUE"""),"")</f>
        <v/>
      </c>
      <c r="Q63" s="72" t="str">
        <f>IFERROR(__xludf.DUMMYFUNCTION("""COMPUTED_VALUE"""),"")</f>
        <v/>
      </c>
      <c r="R63" s="72" t="str">
        <f>IFERROR(__xludf.DUMMYFUNCTION("""COMPUTED_VALUE"""),"")</f>
        <v/>
      </c>
      <c r="S63" s="72" t="str">
        <f>IFERROR(__xludf.DUMMYFUNCTION("""COMPUTED_VALUE"""),"")</f>
        <v/>
      </c>
      <c r="T63" s="72" t="str">
        <f>IFERROR(__xludf.DUMMYFUNCTION("""COMPUTED_VALUE"""),"")</f>
        <v/>
      </c>
      <c r="U63" s="72" t="str">
        <f>IFERROR(__xludf.DUMMYFUNCTION("""COMPUTED_VALUE"""),"")</f>
        <v/>
      </c>
      <c r="V63" s="72" t="str">
        <f>IFERROR(__xludf.DUMMYFUNCTION("""COMPUTED_VALUE"""),"")</f>
        <v/>
      </c>
      <c r="W63" s="72" t="str">
        <f>IFERROR(__xludf.DUMMYFUNCTION("""COMPUTED_VALUE"""),"")</f>
        <v/>
      </c>
      <c r="X63" s="72" t="str">
        <f>IFERROR(__xludf.DUMMYFUNCTION("""COMPUTED_VALUE"""),"")</f>
        <v/>
      </c>
      <c r="Y63" s="72" t="str">
        <f>IFERROR(__xludf.DUMMYFUNCTION("""COMPUTED_VALUE"""),"")</f>
        <v/>
      </c>
      <c r="Z63" s="72" t="str">
        <f>IFERROR(__xludf.DUMMYFUNCTION("""COMPUTED_VALUE"""),"")</f>
        <v/>
      </c>
      <c r="AA63" s="72" t="str">
        <f>IFERROR(__xludf.DUMMYFUNCTION("""COMPUTED_VALUE"""),"")</f>
        <v/>
      </c>
      <c r="AB63" s="72" t="str">
        <f>IFERROR(__xludf.DUMMYFUNCTION("""COMPUTED_VALUE"""),"")</f>
        <v/>
      </c>
      <c r="AC63" s="72" t="str">
        <f>IFERROR(__xludf.DUMMYFUNCTION("""COMPUTED_VALUE"""),"")</f>
        <v/>
      </c>
      <c r="AD63" s="72" t="str">
        <f>IFERROR(__xludf.DUMMYFUNCTION("""COMPUTED_VALUE"""),"")</f>
        <v/>
      </c>
      <c r="AE63" s="72" t="str">
        <f>IFERROR(__xludf.DUMMYFUNCTION("""COMPUTED_VALUE"""),"")</f>
        <v/>
      </c>
      <c r="AF63" s="72" t="str">
        <f>IFERROR(__xludf.DUMMYFUNCTION("""COMPUTED_VALUE"""),"")</f>
        <v/>
      </c>
      <c r="AG63" s="72" t="str">
        <f>IFERROR(__xludf.DUMMYFUNCTION("""COMPUTED_VALUE"""),"")</f>
        <v/>
      </c>
      <c r="AH63" s="72" t="str">
        <f>IFERROR(__xludf.DUMMYFUNCTION("""COMPUTED_VALUE"""),"")</f>
        <v/>
      </c>
      <c r="AI63" s="72" t="str">
        <f>IFERROR(__xludf.DUMMYFUNCTION("""COMPUTED_VALUE"""),"")</f>
        <v/>
      </c>
      <c r="AJ63" s="72" t="str">
        <f>IFERROR(__xludf.DUMMYFUNCTION("""COMPUTED_VALUE"""),"")</f>
        <v/>
      </c>
      <c r="AK63" s="72" t="str">
        <f>IFERROR(__xludf.DUMMYFUNCTION("""COMPUTED_VALUE"""),"")</f>
        <v/>
      </c>
      <c r="AL63" s="72" t="str">
        <f>IFERROR(__xludf.DUMMYFUNCTION("""COMPUTED_VALUE"""),"")</f>
        <v/>
      </c>
      <c r="AM63" s="72" t="str">
        <f>IFERROR(__xludf.DUMMYFUNCTION("""COMPUTED_VALUE"""),"")</f>
        <v/>
      </c>
      <c r="AN63" s="72" t="str">
        <f>IFERROR(__xludf.DUMMYFUNCTION("""COMPUTED_VALUE"""),"")</f>
        <v/>
      </c>
      <c r="AO63" s="72" t="str">
        <f>IFERROR(__xludf.DUMMYFUNCTION("""COMPUTED_VALUE"""),"")</f>
        <v/>
      </c>
      <c r="AP63" s="72" t="str">
        <f>IFERROR(__xludf.DUMMYFUNCTION("""COMPUTED_VALUE"""),"")</f>
        <v/>
      </c>
      <c r="AQ63" s="72" t="str">
        <f>IFERROR(__xludf.DUMMYFUNCTION("""COMPUTED_VALUE"""),"")</f>
        <v/>
      </c>
      <c r="AR63" s="72" t="str">
        <f>IFERROR(__xludf.DUMMYFUNCTION("""COMPUTED_VALUE"""),"")</f>
        <v/>
      </c>
      <c r="AS63" s="72" t="str">
        <f>IFERROR(__xludf.DUMMYFUNCTION("""COMPUTED_VALUE"""),"")</f>
        <v/>
      </c>
      <c r="AT63" s="72" t="str">
        <f>IFERROR(__xludf.DUMMYFUNCTION("""COMPUTED_VALUE"""),"")</f>
        <v/>
      </c>
      <c r="AU63" s="72" t="str">
        <f>IFERROR(__xludf.DUMMYFUNCTION("""COMPUTED_VALUE"""),"")</f>
        <v/>
      </c>
      <c r="AV63" s="72" t="str">
        <f>IFERROR(__xludf.DUMMYFUNCTION("""COMPUTED_VALUE"""),"")</f>
        <v/>
      </c>
      <c r="AW63" s="72" t="str">
        <f>IFERROR(__xludf.DUMMYFUNCTION("""COMPUTED_VALUE"""),"")</f>
        <v/>
      </c>
      <c r="AX63" s="72" t="str">
        <f>IFERROR(__xludf.DUMMYFUNCTION("""COMPUTED_VALUE"""),"")</f>
        <v/>
      </c>
      <c r="AY63" s="72" t="str">
        <f>IFERROR(__xludf.DUMMYFUNCTION("""COMPUTED_VALUE"""),"")</f>
        <v/>
      </c>
      <c r="AZ63" s="72" t="str">
        <f>IFERROR(__xludf.DUMMYFUNCTION("""COMPUTED_VALUE"""),"")</f>
        <v/>
      </c>
      <c r="BA63" s="72" t="str">
        <f>IFERROR(__xludf.DUMMYFUNCTION("""COMPUTED_VALUE"""),"")</f>
        <v/>
      </c>
      <c r="BB63" s="72" t="str">
        <f>IFERROR(__xludf.DUMMYFUNCTION("""COMPUTED_VALUE"""),"")</f>
        <v/>
      </c>
      <c r="BC63" s="72" t="str">
        <f>IFERROR(__xludf.DUMMYFUNCTION("""COMPUTED_VALUE"""),"")</f>
        <v/>
      </c>
      <c r="BD63" s="69" t="str">
        <f>IFERROR(__xludf.DUMMYFUNCTION("""COMPUTED_VALUE"""),"")</f>
        <v/>
      </c>
      <c r="BE63" s="69" t="str">
        <f>IFERROR(__xludf.DUMMYFUNCTION("""COMPUTED_VALUE"""),"")</f>
        <v/>
      </c>
      <c r="BF63" s="69" t="str">
        <f>IFERROR(__xludf.DUMMYFUNCTION("""COMPUTED_VALUE"""),"")</f>
        <v/>
      </c>
      <c r="BG63" s="69" t="str">
        <f>IFERROR(__xludf.DUMMYFUNCTION("""COMPUTED_VALUE"""),"")</f>
        <v/>
      </c>
      <c r="BH63" s="69" t="str">
        <f>IFERROR(__xludf.DUMMYFUNCTION("""COMPUTED_VALUE"""),"")</f>
        <v/>
      </c>
      <c r="BI63" s="69" t="str">
        <f>IFERROR(__xludf.DUMMYFUNCTION("""COMPUTED_VALUE"""),"")</f>
        <v/>
      </c>
      <c r="BJ63" s="69" t="str">
        <f>IFERROR(__xludf.DUMMYFUNCTION("""COMPUTED_VALUE"""),"")</f>
        <v/>
      </c>
      <c r="BK63" s="69" t="str">
        <f>IFERROR(__xludf.DUMMYFUNCTION("""COMPUTED_VALUE"""),"")</f>
        <v/>
      </c>
      <c r="BL63" s="69" t="str">
        <f>IFERROR(__xludf.DUMMYFUNCTION("""COMPUTED_VALUE"""),"")</f>
        <v/>
      </c>
      <c r="BM63" s="69" t="str">
        <f>IFERROR(__xludf.DUMMYFUNCTION("""COMPUTED_VALUE"""),"")</f>
        <v/>
      </c>
      <c r="BN63" s="69" t="str">
        <f>IFERROR(__xludf.DUMMYFUNCTION("""COMPUTED_VALUE"""),"")</f>
        <v/>
      </c>
      <c r="BO63" s="69" t="str">
        <f>IFERROR(__xludf.DUMMYFUNCTION("""COMPUTED_VALUE"""),"")</f>
        <v/>
      </c>
      <c r="BP63" s="69" t="str">
        <f>IFERROR(__xludf.DUMMYFUNCTION("""COMPUTED_VALUE"""),"")</f>
        <v/>
      </c>
      <c r="BQ63" s="69" t="str">
        <f>IFERROR(__xludf.DUMMYFUNCTION("""COMPUTED_VALUE"""),"")</f>
        <v/>
      </c>
      <c r="BR63" s="69" t="str">
        <f>IFERROR(__xludf.DUMMYFUNCTION("""COMPUTED_VALUE"""),"")</f>
        <v/>
      </c>
      <c r="BS63" s="69" t="str">
        <f>IFERROR(__xludf.DUMMYFUNCTION("""COMPUTED_VALUE"""),"")</f>
        <v/>
      </c>
      <c r="BT63" s="69" t="str">
        <f>IFERROR(__xludf.DUMMYFUNCTION("""COMPUTED_VALUE"""),"")</f>
        <v/>
      </c>
      <c r="BU63" s="69" t="str">
        <f>IFERROR(__xludf.DUMMYFUNCTION("""COMPUTED_VALUE"""),"")</f>
        <v/>
      </c>
      <c r="BV63" s="69" t="str">
        <f>IFERROR(__xludf.DUMMYFUNCTION("""COMPUTED_VALUE"""),"")</f>
        <v/>
      </c>
      <c r="BW63" s="69"/>
      <c r="BX63" s="69"/>
      <c r="BY63" s="69"/>
      <c r="BZ63" s="69"/>
      <c r="CA63" s="69"/>
      <c r="CB63" s="69"/>
      <c r="CC63" s="69"/>
      <c r="CD63" s="69"/>
      <c r="CE63" s="69"/>
      <c r="CF63" s="69"/>
    </row>
    <row r="64">
      <c r="A64" s="69"/>
      <c r="B64" s="71"/>
      <c r="C64" s="72" t="str">
        <f>IFERROR(__xludf.DUMMYFUNCTION("""COMPUTED_VALUE"""),"")</f>
        <v/>
      </c>
      <c r="D64" s="72" t="str">
        <f>IFERROR(__xludf.DUMMYFUNCTION("""COMPUTED_VALUE"""),"")</f>
        <v/>
      </c>
      <c r="E64" s="72" t="str">
        <f>IFERROR(__xludf.DUMMYFUNCTION("""COMPUTED_VALUE"""),"")</f>
        <v/>
      </c>
      <c r="F64" s="72" t="str">
        <f>IFERROR(__xludf.DUMMYFUNCTION("""COMPUTED_VALUE"""),"")</f>
        <v/>
      </c>
      <c r="G64" s="72" t="str">
        <f>IFERROR(__xludf.DUMMYFUNCTION("""COMPUTED_VALUE"""),"")</f>
        <v/>
      </c>
      <c r="H64" s="72" t="str">
        <f>IFERROR(__xludf.DUMMYFUNCTION("""COMPUTED_VALUE"""),"")</f>
        <v/>
      </c>
      <c r="I64" s="72" t="str">
        <f>IFERROR(__xludf.DUMMYFUNCTION("""COMPUTED_VALUE"""),"")</f>
        <v/>
      </c>
      <c r="J64" s="72" t="str">
        <f>IFERROR(__xludf.DUMMYFUNCTION("""COMPUTED_VALUE"""),"")</f>
        <v/>
      </c>
      <c r="K64" s="72" t="str">
        <f>IFERROR(__xludf.DUMMYFUNCTION("""COMPUTED_VALUE"""),"")</f>
        <v/>
      </c>
      <c r="L64" s="72" t="str">
        <f>IFERROR(__xludf.DUMMYFUNCTION("""COMPUTED_VALUE"""),"")</f>
        <v/>
      </c>
      <c r="M64" s="72" t="str">
        <f>IFERROR(__xludf.DUMMYFUNCTION("""COMPUTED_VALUE"""),"")</f>
        <v/>
      </c>
      <c r="N64" s="72" t="str">
        <f>IFERROR(__xludf.DUMMYFUNCTION("""COMPUTED_VALUE"""),"")</f>
        <v/>
      </c>
      <c r="O64" s="72" t="str">
        <f>IFERROR(__xludf.DUMMYFUNCTION("""COMPUTED_VALUE"""),"")</f>
        <v/>
      </c>
      <c r="P64" s="72" t="str">
        <f>IFERROR(__xludf.DUMMYFUNCTION("""COMPUTED_VALUE"""),"")</f>
        <v/>
      </c>
      <c r="Q64" s="72" t="str">
        <f>IFERROR(__xludf.DUMMYFUNCTION("""COMPUTED_VALUE"""),"")</f>
        <v/>
      </c>
      <c r="R64" s="72" t="str">
        <f>IFERROR(__xludf.DUMMYFUNCTION("""COMPUTED_VALUE"""),"")</f>
        <v/>
      </c>
      <c r="S64" s="72" t="str">
        <f>IFERROR(__xludf.DUMMYFUNCTION("""COMPUTED_VALUE"""),"")</f>
        <v/>
      </c>
      <c r="T64" s="72" t="str">
        <f>IFERROR(__xludf.DUMMYFUNCTION("""COMPUTED_VALUE"""),"")</f>
        <v/>
      </c>
      <c r="U64" s="72" t="str">
        <f>IFERROR(__xludf.DUMMYFUNCTION("""COMPUTED_VALUE"""),"")</f>
        <v/>
      </c>
      <c r="V64" s="72" t="str">
        <f>IFERROR(__xludf.DUMMYFUNCTION("""COMPUTED_VALUE"""),"")</f>
        <v/>
      </c>
      <c r="W64" s="72" t="str">
        <f>IFERROR(__xludf.DUMMYFUNCTION("""COMPUTED_VALUE"""),"")</f>
        <v/>
      </c>
      <c r="X64" s="72" t="str">
        <f>IFERROR(__xludf.DUMMYFUNCTION("""COMPUTED_VALUE"""),"")</f>
        <v/>
      </c>
      <c r="Y64" s="72" t="str">
        <f>IFERROR(__xludf.DUMMYFUNCTION("""COMPUTED_VALUE"""),"")</f>
        <v/>
      </c>
      <c r="Z64" s="72" t="str">
        <f>IFERROR(__xludf.DUMMYFUNCTION("""COMPUTED_VALUE"""),"")</f>
        <v/>
      </c>
      <c r="AA64" s="72" t="str">
        <f>IFERROR(__xludf.DUMMYFUNCTION("""COMPUTED_VALUE"""),"")</f>
        <v/>
      </c>
      <c r="AB64" s="72" t="str">
        <f>IFERROR(__xludf.DUMMYFUNCTION("""COMPUTED_VALUE"""),"")</f>
        <v/>
      </c>
      <c r="AC64" s="72" t="str">
        <f>IFERROR(__xludf.DUMMYFUNCTION("""COMPUTED_VALUE"""),"")</f>
        <v/>
      </c>
      <c r="AD64" s="72" t="str">
        <f>IFERROR(__xludf.DUMMYFUNCTION("""COMPUTED_VALUE"""),"")</f>
        <v/>
      </c>
      <c r="AE64" s="72" t="str">
        <f>IFERROR(__xludf.DUMMYFUNCTION("""COMPUTED_VALUE"""),"")</f>
        <v/>
      </c>
      <c r="AF64" s="72" t="str">
        <f>IFERROR(__xludf.DUMMYFUNCTION("""COMPUTED_VALUE"""),"")</f>
        <v/>
      </c>
      <c r="AG64" s="72" t="str">
        <f>IFERROR(__xludf.DUMMYFUNCTION("""COMPUTED_VALUE"""),"")</f>
        <v/>
      </c>
      <c r="AH64" s="72" t="str">
        <f>IFERROR(__xludf.DUMMYFUNCTION("""COMPUTED_VALUE"""),"")</f>
        <v/>
      </c>
      <c r="AI64" s="72" t="str">
        <f>IFERROR(__xludf.DUMMYFUNCTION("""COMPUTED_VALUE"""),"")</f>
        <v/>
      </c>
      <c r="AJ64" s="72" t="str">
        <f>IFERROR(__xludf.DUMMYFUNCTION("""COMPUTED_VALUE"""),"")</f>
        <v/>
      </c>
      <c r="AK64" s="72" t="str">
        <f>IFERROR(__xludf.DUMMYFUNCTION("""COMPUTED_VALUE"""),"")</f>
        <v/>
      </c>
      <c r="AL64" s="72" t="str">
        <f>IFERROR(__xludf.DUMMYFUNCTION("""COMPUTED_VALUE"""),"")</f>
        <v/>
      </c>
      <c r="AM64" s="72" t="str">
        <f>IFERROR(__xludf.DUMMYFUNCTION("""COMPUTED_VALUE"""),"")</f>
        <v/>
      </c>
      <c r="AN64" s="72" t="str">
        <f>IFERROR(__xludf.DUMMYFUNCTION("""COMPUTED_VALUE"""),"")</f>
        <v/>
      </c>
      <c r="AO64" s="72" t="str">
        <f>IFERROR(__xludf.DUMMYFUNCTION("""COMPUTED_VALUE"""),"")</f>
        <v/>
      </c>
      <c r="AP64" s="72" t="str">
        <f>IFERROR(__xludf.DUMMYFUNCTION("""COMPUTED_VALUE"""),"")</f>
        <v/>
      </c>
      <c r="AQ64" s="72" t="str">
        <f>IFERROR(__xludf.DUMMYFUNCTION("""COMPUTED_VALUE"""),"")</f>
        <v/>
      </c>
      <c r="AR64" s="72" t="str">
        <f>IFERROR(__xludf.DUMMYFUNCTION("""COMPUTED_VALUE"""),"")</f>
        <v/>
      </c>
      <c r="AS64" s="72" t="str">
        <f>IFERROR(__xludf.DUMMYFUNCTION("""COMPUTED_VALUE"""),"")</f>
        <v/>
      </c>
      <c r="AT64" s="72" t="str">
        <f>IFERROR(__xludf.DUMMYFUNCTION("""COMPUTED_VALUE"""),"")</f>
        <v/>
      </c>
      <c r="AU64" s="72" t="str">
        <f>IFERROR(__xludf.DUMMYFUNCTION("""COMPUTED_VALUE"""),"")</f>
        <v/>
      </c>
      <c r="AV64" s="72" t="str">
        <f>IFERROR(__xludf.DUMMYFUNCTION("""COMPUTED_VALUE"""),"")</f>
        <v/>
      </c>
      <c r="AW64" s="72" t="str">
        <f>IFERROR(__xludf.DUMMYFUNCTION("""COMPUTED_VALUE"""),"")</f>
        <v/>
      </c>
      <c r="AX64" s="72" t="str">
        <f>IFERROR(__xludf.DUMMYFUNCTION("""COMPUTED_VALUE"""),"")</f>
        <v/>
      </c>
      <c r="AY64" s="72" t="str">
        <f>IFERROR(__xludf.DUMMYFUNCTION("""COMPUTED_VALUE"""),"")</f>
        <v/>
      </c>
      <c r="AZ64" s="72" t="str">
        <f>IFERROR(__xludf.DUMMYFUNCTION("""COMPUTED_VALUE"""),"")</f>
        <v/>
      </c>
      <c r="BA64" s="72" t="str">
        <f>IFERROR(__xludf.DUMMYFUNCTION("""COMPUTED_VALUE"""),"")</f>
        <v/>
      </c>
      <c r="BB64" s="72" t="str">
        <f>IFERROR(__xludf.DUMMYFUNCTION("""COMPUTED_VALUE"""),"")</f>
        <v/>
      </c>
      <c r="BC64" s="72" t="str">
        <f>IFERROR(__xludf.DUMMYFUNCTION("""COMPUTED_VALUE"""),"")</f>
        <v/>
      </c>
      <c r="BD64" s="69" t="str">
        <f>IFERROR(__xludf.DUMMYFUNCTION("""COMPUTED_VALUE"""),"")</f>
        <v/>
      </c>
      <c r="BE64" s="69" t="str">
        <f>IFERROR(__xludf.DUMMYFUNCTION("""COMPUTED_VALUE"""),"")</f>
        <v/>
      </c>
      <c r="BF64" s="69" t="str">
        <f>IFERROR(__xludf.DUMMYFUNCTION("""COMPUTED_VALUE"""),"")</f>
        <v/>
      </c>
      <c r="BG64" s="69" t="str">
        <f>IFERROR(__xludf.DUMMYFUNCTION("""COMPUTED_VALUE"""),"")</f>
        <v/>
      </c>
      <c r="BH64" s="69" t="str">
        <f>IFERROR(__xludf.DUMMYFUNCTION("""COMPUTED_VALUE"""),"")</f>
        <v/>
      </c>
      <c r="BI64" s="69" t="str">
        <f>IFERROR(__xludf.DUMMYFUNCTION("""COMPUTED_VALUE"""),"")</f>
        <v/>
      </c>
      <c r="BJ64" s="69" t="str">
        <f>IFERROR(__xludf.DUMMYFUNCTION("""COMPUTED_VALUE"""),"")</f>
        <v/>
      </c>
      <c r="BK64" s="69" t="str">
        <f>IFERROR(__xludf.DUMMYFUNCTION("""COMPUTED_VALUE"""),"")</f>
        <v/>
      </c>
      <c r="BL64" s="69" t="str">
        <f>IFERROR(__xludf.DUMMYFUNCTION("""COMPUTED_VALUE"""),"")</f>
        <v/>
      </c>
      <c r="BM64" s="69" t="str">
        <f>IFERROR(__xludf.DUMMYFUNCTION("""COMPUTED_VALUE"""),"")</f>
        <v/>
      </c>
      <c r="BN64" s="69" t="str">
        <f>IFERROR(__xludf.DUMMYFUNCTION("""COMPUTED_VALUE"""),"")</f>
        <v/>
      </c>
      <c r="BO64" s="69" t="str">
        <f>IFERROR(__xludf.DUMMYFUNCTION("""COMPUTED_VALUE"""),"")</f>
        <v/>
      </c>
      <c r="BP64" s="69" t="str">
        <f>IFERROR(__xludf.DUMMYFUNCTION("""COMPUTED_VALUE"""),"")</f>
        <v/>
      </c>
      <c r="BQ64" s="69" t="str">
        <f>IFERROR(__xludf.DUMMYFUNCTION("""COMPUTED_VALUE"""),"")</f>
        <v/>
      </c>
      <c r="BR64" s="69" t="str">
        <f>IFERROR(__xludf.DUMMYFUNCTION("""COMPUTED_VALUE"""),"")</f>
        <v/>
      </c>
      <c r="BS64" s="69" t="str">
        <f>IFERROR(__xludf.DUMMYFUNCTION("""COMPUTED_VALUE"""),"")</f>
        <v/>
      </c>
      <c r="BT64" s="69" t="str">
        <f>IFERROR(__xludf.DUMMYFUNCTION("""COMPUTED_VALUE"""),"")</f>
        <v/>
      </c>
      <c r="BU64" s="69" t="str">
        <f>IFERROR(__xludf.DUMMYFUNCTION("""COMPUTED_VALUE"""),"")</f>
        <v/>
      </c>
      <c r="BV64" s="69" t="str">
        <f>IFERROR(__xludf.DUMMYFUNCTION("""COMPUTED_VALUE"""),"")</f>
        <v/>
      </c>
      <c r="BW64" s="69"/>
      <c r="BX64" s="69"/>
      <c r="BY64" s="69"/>
      <c r="BZ64" s="69"/>
      <c r="CA64" s="69"/>
      <c r="CB64" s="69"/>
      <c r="CC64" s="69"/>
      <c r="CD64" s="69"/>
      <c r="CE64" s="69"/>
      <c r="CF64" s="69"/>
    </row>
    <row r="65">
      <c r="A65" s="69"/>
      <c r="B65" s="71"/>
      <c r="C65" s="72" t="str">
        <f>IFERROR(__xludf.DUMMYFUNCTION("""COMPUTED_VALUE"""),"")</f>
        <v/>
      </c>
      <c r="D65" s="72" t="str">
        <f>IFERROR(__xludf.DUMMYFUNCTION("""COMPUTED_VALUE"""),"")</f>
        <v/>
      </c>
      <c r="E65" s="72" t="str">
        <f>IFERROR(__xludf.DUMMYFUNCTION("""COMPUTED_VALUE"""),"")</f>
        <v/>
      </c>
      <c r="F65" s="72" t="str">
        <f>IFERROR(__xludf.DUMMYFUNCTION("""COMPUTED_VALUE"""),"")</f>
        <v/>
      </c>
      <c r="G65" s="72" t="str">
        <f>IFERROR(__xludf.DUMMYFUNCTION("""COMPUTED_VALUE"""),"")</f>
        <v/>
      </c>
      <c r="H65" s="72" t="str">
        <f>IFERROR(__xludf.DUMMYFUNCTION("""COMPUTED_VALUE"""),"")</f>
        <v/>
      </c>
      <c r="I65" s="72" t="str">
        <f>IFERROR(__xludf.DUMMYFUNCTION("""COMPUTED_VALUE"""),"")</f>
        <v/>
      </c>
      <c r="J65" s="72" t="str">
        <f>IFERROR(__xludf.DUMMYFUNCTION("""COMPUTED_VALUE"""),"")</f>
        <v/>
      </c>
      <c r="K65" s="72" t="str">
        <f>IFERROR(__xludf.DUMMYFUNCTION("""COMPUTED_VALUE"""),"")</f>
        <v/>
      </c>
      <c r="L65" s="72" t="str">
        <f>IFERROR(__xludf.DUMMYFUNCTION("""COMPUTED_VALUE"""),"")</f>
        <v/>
      </c>
      <c r="M65" s="72" t="str">
        <f>IFERROR(__xludf.DUMMYFUNCTION("""COMPUTED_VALUE"""),"")</f>
        <v/>
      </c>
      <c r="N65" s="72" t="str">
        <f>IFERROR(__xludf.DUMMYFUNCTION("""COMPUTED_VALUE"""),"")</f>
        <v/>
      </c>
      <c r="O65" s="72" t="str">
        <f>IFERROR(__xludf.DUMMYFUNCTION("""COMPUTED_VALUE"""),"")</f>
        <v/>
      </c>
      <c r="P65" s="72" t="str">
        <f>IFERROR(__xludf.DUMMYFUNCTION("""COMPUTED_VALUE"""),"")</f>
        <v/>
      </c>
      <c r="Q65" s="72" t="str">
        <f>IFERROR(__xludf.DUMMYFUNCTION("""COMPUTED_VALUE"""),"")</f>
        <v/>
      </c>
      <c r="R65" s="72" t="str">
        <f>IFERROR(__xludf.DUMMYFUNCTION("""COMPUTED_VALUE"""),"")</f>
        <v/>
      </c>
      <c r="S65" s="72" t="str">
        <f>IFERROR(__xludf.DUMMYFUNCTION("""COMPUTED_VALUE"""),"")</f>
        <v/>
      </c>
      <c r="T65" s="72" t="str">
        <f>IFERROR(__xludf.DUMMYFUNCTION("""COMPUTED_VALUE"""),"")</f>
        <v/>
      </c>
      <c r="U65" s="72" t="str">
        <f>IFERROR(__xludf.DUMMYFUNCTION("""COMPUTED_VALUE"""),"")</f>
        <v/>
      </c>
      <c r="V65" s="72" t="str">
        <f>IFERROR(__xludf.DUMMYFUNCTION("""COMPUTED_VALUE"""),"")</f>
        <v/>
      </c>
      <c r="W65" s="72" t="str">
        <f>IFERROR(__xludf.DUMMYFUNCTION("""COMPUTED_VALUE"""),"")</f>
        <v/>
      </c>
      <c r="X65" s="72" t="str">
        <f>IFERROR(__xludf.DUMMYFUNCTION("""COMPUTED_VALUE"""),"")</f>
        <v/>
      </c>
      <c r="Y65" s="72" t="str">
        <f>IFERROR(__xludf.DUMMYFUNCTION("""COMPUTED_VALUE"""),"")</f>
        <v/>
      </c>
      <c r="Z65" s="72" t="str">
        <f>IFERROR(__xludf.DUMMYFUNCTION("""COMPUTED_VALUE"""),"")</f>
        <v/>
      </c>
      <c r="AA65" s="72" t="str">
        <f>IFERROR(__xludf.DUMMYFUNCTION("""COMPUTED_VALUE"""),"")</f>
        <v/>
      </c>
      <c r="AB65" s="72" t="str">
        <f>IFERROR(__xludf.DUMMYFUNCTION("""COMPUTED_VALUE"""),"")</f>
        <v/>
      </c>
      <c r="AC65" s="72" t="str">
        <f>IFERROR(__xludf.DUMMYFUNCTION("""COMPUTED_VALUE"""),"")</f>
        <v/>
      </c>
      <c r="AD65" s="72" t="str">
        <f>IFERROR(__xludf.DUMMYFUNCTION("""COMPUTED_VALUE"""),"")</f>
        <v/>
      </c>
      <c r="AE65" s="72" t="str">
        <f>IFERROR(__xludf.DUMMYFUNCTION("""COMPUTED_VALUE"""),"")</f>
        <v/>
      </c>
      <c r="AF65" s="72" t="str">
        <f>IFERROR(__xludf.DUMMYFUNCTION("""COMPUTED_VALUE"""),"")</f>
        <v/>
      </c>
      <c r="AG65" s="72" t="str">
        <f>IFERROR(__xludf.DUMMYFUNCTION("""COMPUTED_VALUE"""),"")</f>
        <v/>
      </c>
      <c r="AH65" s="72" t="str">
        <f>IFERROR(__xludf.DUMMYFUNCTION("""COMPUTED_VALUE"""),"")</f>
        <v/>
      </c>
      <c r="AI65" s="72" t="str">
        <f>IFERROR(__xludf.DUMMYFUNCTION("""COMPUTED_VALUE"""),"")</f>
        <v/>
      </c>
      <c r="AJ65" s="72" t="str">
        <f>IFERROR(__xludf.DUMMYFUNCTION("""COMPUTED_VALUE"""),"")</f>
        <v/>
      </c>
      <c r="AK65" s="72" t="str">
        <f>IFERROR(__xludf.DUMMYFUNCTION("""COMPUTED_VALUE"""),"")</f>
        <v/>
      </c>
      <c r="AL65" s="72" t="str">
        <f>IFERROR(__xludf.DUMMYFUNCTION("""COMPUTED_VALUE"""),"")</f>
        <v/>
      </c>
      <c r="AM65" s="72" t="str">
        <f>IFERROR(__xludf.DUMMYFUNCTION("""COMPUTED_VALUE"""),"")</f>
        <v/>
      </c>
      <c r="AN65" s="72" t="str">
        <f>IFERROR(__xludf.DUMMYFUNCTION("""COMPUTED_VALUE"""),"")</f>
        <v/>
      </c>
      <c r="AO65" s="72" t="str">
        <f>IFERROR(__xludf.DUMMYFUNCTION("""COMPUTED_VALUE"""),"")</f>
        <v/>
      </c>
      <c r="AP65" s="72" t="str">
        <f>IFERROR(__xludf.DUMMYFUNCTION("""COMPUTED_VALUE"""),"")</f>
        <v/>
      </c>
      <c r="AQ65" s="72" t="str">
        <f>IFERROR(__xludf.DUMMYFUNCTION("""COMPUTED_VALUE"""),"")</f>
        <v/>
      </c>
      <c r="AR65" s="72" t="str">
        <f>IFERROR(__xludf.DUMMYFUNCTION("""COMPUTED_VALUE"""),"")</f>
        <v/>
      </c>
      <c r="AS65" s="72" t="str">
        <f>IFERROR(__xludf.DUMMYFUNCTION("""COMPUTED_VALUE"""),"")</f>
        <v/>
      </c>
      <c r="AT65" s="72" t="str">
        <f>IFERROR(__xludf.DUMMYFUNCTION("""COMPUTED_VALUE"""),"")</f>
        <v/>
      </c>
      <c r="AU65" s="72" t="str">
        <f>IFERROR(__xludf.DUMMYFUNCTION("""COMPUTED_VALUE"""),"")</f>
        <v/>
      </c>
      <c r="AV65" s="72" t="str">
        <f>IFERROR(__xludf.DUMMYFUNCTION("""COMPUTED_VALUE"""),"")</f>
        <v/>
      </c>
      <c r="AW65" s="72" t="str">
        <f>IFERROR(__xludf.DUMMYFUNCTION("""COMPUTED_VALUE"""),"")</f>
        <v/>
      </c>
      <c r="AX65" s="72" t="str">
        <f>IFERROR(__xludf.DUMMYFUNCTION("""COMPUTED_VALUE"""),"")</f>
        <v/>
      </c>
      <c r="AY65" s="72" t="str">
        <f>IFERROR(__xludf.DUMMYFUNCTION("""COMPUTED_VALUE"""),"")</f>
        <v/>
      </c>
      <c r="AZ65" s="72" t="str">
        <f>IFERROR(__xludf.DUMMYFUNCTION("""COMPUTED_VALUE"""),"")</f>
        <v/>
      </c>
      <c r="BA65" s="72" t="str">
        <f>IFERROR(__xludf.DUMMYFUNCTION("""COMPUTED_VALUE"""),"")</f>
        <v/>
      </c>
      <c r="BB65" s="72" t="str">
        <f>IFERROR(__xludf.DUMMYFUNCTION("""COMPUTED_VALUE"""),"")</f>
        <v/>
      </c>
      <c r="BC65" s="72" t="str">
        <f>IFERROR(__xludf.DUMMYFUNCTION("""COMPUTED_VALUE"""),"")</f>
        <v/>
      </c>
      <c r="BD65" s="69" t="str">
        <f>IFERROR(__xludf.DUMMYFUNCTION("""COMPUTED_VALUE"""),"")</f>
        <v/>
      </c>
      <c r="BE65" s="69" t="str">
        <f>IFERROR(__xludf.DUMMYFUNCTION("""COMPUTED_VALUE"""),"")</f>
        <v/>
      </c>
      <c r="BF65" s="69" t="str">
        <f>IFERROR(__xludf.DUMMYFUNCTION("""COMPUTED_VALUE"""),"")</f>
        <v/>
      </c>
      <c r="BG65" s="69" t="str">
        <f>IFERROR(__xludf.DUMMYFUNCTION("""COMPUTED_VALUE"""),"")</f>
        <v/>
      </c>
      <c r="BH65" s="69" t="str">
        <f>IFERROR(__xludf.DUMMYFUNCTION("""COMPUTED_VALUE"""),"")</f>
        <v/>
      </c>
      <c r="BI65" s="69" t="str">
        <f>IFERROR(__xludf.DUMMYFUNCTION("""COMPUTED_VALUE"""),"")</f>
        <v/>
      </c>
      <c r="BJ65" s="69" t="str">
        <f>IFERROR(__xludf.DUMMYFUNCTION("""COMPUTED_VALUE"""),"")</f>
        <v/>
      </c>
      <c r="BK65" s="69" t="str">
        <f>IFERROR(__xludf.DUMMYFUNCTION("""COMPUTED_VALUE"""),"")</f>
        <v/>
      </c>
      <c r="BL65" s="69" t="str">
        <f>IFERROR(__xludf.DUMMYFUNCTION("""COMPUTED_VALUE"""),"")</f>
        <v/>
      </c>
      <c r="BM65" s="69" t="str">
        <f>IFERROR(__xludf.DUMMYFUNCTION("""COMPUTED_VALUE"""),"")</f>
        <v/>
      </c>
      <c r="BN65" s="69" t="str">
        <f>IFERROR(__xludf.DUMMYFUNCTION("""COMPUTED_VALUE"""),"")</f>
        <v/>
      </c>
      <c r="BO65" s="69" t="str">
        <f>IFERROR(__xludf.DUMMYFUNCTION("""COMPUTED_VALUE"""),"")</f>
        <v/>
      </c>
      <c r="BP65" s="69" t="str">
        <f>IFERROR(__xludf.DUMMYFUNCTION("""COMPUTED_VALUE"""),"")</f>
        <v/>
      </c>
      <c r="BQ65" s="69" t="str">
        <f>IFERROR(__xludf.DUMMYFUNCTION("""COMPUTED_VALUE"""),"")</f>
        <v/>
      </c>
      <c r="BR65" s="69" t="str">
        <f>IFERROR(__xludf.DUMMYFUNCTION("""COMPUTED_VALUE"""),"")</f>
        <v/>
      </c>
      <c r="BS65" s="69" t="str">
        <f>IFERROR(__xludf.DUMMYFUNCTION("""COMPUTED_VALUE"""),"")</f>
        <v/>
      </c>
      <c r="BT65" s="69" t="str">
        <f>IFERROR(__xludf.DUMMYFUNCTION("""COMPUTED_VALUE"""),"")</f>
        <v/>
      </c>
      <c r="BU65" s="69" t="str">
        <f>IFERROR(__xludf.DUMMYFUNCTION("""COMPUTED_VALUE"""),"")</f>
        <v/>
      </c>
      <c r="BV65" s="69" t="str">
        <f>IFERROR(__xludf.DUMMYFUNCTION("""COMPUTED_VALUE"""),"")</f>
        <v/>
      </c>
      <c r="BW65" s="69"/>
      <c r="BX65" s="69"/>
      <c r="BY65" s="69"/>
      <c r="BZ65" s="69"/>
      <c r="CA65" s="69"/>
      <c r="CB65" s="69"/>
      <c r="CC65" s="69"/>
      <c r="CD65" s="69"/>
      <c r="CE65" s="69"/>
      <c r="CF65" s="69"/>
    </row>
    <row r="66">
      <c r="A66" s="69"/>
      <c r="B66" s="71"/>
      <c r="C66" s="72" t="str">
        <f>IFERROR(__xludf.DUMMYFUNCTION("""COMPUTED_VALUE"""),"")</f>
        <v/>
      </c>
      <c r="D66" s="72" t="str">
        <f>IFERROR(__xludf.DUMMYFUNCTION("""COMPUTED_VALUE"""),"")</f>
        <v/>
      </c>
      <c r="E66" s="72" t="str">
        <f>IFERROR(__xludf.DUMMYFUNCTION("""COMPUTED_VALUE"""),"")</f>
        <v/>
      </c>
      <c r="F66" s="72" t="str">
        <f>IFERROR(__xludf.DUMMYFUNCTION("""COMPUTED_VALUE"""),"")</f>
        <v/>
      </c>
      <c r="G66" s="72" t="str">
        <f>IFERROR(__xludf.DUMMYFUNCTION("""COMPUTED_VALUE"""),"")</f>
        <v/>
      </c>
      <c r="H66" s="72" t="str">
        <f>IFERROR(__xludf.DUMMYFUNCTION("""COMPUTED_VALUE"""),"")</f>
        <v/>
      </c>
      <c r="I66" s="72" t="str">
        <f>IFERROR(__xludf.DUMMYFUNCTION("""COMPUTED_VALUE"""),"")</f>
        <v/>
      </c>
      <c r="J66" s="72" t="str">
        <f>IFERROR(__xludf.DUMMYFUNCTION("""COMPUTED_VALUE"""),"")</f>
        <v/>
      </c>
      <c r="K66" s="72" t="str">
        <f>IFERROR(__xludf.DUMMYFUNCTION("""COMPUTED_VALUE"""),"")</f>
        <v/>
      </c>
      <c r="L66" s="72" t="str">
        <f>IFERROR(__xludf.DUMMYFUNCTION("""COMPUTED_VALUE"""),"")</f>
        <v/>
      </c>
      <c r="M66" s="72" t="str">
        <f>IFERROR(__xludf.DUMMYFUNCTION("""COMPUTED_VALUE"""),"")</f>
        <v/>
      </c>
      <c r="N66" s="72" t="str">
        <f>IFERROR(__xludf.DUMMYFUNCTION("""COMPUTED_VALUE"""),"")</f>
        <v/>
      </c>
      <c r="O66" s="72" t="str">
        <f>IFERROR(__xludf.DUMMYFUNCTION("""COMPUTED_VALUE"""),"")</f>
        <v/>
      </c>
      <c r="P66" s="72" t="str">
        <f>IFERROR(__xludf.DUMMYFUNCTION("""COMPUTED_VALUE"""),"")</f>
        <v/>
      </c>
      <c r="Q66" s="72" t="str">
        <f>IFERROR(__xludf.DUMMYFUNCTION("""COMPUTED_VALUE"""),"")</f>
        <v/>
      </c>
      <c r="R66" s="72" t="str">
        <f>IFERROR(__xludf.DUMMYFUNCTION("""COMPUTED_VALUE"""),"")</f>
        <v/>
      </c>
      <c r="S66" s="72" t="str">
        <f>IFERROR(__xludf.DUMMYFUNCTION("""COMPUTED_VALUE"""),"")</f>
        <v/>
      </c>
      <c r="T66" s="72" t="str">
        <f>IFERROR(__xludf.DUMMYFUNCTION("""COMPUTED_VALUE"""),"")</f>
        <v/>
      </c>
      <c r="U66" s="72" t="str">
        <f>IFERROR(__xludf.DUMMYFUNCTION("""COMPUTED_VALUE"""),"")</f>
        <v/>
      </c>
      <c r="V66" s="72" t="str">
        <f>IFERROR(__xludf.DUMMYFUNCTION("""COMPUTED_VALUE"""),"")</f>
        <v/>
      </c>
      <c r="W66" s="72" t="str">
        <f>IFERROR(__xludf.DUMMYFUNCTION("""COMPUTED_VALUE"""),"")</f>
        <v/>
      </c>
      <c r="X66" s="72" t="str">
        <f>IFERROR(__xludf.DUMMYFUNCTION("""COMPUTED_VALUE"""),"")</f>
        <v/>
      </c>
      <c r="Y66" s="72" t="str">
        <f>IFERROR(__xludf.DUMMYFUNCTION("""COMPUTED_VALUE"""),"")</f>
        <v/>
      </c>
      <c r="Z66" s="72" t="str">
        <f>IFERROR(__xludf.DUMMYFUNCTION("""COMPUTED_VALUE"""),"")</f>
        <v/>
      </c>
      <c r="AA66" s="72" t="str">
        <f>IFERROR(__xludf.DUMMYFUNCTION("""COMPUTED_VALUE"""),"")</f>
        <v/>
      </c>
      <c r="AB66" s="72" t="str">
        <f>IFERROR(__xludf.DUMMYFUNCTION("""COMPUTED_VALUE"""),"")</f>
        <v/>
      </c>
      <c r="AC66" s="72" t="str">
        <f>IFERROR(__xludf.DUMMYFUNCTION("""COMPUTED_VALUE"""),"")</f>
        <v/>
      </c>
      <c r="AD66" s="72" t="str">
        <f>IFERROR(__xludf.DUMMYFUNCTION("""COMPUTED_VALUE"""),"")</f>
        <v/>
      </c>
      <c r="AE66" s="72" t="str">
        <f>IFERROR(__xludf.DUMMYFUNCTION("""COMPUTED_VALUE"""),"")</f>
        <v/>
      </c>
      <c r="AF66" s="72" t="str">
        <f>IFERROR(__xludf.DUMMYFUNCTION("""COMPUTED_VALUE"""),"")</f>
        <v/>
      </c>
      <c r="AG66" s="72" t="str">
        <f>IFERROR(__xludf.DUMMYFUNCTION("""COMPUTED_VALUE"""),"")</f>
        <v/>
      </c>
      <c r="AH66" s="72" t="str">
        <f>IFERROR(__xludf.DUMMYFUNCTION("""COMPUTED_VALUE"""),"")</f>
        <v/>
      </c>
      <c r="AI66" s="72" t="str">
        <f>IFERROR(__xludf.DUMMYFUNCTION("""COMPUTED_VALUE"""),"")</f>
        <v/>
      </c>
      <c r="AJ66" s="72" t="str">
        <f>IFERROR(__xludf.DUMMYFUNCTION("""COMPUTED_VALUE"""),"")</f>
        <v/>
      </c>
      <c r="AK66" s="72" t="str">
        <f>IFERROR(__xludf.DUMMYFUNCTION("""COMPUTED_VALUE"""),"")</f>
        <v/>
      </c>
      <c r="AL66" s="72" t="str">
        <f>IFERROR(__xludf.DUMMYFUNCTION("""COMPUTED_VALUE"""),"")</f>
        <v/>
      </c>
      <c r="AM66" s="72" t="str">
        <f>IFERROR(__xludf.DUMMYFUNCTION("""COMPUTED_VALUE"""),"")</f>
        <v/>
      </c>
      <c r="AN66" s="72" t="str">
        <f>IFERROR(__xludf.DUMMYFUNCTION("""COMPUTED_VALUE"""),"")</f>
        <v/>
      </c>
      <c r="AO66" s="72" t="str">
        <f>IFERROR(__xludf.DUMMYFUNCTION("""COMPUTED_VALUE"""),"")</f>
        <v/>
      </c>
      <c r="AP66" s="72" t="str">
        <f>IFERROR(__xludf.DUMMYFUNCTION("""COMPUTED_VALUE"""),"")</f>
        <v/>
      </c>
      <c r="AQ66" s="72" t="str">
        <f>IFERROR(__xludf.DUMMYFUNCTION("""COMPUTED_VALUE"""),"")</f>
        <v/>
      </c>
      <c r="AR66" s="72" t="str">
        <f>IFERROR(__xludf.DUMMYFUNCTION("""COMPUTED_VALUE"""),"")</f>
        <v/>
      </c>
      <c r="AS66" s="72" t="str">
        <f>IFERROR(__xludf.DUMMYFUNCTION("""COMPUTED_VALUE"""),"")</f>
        <v/>
      </c>
      <c r="AT66" s="72" t="str">
        <f>IFERROR(__xludf.DUMMYFUNCTION("""COMPUTED_VALUE"""),"")</f>
        <v/>
      </c>
      <c r="AU66" s="72" t="str">
        <f>IFERROR(__xludf.DUMMYFUNCTION("""COMPUTED_VALUE"""),"")</f>
        <v/>
      </c>
      <c r="AV66" s="72" t="str">
        <f>IFERROR(__xludf.DUMMYFUNCTION("""COMPUTED_VALUE"""),"")</f>
        <v/>
      </c>
      <c r="AW66" s="72" t="str">
        <f>IFERROR(__xludf.DUMMYFUNCTION("""COMPUTED_VALUE"""),"")</f>
        <v/>
      </c>
      <c r="AX66" s="72" t="str">
        <f>IFERROR(__xludf.DUMMYFUNCTION("""COMPUTED_VALUE"""),"")</f>
        <v/>
      </c>
      <c r="AY66" s="72" t="str">
        <f>IFERROR(__xludf.DUMMYFUNCTION("""COMPUTED_VALUE"""),"")</f>
        <v/>
      </c>
      <c r="AZ66" s="72" t="str">
        <f>IFERROR(__xludf.DUMMYFUNCTION("""COMPUTED_VALUE"""),"")</f>
        <v/>
      </c>
      <c r="BA66" s="72" t="str">
        <f>IFERROR(__xludf.DUMMYFUNCTION("""COMPUTED_VALUE"""),"")</f>
        <v/>
      </c>
      <c r="BB66" s="72" t="str">
        <f>IFERROR(__xludf.DUMMYFUNCTION("""COMPUTED_VALUE"""),"")</f>
        <v/>
      </c>
      <c r="BC66" s="72" t="str">
        <f>IFERROR(__xludf.DUMMYFUNCTION("""COMPUTED_VALUE"""),"")</f>
        <v/>
      </c>
      <c r="BD66" s="69" t="str">
        <f>IFERROR(__xludf.DUMMYFUNCTION("""COMPUTED_VALUE"""),"")</f>
        <v/>
      </c>
      <c r="BE66" s="69" t="str">
        <f>IFERROR(__xludf.DUMMYFUNCTION("""COMPUTED_VALUE"""),"")</f>
        <v/>
      </c>
      <c r="BF66" s="69" t="str">
        <f>IFERROR(__xludf.DUMMYFUNCTION("""COMPUTED_VALUE"""),"")</f>
        <v/>
      </c>
      <c r="BG66" s="69" t="str">
        <f>IFERROR(__xludf.DUMMYFUNCTION("""COMPUTED_VALUE"""),"")</f>
        <v/>
      </c>
      <c r="BH66" s="69" t="str">
        <f>IFERROR(__xludf.DUMMYFUNCTION("""COMPUTED_VALUE"""),"")</f>
        <v/>
      </c>
      <c r="BI66" s="69" t="str">
        <f>IFERROR(__xludf.DUMMYFUNCTION("""COMPUTED_VALUE"""),"")</f>
        <v/>
      </c>
      <c r="BJ66" s="69" t="str">
        <f>IFERROR(__xludf.DUMMYFUNCTION("""COMPUTED_VALUE"""),"")</f>
        <v/>
      </c>
      <c r="BK66" s="69" t="str">
        <f>IFERROR(__xludf.DUMMYFUNCTION("""COMPUTED_VALUE"""),"")</f>
        <v/>
      </c>
      <c r="BL66" s="69" t="str">
        <f>IFERROR(__xludf.DUMMYFUNCTION("""COMPUTED_VALUE"""),"")</f>
        <v/>
      </c>
      <c r="BM66" s="69" t="str">
        <f>IFERROR(__xludf.DUMMYFUNCTION("""COMPUTED_VALUE"""),"")</f>
        <v/>
      </c>
      <c r="BN66" s="69" t="str">
        <f>IFERROR(__xludf.DUMMYFUNCTION("""COMPUTED_VALUE"""),"")</f>
        <v/>
      </c>
      <c r="BO66" s="69" t="str">
        <f>IFERROR(__xludf.DUMMYFUNCTION("""COMPUTED_VALUE"""),"")</f>
        <v/>
      </c>
      <c r="BP66" s="69" t="str">
        <f>IFERROR(__xludf.DUMMYFUNCTION("""COMPUTED_VALUE"""),"")</f>
        <v/>
      </c>
      <c r="BQ66" s="69" t="str">
        <f>IFERROR(__xludf.DUMMYFUNCTION("""COMPUTED_VALUE"""),"")</f>
        <v/>
      </c>
      <c r="BR66" s="69" t="str">
        <f>IFERROR(__xludf.DUMMYFUNCTION("""COMPUTED_VALUE"""),"")</f>
        <v/>
      </c>
      <c r="BS66" s="69" t="str">
        <f>IFERROR(__xludf.DUMMYFUNCTION("""COMPUTED_VALUE"""),"")</f>
        <v/>
      </c>
      <c r="BT66" s="69" t="str">
        <f>IFERROR(__xludf.DUMMYFUNCTION("""COMPUTED_VALUE"""),"")</f>
        <v/>
      </c>
      <c r="BU66" s="69" t="str">
        <f>IFERROR(__xludf.DUMMYFUNCTION("""COMPUTED_VALUE"""),"")</f>
        <v/>
      </c>
      <c r="BV66" s="69" t="str">
        <f>IFERROR(__xludf.DUMMYFUNCTION("""COMPUTED_VALUE"""),"")</f>
        <v/>
      </c>
      <c r="BW66" s="69"/>
      <c r="BX66" s="69"/>
      <c r="BY66" s="69"/>
      <c r="BZ66" s="69"/>
      <c r="CA66" s="69"/>
      <c r="CB66" s="69"/>
      <c r="CC66" s="69"/>
      <c r="CD66" s="69"/>
      <c r="CE66" s="69"/>
      <c r="CF66" s="69"/>
    </row>
    <row r="67">
      <c r="A67" s="69"/>
      <c r="B67" s="71"/>
      <c r="C67" s="72" t="str">
        <f>IFERROR(__xludf.DUMMYFUNCTION("""COMPUTED_VALUE"""),"")</f>
        <v/>
      </c>
      <c r="D67" s="72" t="str">
        <f>IFERROR(__xludf.DUMMYFUNCTION("""COMPUTED_VALUE"""),"")</f>
        <v/>
      </c>
      <c r="E67" s="72" t="str">
        <f>IFERROR(__xludf.DUMMYFUNCTION("""COMPUTED_VALUE"""),"")</f>
        <v/>
      </c>
      <c r="F67" s="72" t="str">
        <f>IFERROR(__xludf.DUMMYFUNCTION("""COMPUTED_VALUE"""),"")</f>
        <v/>
      </c>
      <c r="G67" s="72" t="str">
        <f>IFERROR(__xludf.DUMMYFUNCTION("""COMPUTED_VALUE"""),"")</f>
        <v/>
      </c>
      <c r="H67" s="72" t="str">
        <f>IFERROR(__xludf.DUMMYFUNCTION("""COMPUTED_VALUE"""),"")</f>
        <v/>
      </c>
      <c r="I67" s="72" t="str">
        <f>IFERROR(__xludf.DUMMYFUNCTION("""COMPUTED_VALUE"""),"")</f>
        <v/>
      </c>
      <c r="J67" s="72" t="str">
        <f>IFERROR(__xludf.DUMMYFUNCTION("""COMPUTED_VALUE"""),"")</f>
        <v/>
      </c>
      <c r="K67" s="72" t="str">
        <f>IFERROR(__xludf.DUMMYFUNCTION("""COMPUTED_VALUE"""),"")</f>
        <v/>
      </c>
      <c r="L67" s="72" t="str">
        <f>IFERROR(__xludf.DUMMYFUNCTION("""COMPUTED_VALUE"""),"")</f>
        <v/>
      </c>
      <c r="M67" s="72" t="str">
        <f>IFERROR(__xludf.DUMMYFUNCTION("""COMPUTED_VALUE"""),"")</f>
        <v/>
      </c>
      <c r="N67" s="72" t="str">
        <f>IFERROR(__xludf.DUMMYFUNCTION("""COMPUTED_VALUE"""),"")</f>
        <v/>
      </c>
      <c r="O67" s="72" t="str">
        <f>IFERROR(__xludf.DUMMYFUNCTION("""COMPUTED_VALUE"""),"")</f>
        <v/>
      </c>
      <c r="P67" s="72" t="str">
        <f>IFERROR(__xludf.DUMMYFUNCTION("""COMPUTED_VALUE"""),"")</f>
        <v/>
      </c>
      <c r="Q67" s="72" t="str">
        <f>IFERROR(__xludf.DUMMYFUNCTION("""COMPUTED_VALUE"""),"")</f>
        <v/>
      </c>
      <c r="R67" s="72" t="str">
        <f>IFERROR(__xludf.DUMMYFUNCTION("""COMPUTED_VALUE"""),"")</f>
        <v/>
      </c>
      <c r="S67" s="72" t="str">
        <f>IFERROR(__xludf.DUMMYFUNCTION("""COMPUTED_VALUE"""),"")</f>
        <v/>
      </c>
      <c r="T67" s="72" t="str">
        <f>IFERROR(__xludf.DUMMYFUNCTION("""COMPUTED_VALUE"""),"")</f>
        <v/>
      </c>
      <c r="U67" s="72" t="str">
        <f>IFERROR(__xludf.DUMMYFUNCTION("""COMPUTED_VALUE"""),"")</f>
        <v/>
      </c>
      <c r="V67" s="72" t="str">
        <f>IFERROR(__xludf.DUMMYFUNCTION("""COMPUTED_VALUE"""),"")</f>
        <v/>
      </c>
      <c r="W67" s="72" t="str">
        <f>IFERROR(__xludf.DUMMYFUNCTION("""COMPUTED_VALUE"""),"")</f>
        <v/>
      </c>
      <c r="X67" s="72" t="str">
        <f>IFERROR(__xludf.DUMMYFUNCTION("""COMPUTED_VALUE"""),"")</f>
        <v/>
      </c>
      <c r="Y67" s="72" t="str">
        <f>IFERROR(__xludf.DUMMYFUNCTION("""COMPUTED_VALUE"""),"")</f>
        <v/>
      </c>
      <c r="Z67" s="72" t="str">
        <f>IFERROR(__xludf.DUMMYFUNCTION("""COMPUTED_VALUE"""),"")</f>
        <v/>
      </c>
      <c r="AA67" s="72" t="str">
        <f>IFERROR(__xludf.DUMMYFUNCTION("""COMPUTED_VALUE"""),"")</f>
        <v/>
      </c>
      <c r="AB67" s="72" t="str">
        <f>IFERROR(__xludf.DUMMYFUNCTION("""COMPUTED_VALUE"""),"")</f>
        <v/>
      </c>
      <c r="AC67" s="72" t="str">
        <f>IFERROR(__xludf.DUMMYFUNCTION("""COMPUTED_VALUE"""),"")</f>
        <v/>
      </c>
      <c r="AD67" s="72" t="str">
        <f>IFERROR(__xludf.DUMMYFUNCTION("""COMPUTED_VALUE"""),"")</f>
        <v/>
      </c>
      <c r="AE67" s="72" t="str">
        <f>IFERROR(__xludf.DUMMYFUNCTION("""COMPUTED_VALUE"""),"")</f>
        <v/>
      </c>
      <c r="AF67" s="72" t="str">
        <f>IFERROR(__xludf.DUMMYFUNCTION("""COMPUTED_VALUE"""),"")</f>
        <v/>
      </c>
      <c r="AG67" s="72" t="str">
        <f>IFERROR(__xludf.DUMMYFUNCTION("""COMPUTED_VALUE"""),"")</f>
        <v/>
      </c>
      <c r="AH67" s="72" t="str">
        <f>IFERROR(__xludf.DUMMYFUNCTION("""COMPUTED_VALUE"""),"")</f>
        <v/>
      </c>
      <c r="AI67" s="72" t="str">
        <f>IFERROR(__xludf.DUMMYFUNCTION("""COMPUTED_VALUE"""),"")</f>
        <v/>
      </c>
      <c r="AJ67" s="72" t="str">
        <f>IFERROR(__xludf.DUMMYFUNCTION("""COMPUTED_VALUE"""),"")</f>
        <v/>
      </c>
      <c r="AK67" s="72" t="str">
        <f>IFERROR(__xludf.DUMMYFUNCTION("""COMPUTED_VALUE"""),"")</f>
        <v/>
      </c>
      <c r="AL67" s="72" t="str">
        <f>IFERROR(__xludf.DUMMYFUNCTION("""COMPUTED_VALUE"""),"")</f>
        <v/>
      </c>
      <c r="AM67" s="72" t="str">
        <f>IFERROR(__xludf.DUMMYFUNCTION("""COMPUTED_VALUE"""),"")</f>
        <v/>
      </c>
      <c r="AN67" s="72" t="str">
        <f>IFERROR(__xludf.DUMMYFUNCTION("""COMPUTED_VALUE"""),"")</f>
        <v/>
      </c>
      <c r="AO67" s="72" t="str">
        <f>IFERROR(__xludf.DUMMYFUNCTION("""COMPUTED_VALUE"""),"")</f>
        <v/>
      </c>
      <c r="AP67" s="72" t="str">
        <f>IFERROR(__xludf.DUMMYFUNCTION("""COMPUTED_VALUE"""),"")</f>
        <v/>
      </c>
      <c r="AQ67" s="72" t="str">
        <f>IFERROR(__xludf.DUMMYFUNCTION("""COMPUTED_VALUE"""),"")</f>
        <v/>
      </c>
      <c r="AR67" s="72" t="str">
        <f>IFERROR(__xludf.DUMMYFUNCTION("""COMPUTED_VALUE"""),"")</f>
        <v/>
      </c>
      <c r="AS67" s="72" t="str">
        <f>IFERROR(__xludf.DUMMYFUNCTION("""COMPUTED_VALUE"""),"")</f>
        <v/>
      </c>
      <c r="AT67" s="72" t="str">
        <f>IFERROR(__xludf.DUMMYFUNCTION("""COMPUTED_VALUE"""),"")</f>
        <v/>
      </c>
      <c r="AU67" s="72" t="str">
        <f>IFERROR(__xludf.DUMMYFUNCTION("""COMPUTED_VALUE"""),"")</f>
        <v/>
      </c>
      <c r="AV67" s="72" t="str">
        <f>IFERROR(__xludf.DUMMYFUNCTION("""COMPUTED_VALUE"""),"")</f>
        <v/>
      </c>
      <c r="AW67" s="72" t="str">
        <f>IFERROR(__xludf.DUMMYFUNCTION("""COMPUTED_VALUE"""),"")</f>
        <v/>
      </c>
      <c r="AX67" s="72" t="str">
        <f>IFERROR(__xludf.DUMMYFUNCTION("""COMPUTED_VALUE"""),"")</f>
        <v/>
      </c>
      <c r="AY67" s="72" t="str">
        <f>IFERROR(__xludf.DUMMYFUNCTION("""COMPUTED_VALUE"""),"")</f>
        <v/>
      </c>
      <c r="AZ67" s="72" t="str">
        <f>IFERROR(__xludf.DUMMYFUNCTION("""COMPUTED_VALUE"""),"")</f>
        <v/>
      </c>
      <c r="BA67" s="72" t="str">
        <f>IFERROR(__xludf.DUMMYFUNCTION("""COMPUTED_VALUE"""),"")</f>
        <v/>
      </c>
      <c r="BB67" s="72" t="str">
        <f>IFERROR(__xludf.DUMMYFUNCTION("""COMPUTED_VALUE"""),"")</f>
        <v/>
      </c>
      <c r="BC67" s="72" t="str">
        <f>IFERROR(__xludf.DUMMYFUNCTION("""COMPUTED_VALUE"""),"")</f>
        <v/>
      </c>
      <c r="BD67" s="69" t="str">
        <f>IFERROR(__xludf.DUMMYFUNCTION("""COMPUTED_VALUE"""),"")</f>
        <v/>
      </c>
      <c r="BE67" s="69" t="str">
        <f>IFERROR(__xludf.DUMMYFUNCTION("""COMPUTED_VALUE"""),"")</f>
        <v/>
      </c>
      <c r="BF67" s="69" t="str">
        <f>IFERROR(__xludf.DUMMYFUNCTION("""COMPUTED_VALUE"""),"")</f>
        <v/>
      </c>
      <c r="BG67" s="69" t="str">
        <f>IFERROR(__xludf.DUMMYFUNCTION("""COMPUTED_VALUE"""),"")</f>
        <v/>
      </c>
      <c r="BH67" s="69" t="str">
        <f>IFERROR(__xludf.DUMMYFUNCTION("""COMPUTED_VALUE"""),"")</f>
        <v/>
      </c>
      <c r="BI67" s="69" t="str">
        <f>IFERROR(__xludf.DUMMYFUNCTION("""COMPUTED_VALUE"""),"")</f>
        <v/>
      </c>
      <c r="BJ67" s="69" t="str">
        <f>IFERROR(__xludf.DUMMYFUNCTION("""COMPUTED_VALUE"""),"")</f>
        <v/>
      </c>
      <c r="BK67" s="69" t="str">
        <f>IFERROR(__xludf.DUMMYFUNCTION("""COMPUTED_VALUE"""),"")</f>
        <v/>
      </c>
      <c r="BL67" s="69" t="str">
        <f>IFERROR(__xludf.DUMMYFUNCTION("""COMPUTED_VALUE"""),"")</f>
        <v/>
      </c>
      <c r="BM67" s="69" t="str">
        <f>IFERROR(__xludf.DUMMYFUNCTION("""COMPUTED_VALUE"""),"")</f>
        <v/>
      </c>
      <c r="BN67" s="69" t="str">
        <f>IFERROR(__xludf.DUMMYFUNCTION("""COMPUTED_VALUE"""),"")</f>
        <v/>
      </c>
      <c r="BO67" s="69" t="str">
        <f>IFERROR(__xludf.DUMMYFUNCTION("""COMPUTED_VALUE"""),"")</f>
        <v/>
      </c>
      <c r="BP67" s="69" t="str">
        <f>IFERROR(__xludf.DUMMYFUNCTION("""COMPUTED_VALUE"""),"")</f>
        <v/>
      </c>
      <c r="BQ67" s="69" t="str">
        <f>IFERROR(__xludf.DUMMYFUNCTION("""COMPUTED_VALUE"""),"")</f>
        <v/>
      </c>
      <c r="BR67" s="69" t="str">
        <f>IFERROR(__xludf.DUMMYFUNCTION("""COMPUTED_VALUE"""),"")</f>
        <v/>
      </c>
      <c r="BS67" s="69" t="str">
        <f>IFERROR(__xludf.DUMMYFUNCTION("""COMPUTED_VALUE"""),"")</f>
        <v/>
      </c>
      <c r="BT67" s="69" t="str">
        <f>IFERROR(__xludf.DUMMYFUNCTION("""COMPUTED_VALUE"""),"")</f>
        <v/>
      </c>
      <c r="BU67" s="69" t="str">
        <f>IFERROR(__xludf.DUMMYFUNCTION("""COMPUTED_VALUE"""),"")</f>
        <v/>
      </c>
      <c r="BV67" s="69" t="str">
        <f>IFERROR(__xludf.DUMMYFUNCTION("""COMPUTED_VALUE"""),"")</f>
        <v/>
      </c>
      <c r="BW67" s="69"/>
      <c r="BX67" s="69"/>
      <c r="BY67" s="69"/>
      <c r="BZ67" s="69"/>
      <c r="CA67" s="69"/>
      <c r="CB67" s="69"/>
      <c r="CC67" s="69"/>
      <c r="CD67" s="69"/>
      <c r="CE67" s="69"/>
      <c r="CF67" s="69"/>
    </row>
    <row r="68">
      <c r="A68" s="69"/>
      <c r="B68" s="71"/>
      <c r="C68" s="72" t="str">
        <f>IFERROR(__xludf.DUMMYFUNCTION("""COMPUTED_VALUE"""),"")</f>
        <v/>
      </c>
      <c r="D68" s="72" t="str">
        <f>IFERROR(__xludf.DUMMYFUNCTION("""COMPUTED_VALUE"""),"")</f>
        <v/>
      </c>
      <c r="E68" s="72" t="str">
        <f>IFERROR(__xludf.DUMMYFUNCTION("""COMPUTED_VALUE"""),"")</f>
        <v/>
      </c>
      <c r="F68" s="72" t="str">
        <f>IFERROR(__xludf.DUMMYFUNCTION("""COMPUTED_VALUE"""),"")</f>
        <v/>
      </c>
      <c r="G68" s="72" t="str">
        <f>IFERROR(__xludf.DUMMYFUNCTION("""COMPUTED_VALUE"""),"")</f>
        <v/>
      </c>
      <c r="H68" s="72" t="str">
        <f>IFERROR(__xludf.DUMMYFUNCTION("""COMPUTED_VALUE"""),"")</f>
        <v/>
      </c>
      <c r="I68" s="72" t="str">
        <f>IFERROR(__xludf.DUMMYFUNCTION("""COMPUTED_VALUE"""),"")</f>
        <v/>
      </c>
      <c r="J68" s="72" t="str">
        <f>IFERROR(__xludf.DUMMYFUNCTION("""COMPUTED_VALUE"""),"")</f>
        <v/>
      </c>
      <c r="K68" s="72" t="str">
        <f>IFERROR(__xludf.DUMMYFUNCTION("""COMPUTED_VALUE"""),"")</f>
        <v/>
      </c>
      <c r="L68" s="72" t="str">
        <f>IFERROR(__xludf.DUMMYFUNCTION("""COMPUTED_VALUE"""),"")</f>
        <v/>
      </c>
      <c r="M68" s="72" t="str">
        <f>IFERROR(__xludf.DUMMYFUNCTION("""COMPUTED_VALUE"""),"")</f>
        <v/>
      </c>
      <c r="N68" s="72" t="str">
        <f>IFERROR(__xludf.DUMMYFUNCTION("""COMPUTED_VALUE"""),"")</f>
        <v/>
      </c>
      <c r="O68" s="72" t="str">
        <f>IFERROR(__xludf.DUMMYFUNCTION("""COMPUTED_VALUE"""),"")</f>
        <v/>
      </c>
      <c r="P68" s="72" t="str">
        <f>IFERROR(__xludf.DUMMYFUNCTION("""COMPUTED_VALUE"""),"")</f>
        <v/>
      </c>
      <c r="Q68" s="72" t="str">
        <f>IFERROR(__xludf.DUMMYFUNCTION("""COMPUTED_VALUE"""),"")</f>
        <v/>
      </c>
      <c r="R68" s="72" t="str">
        <f>IFERROR(__xludf.DUMMYFUNCTION("""COMPUTED_VALUE"""),"")</f>
        <v/>
      </c>
      <c r="S68" s="72" t="str">
        <f>IFERROR(__xludf.DUMMYFUNCTION("""COMPUTED_VALUE"""),"")</f>
        <v/>
      </c>
      <c r="T68" s="72" t="str">
        <f>IFERROR(__xludf.DUMMYFUNCTION("""COMPUTED_VALUE"""),"")</f>
        <v/>
      </c>
      <c r="U68" s="72" t="str">
        <f>IFERROR(__xludf.DUMMYFUNCTION("""COMPUTED_VALUE"""),"")</f>
        <v/>
      </c>
      <c r="V68" s="72" t="str">
        <f>IFERROR(__xludf.DUMMYFUNCTION("""COMPUTED_VALUE"""),"")</f>
        <v/>
      </c>
      <c r="W68" s="72" t="str">
        <f>IFERROR(__xludf.DUMMYFUNCTION("""COMPUTED_VALUE"""),"")</f>
        <v/>
      </c>
      <c r="X68" s="72" t="str">
        <f>IFERROR(__xludf.DUMMYFUNCTION("""COMPUTED_VALUE"""),"")</f>
        <v/>
      </c>
      <c r="Y68" s="72" t="str">
        <f>IFERROR(__xludf.DUMMYFUNCTION("""COMPUTED_VALUE"""),"")</f>
        <v/>
      </c>
      <c r="Z68" s="72" t="str">
        <f>IFERROR(__xludf.DUMMYFUNCTION("""COMPUTED_VALUE"""),"")</f>
        <v/>
      </c>
      <c r="AA68" s="72" t="str">
        <f>IFERROR(__xludf.DUMMYFUNCTION("""COMPUTED_VALUE"""),"")</f>
        <v/>
      </c>
      <c r="AB68" s="72" t="str">
        <f>IFERROR(__xludf.DUMMYFUNCTION("""COMPUTED_VALUE"""),"")</f>
        <v/>
      </c>
      <c r="AC68" s="72" t="str">
        <f>IFERROR(__xludf.DUMMYFUNCTION("""COMPUTED_VALUE"""),"")</f>
        <v/>
      </c>
      <c r="AD68" s="72" t="str">
        <f>IFERROR(__xludf.DUMMYFUNCTION("""COMPUTED_VALUE"""),"")</f>
        <v/>
      </c>
      <c r="AE68" s="72" t="str">
        <f>IFERROR(__xludf.DUMMYFUNCTION("""COMPUTED_VALUE"""),"")</f>
        <v/>
      </c>
      <c r="AF68" s="72" t="str">
        <f>IFERROR(__xludf.DUMMYFUNCTION("""COMPUTED_VALUE"""),"")</f>
        <v/>
      </c>
      <c r="AG68" s="72" t="str">
        <f>IFERROR(__xludf.DUMMYFUNCTION("""COMPUTED_VALUE"""),"")</f>
        <v/>
      </c>
      <c r="AH68" s="72" t="str">
        <f>IFERROR(__xludf.DUMMYFUNCTION("""COMPUTED_VALUE"""),"")</f>
        <v/>
      </c>
      <c r="AI68" s="72" t="str">
        <f>IFERROR(__xludf.DUMMYFUNCTION("""COMPUTED_VALUE"""),"")</f>
        <v/>
      </c>
      <c r="AJ68" s="72" t="str">
        <f>IFERROR(__xludf.DUMMYFUNCTION("""COMPUTED_VALUE"""),"")</f>
        <v/>
      </c>
      <c r="AK68" s="72" t="str">
        <f>IFERROR(__xludf.DUMMYFUNCTION("""COMPUTED_VALUE"""),"")</f>
        <v/>
      </c>
      <c r="AL68" s="72" t="str">
        <f>IFERROR(__xludf.DUMMYFUNCTION("""COMPUTED_VALUE"""),"")</f>
        <v/>
      </c>
      <c r="AM68" s="72" t="str">
        <f>IFERROR(__xludf.DUMMYFUNCTION("""COMPUTED_VALUE"""),"")</f>
        <v/>
      </c>
      <c r="AN68" s="72" t="str">
        <f>IFERROR(__xludf.DUMMYFUNCTION("""COMPUTED_VALUE"""),"")</f>
        <v/>
      </c>
      <c r="AO68" s="72" t="str">
        <f>IFERROR(__xludf.DUMMYFUNCTION("""COMPUTED_VALUE"""),"")</f>
        <v/>
      </c>
      <c r="AP68" s="72" t="str">
        <f>IFERROR(__xludf.DUMMYFUNCTION("""COMPUTED_VALUE"""),"")</f>
        <v/>
      </c>
      <c r="AQ68" s="72" t="str">
        <f>IFERROR(__xludf.DUMMYFUNCTION("""COMPUTED_VALUE"""),"")</f>
        <v/>
      </c>
      <c r="AR68" s="72" t="str">
        <f>IFERROR(__xludf.DUMMYFUNCTION("""COMPUTED_VALUE"""),"")</f>
        <v/>
      </c>
      <c r="AS68" s="72" t="str">
        <f>IFERROR(__xludf.DUMMYFUNCTION("""COMPUTED_VALUE"""),"")</f>
        <v/>
      </c>
      <c r="AT68" s="72" t="str">
        <f>IFERROR(__xludf.DUMMYFUNCTION("""COMPUTED_VALUE"""),"")</f>
        <v/>
      </c>
      <c r="AU68" s="72" t="str">
        <f>IFERROR(__xludf.DUMMYFUNCTION("""COMPUTED_VALUE"""),"")</f>
        <v/>
      </c>
      <c r="AV68" s="72" t="str">
        <f>IFERROR(__xludf.DUMMYFUNCTION("""COMPUTED_VALUE"""),"")</f>
        <v/>
      </c>
      <c r="AW68" s="72" t="str">
        <f>IFERROR(__xludf.DUMMYFUNCTION("""COMPUTED_VALUE"""),"")</f>
        <v/>
      </c>
      <c r="AX68" s="72" t="str">
        <f>IFERROR(__xludf.DUMMYFUNCTION("""COMPUTED_VALUE"""),"")</f>
        <v/>
      </c>
      <c r="AY68" s="72" t="str">
        <f>IFERROR(__xludf.DUMMYFUNCTION("""COMPUTED_VALUE"""),"")</f>
        <v/>
      </c>
      <c r="AZ68" s="72" t="str">
        <f>IFERROR(__xludf.DUMMYFUNCTION("""COMPUTED_VALUE"""),"")</f>
        <v/>
      </c>
      <c r="BA68" s="72" t="str">
        <f>IFERROR(__xludf.DUMMYFUNCTION("""COMPUTED_VALUE"""),"")</f>
        <v/>
      </c>
      <c r="BB68" s="72" t="str">
        <f>IFERROR(__xludf.DUMMYFUNCTION("""COMPUTED_VALUE"""),"")</f>
        <v/>
      </c>
      <c r="BC68" s="72" t="str">
        <f>IFERROR(__xludf.DUMMYFUNCTION("""COMPUTED_VALUE"""),"")</f>
        <v/>
      </c>
      <c r="BD68" s="69" t="str">
        <f>IFERROR(__xludf.DUMMYFUNCTION("""COMPUTED_VALUE"""),"")</f>
        <v/>
      </c>
      <c r="BE68" s="69" t="str">
        <f>IFERROR(__xludf.DUMMYFUNCTION("""COMPUTED_VALUE"""),"")</f>
        <v/>
      </c>
      <c r="BF68" s="69" t="str">
        <f>IFERROR(__xludf.DUMMYFUNCTION("""COMPUTED_VALUE"""),"")</f>
        <v/>
      </c>
      <c r="BG68" s="69" t="str">
        <f>IFERROR(__xludf.DUMMYFUNCTION("""COMPUTED_VALUE"""),"")</f>
        <v/>
      </c>
      <c r="BH68" s="69" t="str">
        <f>IFERROR(__xludf.DUMMYFUNCTION("""COMPUTED_VALUE"""),"")</f>
        <v/>
      </c>
      <c r="BI68" s="69" t="str">
        <f>IFERROR(__xludf.DUMMYFUNCTION("""COMPUTED_VALUE"""),"")</f>
        <v/>
      </c>
      <c r="BJ68" s="69" t="str">
        <f>IFERROR(__xludf.DUMMYFUNCTION("""COMPUTED_VALUE"""),"")</f>
        <v/>
      </c>
      <c r="BK68" s="69" t="str">
        <f>IFERROR(__xludf.DUMMYFUNCTION("""COMPUTED_VALUE"""),"")</f>
        <v/>
      </c>
      <c r="BL68" s="69" t="str">
        <f>IFERROR(__xludf.DUMMYFUNCTION("""COMPUTED_VALUE"""),"")</f>
        <v/>
      </c>
      <c r="BM68" s="69" t="str">
        <f>IFERROR(__xludf.DUMMYFUNCTION("""COMPUTED_VALUE"""),"")</f>
        <v/>
      </c>
      <c r="BN68" s="69" t="str">
        <f>IFERROR(__xludf.DUMMYFUNCTION("""COMPUTED_VALUE"""),"")</f>
        <v/>
      </c>
      <c r="BO68" s="69" t="str">
        <f>IFERROR(__xludf.DUMMYFUNCTION("""COMPUTED_VALUE"""),"")</f>
        <v/>
      </c>
      <c r="BP68" s="69" t="str">
        <f>IFERROR(__xludf.DUMMYFUNCTION("""COMPUTED_VALUE"""),"")</f>
        <v/>
      </c>
      <c r="BQ68" s="69" t="str">
        <f>IFERROR(__xludf.DUMMYFUNCTION("""COMPUTED_VALUE"""),"")</f>
        <v/>
      </c>
      <c r="BR68" s="69" t="str">
        <f>IFERROR(__xludf.DUMMYFUNCTION("""COMPUTED_VALUE"""),"")</f>
        <v/>
      </c>
      <c r="BS68" s="69" t="str">
        <f>IFERROR(__xludf.DUMMYFUNCTION("""COMPUTED_VALUE"""),"")</f>
        <v/>
      </c>
      <c r="BT68" s="69" t="str">
        <f>IFERROR(__xludf.DUMMYFUNCTION("""COMPUTED_VALUE"""),"")</f>
        <v/>
      </c>
      <c r="BU68" s="69" t="str">
        <f>IFERROR(__xludf.DUMMYFUNCTION("""COMPUTED_VALUE"""),"")</f>
        <v/>
      </c>
      <c r="BV68" s="69" t="str">
        <f>IFERROR(__xludf.DUMMYFUNCTION("""COMPUTED_VALUE"""),"")</f>
        <v/>
      </c>
      <c r="BW68" s="69"/>
      <c r="BX68" s="69"/>
      <c r="BY68" s="69"/>
      <c r="BZ68" s="69"/>
      <c r="CA68" s="69"/>
      <c r="CB68" s="69"/>
      <c r="CC68" s="69"/>
      <c r="CD68" s="69"/>
      <c r="CE68" s="69"/>
      <c r="CF68" s="69"/>
    </row>
    <row r="69">
      <c r="A69" s="69"/>
      <c r="B69" s="71"/>
      <c r="C69" s="72" t="str">
        <f>IFERROR(__xludf.DUMMYFUNCTION("""COMPUTED_VALUE"""),"")</f>
        <v/>
      </c>
      <c r="D69" s="72" t="str">
        <f>IFERROR(__xludf.DUMMYFUNCTION("""COMPUTED_VALUE"""),"")</f>
        <v/>
      </c>
      <c r="E69" s="72" t="str">
        <f>IFERROR(__xludf.DUMMYFUNCTION("""COMPUTED_VALUE"""),"")</f>
        <v/>
      </c>
      <c r="F69" s="72" t="str">
        <f>IFERROR(__xludf.DUMMYFUNCTION("""COMPUTED_VALUE"""),"")</f>
        <v/>
      </c>
      <c r="G69" s="72" t="str">
        <f>IFERROR(__xludf.DUMMYFUNCTION("""COMPUTED_VALUE"""),"")</f>
        <v/>
      </c>
      <c r="H69" s="72" t="str">
        <f>IFERROR(__xludf.DUMMYFUNCTION("""COMPUTED_VALUE"""),"")</f>
        <v/>
      </c>
      <c r="I69" s="72" t="str">
        <f>IFERROR(__xludf.DUMMYFUNCTION("""COMPUTED_VALUE"""),"")</f>
        <v/>
      </c>
      <c r="J69" s="72" t="str">
        <f>IFERROR(__xludf.DUMMYFUNCTION("""COMPUTED_VALUE"""),"")</f>
        <v/>
      </c>
      <c r="K69" s="72" t="str">
        <f>IFERROR(__xludf.DUMMYFUNCTION("""COMPUTED_VALUE"""),"")</f>
        <v/>
      </c>
      <c r="L69" s="72" t="str">
        <f>IFERROR(__xludf.DUMMYFUNCTION("""COMPUTED_VALUE"""),"")</f>
        <v/>
      </c>
      <c r="M69" s="72" t="str">
        <f>IFERROR(__xludf.DUMMYFUNCTION("""COMPUTED_VALUE"""),"")</f>
        <v/>
      </c>
      <c r="N69" s="72" t="str">
        <f>IFERROR(__xludf.DUMMYFUNCTION("""COMPUTED_VALUE"""),"")</f>
        <v/>
      </c>
      <c r="O69" s="72" t="str">
        <f>IFERROR(__xludf.DUMMYFUNCTION("""COMPUTED_VALUE"""),"")</f>
        <v/>
      </c>
      <c r="P69" s="72" t="str">
        <f>IFERROR(__xludf.DUMMYFUNCTION("""COMPUTED_VALUE"""),"")</f>
        <v/>
      </c>
      <c r="Q69" s="72" t="str">
        <f>IFERROR(__xludf.DUMMYFUNCTION("""COMPUTED_VALUE"""),"")</f>
        <v/>
      </c>
      <c r="R69" s="72" t="str">
        <f>IFERROR(__xludf.DUMMYFUNCTION("""COMPUTED_VALUE"""),"")</f>
        <v/>
      </c>
      <c r="S69" s="72" t="str">
        <f>IFERROR(__xludf.DUMMYFUNCTION("""COMPUTED_VALUE"""),"")</f>
        <v/>
      </c>
      <c r="T69" s="72" t="str">
        <f>IFERROR(__xludf.DUMMYFUNCTION("""COMPUTED_VALUE"""),"")</f>
        <v/>
      </c>
      <c r="U69" s="72" t="str">
        <f>IFERROR(__xludf.DUMMYFUNCTION("""COMPUTED_VALUE"""),"")</f>
        <v/>
      </c>
      <c r="V69" s="72" t="str">
        <f>IFERROR(__xludf.DUMMYFUNCTION("""COMPUTED_VALUE"""),"")</f>
        <v/>
      </c>
      <c r="W69" s="72" t="str">
        <f>IFERROR(__xludf.DUMMYFUNCTION("""COMPUTED_VALUE"""),"")</f>
        <v/>
      </c>
      <c r="X69" s="72" t="str">
        <f>IFERROR(__xludf.DUMMYFUNCTION("""COMPUTED_VALUE"""),"")</f>
        <v/>
      </c>
      <c r="Y69" s="72" t="str">
        <f>IFERROR(__xludf.DUMMYFUNCTION("""COMPUTED_VALUE"""),"")</f>
        <v/>
      </c>
      <c r="Z69" s="72" t="str">
        <f>IFERROR(__xludf.DUMMYFUNCTION("""COMPUTED_VALUE"""),"")</f>
        <v/>
      </c>
      <c r="AA69" s="72" t="str">
        <f>IFERROR(__xludf.DUMMYFUNCTION("""COMPUTED_VALUE"""),"")</f>
        <v/>
      </c>
      <c r="AB69" s="72" t="str">
        <f>IFERROR(__xludf.DUMMYFUNCTION("""COMPUTED_VALUE"""),"")</f>
        <v/>
      </c>
      <c r="AC69" s="72" t="str">
        <f>IFERROR(__xludf.DUMMYFUNCTION("""COMPUTED_VALUE"""),"")</f>
        <v/>
      </c>
      <c r="AD69" s="72" t="str">
        <f>IFERROR(__xludf.DUMMYFUNCTION("""COMPUTED_VALUE"""),"")</f>
        <v/>
      </c>
      <c r="AE69" s="72" t="str">
        <f>IFERROR(__xludf.DUMMYFUNCTION("""COMPUTED_VALUE"""),"")</f>
        <v/>
      </c>
      <c r="AF69" s="72" t="str">
        <f>IFERROR(__xludf.DUMMYFUNCTION("""COMPUTED_VALUE"""),"")</f>
        <v/>
      </c>
      <c r="AG69" s="72" t="str">
        <f>IFERROR(__xludf.DUMMYFUNCTION("""COMPUTED_VALUE"""),"")</f>
        <v/>
      </c>
      <c r="AH69" s="72" t="str">
        <f>IFERROR(__xludf.DUMMYFUNCTION("""COMPUTED_VALUE"""),"")</f>
        <v/>
      </c>
      <c r="AI69" s="72" t="str">
        <f>IFERROR(__xludf.DUMMYFUNCTION("""COMPUTED_VALUE"""),"")</f>
        <v/>
      </c>
      <c r="AJ69" s="72" t="str">
        <f>IFERROR(__xludf.DUMMYFUNCTION("""COMPUTED_VALUE"""),"")</f>
        <v/>
      </c>
      <c r="AK69" s="72" t="str">
        <f>IFERROR(__xludf.DUMMYFUNCTION("""COMPUTED_VALUE"""),"")</f>
        <v/>
      </c>
      <c r="AL69" s="72" t="str">
        <f>IFERROR(__xludf.DUMMYFUNCTION("""COMPUTED_VALUE"""),"")</f>
        <v/>
      </c>
      <c r="AM69" s="72" t="str">
        <f>IFERROR(__xludf.DUMMYFUNCTION("""COMPUTED_VALUE"""),"")</f>
        <v/>
      </c>
      <c r="AN69" s="72" t="str">
        <f>IFERROR(__xludf.DUMMYFUNCTION("""COMPUTED_VALUE"""),"")</f>
        <v/>
      </c>
      <c r="AO69" s="72" t="str">
        <f>IFERROR(__xludf.DUMMYFUNCTION("""COMPUTED_VALUE"""),"")</f>
        <v/>
      </c>
      <c r="AP69" s="72" t="str">
        <f>IFERROR(__xludf.DUMMYFUNCTION("""COMPUTED_VALUE"""),"")</f>
        <v/>
      </c>
      <c r="AQ69" s="72" t="str">
        <f>IFERROR(__xludf.DUMMYFUNCTION("""COMPUTED_VALUE"""),"")</f>
        <v/>
      </c>
      <c r="AR69" s="72" t="str">
        <f>IFERROR(__xludf.DUMMYFUNCTION("""COMPUTED_VALUE"""),"")</f>
        <v/>
      </c>
      <c r="AS69" s="72" t="str">
        <f>IFERROR(__xludf.DUMMYFUNCTION("""COMPUTED_VALUE"""),"")</f>
        <v/>
      </c>
      <c r="AT69" s="72" t="str">
        <f>IFERROR(__xludf.DUMMYFUNCTION("""COMPUTED_VALUE"""),"")</f>
        <v/>
      </c>
      <c r="AU69" s="72" t="str">
        <f>IFERROR(__xludf.DUMMYFUNCTION("""COMPUTED_VALUE"""),"")</f>
        <v/>
      </c>
      <c r="AV69" s="72" t="str">
        <f>IFERROR(__xludf.DUMMYFUNCTION("""COMPUTED_VALUE"""),"")</f>
        <v/>
      </c>
      <c r="AW69" s="72" t="str">
        <f>IFERROR(__xludf.DUMMYFUNCTION("""COMPUTED_VALUE"""),"")</f>
        <v/>
      </c>
      <c r="AX69" s="72" t="str">
        <f>IFERROR(__xludf.DUMMYFUNCTION("""COMPUTED_VALUE"""),"")</f>
        <v/>
      </c>
      <c r="AY69" s="72" t="str">
        <f>IFERROR(__xludf.DUMMYFUNCTION("""COMPUTED_VALUE"""),"")</f>
        <v/>
      </c>
      <c r="AZ69" s="72" t="str">
        <f>IFERROR(__xludf.DUMMYFUNCTION("""COMPUTED_VALUE"""),"")</f>
        <v/>
      </c>
      <c r="BA69" s="72" t="str">
        <f>IFERROR(__xludf.DUMMYFUNCTION("""COMPUTED_VALUE"""),"")</f>
        <v/>
      </c>
      <c r="BB69" s="72" t="str">
        <f>IFERROR(__xludf.DUMMYFUNCTION("""COMPUTED_VALUE"""),"")</f>
        <v/>
      </c>
      <c r="BC69" s="72" t="str">
        <f>IFERROR(__xludf.DUMMYFUNCTION("""COMPUTED_VALUE"""),"")</f>
        <v/>
      </c>
      <c r="BD69" s="69" t="str">
        <f>IFERROR(__xludf.DUMMYFUNCTION("""COMPUTED_VALUE"""),"")</f>
        <v/>
      </c>
      <c r="BE69" s="69" t="str">
        <f>IFERROR(__xludf.DUMMYFUNCTION("""COMPUTED_VALUE"""),"")</f>
        <v/>
      </c>
      <c r="BF69" s="69" t="str">
        <f>IFERROR(__xludf.DUMMYFUNCTION("""COMPUTED_VALUE"""),"")</f>
        <v/>
      </c>
      <c r="BG69" s="69" t="str">
        <f>IFERROR(__xludf.DUMMYFUNCTION("""COMPUTED_VALUE"""),"")</f>
        <v/>
      </c>
      <c r="BH69" s="69" t="str">
        <f>IFERROR(__xludf.DUMMYFUNCTION("""COMPUTED_VALUE"""),"")</f>
        <v/>
      </c>
      <c r="BI69" s="69" t="str">
        <f>IFERROR(__xludf.DUMMYFUNCTION("""COMPUTED_VALUE"""),"")</f>
        <v/>
      </c>
      <c r="BJ69" s="69" t="str">
        <f>IFERROR(__xludf.DUMMYFUNCTION("""COMPUTED_VALUE"""),"")</f>
        <v/>
      </c>
      <c r="BK69" s="69" t="str">
        <f>IFERROR(__xludf.DUMMYFUNCTION("""COMPUTED_VALUE"""),"")</f>
        <v/>
      </c>
      <c r="BL69" s="69" t="str">
        <f>IFERROR(__xludf.DUMMYFUNCTION("""COMPUTED_VALUE"""),"")</f>
        <v/>
      </c>
      <c r="BM69" s="69" t="str">
        <f>IFERROR(__xludf.DUMMYFUNCTION("""COMPUTED_VALUE"""),"")</f>
        <v/>
      </c>
      <c r="BN69" s="69" t="str">
        <f>IFERROR(__xludf.DUMMYFUNCTION("""COMPUTED_VALUE"""),"")</f>
        <v/>
      </c>
      <c r="BO69" s="69" t="str">
        <f>IFERROR(__xludf.DUMMYFUNCTION("""COMPUTED_VALUE"""),"")</f>
        <v/>
      </c>
      <c r="BP69" s="69" t="str">
        <f>IFERROR(__xludf.DUMMYFUNCTION("""COMPUTED_VALUE"""),"")</f>
        <v/>
      </c>
      <c r="BQ69" s="69" t="str">
        <f>IFERROR(__xludf.DUMMYFUNCTION("""COMPUTED_VALUE"""),"")</f>
        <v/>
      </c>
      <c r="BR69" s="69" t="str">
        <f>IFERROR(__xludf.DUMMYFUNCTION("""COMPUTED_VALUE"""),"")</f>
        <v/>
      </c>
      <c r="BS69" s="69" t="str">
        <f>IFERROR(__xludf.DUMMYFUNCTION("""COMPUTED_VALUE"""),"")</f>
        <v/>
      </c>
      <c r="BT69" s="69" t="str">
        <f>IFERROR(__xludf.DUMMYFUNCTION("""COMPUTED_VALUE"""),"")</f>
        <v/>
      </c>
      <c r="BU69" s="69" t="str">
        <f>IFERROR(__xludf.DUMMYFUNCTION("""COMPUTED_VALUE"""),"")</f>
        <v/>
      </c>
      <c r="BV69" s="69" t="str">
        <f>IFERROR(__xludf.DUMMYFUNCTION("""COMPUTED_VALUE"""),"")</f>
        <v/>
      </c>
      <c r="BW69" s="69"/>
      <c r="BX69" s="69"/>
      <c r="BY69" s="69"/>
      <c r="BZ69" s="69"/>
      <c r="CA69" s="69"/>
      <c r="CB69" s="69"/>
      <c r="CC69" s="69"/>
      <c r="CD69" s="69"/>
      <c r="CE69" s="69"/>
      <c r="CF69" s="69"/>
    </row>
    <row r="70">
      <c r="A70" s="69"/>
      <c r="B70" s="71"/>
      <c r="C70" s="72" t="str">
        <f>IFERROR(__xludf.DUMMYFUNCTION("""COMPUTED_VALUE"""),"")</f>
        <v/>
      </c>
      <c r="D70" s="72" t="str">
        <f>IFERROR(__xludf.DUMMYFUNCTION("""COMPUTED_VALUE"""),"")</f>
        <v/>
      </c>
      <c r="E70" s="72" t="str">
        <f>IFERROR(__xludf.DUMMYFUNCTION("""COMPUTED_VALUE"""),"")</f>
        <v/>
      </c>
      <c r="F70" s="72" t="str">
        <f>IFERROR(__xludf.DUMMYFUNCTION("""COMPUTED_VALUE"""),"")</f>
        <v/>
      </c>
      <c r="G70" s="72" t="str">
        <f>IFERROR(__xludf.DUMMYFUNCTION("""COMPUTED_VALUE"""),"")</f>
        <v/>
      </c>
      <c r="H70" s="72" t="str">
        <f>IFERROR(__xludf.DUMMYFUNCTION("""COMPUTED_VALUE"""),"")</f>
        <v/>
      </c>
      <c r="I70" s="72" t="str">
        <f>IFERROR(__xludf.DUMMYFUNCTION("""COMPUTED_VALUE"""),"")</f>
        <v/>
      </c>
      <c r="J70" s="72" t="str">
        <f>IFERROR(__xludf.DUMMYFUNCTION("""COMPUTED_VALUE"""),"")</f>
        <v/>
      </c>
      <c r="K70" s="72" t="str">
        <f>IFERROR(__xludf.DUMMYFUNCTION("""COMPUTED_VALUE"""),"")</f>
        <v/>
      </c>
      <c r="L70" s="72" t="str">
        <f>IFERROR(__xludf.DUMMYFUNCTION("""COMPUTED_VALUE"""),"")</f>
        <v/>
      </c>
      <c r="M70" s="72" t="str">
        <f>IFERROR(__xludf.DUMMYFUNCTION("""COMPUTED_VALUE"""),"")</f>
        <v/>
      </c>
      <c r="N70" s="72" t="str">
        <f>IFERROR(__xludf.DUMMYFUNCTION("""COMPUTED_VALUE"""),"")</f>
        <v/>
      </c>
      <c r="O70" s="72" t="str">
        <f>IFERROR(__xludf.DUMMYFUNCTION("""COMPUTED_VALUE"""),"")</f>
        <v/>
      </c>
      <c r="P70" s="72" t="str">
        <f>IFERROR(__xludf.DUMMYFUNCTION("""COMPUTED_VALUE"""),"")</f>
        <v/>
      </c>
      <c r="Q70" s="72" t="str">
        <f>IFERROR(__xludf.DUMMYFUNCTION("""COMPUTED_VALUE"""),"")</f>
        <v/>
      </c>
      <c r="R70" s="72" t="str">
        <f>IFERROR(__xludf.DUMMYFUNCTION("""COMPUTED_VALUE"""),"")</f>
        <v/>
      </c>
      <c r="S70" s="72" t="str">
        <f>IFERROR(__xludf.DUMMYFUNCTION("""COMPUTED_VALUE"""),"")</f>
        <v/>
      </c>
      <c r="T70" s="72" t="str">
        <f>IFERROR(__xludf.DUMMYFUNCTION("""COMPUTED_VALUE"""),"")</f>
        <v/>
      </c>
      <c r="U70" s="72" t="str">
        <f>IFERROR(__xludf.DUMMYFUNCTION("""COMPUTED_VALUE"""),"")</f>
        <v/>
      </c>
      <c r="V70" s="72" t="str">
        <f>IFERROR(__xludf.DUMMYFUNCTION("""COMPUTED_VALUE"""),"")</f>
        <v/>
      </c>
      <c r="W70" s="72" t="str">
        <f>IFERROR(__xludf.DUMMYFUNCTION("""COMPUTED_VALUE"""),"")</f>
        <v/>
      </c>
      <c r="X70" s="72" t="str">
        <f>IFERROR(__xludf.DUMMYFUNCTION("""COMPUTED_VALUE"""),"")</f>
        <v/>
      </c>
      <c r="Y70" s="72" t="str">
        <f>IFERROR(__xludf.DUMMYFUNCTION("""COMPUTED_VALUE"""),"")</f>
        <v/>
      </c>
      <c r="Z70" s="72" t="str">
        <f>IFERROR(__xludf.DUMMYFUNCTION("""COMPUTED_VALUE"""),"")</f>
        <v/>
      </c>
      <c r="AA70" s="72" t="str">
        <f>IFERROR(__xludf.DUMMYFUNCTION("""COMPUTED_VALUE"""),"")</f>
        <v/>
      </c>
      <c r="AB70" s="72" t="str">
        <f>IFERROR(__xludf.DUMMYFUNCTION("""COMPUTED_VALUE"""),"")</f>
        <v/>
      </c>
      <c r="AC70" s="72" t="str">
        <f>IFERROR(__xludf.DUMMYFUNCTION("""COMPUTED_VALUE"""),"")</f>
        <v/>
      </c>
      <c r="AD70" s="72" t="str">
        <f>IFERROR(__xludf.DUMMYFUNCTION("""COMPUTED_VALUE"""),"")</f>
        <v/>
      </c>
      <c r="AE70" s="72" t="str">
        <f>IFERROR(__xludf.DUMMYFUNCTION("""COMPUTED_VALUE"""),"")</f>
        <v/>
      </c>
      <c r="AF70" s="72" t="str">
        <f>IFERROR(__xludf.DUMMYFUNCTION("""COMPUTED_VALUE"""),"")</f>
        <v/>
      </c>
      <c r="AG70" s="72" t="str">
        <f>IFERROR(__xludf.DUMMYFUNCTION("""COMPUTED_VALUE"""),"")</f>
        <v/>
      </c>
      <c r="AH70" s="72" t="str">
        <f>IFERROR(__xludf.DUMMYFUNCTION("""COMPUTED_VALUE"""),"")</f>
        <v/>
      </c>
      <c r="AI70" s="72" t="str">
        <f>IFERROR(__xludf.DUMMYFUNCTION("""COMPUTED_VALUE"""),"")</f>
        <v/>
      </c>
      <c r="AJ70" s="72" t="str">
        <f>IFERROR(__xludf.DUMMYFUNCTION("""COMPUTED_VALUE"""),"")</f>
        <v/>
      </c>
      <c r="AK70" s="72" t="str">
        <f>IFERROR(__xludf.DUMMYFUNCTION("""COMPUTED_VALUE"""),"")</f>
        <v/>
      </c>
      <c r="AL70" s="72" t="str">
        <f>IFERROR(__xludf.DUMMYFUNCTION("""COMPUTED_VALUE"""),"")</f>
        <v/>
      </c>
      <c r="AM70" s="72" t="str">
        <f>IFERROR(__xludf.DUMMYFUNCTION("""COMPUTED_VALUE"""),"")</f>
        <v/>
      </c>
      <c r="AN70" s="72" t="str">
        <f>IFERROR(__xludf.DUMMYFUNCTION("""COMPUTED_VALUE"""),"")</f>
        <v/>
      </c>
      <c r="AO70" s="72" t="str">
        <f>IFERROR(__xludf.DUMMYFUNCTION("""COMPUTED_VALUE"""),"")</f>
        <v/>
      </c>
      <c r="AP70" s="72" t="str">
        <f>IFERROR(__xludf.DUMMYFUNCTION("""COMPUTED_VALUE"""),"")</f>
        <v/>
      </c>
      <c r="AQ70" s="72" t="str">
        <f>IFERROR(__xludf.DUMMYFUNCTION("""COMPUTED_VALUE"""),"")</f>
        <v/>
      </c>
      <c r="AR70" s="72" t="str">
        <f>IFERROR(__xludf.DUMMYFUNCTION("""COMPUTED_VALUE"""),"")</f>
        <v/>
      </c>
      <c r="AS70" s="72" t="str">
        <f>IFERROR(__xludf.DUMMYFUNCTION("""COMPUTED_VALUE"""),"")</f>
        <v/>
      </c>
      <c r="AT70" s="72" t="str">
        <f>IFERROR(__xludf.DUMMYFUNCTION("""COMPUTED_VALUE"""),"")</f>
        <v/>
      </c>
      <c r="AU70" s="72" t="str">
        <f>IFERROR(__xludf.DUMMYFUNCTION("""COMPUTED_VALUE"""),"")</f>
        <v/>
      </c>
      <c r="AV70" s="72" t="str">
        <f>IFERROR(__xludf.DUMMYFUNCTION("""COMPUTED_VALUE"""),"")</f>
        <v/>
      </c>
      <c r="AW70" s="72" t="str">
        <f>IFERROR(__xludf.DUMMYFUNCTION("""COMPUTED_VALUE"""),"")</f>
        <v/>
      </c>
      <c r="AX70" s="72" t="str">
        <f>IFERROR(__xludf.DUMMYFUNCTION("""COMPUTED_VALUE"""),"")</f>
        <v/>
      </c>
      <c r="AY70" s="72" t="str">
        <f>IFERROR(__xludf.DUMMYFUNCTION("""COMPUTED_VALUE"""),"")</f>
        <v/>
      </c>
      <c r="AZ70" s="72" t="str">
        <f>IFERROR(__xludf.DUMMYFUNCTION("""COMPUTED_VALUE"""),"")</f>
        <v/>
      </c>
      <c r="BA70" s="72" t="str">
        <f>IFERROR(__xludf.DUMMYFUNCTION("""COMPUTED_VALUE"""),"")</f>
        <v/>
      </c>
      <c r="BB70" s="72" t="str">
        <f>IFERROR(__xludf.DUMMYFUNCTION("""COMPUTED_VALUE"""),"")</f>
        <v/>
      </c>
      <c r="BC70" s="72" t="str">
        <f>IFERROR(__xludf.DUMMYFUNCTION("""COMPUTED_VALUE"""),"")</f>
        <v/>
      </c>
      <c r="BD70" s="69" t="str">
        <f>IFERROR(__xludf.DUMMYFUNCTION("""COMPUTED_VALUE"""),"")</f>
        <v/>
      </c>
      <c r="BE70" s="69" t="str">
        <f>IFERROR(__xludf.DUMMYFUNCTION("""COMPUTED_VALUE"""),"")</f>
        <v/>
      </c>
      <c r="BF70" s="69" t="str">
        <f>IFERROR(__xludf.DUMMYFUNCTION("""COMPUTED_VALUE"""),"")</f>
        <v/>
      </c>
      <c r="BG70" s="69" t="str">
        <f>IFERROR(__xludf.DUMMYFUNCTION("""COMPUTED_VALUE"""),"")</f>
        <v/>
      </c>
      <c r="BH70" s="69" t="str">
        <f>IFERROR(__xludf.DUMMYFUNCTION("""COMPUTED_VALUE"""),"")</f>
        <v/>
      </c>
      <c r="BI70" s="69" t="str">
        <f>IFERROR(__xludf.DUMMYFUNCTION("""COMPUTED_VALUE"""),"")</f>
        <v/>
      </c>
      <c r="BJ70" s="69" t="str">
        <f>IFERROR(__xludf.DUMMYFUNCTION("""COMPUTED_VALUE"""),"")</f>
        <v/>
      </c>
      <c r="BK70" s="69" t="str">
        <f>IFERROR(__xludf.DUMMYFUNCTION("""COMPUTED_VALUE"""),"")</f>
        <v/>
      </c>
      <c r="BL70" s="69" t="str">
        <f>IFERROR(__xludf.DUMMYFUNCTION("""COMPUTED_VALUE"""),"")</f>
        <v/>
      </c>
      <c r="BM70" s="69" t="str">
        <f>IFERROR(__xludf.DUMMYFUNCTION("""COMPUTED_VALUE"""),"")</f>
        <v/>
      </c>
      <c r="BN70" s="69" t="str">
        <f>IFERROR(__xludf.DUMMYFUNCTION("""COMPUTED_VALUE"""),"")</f>
        <v/>
      </c>
      <c r="BO70" s="69" t="str">
        <f>IFERROR(__xludf.DUMMYFUNCTION("""COMPUTED_VALUE"""),"")</f>
        <v/>
      </c>
      <c r="BP70" s="69" t="str">
        <f>IFERROR(__xludf.DUMMYFUNCTION("""COMPUTED_VALUE"""),"")</f>
        <v/>
      </c>
      <c r="BQ70" s="69" t="str">
        <f>IFERROR(__xludf.DUMMYFUNCTION("""COMPUTED_VALUE"""),"")</f>
        <v/>
      </c>
      <c r="BR70" s="69" t="str">
        <f>IFERROR(__xludf.DUMMYFUNCTION("""COMPUTED_VALUE"""),"")</f>
        <v/>
      </c>
      <c r="BS70" s="69" t="str">
        <f>IFERROR(__xludf.DUMMYFUNCTION("""COMPUTED_VALUE"""),"")</f>
        <v/>
      </c>
      <c r="BT70" s="69" t="str">
        <f>IFERROR(__xludf.DUMMYFUNCTION("""COMPUTED_VALUE"""),"")</f>
        <v/>
      </c>
      <c r="BU70" s="69" t="str">
        <f>IFERROR(__xludf.DUMMYFUNCTION("""COMPUTED_VALUE"""),"")</f>
        <v/>
      </c>
      <c r="BV70" s="69" t="str">
        <f>IFERROR(__xludf.DUMMYFUNCTION("""COMPUTED_VALUE"""),"")</f>
        <v/>
      </c>
      <c r="BW70" s="69"/>
      <c r="BX70" s="69"/>
      <c r="BY70" s="69"/>
      <c r="BZ70" s="69"/>
      <c r="CA70" s="69"/>
      <c r="CB70" s="69"/>
      <c r="CC70" s="69"/>
      <c r="CD70" s="69"/>
      <c r="CE70" s="69"/>
      <c r="CF70" s="69"/>
    </row>
    <row r="71">
      <c r="A71" s="69"/>
      <c r="B71" s="71"/>
      <c r="C71" s="72" t="str">
        <f>IFERROR(__xludf.DUMMYFUNCTION("""COMPUTED_VALUE"""),"")</f>
        <v/>
      </c>
      <c r="D71" s="72" t="str">
        <f>IFERROR(__xludf.DUMMYFUNCTION("""COMPUTED_VALUE"""),"")</f>
        <v/>
      </c>
      <c r="E71" s="72" t="str">
        <f>IFERROR(__xludf.DUMMYFUNCTION("""COMPUTED_VALUE"""),"")</f>
        <v/>
      </c>
      <c r="F71" s="72" t="str">
        <f>IFERROR(__xludf.DUMMYFUNCTION("""COMPUTED_VALUE"""),"")</f>
        <v/>
      </c>
      <c r="G71" s="72" t="str">
        <f>IFERROR(__xludf.DUMMYFUNCTION("""COMPUTED_VALUE"""),"")</f>
        <v/>
      </c>
      <c r="H71" s="72" t="str">
        <f>IFERROR(__xludf.DUMMYFUNCTION("""COMPUTED_VALUE"""),"")</f>
        <v/>
      </c>
      <c r="I71" s="72" t="str">
        <f>IFERROR(__xludf.DUMMYFUNCTION("""COMPUTED_VALUE"""),"")</f>
        <v/>
      </c>
      <c r="J71" s="72" t="str">
        <f>IFERROR(__xludf.DUMMYFUNCTION("""COMPUTED_VALUE"""),"")</f>
        <v/>
      </c>
      <c r="K71" s="72" t="str">
        <f>IFERROR(__xludf.DUMMYFUNCTION("""COMPUTED_VALUE"""),"")</f>
        <v/>
      </c>
      <c r="L71" s="72" t="str">
        <f>IFERROR(__xludf.DUMMYFUNCTION("""COMPUTED_VALUE"""),"")</f>
        <v/>
      </c>
      <c r="M71" s="72" t="str">
        <f>IFERROR(__xludf.DUMMYFUNCTION("""COMPUTED_VALUE"""),"")</f>
        <v/>
      </c>
      <c r="N71" s="72" t="str">
        <f>IFERROR(__xludf.DUMMYFUNCTION("""COMPUTED_VALUE"""),"")</f>
        <v/>
      </c>
      <c r="O71" s="72" t="str">
        <f>IFERROR(__xludf.DUMMYFUNCTION("""COMPUTED_VALUE"""),"")</f>
        <v/>
      </c>
      <c r="P71" s="72" t="str">
        <f>IFERROR(__xludf.DUMMYFUNCTION("""COMPUTED_VALUE"""),"")</f>
        <v/>
      </c>
      <c r="Q71" s="72" t="str">
        <f>IFERROR(__xludf.DUMMYFUNCTION("""COMPUTED_VALUE"""),"")</f>
        <v/>
      </c>
      <c r="R71" s="72" t="str">
        <f>IFERROR(__xludf.DUMMYFUNCTION("""COMPUTED_VALUE"""),"")</f>
        <v/>
      </c>
      <c r="S71" s="72" t="str">
        <f>IFERROR(__xludf.DUMMYFUNCTION("""COMPUTED_VALUE"""),"")</f>
        <v/>
      </c>
      <c r="T71" s="72" t="str">
        <f>IFERROR(__xludf.DUMMYFUNCTION("""COMPUTED_VALUE"""),"")</f>
        <v/>
      </c>
      <c r="U71" s="72" t="str">
        <f>IFERROR(__xludf.DUMMYFUNCTION("""COMPUTED_VALUE"""),"")</f>
        <v/>
      </c>
      <c r="V71" s="72" t="str">
        <f>IFERROR(__xludf.DUMMYFUNCTION("""COMPUTED_VALUE"""),"")</f>
        <v/>
      </c>
      <c r="W71" s="72" t="str">
        <f>IFERROR(__xludf.DUMMYFUNCTION("""COMPUTED_VALUE"""),"")</f>
        <v/>
      </c>
      <c r="X71" s="72" t="str">
        <f>IFERROR(__xludf.DUMMYFUNCTION("""COMPUTED_VALUE"""),"")</f>
        <v/>
      </c>
      <c r="Y71" s="72" t="str">
        <f>IFERROR(__xludf.DUMMYFUNCTION("""COMPUTED_VALUE"""),"")</f>
        <v/>
      </c>
      <c r="Z71" s="72" t="str">
        <f>IFERROR(__xludf.DUMMYFUNCTION("""COMPUTED_VALUE"""),"")</f>
        <v/>
      </c>
      <c r="AA71" s="72" t="str">
        <f>IFERROR(__xludf.DUMMYFUNCTION("""COMPUTED_VALUE"""),"")</f>
        <v/>
      </c>
      <c r="AB71" s="72" t="str">
        <f>IFERROR(__xludf.DUMMYFUNCTION("""COMPUTED_VALUE"""),"")</f>
        <v/>
      </c>
      <c r="AC71" s="72" t="str">
        <f>IFERROR(__xludf.DUMMYFUNCTION("""COMPUTED_VALUE"""),"")</f>
        <v/>
      </c>
      <c r="AD71" s="72" t="str">
        <f>IFERROR(__xludf.DUMMYFUNCTION("""COMPUTED_VALUE"""),"")</f>
        <v/>
      </c>
      <c r="AE71" s="72" t="str">
        <f>IFERROR(__xludf.DUMMYFUNCTION("""COMPUTED_VALUE"""),"")</f>
        <v/>
      </c>
      <c r="AF71" s="72" t="str">
        <f>IFERROR(__xludf.DUMMYFUNCTION("""COMPUTED_VALUE"""),"")</f>
        <v/>
      </c>
      <c r="AG71" s="72" t="str">
        <f>IFERROR(__xludf.DUMMYFUNCTION("""COMPUTED_VALUE"""),"")</f>
        <v/>
      </c>
      <c r="AH71" s="72" t="str">
        <f>IFERROR(__xludf.DUMMYFUNCTION("""COMPUTED_VALUE"""),"")</f>
        <v/>
      </c>
      <c r="AI71" s="72" t="str">
        <f>IFERROR(__xludf.DUMMYFUNCTION("""COMPUTED_VALUE"""),"")</f>
        <v/>
      </c>
      <c r="AJ71" s="72" t="str">
        <f>IFERROR(__xludf.DUMMYFUNCTION("""COMPUTED_VALUE"""),"")</f>
        <v/>
      </c>
      <c r="AK71" s="72" t="str">
        <f>IFERROR(__xludf.DUMMYFUNCTION("""COMPUTED_VALUE"""),"")</f>
        <v/>
      </c>
      <c r="AL71" s="72" t="str">
        <f>IFERROR(__xludf.DUMMYFUNCTION("""COMPUTED_VALUE"""),"")</f>
        <v/>
      </c>
      <c r="AM71" s="72" t="str">
        <f>IFERROR(__xludf.DUMMYFUNCTION("""COMPUTED_VALUE"""),"")</f>
        <v/>
      </c>
      <c r="AN71" s="72" t="str">
        <f>IFERROR(__xludf.DUMMYFUNCTION("""COMPUTED_VALUE"""),"")</f>
        <v/>
      </c>
      <c r="AO71" s="72" t="str">
        <f>IFERROR(__xludf.DUMMYFUNCTION("""COMPUTED_VALUE"""),"")</f>
        <v/>
      </c>
      <c r="AP71" s="72" t="str">
        <f>IFERROR(__xludf.DUMMYFUNCTION("""COMPUTED_VALUE"""),"")</f>
        <v/>
      </c>
      <c r="AQ71" s="72" t="str">
        <f>IFERROR(__xludf.DUMMYFUNCTION("""COMPUTED_VALUE"""),"")</f>
        <v/>
      </c>
      <c r="AR71" s="72" t="str">
        <f>IFERROR(__xludf.DUMMYFUNCTION("""COMPUTED_VALUE"""),"")</f>
        <v/>
      </c>
      <c r="AS71" s="72" t="str">
        <f>IFERROR(__xludf.DUMMYFUNCTION("""COMPUTED_VALUE"""),"")</f>
        <v/>
      </c>
      <c r="AT71" s="72" t="str">
        <f>IFERROR(__xludf.DUMMYFUNCTION("""COMPUTED_VALUE"""),"")</f>
        <v/>
      </c>
      <c r="AU71" s="72" t="str">
        <f>IFERROR(__xludf.DUMMYFUNCTION("""COMPUTED_VALUE"""),"")</f>
        <v/>
      </c>
      <c r="AV71" s="72" t="str">
        <f>IFERROR(__xludf.DUMMYFUNCTION("""COMPUTED_VALUE"""),"")</f>
        <v/>
      </c>
      <c r="AW71" s="72" t="str">
        <f>IFERROR(__xludf.DUMMYFUNCTION("""COMPUTED_VALUE"""),"")</f>
        <v/>
      </c>
      <c r="AX71" s="72" t="str">
        <f>IFERROR(__xludf.DUMMYFUNCTION("""COMPUTED_VALUE"""),"")</f>
        <v/>
      </c>
      <c r="AY71" s="72" t="str">
        <f>IFERROR(__xludf.DUMMYFUNCTION("""COMPUTED_VALUE"""),"")</f>
        <v/>
      </c>
      <c r="AZ71" s="72" t="str">
        <f>IFERROR(__xludf.DUMMYFUNCTION("""COMPUTED_VALUE"""),"")</f>
        <v/>
      </c>
      <c r="BA71" s="72" t="str">
        <f>IFERROR(__xludf.DUMMYFUNCTION("""COMPUTED_VALUE"""),"")</f>
        <v/>
      </c>
      <c r="BB71" s="72" t="str">
        <f>IFERROR(__xludf.DUMMYFUNCTION("""COMPUTED_VALUE"""),"")</f>
        <v/>
      </c>
      <c r="BC71" s="72" t="str">
        <f>IFERROR(__xludf.DUMMYFUNCTION("""COMPUTED_VALUE"""),"")</f>
        <v/>
      </c>
      <c r="BD71" s="69" t="str">
        <f>IFERROR(__xludf.DUMMYFUNCTION("""COMPUTED_VALUE"""),"")</f>
        <v/>
      </c>
      <c r="BE71" s="69" t="str">
        <f>IFERROR(__xludf.DUMMYFUNCTION("""COMPUTED_VALUE"""),"")</f>
        <v/>
      </c>
      <c r="BF71" s="69" t="str">
        <f>IFERROR(__xludf.DUMMYFUNCTION("""COMPUTED_VALUE"""),"")</f>
        <v/>
      </c>
      <c r="BG71" s="69" t="str">
        <f>IFERROR(__xludf.DUMMYFUNCTION("""COMPUTED_VALUE"""),"")</f>
        <v/>
      </c>
      <c r="BH71" s="69" t="str">
        <f>IFERROR(__xludf.DUMMYFUNCTION("""COMPUTED_VALUE"""),"")</f>
        <v/>
      </c>
      <c r="BI71" s="69" t="str">
        <f>IFERROR(__xludf.DUMMYFUNCTION("""COMPUTED_VALUE"""),"")</f>
        <v/>
      </c>
      <c r="BJ71" s="69" t="str">
        <f>IFERROR(__xludf.DUMMYFUNCTION("""COMPUTED_VALUE"""),"")</f>
        <v/>
      </c>
      <c r="BK71" s="69" t="str">
        <f>IFERROR(__xludf.DUMMYFUNCTION("""COMPUTED_VALUE"""),"")</f>
        <v/>
      </c>
      <c r="BL71" s="69" t="str">
        <f>IFERROR(__xludf.DUMMYFUNCTION("""COMPUTED_VALUE"""),"")</f>
        <v/>
      </c>
      <c r="BM71" s="69" t="str">
        <f>IFERROR(__xludf.DUMMYFUNCTION("""COMPUTED_VALUE"""),"")</f>
        <v/>
      </c>
      <c r="BN71" s="69" t="str">
        <f>IFERROR(__xludf.DUMMYFUNCTION("""COMPUTED_VALUE"""),"")</f>
        <v/>
      </c>
      <c r="BO71" s="69" t="str">
        <f>IFERROR(__xludf.DUMMYFUNCTION("""COMPUTED_VALUE"""),"")</f>
        <v/>
      </c>
      <c r="BP71" s="69" t="str">
        <f>IFERROR(__xludf.DUMMYFUNCTION("""COMPUTED_VALUE"""),"")</f>
        <v/>
      </c>
      <c r="BQ71" s="69" t="str">
        <f>IFERROR(__xludf.DUMMYFUNCTION("""COMPUTED_VALUE"""),"")</f>
        <v/>
      </c>
      <c r="BR71" s="69" t="str">
        <f>IFERROR(__xludf.DUMMYFUNCTION("""COMPUTED_VALUE"""),"")</f>
        <v/>
      </c>
      <c r="BS71" s="69" t="str">
        <f>IFERROR(__xludf.DUMMYFUNCTION("""COMPUTED_VALUE"""),"")</f>
        <v/>
      </c>
      <c r="BT71" s="69" t="str">
        <f>IFERROR(__xludf.DUMMYFUNCTION("""COMPUTED_VALUE"""),"")</f>
        <v/>
      </c>
      <c r="BU71" s="69" t="str">
        <f>IFERROR(__xludf.DUMMYFUNCTION("""COMPUTED_VALUE"""),"")</f>
        <v/>
      </c>
      <c r="BV71" s="69" t="str">
        <f>IFERROR(__xludf.DUMMYFUNCTION("""COMPUTED_VALUE"""),"")</f>
        <v/>
      </c>
      <c r="BW71" s="69"/>
      <c r="BX71" s="69"/>
      <c r="BY71" s="69"/>
      <c r="BZ71" s="69"/>
      <c r="CA71" s="69"/>
      <c r="CB71" s="69"/>
      <c r="CC71" s="69"/>
      <c r="CD71" s="69"/>
      <c r="CE71" s="69"/>
      <c r="CF71" s="69"/>
    </row>
    <row r="72">
      <c r="A72" s="69"/>
      <c r="B72" s="71"/>
      <c r="C72" s="72" t="str">
        <f>IFERROR(__xludf.DUMMYFUNCTION("""COMPUTED_VALUE"""),"")</f>
        <v/>
      </c>
      <c r="D72" s="72" t="str">
        <f>IFERROR(__xludf.DUMMYFUNCTION("""COMPUTED_VALUE"""),"")</f>
        <v/>
      </c>
      <c r="E72" s="72" t="str">
        <f>IFERROR(__xludf.DUMMYFUNCTION("""COMPUTED_VALUE"""),"")</f>
        <v/>
      </c>
      <c r="F72" s="72" t="str">
        <f>IFERROR(__xludf.DUMMYFUNCTION("""COMPUTED_VALUE"""),"")</f>
        <v/>
      </c>
      <c r="G72" s="72" t="str">
        <f>IFERROR(__xludf.DUMMYFUNCTION("""COMPUTED_VALUE"""),"")</f>
        <v/>
      </c>
      <c r="H72" s="72" t="str">
        <f>IFERROR(__xludf.DUMMYFUNCTION("""COMPUTED_VALUE"""),"")</f>
        <v/>
      </c>
      <c r="I72" s="72" t="str">
        <f>IFERROR(__xludf.DUMMYFUNCTION("""COMPUTED_VALUE"""),"")</f>
        <v/>
      </c>
      <c r="J72" s="72" t="str">
        <f>IFERROR(__xludf.DUMMYFUNCTION("""COMPUTED_VALUE"""),"")</f>
        <v/>
      </c>
      <c r="K72" s="72" t="str">
        <f>IFERROR(__xludf.DUMMYFUNCTION("""COMPUTED_VALUE"""),"")</f>
        <v/>
      </c>
      <c r="L72" s="72" t="str">
        <f>IFERROR(__xludf.DUMMYFUNCTION("""COMPUTED_VALUE"""),"")</f>
        <v/>
      </c>
      <c r="M72" s="72" t="str">
        <f>IFERROR(__xludf.DUMMYFUNCTION("""COMPUTED_VALUE"""),"")</f>
        <v/>
      </c>
      <c r="N72" s="72" t="str">
        <f>IFERROR(__xludf.DUMMYFUNCTION("""COMPUTED_VALUE"""),"")</f>
        <v/>
      </c>
      <c r="O72" s="72" t="str">
        <f>IFERROR(__xludf.DUMMYFUNCTION("""COMPUTED_VALUE"""),"")</f>
        <v/>
      </c>
      <c r="P72" s="72" t="str">
        <f>IFERROR(__xludf.DUMMYFUNCTION("""COMPUTED_VALUE"""),"")</f>
        <v/>
      </c>
      <c r="Q72" s="72" t="str">
        <f>IFERROR(__xludf.DUMMYFUNCTION("""COMPUTED_VALUE"""),"")</f>
        <v/>
      </c>
      <c r="R72" s="72" t="str">
        <f>IFERROR(__xludf.DUMMYFUNCTION("""COMPUTED_VALUE"""),"")</f>
        <v/>
      </c>
      <c r="S72" s="72" t="str">
        <f>IFERROR(__xludf.DUMMYFUNCTION("""COMPUTED_VALUE"""),"")</f>
        <v/>
      </c>
      <c r="T72" s="72" t="str">
        <f>IFERROR(__xludf.DUMMYFUNCTION("""COMPUTED_VALUE"""),"")</f>
        <v/>
      </c>
      <c r="U72" s="72" t="str">
        <f>IFERROR(__xludf.DUMMYFUNCTION("""COMPUTED_VALUE"""),"")</f>
        <v/>
      </c>
      <c r="V72" s="72" t="str">
        <f>IFERROR(__xludf.DUMMYFUNCTION("""COMPUTED_VALUE"""),"")</f>
        <v/>
      </c>
      <c r="W72" s="72" t="str">
        <f>IFERROR(__xludf.DUMMYFUNCTION("""COMPUTED_VALUE"""),"")</f>
        <v/>
      </c>
      <c r="X72" s="72" t="str">
        <f>IFERROR(__xludf.DUMMYFUNCTION("""COMPUTED_VALUE"""),"")</f>
        <v/>
      </c>
      <c r="Y72" s="72" t="str">
        <f>IFERROR(__xludf.DUMMYFUNCTION("""COMPUTED_VALUE"""),"")</f>
        <v/>
      </c>
      <c r="Z72" s="72" t="str">
        <f>IFERROR(__xludf.DUMMYFUNCTION("""COMPUTED_VALUE"""),"")</f>
        <v/>
      </c>
      <c r="AA72" s="72" t="str">
        <f>IFERROR(__xludf.DUMMYFUNCTION("""COMPUTED_VALUE"""),"")</f>
        <v/>
      </c>
      <c r="AB72" s="72" t="str">
        <f>IFERROR(__xludf.DUMMYFUNCTION("""COMPUTED_VALUE"""),"")</f>
        <v/>
      </c>
      <c r="AC72" s="72" t="str">
        <f>IFERROR(__xludf.DUMMYFUNCTION("""COMPUTED_VALUE"""),"")</f>
        <v/>
      </c>
      <c r="AD72" s="72" t="str">
        <f>IFERROR(__xludf.DUMMYFUNCTION("""COMPUTED_VALUE"""),"")</f>
        <v/>
      </c>
      <c r="AE72" s="72" t="str">
        <f>IFERROR(__xludf.DUMMYFUNCTION("""COMPUTED_VALUE"""),"")</f>
        <v/>
      </c>
      <c r="AF72" s="72" t="str">
        <f>IFERROR(__xludf.DUMMYFUNCTION("""COMPUTED_VALUE"""),"")</f>
        <v/>
      </c>
      <c r="AG72" s="72" t="str">
        <f>IFERROR(__xludf.DUMMYFUNCTION("""COMPUTED_VALUE"""),"")</f>
        <v/>
      </c>
      <c r="AH72" s="72" t="str">
        <f>IFERROR(__xludf.DUMMYFUNCTION("""COMPUTED_VALUE"""),"")</f>
        <v/>
      </c>
      <c r="AI72" s="72" t="str">
        <f>IFERROR(__xludf.DUMMYFUNCTION("""COMPUTED_VALUE"""),"")</f>
        <v/>
      </c>
      <c r="AJ72" s="72" t="str">
        <f>IFERROR(__xludf.DUMMYFUNCTION("""COMPUTED_VALUE"""),"")</f>
        <v/>
      </c>
      <c r="AK72" s="72" t="str">
        <f>IFERROR(__xludf.DUMMYFUNCTION("""COMPUTED_VALUE"""),"")</f>
        <v/>
      </c>
      <c r="AL72" s="72" t="str">
        <f>IFERROR(__xludf.DUMMYFUNCTION("""COMPUTED_VALUE"""),"")</f>
        <v/>
      </c>
      <c r="AM72" s="72" t="str">
        <f>IFERROR(__xludf.DUMMYFUNCTION("""COMPUTED_VALUE"""),"")</f>
        <v/>
      </c>
      <c r="AN72" s="72" t="str">
        <f>IFERROR(__xludf.DUMMYFUNCTION("""COMPUTED_VALUE"""),"")</f>
        <v/>
      </c>
      <c r="AO72" s="72" t="str">
        <f>IFERROR(__xludf.DUMMYFUNCTION("""COMPUTED_VALUE"""),"")</f>
        <v/>
      </c>
      <c r="AP72" s="72" t="str">
        <f>IFERROR(__xludf.DUMMYFUNCTION("""COMPUTED_VALUE"""),"")</f>
        <v/>
      </c>
      <c r="AQ72" s="72" t="str">
        <f>IFERROR(__xludf.DUMMYFUNCTION("""COMPUTED_VALUE"""),"")</f>
        <v/>
      </c>
      <c r="AR72" s="72" t="str">
        <f>IFERROR(__xludf.DUMMYFUNCTION("""COMPUTED_VALUE"""),"")</f>
        <v/>
      </c>
      <c r="AS72" s="72" t="str">
        <f>IFERROR(__xludf.DUMMYFUNCTION("""COMPUTED_VALUE"""),"")</f>
        <v/>
      </c>
      <c r="AT72" s="72" t="str">
        <f>IFERROR(__xludf.DUMMYFUNCTION("""COMPUTED_VALUE"""),"")</f>
        <v/>
      </c>
      <c r="AU72" s="72" t="str">
        <f>IFERROR(__xludf.DUMMYFUNCTION("""COMPUTED_VALUE"""),"")</f>
        <v/>
      </c>
      <c r="AV72" s="72" t="str">
        <f>IFERROR(__xludf.DUMMYFUNCTION("""COMPUTED_VALUE"""),"")</f>
        <v/>
      </c>
      <c r="AW72" s="72" t="str">
        <f>IFERROR(__xludf.DUMMYFUNCTION("""COMPUTED_VALUE"""),"")</f>
        <v/>
      </c>
      <c r="AX72" s="72" t="str">
        <f>IFERROR(__xludf.DUMMYFUNCTION("""COMPUTED_VALUE"""),"")</f>
        <v/>
      </c>
      <c r="AY72" s="72" t="str">
        <f>IFERROR(__xludf.DUMMYFUNCTION("""COMPUTED_VALUE"""),"")</f>
        <v/>
      </c>
      <c r="AZ72" s="72" t="str">
        <f>IFERROR(__xludf.DUMMYFUNCTION("""COMPUTED_VALUE"""),"")</f>
        <v/>
      </c>
      <c r="BA72" s="72" t="str">
        <f>IFERROR(__xludf.DUMMYFUNCTION("""COMPUTED_VALUE"""),"")</f>
        <v/>
      </c>
      <c r="BB72" s="72" t="str">
        <f>IFERROR(__xludf.DUMMYFUNCTION("""COMPUTED_VALUE"""),"")</f>
        <v/>
      </c>
      <c r="BC72" s="72" t="str">
        <f>IFERROR(__xludf.DUMMYFUNCTION("""COMPUTED_VALUE"""),"")</f>
        <v/>
      </c>
      <c r="BD72" s="69" t="str">
        <f>IFERROR(__xludf.DUMMYFUNCTION("""COMPUTED_VALUE"""),"")</f>
        <v/>
      </c>
      <c r="BE72" s="69" t="str">
        <f>IFERROR(__xludf.DUMMYFUNCTION("""COMPUTED_VALUE"""),"")</f>
        <v/>
      </c>
      <c r="BF72" s="69" t="str">
        <f>IFERROR(__xludf.DUMMYFUNCTION("""COMPUTED_VALUE"""),"")</f>
        <v/>
      </c>
      <c r="BG72" s="69" t="str">
        <f>IFERROR(__xludf.DUMMYFUNCTION("""COMPUTED_VALUE"""),"")</f>
        <v/>
      </c>
      <c r="BH72" s="69" t="str">
        <f>IFERROR(__xludf.DUMMYFUNCTION("""COMPUTED_VALUE"""),"")</f>
        <v/>
      </c>
      <c r="BI72" s="69" t="str">
        <f>IFERROR(__xludf.DUMMYFUNCTION("""COMPUTED_VALUE"""),"")</f>
        <v/>
      </c>
      <c r="BJ72" s="69" t="str">
        <f>IFERROR(__xludf.DUMMYFUNCTION("""COMPUTED_VALUE"""),"")</f>
        <v/>
      </c>
      <c r="BK72" s="69" t="str">
        <f>IFERROR(__xludf.DUMMYFUNCTION("""COMPUTED_VALUE"""),"")</f>
        <v/>
      </c>
      <c r="BL72" s="69" t="str">
        <f>IFERROR(__xludf.DUMMYFUNCTION("""COMPUTED_VALUE"""),"")</f>
        <v/>
      </c>
      <c r="BM72" s="69" t="str">
        <f>IFERROR(__xludf.DUMMYFUNCTION("""COMPUTED_VALUE"""),"")</f>
        <v/>
      </c>
      <c r="BN72" s="69" t="str">
        <f>IFERROR(__xludf.DUMMYFUNCTION("""COMPUTED_VALUE"""),"")</f>
        <v/>
      </c>
      <c r="BO72" s="69" t="str">
        <f>IFERROR(__xludf.DUMMYFUNCTION("""COMPUTED_VALUE"""),"")</f>
        <v/>
      </c>
      <c r="BP72" s="69" t="str">
        <f>IFERROR(__xludf.DUMMYFUNCTION("""COMPUTED_VALUE"""),"")</f>
        <v/>
      </c>
      <c r="BQ72" s="69" t="str">
        <f>IFERROR(__xludf.DUMMYFUNCTION("""COMPUTED_VALUE"""),"")</f>
        <v/>
      </c>
      <c r="BR72" s="69" t="str">
        <f>IFERROR(__xludf.DUMMYFUNCTION("""COMPUTED_VALUE"""),"")</f>
        <v/>
      </c>
      <c r="BS72" s="69" t="str">
        <f>IFERROR(__xludf.DUMMYFUNCTION("""COMPUTED_VALUE"""),"")</f>
        <v/>
      </c>
      <c r="BT72" s="69" t="str">
        <f>IFERROR(__xludf.DUMMYFUNCTION("""COMPUTED_VALUE"""),"")</f>
        <v/>
      </c>
      <c r="BU72" s="69" t="str">
        <f>IFERROR(__xludf.DUMMYFUNCTION("""COMPUTED_VALUE"""),"")</f>
        <v/>
      </c>
      <c r="BV72" s="69" t="str">
        <f>IFERROR(__xludf.DUMMYFUNCTION("""COMPUTED_VALUE"""),"")</f>
        <v/>
      </c>
      <c r="BW72" s="69"/>
      <c r="BX72" s="69"/>
      <c r="BY72" s="69"/>
      <c r="BZ72" s="69"/>
      <c r="CA72" s="69"/>
      <c r="CB72" s="69"/>
      <c r="CC72" s="69"/>
      <c r="CD72" s="69"/>
      <c r="CE72" s="69"/>
      <c r="CF72" s="69"/>
    </row>
    <row r="73">
      <c r="A73" s="69"/>
      <c r="B73" s="71"/>
      <c r="C73" s="72" t="str">
        <f>IFERROR(__xludf.DUMMYFUNCTION("""COMPUTED_VALUE"""),"")</f>
        <v/>
      </c>
      <c r="D73" s="72" t="str">
        <f>IFERROR(__xludf.DUMMYFUNCTION("""COMPUTED_VALUE"""),"")</f>
        <v/>
      </c>
      <c r="E73" s="72" t="str">
        <f>IFERROR(__xludf.DUMMYFUNCTION("""COMPUTED_VALUE"""),"")</f>
        <v/>
      </c>
      <c r="F73" s="72" t="str">
        <f>IFERROR(__xludf.DUMMYFUNCTION("""COMPUTED_VALUE"""),"")</f>
        <v/>
      </c>
      <c r="G73" s="72" t="str">
        <f>IFERROR(__xludf.DUMMYFUNCTION("""COMPUTED_VALUE"""),"")</f>
        <v/>
      </c>
      <c r="H73" s="72" t="str">
        <f>IFERROR(__xludf.DUMMYFUNCTION("""COMPUTED_VALUE"""),"")</f>
        <v/>
      </c>
      <c r="I73" s="72" t="str">
        <f>IFERROR(__xludf.DUMMYFUNCTION("""COMPUTED_VALUE"""),"")</f>
        <v/>
      </c>
      <c r="J73" s="72" t="str">
        <f>IFERROR(__xludf.DUMMYFUNCTION("""COMPUTED_VALUE"""),"")</f>
        <v/>
      </c>
      <c r="K73" s="72" t="str">
        <f>IFERROR(__xludf.DUMMYFUNCTION("""COMPUTED_VALUE"""),"")</f>
        <v/>
      </c>
      <c r="L73" s="72" t="str">
        <f>IFERROR(__xludf.DUMMYFUNCTION("""COMPUTED_VALUE"""),"")</f>
        <v/>
      </c>
      <c r="M73" s="72" t="str">
        <f>IFERROR(__xludf.DUMMYFUNCTION("""COMPUTED_VALUE"""),"")</f>
        <v/>
      </c>
      <c r="N73" s="72" t="str">
        <f>IFERROR(__xludf.DUMMYFUNCTION("""COMPUTED_VALUE"""),"")</f>
        <v/>
      </c>
      <c r="O73" s="72" t="str">
        <f>IFERROR(__xludf.DUMMYFUNCTION("""COMPUTED_VALUE"""),"")</f>
        <v/>
      </c>
      <c r="P73" s="72" t="str">
        <f>IFERROR(__xludf.DUMMYFUNCTION("""COMPUTED_VALUE"""),"")</f>
        <v/>
      </c>
      <c r="Q73" s="72" t="str">
        <f>IFERROR(__xludf.DUMMYFUNCTION("""COMPUTED_VALUE"""),"")</f>
        <v/>
      </c>
      <c r="R73" s="72" t="str">
        <f>IFERROR(__xludf.DUMMYFUNCTION("""COMPUTED_VALUE"""),"")</f>
        <v/>
      </c>
      <c r="S73" s="72" t="str">
        <f>IFERROR(__xludf.DUMMYFUNCTION("""COMPUTED_VALUE"""),"")</f>
        <v/>
      </c>
      <c r="T73" s="72" t="str">
        <f>IFERROR(__xludf.DUMMYFUNCTION("""COMPUTED_VALUE"""),"")</f>
        <v/>
      </c>
      <c r="U73" s="72" t="str">
        <f>IFERROR(__xludf.DUMMYFUNCTION("""COMPUTED_VALUE"""),"")</f>
        <v/>
      </c>
      <c r="V73" s="72" t="str">
        <f>IFERROR(__xludf.DUMMYFUNCTION("""COMPUTED_VALUE"""),"")</f>
        <v/>
      </c>
      <c r="W73" s="72" t="str">
        <f>IFERROR(__xludf.DUMMYFUNCTION("""COMPUTED_VALUE"""),"")</f>
        <v/>
      </c>
      <c r="X73" s="72" t="str">
        <f>IFERROR(__xludf.DUMMYFUNCTION("""COMPUTED_VALUE"""),"")</f>
        <v/>
      </c>
      <c r="Y73" s="72" t="str">
        <f>IFERROR(__xludf.DUMMYFUNCTION("""COMPUTED_VALUE"""),"")</f>
        <v/>
      </c>
      <c r="Z73" s="72" t="str">
        <f>IFERROR(__xludf.DUMMYFUNCTION("""COMPUTED_VALUE"""),"")</f>
        <v/>
      </c>
      <c r="AA73" s="72" t="str">
        <f>IFERROR(__xludf.DUMMYFUNCTION("""COMPUTED_VALUE"""),"")</f>
        <v/>
      </c>
      <c r="AB73" s="72" t="str">
        <f>IFERROR(__xludf.DUMMYFUNCTION("""COMPUTED_VALUE"""),"")</f>
        <v/>
      </c>
      <c r="AC73" s="72" t="str">
        <f>IFERROR(__xludf.DUMMYFUNCTION("""COMPUTED_VALUE"""),"")</f>
        <v/>
      </c>
      <c r="AD73" s="72" t="str">
        <f>IFERROR(__xludf.DUMMYFUNCTION("""COMPUTED_VALUE"""),"")</f>
        <v/>
      </c>
      <c r="AE73" s="72" t="str">
        <f>IFERROR(__xludf.DUMMYFUNCTION("""COMPUTED_VALUE"""),"")</f>
        <v/>
      </c>
      <c r="AF73" s="72" t="str">
        <f>IFERROR(__xludf.DUMMYFUNCTION("""COMPUTED_VALUE"""),"")</f>
        <v/>
      </c>
      <c r="AG73" s="72" t="str">
        <f>IFERROR(__xludf.DUMMYFUNCTION("""COMPUTED_VALUE"""),"")</f>
        <v/>
      </c>
      <c r="AH73" s="72" t="str">
        <f>IFERROR(__xludf.DUMMYFUNCTION("""COMPUTED_VALUE"""),"")</f>
        <v/>
      </c>
      <c r="AI73" s="72" t="str">
        <f>IFERROR(__xludf.DUMMYFUNCTION("""COMPUTED_VALUE"""),"")</f>
        <v/>
      </c>
      <c r="AJ73" s="72" t="str">
        <f>IFERROR(__xludf.DUMMYFUNCTION("""COMPUTED_VALUE"""),"")</f>
        <v/>
      </c>
      <c r="AK73" s="72" t="str">
        <f>IFERROR(__xludf.DUMMYFUNCTION("""COMPUTED_VALUE"""),"")</f>
        <v/>
      </c>
      <c r="AL73" s="72" t="str">
        <f>IFERROR(__xludf.DUMMYFUNCTION("""COMPUTED_VALUE"""),"")</f>
        <v/>
      </c>
      <c r="AM73" s="72" t="str">
        <f>IFERROR(__xludf.DUMMYFUNCTION("""COMPUTED_VALUE"""),"")</f>
        <v/>
      </c>
      <c r="AN73" s="72" t="str">
        <f>IFERROR(__xludf.DUMMYFUNCTION("""COMPUTED_VALUE"""),"")</f>
        <v/>
      </c>
      <c r="AO73" s="72" t="str">
        <f>IFERROR(__xludf.DUMMYFUNCTION("""COMPUTED_VALUE"""),"")</f>
        <v/>
      </c>
      <c r="AP73" s="72" t="str">
        <f>IFERROR(__xludf.DUMMYFUNCTION("""COMPUTED_VALUE"""),"")</f>
        <v/>
      </c>
      <c r="AQ73" s="72" t="str">
        <f>IFERROR(__xludf.DUMMYFUNCTION("""COMPUTED_VALUE"""),"")</f>
        <v/>
      </c>
      <c r="AR73" s="72" t="str">
        <f>IFERROR(__xludf.DUMMYFUNCTION("""COMPUTED_VALUE"""),"")</f>
        <v/>
      </c>
      <c r="AS73" s="72" t="str">
        <f>IFERROR(__xludf.DUMMYFUNCTION("""COMPUTED_VALUE"""),"")</f>
        <v/>
      </c>
      <c r="AT73" s="72" t="str">
        <f>IFERROR(__xludf.DUMMYFUNCTION("""COMPUTED_VALUE"""),"")</f>
        <v/>
      </c>
      <c r="AU73" s="72" t="str">
        <f>IFERROR(__xludf.DUMMYFUNCTION("""COMPUTED_VALUE"""),"")</f>
        <v/>
      </c>
      <c r="AV73" s="72" t="str">
        <f>IFERROR(__xludf.DUMMYFUNCTION("""COMPUTED_VALUE"""),"")</f>
        <v/>
      </c>
      <c r="AW73" s="72" t="str">
        <f>IFERROR(__xludf.DUMMYFUNCTION("""COMPUTED_VALUE"""),"")</f>
        <v/>
      </c>
      <c r="AX73" s="72" t="str">
        <f>IFERROR(__xludf.DUMMYFUNCTION("""COMPUTED_VALUE"""),"")</f>
        <v/>
      </c>
      <c r="AY73" s="72" t="str">
        <f>IFERROR(__xludf.DUMMYFUNCTION("""COMPUTED_VALUE"""),"")</f>
        <v/>
      </c>
      <c r="AZ73" s="72" t="str">
        <f>IFERROR(__xludf.DUMMYFUNCTION("""COMPUTED_VALUE"""),"")</f>
        <v/>
      </c>
      <c r="BA73" s="72" t="str">
        <f>IFERROR(__xludf.DUMMYFUNCTION("""COMPUTED_VALUE"""),"")</f>
        <v/>
      </c>
      <c r="BB73" s="72" t="str">
        <f>IFERROR(__xludf.DUMMYFUNCTION("""COMPUTED_VALUE"""),"")</f>
        <v/>
      </c>
      <c r="BC73" s="72" t="str">
        <f>IFERROR(__xludf.DUMMYFUNCTION("""COMPUTED_VALUE"""),"")</f>
        <v/>
      </c>
      <c r="BD73" s="69" t="str">
        <f>IFERROR(__xludf.DUMMYFUNCTION("""COMPUTED_VALUE"""),"")</f>
        <v/>
      </c>
      <c r="BE73" s="69" t="str">
        <f>IFERROR(__xludf.DUMMYFUNCTION("""COMPUTED_VALUE"""),"")</f>
        <v/>
      </c>
      <c r="BF73" s="69" t="str">
        <f>IFERROR(__xludf.DUMMYFUNCTION("""COMPUTED_VALUE"""),"")</f>
        <v/>
      </c>
      <c r="BG73" s="69" t="str">
        <f>IFERROR(__xludf.DUMMYFUNCTION("""COMPUTED_VALUE"""),"")</f>
        <v/>
      </c>
      <c r="BH73" s="69" t="str">
        <f>IFERROR(__xludf.DUMMYFUNCTION("""COMPUTED_VALUE"""),"")</f>
        <v/>
      </c>
      <c r="BI73" s="69" t="str">
        <f>IFERROR(__xludf.DUMMYFUNCTION("""COMPUTED_VALUE"""),"")</f>
        <v/>
      </c>
      <c r="BJ73" s="69" t="str">
        <f>IFERROR(__xludf.DUMMYFUNCTION("""COMPUTED_VALUE"""),"")</f>
        <v/>
      </c>
      <c r="BK73" s="69" t="str">
        <f>IFERROR(__xludf.DUMMYFUNCTION("""COMPUTED_VALUE"""),"")</f>
        <v/>
      </c>
      <c r="BL73" s="69" t="str">
        <f>IFERROR(__xludf.DUMMYFUNCTION("""COMPUTED_VALUE"""),"")</f>
        <v/>
      </c>
      <c r="BM73" s="69" t="str">
        <f>IFERROR(__xludf.DUMMYFUNCTION("""COMPUTED_VALUE"""),"")</f>
        <v/>
      </c>
      <c r="BN73" s="69" t="str">
        <f>IFERROR(__xludf.DUMMYFUNCTION("""COMPUTED_VALUE"""),"")</f>
        <v/>
      </c>
      <c r="BO73" s="69" t="str">
        <f>IFERROR(__xludf.DUMMYFUNCTION("""COMPUTED_VALUE"""),"")</f>
        <v/>
      </c>
      <c r="BP73" s="69" t="str">
        <f>IFERROR(__xludf.DUMMYFUNCTION("""COMPUTED_VALUE"""),"")</f>
        <v/>
      </c>
      <c r="BQ73" s="69" t="str">
        <f>IFERROR(__xludf.DUMMYFUNCTION("""COMPUTED_VALUE"""),"")</f>
        <v/>
      </c>
      <c r="BR73" s="69" t="str">
        <f>IFERROR(__xludf.DUMMYFUNCTION("""COMPUTED_VALUE"""),"")</f>
        <v/>
      </c>
      <c r="BS73" s="69" t="str">
        <f>IFERROR(__xludf.DUMMYFUNCTION("""COMPUTED_VALUE"""),"")</f>
        <v/>
      </c>
      <c r="BT73" s="69" t="str">
        <f>IFERROR(__xludf.DUMMYFUNCTION("""COMPUTED_VALUE"""),"")</f>
        <v/>
      </c>
      <c r="BU73" s="69" t="str">
        <f>IFERROR(__xludf.DUMMYFUNCTION("""COMPUTED_VALUE"""),"")</f>
        <v/>
      </c>
      <c r="BV73" s="69" t="str">
        <f>IFERROR(__xludf.DUMMYFUNCTION("""COMPUTED_VALUE"""),"")</f>
        <v/>
      </c>
      <c r="BW73" s="69"/>
      <c r="BX73" s="69"/>
      <c r="BY73" s="69"/>
      <c r="BZ73" s="69"/>
      <c r="CA73" s="69"/>
      <c r="CB73" s="69"/>
      <c r="CC73" s="69"/>
      <c r="CD73" s="69"/>
      <c r="CE73" s="69"/>
      <c r="CF73" s="69"/>
    </row>
    <row r="74">
      <c r="A74" s="69"/>
      <c r="B74" s="71"/>
      <c r="C74" s="72" t="str">
        <f>IFERROR(__xludf.DUMMYFUNCTION("""COMPUTED_VALUE"""),"")</f>
        <v/>
      </c>
      <c r="D74" s="72" t="str">
        <f>IFERROR(__xludf.DUMMYFUNCTION("""COMPUTED_VALUE"""),"")</f>
        <v/>
      </c>
      <c r="E74" s="72" t="str">
        <f>IFERROR(__xludf.DUMMYFUNCTION("""COMPUTED_VALUE"""),"")</f>
        <v/>
      </c>
      <c r="F74" s="72" t="str">
        <f>IFERROR(__xludf.DUMMYFUNCTION("""COMPUTED_VALUE"""),"")</f>
        <v/>
      </c>
      <c r="G74" s="72" t="str">
        <f>IFERROR(__xludf.DUMMYFUNCTION("""COMPUTED_VALUE"""),"")</f>
        <v/>
      </c>
      <c r="H74" s="72" t="str">
        <f>IFERROR(__xludf.DUMMYFUNCTION("""COMPUTED_VALUE"""),"")</f>
        <v/>
      </c>
      <c r="I74" s="72" t="str">
        <f>IFERROR(__xludf.DUMMYFUNCTION("""COMPUTED_VALUE"""),"")</f>
        <v/>
      </c>
      <c r="J74" s="72" t="str">
        <f>IFERROR(__xludf.DUMMYFUNCTION("""COMPUTED_VALUE"""),"")</f>
        <v/>
      </c>
      <c r="K74" s="72" t="str">
        <f>IFERROR(__xludf.DUMMYFUNCTION("""COMPUTED_VALUE"""),"")</f>
        <v/>
      </c>
      <c r="L74" s="72" t="str">
        <f>IFERROR(__xludf.DUMMYFUNCTION("""COMPUTED_VALUE"""),"")</f>
        <v/>
      </c>
      <c r="M74" s="72" t="str">
        <f>IFERROR(__xludf.DUMMYFUNCTION("""COMPUTED_VALUE"""),"")</f>
        <v/>
      </c>
      <c r="N74" s="72" t="str">
        <f>IFERROR(__xludf.DUMMYFUNCTION("""COMPUTED_VALUE"""),"")</f>
        <v/>
      </c>
      <c r="O74" s="72" t="str">
        <f>IFERROR(__xludf.DUMMYFUNCTION("""COMPUTED_VALUE"""),"")</f>
        <v/>
      </c>
      <c r="P74" s="72" t="str">
        <f>IFERROR(__xludf.DUMMYFUNCTION("""COMPUTED_VALUE"""),"")</f>
        <v/>
      </c>
      <c r="Q74" s="72" t="str">
        <f>IFERROR(__xludf.DUMMYFUNCTION("""COMPUTED_VALUE"""),"")</f>
        <v/>
      </c>
      <c r="R74" s="72" t="str">
        <f>IFERROR(__xludf.DUMMYFUNCTION("""COMPUTED_VALUE"""),"")</f>
        <v/>
      </c>
      <c r="S74" s="72" t="str">
        <f>IFERROR(__xludf.DUMMYFUNCTION("""COMPUTED_VALUE"""),"")</f>
        <v/>
      </c>
      <c r="T74" s="72" t="str">
        <f>IFERROR(__xludf.DUMMYFUNCTION("""COMPUTED_VALUE"""),"")</f>
        <v/>
      </c>
      <c r="U74" s="72" t="str">
        <f>IFERROR(__xludf.DUMMYFUNCTION("""COMPUTED_VALUE"""),"")</f>
        <v/>
      </c>
      <c r="V74" s="72" t="str">
        <f>IFERROR(__xludf.DUMMYFUNCTION("""COMPUTED_VALUE"""),"")</f>
        <v/>
      </c>
      <c r="W74" s="72" t="str">
        <f>IFERROR(__xludf.DUMMYFUNCTION("""COMPUTED_VALUE"""),"")</f>
        <v/>
      </c>
      <c r="X74" s="72" t="str">
        <f>IFERROR(__xludf.DUMMYFUNCTION("""COMPUTED_VALUE"""),"")</f>
        <v/>
      </c>
      <c r="Y74" s="72" t="str">
        <f>IFERROR(__xludf.DUMMYFUNCTION("""COMPUTED_VALUE"""),"")</f>
        <v/>
      </c>
      <c r="Z74" s="72" t="str">
        <f>IFERROR(__xludf.DUMMYFUNCTION("""COMPUTED_VALUE"""),"")</f>
        <v/>
      </c>
      <c r="AA74" s="72" t="str">
        <f>IFERROR(__xludf.DUMMYFUNCTION("""COMPUTED_VALUE"""),"")</f>
        <v/>
      </c>
      <c r="AB74" s="72" t="str">
        <f>IFERROR(__xludf.DUMMYFUNCTION("""COMPUTED_VALUE"""),"")</f>
        <v/>
      </c>
      <c r="AC74" s="72" t="str">
        <f>IFERROR(__xludf.DUMMYFUNCTION("""COMPUTED_VALUE"""),"")</f>
        <v/>
      </c>
      <c r="AD74" s="72" t="str">
        <f>IFERROR(__xludf.DUMMYFUNCTION("""COMPUTED_VALUE"""),"")</f>
        <v/>
      </c>
      <c r="AE74" s="72" t="str">
        <f>IFERROR(__xludf.DUMMYFUNCTION("""COMPUTED_VALUE"""),"")</f>
        <v/>
      </c>
      <c r="AF74" s="72" t="str">
        <f>IFERROR(__xludf.DUMMYFUNCTION("""COMPUTED_VALUE"""),"")</f>
        <v/>
      </c>
      <c r="AG74" s="72" t="str">
        <f>IFERROR(__xludf.DUMMYFUNCTION("""COMPUTED_VALUE"""),"")</f>
        <v/>
      </c>
      <c r="AH74" s="72" t="str">
        <f>IFERROR(__xludf.DUMMYFUNCTION("""COMPUTED_VALUE"""),"")</f>
        <v/>
      </c>
      <c r="AI74" s="72" t="str">
        <f>IFERROR(__xludf.DUMMYFUNCTION("""COMPUTED_VALUE"""),"")</f>
        <v/>
      </c>
      <c r="AJ74" s="72" t="str">
        <f>IFERROR(__xludf.DUMMYFUNCTION("""COMPUTED_VALUE"""),"")</f>
        <v/>
      </c>
      <c r="AK74" s="72" t="str">
        <f>IFERROR(__xludf.DUMMYFUNCTION("""COMPUTED_VALUE"""),"")</f>
        <v/>
      </c>
      <c r="AL74" s="72" t="str">
        <f>IFERROR(__xludf.DUMMYFUNCTION("""COMPUTED_VALUE"""),"")</f>
        <v/>
      </c>
      <c r="AM74" s="72" t="str">
        <f>IFERROR(__xludf.DUMMYFUNCTION("""COMPUTED_VALUE"""),"")</f>
        <v/>
      </c>
      <c r="AN74" s="72" t="str">
        <f>IFERROR(__xludf.DUMMYFUNCTION("""COMPUTED_VALUE"""),"")</f>
        <v/>
      </c>
      <c r="AO74" s="72" t="str">
        <f>IFERROR(__xludf.DUMMYFUNCTION("""COMPUTED_VALUE"""),"")</f>
        <v/>
      </c>
      <c r="AP74" s="72" t="str">
        <f>IFERROR(__xludf.DUMMYFUNCTION("""COMPUTED_VALUE"""),"")</f>
        <v/>
      </c>
      <c r="AQ74" s="72" t="str">
        <f>IFERROR(__xludf.DUMMYFUNCTION("""COMPUTED_VALUE"""),"")</f>
        <v/>
      </c>
      <c r="AR74" s="72" t="str">
        <f>IFERROR(__xludf.DUMMYFUNCTION("""COMPUTED_VALUE"""),"")</f>
        <v/>
      </c>
      <c r="AS74" s="72" t="str">
        <f>IFERROR(__xludf.DUMMYFUNCTION("""COMPUTED_VALUE"""),"")</f>
        <v/>
      </c>
      <c r="AT74" s="72" t="str">
        <f>IFERROR(__xludf.DUMMYFUNCTION("""COMPUTED_VALUE"""),"")</f>
        <v/>
      </c>
      <c r="AU74" s="72" t="str">
        <f>IFERROR(__xludf.DUMMYFUNCTION("""COMPUTED_VALUE"""),"")</f>
        <v/>
      </c>
      <c r="AV74" s="72" t="str">
        <f>IFERROR(__xludf.DUMMYFUNCTION("""COMPUTED_VALUE"""),"")</f>
        <v/>
      </c>
      <c r="AW74" s="72" t="str">
        <f>IFERROR(__xludf.DUMMYFUNCTION("""COMPUTED_VALUE"""),"")</f>
        <v/>
      </c>
      <c r="AX74" s="72" t="str">
        <f>IFERROR(__xludf.DUMMYFUNCTION("""COMPUTED_VALUE"""),"")</f>
        <v/>
      </c>
      <c r="AY74" s="72" t="str">
        <f>IFERROR(__xludf.DUMMYFUNCTION("""COMPUTED_VALUE"""),"")</f>
        <v/>
      </c>
      <c r="AZ74" s="72" t="str">
        <f>IFERROR(__xludf.DUMMYFUNCTION("""COMPUTED_VALUE"""),"")</f>
        <v/>
      </c>
      <c r="BA74" s="72" t="str">
        <f>IFERROR(__xludf.DUMMYFUNCTION("""COMPUTED_VALUE"""),"")</f>
        <v/>
      </c>
      <c r="BB74" s="72" t="str">
        <f>IFERROR(__xludf.DUMMYFUNCTION("""COMPUTED_VALUE"""),"")</f>
        <v/>
      </c>
      <c r="BC74" s="72" t="str">
        <f>IFERROR(__xludf.DUMMYFUNCTION("""COMPUTED_VALUE"""),"")</f>
        <v/>
      </c>
      <c r="BD74" s="69" t="str">
        <f>IFERROR(__xludf.DUMMYFUNCTION("""COMPUTED_VALUE"""),"")</f>
        <v/>
      </c>
      <c r="BE74" s="69" t="str">
        <f>IFERROR(__xludf.DUMMYFUNCTION("""COMPUTED_VALUE"""),"")</f>
        <v/>
      </c>
      <c r="BF74" s="69" t="str">
        <f>IFERROR(__xludf.DUMMYFUNCTION("""COMPUTED_VALUE"""),"")</f>
        <v/>
      </c>
      <c r="BG74" s="69" t="str">
        <f>IFERROR(__xludf.DUMMYFUNCTION("""COMPUTED_VALUE"""),"")</f>
        <v/>
      </c>
      <c r="BH74" s="69" t="str">
        <f>IFERROR(__xludf.DUMMYFUNCTION("""COMPUTED_VALUE"""),"")</f>
        <v/>
      </c>
      <c r="BI74" s="69" t="str">
        <f>IFERROR(__xludf.DUMMYFUNCTION("""COMPUTED_VALUE"""),"")</f>
        <v/>
      </c>
      <c r="BJ74" s="69" t="str">
        <f>IFERROR(__xludf.DUMMYFUNCTION("""COMPUTED_VALUE"""),"")</f>
        <v/>
      </c>
      <c r="BK74" s="69" t="str">
        <f>IFERROR(__xludf.DUMMYFUNCTION("""COMPUTED_VALUE"""),"")</f>
        <v/>
      </c>
      <c r="BL74" s="69" t="str">
        <f>IFERROR(__xludf.DUMMYFUNCTION("""COMPUTED_VALUE"""),"")</f>
        <v/>
      </c>
      <c r="BM74" s="69" t="str">
        <f>IFERROR(__xludf.DUMMYFUNCTION("""COMPUTED_VALUE"""),"")</f>
        <v/>
      </c>
      <c r="BN74" s="69" t="str">
        <f>IFERROR(__xludf.DUMMYFUNCTION("""COMPUTED_VALUE"""),"")</f>
        <v/>
      </c>
      <c r="BO74" s="69" t="str">
        <f>IFERROR(__xludf.DUMMYFUNCTION("""COMPUTED_VALUE"""),"")</f>
        <v/>
      </c>
      <c r="BP74" s="69" t="str">
        <f>IFERROR(__xludf.DUMMYFUNCTION("""COMPUTED_VALUE"""),"")</f>
        <v/>
      </c>
      <c r="BQ74" s="69" t="str">
        <f>IFERROR(__xludf.DUMMYFUNCTION("""COMPUTED_VALUE"""),"")</f>
        <v/>
      </c>
      <c r="BR74" s="69" t="str">
        <f>IFERROR(__xludf.DUMMYFUNCTION("""COMPUTED_VALUE"""),"")</f>
        <v/>
      </c>
      <c r="BS74" s="69" t="str">
        <f>IFERROR(__xludf.DUMMYFUNCTION("""COMPUTED_VALUE"""),"")</f>
        <v/>
      </c>
      <c r="BT74" s="69" t="str">
        <f>IFERROR(__xludf.DUMMYFUNCTION("""COMPUTED_VALUE"""),"")</f>
        <v/>
      </c>
      <c r="BU74" s="69" t="str">
        <f>IFERROR(__xludf.DUMMYFUNCTION("""COMPUTED_VALUE"""),"")</f>
        <v/>
      </c>
      <c r="BV74" s="69" t="str">
        <f>IFERROR(__xludf.DUMMYFUNCTION("""COMPUTED_VALUE"""),"")</f>
        <v/>
      </c>
      <c r="BW74" s="69"/>
      <c r="BX74" s="69"/>
      <c r="BY74" s="69"/>
      <c r="BZ74" s="69"/>
      <c r="CA74" s="69"/>
      <c r="CB74" s="69"/>
      <c r="CC74" s="69"/>
      <c r="CD74" s="69"/>
      <c r="CE74" s="69"/>
      <c r="CF74" s="69"/>
    </row>
    <row r="75">
      <c r="A75" s="69"/>
      <c r="B75" s="71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</row>
    <row r="76">
      <c r="A76" s="69"/>
      <c r="B76" s="71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</row>
    <row r="77">
      <c r="A77" s="69"/>
      <c r="B77" s="71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</row>
    <row r="78">
      <c r="A78" s="69"/>
      <c r="B78" s="71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</row>
    <row r="79">
      <c r="A79" s="69"/>
      <c r="B79" s="71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</row>
    <row r="80">
      <c r="A80" s="69"/>
      <c r="B80" s="71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</row>
    <row r="81">
      <c r="A81" s="69"/>
      <c r="B81" s="71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  <c r="BZ81" s="69"/>
      <c r="CA81" s="69"/>
      <c r="CB81" s="69"/>
      <c r="CC81" s="69"/>
      <c r="CD81" s="69"/>
      <c r="CE81" s="69"/>
      <c r="CF81" s="69"/>
    </row>
    <row r="82">
      <c r="A82" s="69"/>
      <c r="B82" s="71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69"/>
      <c r="CA82" s="69"/>
      <c r="CB82" s="69"/>
      <c r="CC82" s="69"/>
      <c r="CD82" s="69"/>
      <c r="CE82" s="69"/>
      <c r="CF82" s="69"/>
    </row>
    <row r="83">
      <c r="A83" s="69"/>
      <c r="B83" s="71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  <c r="BY83" s="69"/>
      <c r="BZ83" s="69"/>
      <c r="CA83" s="69"/>
      <c r="CB83" s="69"/>
      <c r="CC83" s="69"/>
      <c r="CD83" s="69"/>
      <c r="CE83" s="69"/>
      <c r="CF83" s="69"/>
    </row>
    <row r="84">
      <c r="A84" s="69"/>
      <c r="B84" s="71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  <c r="BY84" s="69"/>
      <c r="BZ84" s="69"/>
      <c r="CA84" s="69"/>
      <c r="CB84" s="69"/>
      <c r="CC84" s="69"/>
      <c r="CD84" s="69"/>
      <c r="CE84" s="69"/>
      <c r="CF84" s="69"/>
    </row>
    <row r="85">
      <c r="A85" s="69"/>
      <c r="B85" s="71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  <c r="BZ85" s="69"/>
      <c r="CA85" s="69"/>
      <c r="CB85" s="69"/>
      <c r="CC85" s="69"/>
      <c r="CD85" s="69"/>
      <c r="CE85" s="69"/>
      <c r="CF85" s="69"/>
    </row>
    <row r="86">
      <c r="A86" s="69"/>
      <c r="B86" s="71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</row>
    <row r="87">
      <c r="A87" s="69"/>
      <c r="B87" s="71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</row>
    <row r="88">
      <c r="A88" s="69"/>
      <c r="B88" s="71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</row>
    <row r="89">
      <c r="A89" s="69"/>
      <c r="B89" s="71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</row>
    <row r="90">
      <c r="A90" s="69"/>
      <c r="B90" s="71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</row>
    <row r="91">
      <c r="A91" s="69"/>
      <c r="B91" s="71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</row>
    <row r="92">
      <c r="A92" s="69"/>
      <c r="B92" s="71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</row>
    <row r="93">
      <c r="A93" s="69"/>
      <c r="B93" s="71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</row>
    <row r="94">
      <c r="A94" s="69"/>
      <c r="B94" s="71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</row>
    <row r="95">
      <c r="A95" s="69"/>
      <c r="B95" s="71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9"/>
      <c r="CF95" s="69"/>
    </row>
    <row r="96">
      <c r="A96" s="69"/>
      <c r="B96" s="71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69"/>
      <c r="BQ96" s="69"/>
      <c r="BR96" s="69"/>
      <c r="BS96" s="69"/>
      <c r="BT96" s="69"/>
      <c r="BU96" s="69"/>
      <c r="BV96" s="69"/>
      <c r="BW96" s="69"/>
      <c r="BX96" s="69"/>
      <c r="BY96" s="69"/>
      <c r="BZ96" s="69"/>
      <c r="CA96" s="69"/>
      <c r="CB96" s="69"/>
      <c r="CC96" s="69"/>
      <c r="CD96" s="69"/>
      <c r="CE96" s="69"/>
      <c r="CF96" s="69"/>
    </row>
    <row r="97">
      <c r="A97" s="69"/>
      <c r="B97" s="71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  <c r="BT97" s="69"/>
      <c r="BU97" s="69"/>
      <c r="BV97" s="69"/>
      <c r="BW97" s="69"/>
      <c r="BX97" s="69"/>
      <c r="BY97" s="69"/>
      <c r="BZ97" s="69"/>
      <c r="CA97" s="69"/>
      <c r="CB97" s="69"/>
      <c r="CC97" s="69"/>
      <c r="CD97" s="69"/>
      <c r="CE97" s="69"/>
      <c r="CF97" s="69"/>
    </row>
    <row r="98">
      <c r="A98" s="69"/>
      <c r="B98" s="71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</row>
    <row r="99">
      <c r="A99" s="69"/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</row>
    <row r="100">
      <c r="A100" s="69"/>
      <c r="B100" s="71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</row>
    <row r="101">
      <c r="A101" s="69"/>
      <c r="B101" s="71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9"/>
      <c r="BQ101" s="69"/>
      <c r="BR101" s="69"/>
      <c r="BS101" s="69"/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  <c r="CD101" s="69"/>
      <c r="CE101" s="69"/>
      <c r="CF101" s="69"/>
    </row>
    <row r="102">
      <c r="A102" s="69"/>
      <c r="B102" s="71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</row>
    <row r="103">
      <c r="A103" s="69"/>
      <c r="B103" s="71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69"/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</row>
    <row r="104">
      <c r="A104" s="69"/>
      <c r="B104" s="71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</row>
    <row r="105">
      <c r="A105" s="69"/>
      <c r="B105" s="71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69"/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</row>
    <row r="106">
      <c r="A106" s="69"/>
      <c r="B106" s="71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9"/>
      <c r="BQ106" s="69"/>
      <c r="BR106" s="69"/>
      <c r="BS106" s="69"/>
      <c r="BT106" s="69"/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</row>
    <row r="107">
      <c r="A107" s="69"/>
      <c r="B107" s="71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69"/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</row>
    <row r="108">
      <c r="A108" s="69"/>
      <c r="B108" s="71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</row>
    <row r="109">
      <c r="A109" s="69"/>
      <c r="B109" s="71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69"/>
      <c r="BQ109" s="69"/>
      <c r="BR109" s="69"/>
      <c r="BS109" s="69"/>
      <c r="BT109" s="69"/>
      <c r="BU109" s="69"/>
      <c r="BV109" s="69"/>
      <c r="BW109" s="69"/>
      <c r="BX109" s="69"/>
      <c r="BY109" s="69"/>
      <c r="BZ109" s="69"/>
      <c r="CA109" s="69"/>
      <c r="CB109" s="69"/>
      <c r="CC109" s="69"/>
      <c r="CD109" s="69"/>
      <c r="CE109" s="69"/>
      <c r="CF109" s="69"/>
    </row>
    <row r="110">
      <c r="A110" s="69"/>
      <c r="B110" s="71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69"/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</row>
    <row r="111">
      <c r="A111" s="69"/>
      <c r="B111" s="71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69"/>
      <c r="BQ111" s="69"/>
      <c r="BR111" s="69"/>
      <c r="BS111" s="69"/>
      <c r="BT111" s="69"/>
      <c r="BU111" s="69"/>
      <c r="BV111" s="69"/>
      <c r="BW111" s="69"/>
      <c r="BX111" s="69"/>
      <c r="BY111" s="69"/>
      <c r="BZ111" s="69"/>
      <c r="CA111" s="69"/>
      <c r="CB111" s="69"/>
      <c r="CC111" s="69"/>
      <c r="CD111" s="69"/>
      <c r="CE111" s="69"/>
      <c r="CF111" s="69"/>
    </row>
    <row r="112">
      <c r="A112" s="69"/>
      <c r="B112" s="71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  <c r="BP112" s="69"/>
      <c r="BQ112" s="69"/>
      <c r="BR112" s="69"/>
      <c r="BS112" s="69"/>
      <c r="BT112" s="69"/>
      <c r="BU112" s="69"/>
      <c r="BV112" s="69"/>
      <c r="BW112" s="69"/>
      <c r="BX112" s="69"/>
      <c r="BY112" s="69"/>
      <c r="BZ112" s="69"/>
      <c r="CA112" s="69"/>
      <c r="CB112" s="69"/>
      <c r="CC112" s="69"/>
      <c r="CD112" s="69"/>
      <c r="CE112" s="69"/>
      <c r="CF112" s="69"/>
    </row>
    <row r="113">
      <c r="A113" s="69"/>
      <c r="B113" s="71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  <c r="BP113" s="69"/>
      <c r="BQ113" s="69"/>
      <c r="BR113" s="69"/>
      <c r="BS113" s="69"/>
      <c r="BT113" s="69"/>
      <c r="BU113" s="69"/>
      <c r="BV113" s="69"/>
      <c r="BW113" s="69"/>
      <c r="BX113" s="69"/>
      <c r="BY113" s="69"/>
      <c r="BZ113" s="69"/>
      <c r="CA113" s="69"/>
      <c r="CB113" s="69"/>
      <c r="CC113" s="69"/>
      <c r="CD113" s="69"/>
      <c r="CE113" s="69"/>
      <c r="CF113" s="69"/>
    </row>
    <row r="114">
      <c r="A114" s="69"/>
      <c r="B114" s="71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69"/>
      <c r="BQ114" s="69"/>
      <c r="BR114" s="69"/>
      <c r="BS114" s="69"/>
      <c r="BT114" s="69"/>
      <c r="BU114" s="69"/>
      <c r="BV114" s="69"/>
      <c r="BW114" s="69"/>
      <c r="BX114" s="69"/>
      <c r="BY114" s="69"/>
      <c r="BZ114" s="69"/>
      <c r="CA114" s="69"/>
      <c r="CB114" s="69"/>
      <c r="CC114" s="69"/>
      <c r="CD114" s="69"/>
      <c r="CE114" s="69"/>
      <c r="CF114" s="69"/>
    </row>
    <row r="115">
      <c r="A115" s="69"/>
      <c r="B115" s="71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  <c r="BP115" s="69"/>
      <c r="BQ115" s="69"/>
      <c r="BR115" s="69"/>
      <c r="BS115" s="69"/>
      <c r="BT115" s="69"/>
      <c r="BU115" s="69"/>
      <c r="BV115" s="69"/>
      <c r="BW115" s="69"/>
      <c r="BX115" s="69"/>
      <c r="BY115" s="69"/>
      <c r="BZ115" s="69"/>
      <c r="CA115" s="69"/>
      <c r="CB115" s="69"/>
      <c r="CC115" s="69"/>
      <c r="CD115" s="69"/>
      <c r="CE115" s="69"/>
      <c r="CF115" s="69"/>
    </row>
    <row r="116">
      <c r="A116" s="69"/>
      <c r="B116" s="71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69"/>
      <c r="BQ116" s="69"/>
      <c r="BR116" s="69"/>
      <c r="BS116" s="69"/>
      <c r="BT116" s="69"/>
      <c r="BU116" s="69"/>
      <c r="BV116" s="69"/>
      <c r="BW116" s="69"/>
      <c r="BX116" s="69"/>
      <c r="BY116" s="69"/>
      <c r="BZ116" s="69"/>
      <c r="CA116" s="69"/>
      <c r="CB116" s="69"/>
      <c r="CC116" s="69"/>
      <c r="CD116" s="69"/>
      <c r="CE116" s="69"/>
      <c r="CF116" s="69"/>
    </row>
    <row r="117">
      <c r="A117" s="69"/>
      <c r="B117" s="71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  <c r="BP117" s="69"/>
      <c r="BQ117" s="69"/>
      <c r="BR117" s="69"/>
      <c r="BS117" s="69"/>
      <c r="BT117" s="69"/>
      <c r="BU117" s="69"/>
      <c r="BV117" s="69"/>
      <c r="BW117" s="69"/>
      <c r="BX117" s="69"/>
      <c r="BY117" s="69"/>
      <c r="BZ117" s="69"/>
      <c r="CA117" s="69"/>
      <c r="CB117" s="69"/>
      <c r="CC117" s="69"/>
      <c r="CD117" s="69"/>
      <c r="CE117" s="69"/>
      <c r="CF117" s="69"/>
    </row>
    <row r="118">
      <c r="A118" s="69"/>
      <c r="B118" s="71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  <c r="BQ118" s="69"/>
      <c r="BR118" s="69"/>
      <c r="BS118" s="69"/>
      <c r="BT118" s="69"/>
      <c r="BU118" s="69"/>
      <c r="BV118" s="69"/>
      <c r="BW118" s="69"/>
      <c r="BX118" s="69"/>
      <c r="BY118" s="69"/>
      <c r="BZ118" s="69"/>
      <c r="CA118" s="69"/>
      <c r="CB118" s="69"/>
      <c r="CC118" s="69"/>
      <c r="CD118" s="69"/>
      <c r="CE118" s="69"/>
      <c r="CF118" s="69"/>
    </row>
    <row r="119">
      <c r="A119" s="69"/>
      <c r="B119" s="71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69"/>
      <c r="BQ119" s="69"/>
      <c r="BR119" s="69"/>
      <c r="BS119" s="69"/>
      <c r="BT119" s="69"/>
      <c r="BU119" s="69"/>
      <c r="BV119" s="69"/>
      <c r="BW119" s="69"/>
      <c r="BX119" s="69"/>
      <c r="BY119" s="69"/>
      <c r="BZ119" s="69"/>
      <c r="CA119" s="69"/>
      <c r="CB119" s="69"/>
      <c r="CC119" s="69"/>
      <c r="CD119" s="69"/>
      <c r="CE119" s="69"/>
      <c r="CF119" s="69"/>
    </row>
    <row r="120">
      <c r="A120" s="69"/>
      <c r="B120" s="71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  <c r="BP120" s="69"/>
      <c r="BQ120" s="69"/>
      <c r="BR120" s="69"/>
      <c r="BS120" s="69"/>
      <c r="BT120" s="69"/>
      <c r="BU120" s="69"/>
      <c r="BV120" s="69"/>
      <c r="BW120" s="69"/>
      <c r="BX120" s="69"/>
      <c r="BY120" s="69"/>
      <c r="BZ120" s="69"/>
      <c r="CA120" s="69"/>
      <c r="CB120" s="69"/>
      <c r="CC120" s="69"/>
      <c r="CD120" s="69"/>
      <c r="CE120" s="69"/>
      <c r="CF120" s="69"/>
    </row>
    <row r="121">
      <c r="A121" s="69"/>
      <c r="B121" s="71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69"/>
      <c r="BQ121" s="69"/>
      <c r="BR121" s="69"/>
      <c r="BS121" s="69"/>
      <c r="BT121" s="69"/>
      <c r="BU121" s="69"/>
      <c r="BV121" s="69"/>
      <c r="BW121" s="69"/>
      <c r="BX121" s="69"/>
      <c r="BY121" s="69"/>
      <c r="BZ121" s="69"/>
      <c r="CA121" s="69"/>
      <c r="CB121" s="69"/>
      <c r="CC121" s="69"/>
      <c r="CD121" s="69"/>
      <c r="CE121" s="69"/>
      <c r="CF121" s="69"/>
    </row>
    <row r="122">
      <c r="A122" s="69"/>
      <c r="B122" s="71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  <c r="BP122" s="69"/>
      <c r="BQ122" s="69"/>
      <c r="BR122" s="69"/>
      <c r="BS122" s="69"/>
      <c r="BT122" s="69"/>
      <c r="BU122" s="69"/>
      <c r="BV122" s="69"/>
      <c r="BW122" s="69"/>
      <c r="BX122" s="69"/>
      <c r="BY122" s="69"/>
      <c r="BZ122" s="69"/>
      <c r="CA122" s="69"/>
      <c r="CB122" s="69"/>
      <c r="CC122" s="69"/>
      <c r="CD122" s="69"/>
      <c r="CE122" s="69"/>
      <c r="CF122" s="69"/>
    </row>
    <row r="123">
      <c r="A123" s="69"/>
      <c r="B123" s="71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  <c r="BP123" s="69"/>
      <c r="BQ123" s="69"/>
      <c r="BR123" s="69"/>
      <c r="BS123" s="69"/>
      <c r="BT123" s="69"/>
      <c r="BU123" s="69"/>
      <c r="BV123" s="69"/>
      <c r="BW123" s="69"/>
      <c r="BX123" s="69"/>
      <c r="BY123" s="69"/>
      <c r="BZ123" s="69"/>
      <c r="CA123" s="69"/>
      <c r="CB123" s="69"/>
      <c r="CC123" s="69"/>
      <c r="CD123" s="69"/>
      <c r="CE123" s="69"/>
      <c r="CF123" s="69"/>
    </row>
    <row r="124">
      <c r="A124" s="69"/>
      <c r="B124" s="71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  <c r="BP124" s="69"/>
      <c r="BQ124" s="69"/>
      <c r="BR124" s="69"/>
      <c r="BS124" s="69"/>
      <c r="BT124" s="69"/>
      <c r="BU124" s="69"/>
      <c r="BV124" s="69"/>
      <c r="BW124" s="69"/>
      <c r="BX124" s="69"/>
      <c r="BY124" s="69"/>
      <c r="BZ124" s="69"/>
      <c r="CA124" s="69"/>
      <c r="CB124" s="69"/>
      <c r="CC124" s="69"/>
      <c r="CD124" s="69"/>
      <c r="CE124" s="69"/>
      <c r="CF124" s="69"/>
    </row>
    <row r="125">
      <c r="A125" s="69"/>
      <c r="B125" s="71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  <c r="BP125" s="69"/>
      <c r="BQ125" s="69"/>
      <c r="BR125" s="69"/>
      <c r="BS125" s="69"/>
      <c r="BT125" s="69"/>
      <c r="BU125" s="69"/>
      <c r="BV125" s="69"/>
      <c r="BW125" s="69"/>
      <c r="BX125" s="69"/>
      <c r="BY125" s="69"/>
      <c r="BZ125" s="69"/>
      <c r="CA125" s="69"/>
      <c r="CB125" s="69"/>
      <c r="CC125" s="69"/>
      <c r="CD125" s="69"/>
      <c r="CE125" s="69"/>
      <c r="CF125" s="69"/>
    </row>
    <row r="126">
      <c r="A126" s="69"/>
      <c r="B126" s="71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  <c r="BP126" s="69"/>
      <c r="BQ126" s="69"/>
      <c r="BR126" s="69"/>
      <c r="BS126" s="69"/>
      <c r="BT126" s="69"/>
      <c r="BU126" s="69"/>
      <c r="BV126" s="69"/>
      <c r="BW126" s="69"/>
      <c r="BX126" s="69"/>
      <c r="BY126" s="69"/>
      <c r="BZ126" s="69"/>
      <c r="CA126" s="69"/>
      <c r="CB126" s="69"/>
      <c r="CC126" s="69"/>
      <c r="CD126" s="69"/>
      <c r="CE126" s="69"/>
      <c r="CF126" s="69"/>
    </row>
    <row r="127">
      <c r="A127" s="69"/>
      <c r="B127" s="71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  <c r="BP127" s="69"/>
      <c r="BQ127" s="69"/>
      <c r="BR127" s="69"/>
      <c r="BS127" s="69"/>
      <c r="BT127" s="69"/>
      <c r="BU127" s="69"/>
      <c r="BV127" s="69"/>
      <c r="BW127" s="69"/>
      <c r="BX127" s="69"/>
      <c r="BY127" s="69"/>
      <c r="BZ127" s="69"/>
      <c r="CA127" s="69"/>
      <c r="CB127" s="69"/>
      <c r="CC127" s="69"/>
      <c r="CD127" s="69"/>
      <c r="CE127" s="69"/>
      <c r="CF127" s="69"/>
    </row>
    <row r="128">
      <c r="A128" s="69"/>
      <c r="B128" s="71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  <c r="BP128" s="69"/>
      <c r="BQ128" s="69"/>
      <c r="BR128" s="69"/>
      <c r="BS128" s="69"/>
      <c r="BT128" s="69"/>
      <c r="BU128" s="69"/>
      <c r="BV128" s="69"/>
      <c r="BW128" s="69"/>
      <c r="BX128" s="69"/>
      <c r="BY128" s="69"/>
      <c r="BZ128" s="69"/>
      <c r="CA128" s="69"/>
      <c r="CB128" s="69"/>
      <c r="CC128" s="69"/>
      <c r="CD128" s="69"/>
      <c r="CE128" s="69"/>
      <c r="CF128" s="69"/>
    </row>
    <row r="129">
      <c r="A129" s="69"/>
      <c r="B129" s="71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  <c r="BP129" s="69"/>
      <c r="BQ129" s="69"/>
      <c r="BR129" s="69"/>
      <c r="BS129" s="69"/>
      <c r="BT129" s="69"/>
      <c r="BU129" s="69"/>
      <c r="BV129" s="69"/>
      <c r="BW129" s="69"/>
      <c r="BX129" s="69"/>
      <c r="BY129" s="69"/>
      <c r="BZ129" s="69"/>
      <c r="CA129" s="69"/>
      <c r="CB129" s="69"/>
      <c r="CC129" s="69"/>
      <c r="CD129" s="69"/>
      <c r="CE129" s="69"/>
      <c r="CF129" s="69"/>
    </row>
    <row r="130">
      <c r="A130" s="69"/>
      <c r="B130" s="71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69"/>
      <c r="BO130" s="69"/>
      <c r="BP130" s="69"/>
      <c r="BQ130" s="69"/>
      <c r="BR130" s="69"/>
      <c r="BS130" s="69"/>
      <c r="BT130" s="69"/>
      <c r="BU130" s="69"/>
      <c r="BV130" s="69"/>
      <c r="BW130" s="69"/>
      <c r="BX130" s="69"/>
      <c r="BY130" s="69"/>
      <c r="BZ130" s="69"/>
      <c r="CA130" s="69"/>
      <c r="CB130" s="69"/>
      <c r="CC130" s="69"/>
      <c r="CD130" s="69"/>
      <c r="CE130" s="69"/>
      <c r="CF130" s="69"/>
    </row>
    <row r="131">
      <c r="A131" s="69"/>
      <c r="B131" s="71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  <c r="BP131" s="69"/>
      <c r="BQ131" s="69"/>
      <c r="BR131" s="69"/>
      <c r="BS131" s="69"/>
      <c r="BT131" s="69"/>
      <c r="BU131" s="69"/>
      <c r="BV131" s="69"/>
      <c r="BW131" s="69"/>
      <c r="BX131" s="69"/>
      <c r="BY131" s="69"/>
      <c r="BZ131" s="69"/>
      <c r="CA131" s="69"/>
      <c r="CB131" s="69"/>
      <c r="CC131" s="69"/>
      <c r="CD131" s="69"/>
      <c r="CE131" s="69"/>
      <c r="CF131" s="69"/>
    </row>
    <row r="132">
      <c r="A132" s="69"/>
      <c r="B132" s="71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  <c r="BP132" s="69"/>
      <c r="BQ132" s="69"/>
      <c r="BR132" s="69"/>
      <c r="BS132" s="69"/>
      <c r="BT132" s="69"/>
      <c r="BU132" s="69"/>
      <c r="BV132" s="69"/>
      <c r="BW132" s="69"/>
      <c r="BX132" s="69"/>
      <c r="BY132" s="69"/>
      <c r="BZ132" s="69"/>
      <c r="CA132" s="69"/>
      <c r="CB132" s="69"/>
      <c r="CC132" s="69"/>
      <c r="CD132" s="69"/>
      <c r="CE132" s="69"/>
      <c r="CF132" s="69"/>
    </row>
    <row r="133">
      <c r="A133" s="69"/>
      <c r="B133" s="71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  <c r="BP133" s="69"/>
      <c r="BQ133" s="69"/>
      <c r="BR133" s="69"/>
      <c r="BS133" s="69"/>
      <c r="BT133" s="69"/>
      <c r="BU133" s="69"/>
      <c r="BV133" s="69"/>
      <c r="BW133" s="69"/>
      <c r="BX133" s="69"/>
      <c r="BY133" s="69"/>
      <c r="BZ133" s="69"/>
      <c r="CA133" s="69"/>
      <c r="CB133" s="69"/>
      <c r="CC133" s="69"/>
      <c r="CD133" s="69"/>
      <c r="CE133" s="69"/>
      <c r="CF133" s="69"/>
    </row>
    <row r="134">
      <c r="A134" s="69"/>
      <c r="B134" s="71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  <c r="BP134" s="69"/>
      <c r="BQ134" s="69"/>
      <c r="BR134" s="69"/>
      <c r="BS134" s="69"/>
      <c r="BT134" s="69"/>
      <c r="BU134" s="69"/>
      <c r="BV134" s="69"/>
      <c r="BW134" s="69"/>
      <c r="BX134" s="69"/>
      <c r="BY134" s="69"/>
      <c r="BZ134" s="69"/>
      <c r="CA134" s="69"/>
      <c r="CB134" s="69"/>
      <c r="CC134" s="69"/>
      <c r="CD134" s="69"/>
      <c r="CE134" s="69"/>
      <c r="CF134" s="69"/>
    </row>
    <row r="135">
      <c r="A135" s="69"/>
      <c r="B135" s="71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  <c r="BP135" s="69"/>
      <c r="BQ135" s="69"/>
      <c r="BR135" s="69"/>
      <c r="BS135" s="69"/>
      <c r="BT135" s="69"/>
      <c r="BU135" s="69"/>
      <c r="BV135" s="69"/>
      <c r="BW135" s="69"/>
      <c r="BX135" s="69"/>
      <c r="BY135" s="69"/>
      <c r="BZ135" s="69"/>
      <c r="CA135" s="69"/>
      <c r="CB135" s="69"/>
      <c r="CC135" s="69"/>
      <c r="CD135" s="69"/>
      <c r="CE135" s="69"/>
      <c r="CF135" s="69"/>
    </row>
    <row r="136">
      <c r="A136" s="69"/>
      <c r="B136" s="71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  <c r="BP136" s="69"/>
      <c r="BQ136" s="69"/>
      <c r="BR136" s="69"/>
      <c r="BS136" s="69"/>
      <c r="BT136" s="69"/>
      <c r="BU136" s="69"/>
      <c r="BV136" s="69"/>
      <c r="BW136" s="69"/>
      <c r="BX136" s="69"/>
      <c r="BY136" s="69"/>
      <c r="BZ136" s="69"/>
      <c r="CA136" s="69"/>
      <c r="CB136" s="69"/>
      <c r="CC136" s="69"/>
      <c r="CD136" s="69"/>
      <c r="CE136" s="69"/>
      <c r="CF136" s="69"/>
    </row>
    <row r="137">
      <c r="A137" s="69"/>
      <c r="B137" s="71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  <c r="BP137" s="69"/>
      <c r="BQ137" s="69"/>
      <c r="BR137" s="69"/>
      <c r="BS137" s="69"/>
      <c r="BT137" s="69"/>
      <c r="BU137" s="69"/>
      <c r="BV137" s="69"/>
      <c r="BW137" s="69"/>
      <c r="BX137" s="69"/>
      <c r="BY137" s="69"/>
      <c r="BZ137" s="69"/>
      <c r="CA137" s="69"/>
      <c r="CB137" s="69"/>
      <c r="CC137" s="69"/>
      <c r="CD137" s="69"/>
      <c r="CE137" s="69"/>
      <c r="CF137" s="69"/>
    </row>
    <row r="138">
      <c r="A138" s="69"/>
      <c r="B138" s="71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  <c r="BP138" s="69"/>
      <c r="BQ138" s="69"/>
      <c r="BR138" s="69"/>
      <c r="BS138" s="69"/>
      <c r="BT138" s="69"/>
      <c r="BU138" s="69"/>
      <c r="BV138" s="69"/>
      <c r="BW138" s="69"/>
      <c r="BX138" s="69"/>
      <c r="BY138" s="69"/>
      <c r="BZ138" s="69"/>
      <c r="CA138" s="69"/>
      <c r="CB138" s="69"/>
      <c r="CC138" s="69"/>
      <c r="CD138" s="69"/>
      <c r="CE138" s="69"/>
      <c r="CF138" s="69"/>
    </row>
    <row r="139">
      <c r="A139" s="69"/>
      <c r="B139" s="71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  <c r="BP139" s="69"/>
      <c r="BQ139" s="69"/>
      <c r="BR139" s="69"/>
      <c r="BS139" s="69"/>
      <c r="BT139" s="69"/>
      <c r="BU139" s="69"/>
      <c r="BV139" s="69"/>
      <c r="BW139" s="69"/>
      <c r="BX139" s="69"/>
      <c r="BY139" s="69"/>
      <c r="BZ139" s="69"/>
      <c r="CA139" s="69"/>
      <c r="CB139" s="69"/>
      <c r="CC139" s="69"/>
      <c r="CD139" s="69"/>
      <c r="CE139" s="69"/>
      <c r="CF139" s="69"/>
    </row>
    <row r="140">
      <c r="A140" s="69"/>
      <c r="B140" s="71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  <c r="BP140" s="69"/>
      <c r="BQ140" s="69"/>
      <c r="BR140" s="69"/>
      <c r="BS140" s="69"/>
      <c r="BT140" s="69"/>
      <c r="BU140" s="69"/>
      <c r="BV140" s="69"/>
      <c r="BW140" s="69"/>
      <c r="BX140" s="69"/>
      <c r="BY140" s="69"/>
      <c r="BZ140" s="69"/>
      <c r="CA140" s="69"/>
      <c r="CB140" s="69"/>
      <c r="CC140" s="69"/>
      <c r="CD140" s="69"/>
      <c r="CE140" s="69"/>
      <c r="CF140" s="69"/>
    </row>
    <row r="141">
      <c r="A141" s="69"/>
      <c r="B141" s="71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  <c r="BP141" s="69"/>
      <c r="BQ141" s="69"/>
      <c r="BR141" s="69"/>
      <c r="BS141" s="69"/>
      <c r="BT141" s="69"/>
      <c r="BU141" s="69"/>
      <c r="BV141" s="69"/>
      <c r="BW141" s="69"/>
      <c r="BX141" s="69"/>
      <c r="BY141" s="69"/>
      <c r="BZ141" s="69"/>
      <c r="CA141" s="69"/>
      <c r="CB141" s="69"/>
      <c r="CC141" s="69"/>
      <c r="CD141" s="69"/>
      <c r="CE141" s="69"/>
      <c r="CF141" s="69"/>
    </row>
    <row r="142">
      <c r="A142" s="69"/>
      <c r="B142" s="71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  <c r="BP142" s="69"/>
      <c r="BQ142" s="69"/>
      <c r="BR142" s="69"/>
      <c r="BS142" s="69"/>
      <c r="BT142" s="69"/>
      <c r="BU142" s="69"/>
      <c r="BV142" s="69"/>
      <c r="BW142" s="69"/>
      <c r="BX142" s="69"/>
      <c r="BY142" s="69"/>
      <c r="BZ142" s="69"/>
      <c r="CA142" s="69"/>
      <c r="CB142" s="69"/>
      <c r="CC142" s="69"/>
      <c r="CD142" s="69"/>
      <c r="CE142" s="69"/>
      <c r="CF142" s="69"/>
    </row>
    <row r="143">
      <c r="A143" s="69"/>
      <c r="B143" s="71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  <c r="BP143" s="69"/>
      <c r="BQ143" s="69"/>
      <c r="BR143" s="69"/>
      <c r="BS143" s="69"/>
      <c r="BT143" s="69"/>
      <c r="BU143" s="69"/>
      <c r="BV143" s="69"/>
      <c r="BW143" s="69"/>
      <c r="BX143" s="69"/>
      <c r="BY143" s="69"/>
      <c r="BZ143" s="69"/>
      <c r="CA143" s="69"/>
      <c r="CB143" s="69"/>
      <c r="CC143" s="69"/>
      <c r="CD143" s="69"/>
      <c r="CE143" s="69"/>
      <c r="CF143" s="69"/>
    </row>
    <row r="144">
      <c r="A144" s="69"/>
      <c r="B144" s="71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  <c r="BP144" s="69"/>
      <c r="BQ144" s="69"/>
      <c r="BR144" s="69"/>
      <c r="BS144" s="69"/>
      <c r="BT144" s="69"/>
      <c r="BU144" s="69"/>
      <c r="BV144" s="69"/>
      <c r="BW144" s="69"/>
      <c r="BX144" s="69"/>
      <c r="BY144" s="69"/>
      <c r="BZ144" s="69"/>
      <c r="CA144" s="69"/>
      <c r="CB144" s="69"/>
      <c r="CC144" s="69"/>
      <c r="CD144" s="69"/>
      <c r="CE144" s="69"/>
      <c r="CF144" s="69"/>
    </row>
    <row r="145">
      <c r="A145" s="69"/>
      <c r="B145" s="71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  <c r="BP145" s="69"/>
      <c r="BQ145" s="69"/>
      <c r="BR145" s="69"/>
      <c r="BS145" s="69"/>
      <c r="BT145" s="69"/>
      <c r="BU145" s="69"/>
      <c r="BV145" s="69"/>
      <c r="BW145" s="69"/>
      <c r="BX145" s="69"/>
      <c r="BY145" s="69"/>
      <c r="BZ145" s="69"/>
      <c r="CA145" s="69"/>
      <c r="CB145" s="69"/>
      <c r="CC145" s="69"/>
      <c r="CD145" s="69"/>
      <c r="CE145" s="69"/>
      <c r="CF145" s="69"/>
    </row>
    <row r="146">
      <c r="A146" s="69"/>
      <c r="B146" s="71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  <c r="BP146" s="69"/>
      <c r="BQ146" s="69"/>
      <c r="BR146" s="69"/>
      <c r="BS146" s="69"/>
      <c r="BT146" s="69"/>
      <c r="BU146" s="69"/>
      <c r="BV146" s="69"/>
      <c r="BW146" s="69"/>
      <c r="BX146" s="69"/>
      <c r="BY146" s="69"/>
      <c r="BZ146" s="69"/>
      <c r="CA146" s="69"/>
      <c r="CB146" s="69"/>
      <c r="CC146" s="69"/>
      <c r="CD146" s="69"/>
      <c r="CE146" s="69"/>
      <c r="CF146" s="69"/>
    </row>
    <row r="147">
      <c r="A147" s="69"/>
      <c r="B147" s="71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69"/>
      <c r="BE147" s="69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  <c r="BP147" s="69"/>
      <c r="BQ147" s="69"/>
      <c r="BR147" s="69"/>
      <c r="BS147" s="69"/>
      <c r="BT147" s="69"/>
      <c r="BU147" s="69"/>
      <c r="BV147" s="69"/>
      <c r="BW147" s="69"/>
      <c r="BX147" s="69"/>
      <c r="BY147" s="69"/>
      <c r="BZ147" s="69"/>
      <c r="CA147" s="69"/>
      <c r="CB147" s="69"/>
      <c r="CC147" s="69"/>
      <c r="CD147" s="69"/>
      <c r="CE147" s="69"/>
      <c r="CF147" s="69"/>
    </row>
    <row r="148">
      <c r="A148" s="69"/>
      <c r="B148" s="71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  <c r="BP148" s="69"/>
      <c r="BQ148" s="69"/>
      <c r="BR148" s="69"/>
      <c r="BS148" s="69"/>
      <c r="BT148" s="69"/>
      <c r="BU148" s="69"/>
      <c r="BV148" s="69"/>
      <c r="BW148" s="69"/>
      <c r="BX148" s="69"/>
      <c r="BY148" s="69"/>
      <c r="BZ148" s="69"/>
      <c r="CA148" s="69"/>
      <c r="CB148" s="69"/>
      <c r="CC148" s="69"/>
      <c r="CD148" s="69"/>
      <c r="CE148" s="69"/>
      <c r="CF148" s="69"/>
    </row>
    <row r="149">
      <c r="A149" s="69"/>
      <c r="B149" s="71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  <c r="BP149" s="69"/>
      <c r="BQ149" s="69"/>
      <c r="BR149" s="69"/>
      <c r="BS149" s="69"/>
      <c r="BT149" s="69"/>
      <c r="BU149" s="69"/>
      <c r="BV149" s="69"/>
      <c r="BW149" s="69"/>
      <c r="BX149" s="69"/>
      <c r="BY149" s="69"/>
      <c r="BZ149" s="69"/>
      <c r="CA149" s="69"/>
      <c r="CB149" s="69"/>
      <c r="CC149" s="69"/>
      <c r="CD149" s="69"/>
      <c r="CE149" s="69"/>
      <c r="CF149" s="69"/>
    </row>
    <row r="150">
      <c r="A150" s="69"/>
      <c r="B150" s="71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69"/>
      <c r="BE150" s="69"/>
      <c r="BF150" s="69"/>
      <c r="BG150" s="69"/>
      <c r="BH150" s="69"/>
      <c r="BI150" s="69"/>
      <c r="BJ150" s="69"/>
      <c r="BK150" s="69"/>
      <c r="BL150" s="69"/>
      <c r="BM150" s="69"/>
      <c r="BN150" s="69"/>
      <c r="BO150" s="69"/>
      <c r="BP150" s="69"/>
      <c r="BQ150" s="69"/>
      <c r="BR150" s="69"/>
      <c r="BS150" s="69"/>
      <c r="BT150" s="69"/>
      <c r="BU150" s="69"/>
      <c r="BV150" s="69"/>
      <c r="BW150" s="69"/>
      <c r="BX150" s="69"/>
      <c r="BY150" s="69"/>
      <c r="BZ150" s="69"/>
      <c r="CA150" s="69"/>
      <c r="CB150" s="69"/>
      <c r="CC150" s="69"/>
      <c r="CD150" s="69"/>
      <c r="CE150" s="69"/>
      <c r="CF150" s="69"/>
    </row>
    <row r="151">
      <c r="A151" s="69"/>
      <c r="B151" s="71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  <c r="BP151" s="69"/>
      <c r="BQ151" s="69"/>
      <c r="BR151" s="69"/>
      <c r="BS151" s="69"/>
      <c r="BT151" s="69"/>
      <c r="BU151" s="69"/>
      <c r="BV151" s="69"/>
      <c r="BW151" s="69"/>
      <c r="BX151" s="69"/>
      <c r="BY151" s="69"/>
      <c r="BZ151" s="69"/>
      <c r="CA151" s="69"/>
      <c r="CB151" s="69"/>
      <c r="CC151" s="69"/>
      <c r="CD151" s="69"/>
      <c r="CE151" s="69"/>
      <c r="CF151" s="69"/>
    </row>
    <row r="152">
      <c r="A152" s="69"/>
      <c r="B152" s="71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69"/>
      <c r="BE152" s="69"/>
      <c r="BF152" s="69"/>
      <c r="BG152" s="69"/>
      <c r="BH152" s="69"/>
      <c r="BI152" s="69"/>
      <c r="BJ152" s="69"/>
      <c r="BK152" s="69"/>
      <c r="BL152" s="69"/>
      <c r="BM152" s="69"/>
      <c r="BN152" s="69"/>
      <c r="BO152" s="69"/>
      <c r="BP152" s="69"/>
      <c r="BQ152" s="69"/>
      <c r="BR152" s="69"/>
      <c r="BS152" s="69"/>
      <c r="BT152" s="69"/>
      <c r="BU152" s="69"/>
      <c r="BV152" s="69"/>
      <c r="BW152" s="69"/>
      <c r="BX152" s="69"/>
      <c r="BY152" s="69"/>
      <c r="BZ152" s="69"/>
      <c r="CA152" s="69"/>
      <c r="CB152" s="69"/>
      <c r="CC152" s="69"/>
      <c r="CD152" s="69"/>
      <c r="CE152" s="69"/>
      <c r="CF152" s="69"/>
    </row>
    <row r="153">
      <c r="A153" s="69"/>
      <c r="B153" s="71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69"/>
      <c r="BE153" s="69"/>
      <c r="BF153" s="69"/>
      <c r="BG153" s="69"/>
      <c r="BH153" s="69"/>
      <c r="BI153" s="69"/>
      <c r="BJ153" s="69"/>
      <c r="BK153" s="69"/>
      <c r="BL153" s="69"/>
      <c r="BM153" s="69"/>
      <c r="BN153" s="69"/>
      <c r="BO153" s="69"/>
      <c r="BP153" s="69"/>
      <c r="BQ153" s="69"/>
      <c r="BR153" s="69"/>
      <c r="BS153" s="69"/>
      <c r="BT153" s="69"/>
      <c r="BU153" s="69"/>
      <c r="BV153" s="69"/>
      <c r="BW153" s="69"/>
      <c r="BX153" s="69"/>
      <c r="BY153" s="69"/>
      <c r="BZ153" s="69"/>
      <c r="CA153" s="69"/>
      <c r="CB153" s="69"/>
      <c r="CC153" s="69"/>
      <c r="CD153" s="69"/>
      <c r="CE153" s="69"/>
      <c r="CF153" s="69"/>
    </row>
    <row r="154">
      <c r="A154" s="69"/>
      <c r="B154" s="71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69"/>
      <c r="BE154" s="69"/>
      <c r="BF154" s="69"/>
      <c r="BG154" s="69"/>
      <c r="BH154" s="69"/>
      <c r="BI154" s="69"/>
      <c r="BJ154" s="69"/>
      <c r="BK154" s="69"/>
      <c r="BL154" s="69"/>
      <c r="BM154" s="69"/>
      <c r="BN154" s="69"/>
      <c r="BO154" s="69"/>
      <c r="BP154" s="69"/>
      <c r="BQ154" s="69"/>
      <c r="BR154" s="69"/>
      <c r="BS154" s="69"/>
      <c r="BT154" s="69"/>
      <c r="BU154" s="69"/>
      <c r="BV154" s="69"/>
      <c r="BW154" s="69"/>
      <c r="BX154" s="69"/>
      <c r="BY154" s="69"/>
      <c r="BZ154" s="69"/>
      <c r="CA154" s="69"/>
      <c r="CB154" s="69"/>
      <c r="CC154" s="69"/>
      <c r="CD154" s="69"/>
      <c r="CE154" s="69"/>
      <c r="CF154" s="69"/>
    </row>
    <row r="155">
      <c r="A155" s="69"/>
      <c r="B155" s="71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  <c r="BP155" s="69"/>
      <c r="BQ155" s="69"/>
      <c r="BR155" s="69"/>
      <c r="BS155" s="69"/>
      <c r="BT155" s="69"/>
      <c r="BU155" s="69"/>
      <c r="BV155" s="69"/>
      <c r="BW155" s="69"/>
      <c r="BX155" s="69"/>
      <c r="BY155" s="69"/>
      <c r="BZ155" s="69"/>
      <c r="CA155" s="69"/>
      <c r="CB155" s="69"/>
      <c r="CC155" s="69"/>
      <c r="CD155" s="69"/>
      <c r="CE155" s="69"/>
      <c r="CF155" s="69"/>
    </row>
    <row r="156">
      <c r="A156" s="69"/>
      <c r="B156" s="71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69"/>
      <c r="BE156" s="69"/>
      <c r="BF156" s="69"/>
      <c r="BG156" s="69"/>
      <c r="BH156" s="69"/>
      <c r="BI156" s="69"/>
      <c r="BJ156" s="69"/>
      <c r="BK156" s="69"/>
      <c r="BL156" s="69"/>
      <c r="BM156" s="69"/>
      <c r="BN156" s="69"/>
      <c r="BO156" s="69"/>
      <c r="BP156" s="69"/>
      <c r="BQ156" s="69"/>
      <c r="BR156" s="69"/>
      <c r="BS156" s="69"/>
      <c r="BT156" s="69"/>
      <c r="BU156" s="69"/>
      <c r="BV156" s="69"/>
      <c r="BW156" s="69"/>
      <c r="BX156" s="69"/>
      <c r="BY156" s="69"/>
      <c r="BZ156" s="69"/>
      <c r="CA156" s="69"/>
      <c r="CB156" s="69"/>
      <c r="CC156" s="69"/>
      <c r="CD156" s="69"/>
      <c r="CE156" s="69"/>
      <c r="CF156" s="69"/>
    </row>
    <row r="157">
      <c r="A157" s="69"/>
      <c r="B157" s="71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69"/>
      <c r="BE157" s="69"/>
      <c r="BF157" s="69"/>
      <c r="BG157" s="69"/>
      <c r="BH157" s="69"/>
      <c r="BI157" s="69"/>
      <c r="BJ157" s="69"/>
      <c r="BK157" s="69"/>
      <c r="BL157" s="69"/>
      <c r="BM157" s="69"/>
      <c r="BN157" s="69"/>
      <c r="BO157" s="69"/>
      <c r="BP157" s="69"/>
      <c r="BQ157" s="69"/>
      <c r="BR157" s="69"/>
      <c r="BS157" s="69"/>
      <c r="BT157" s="69"/>
      <c r="BU157" s="69"/>
      <c r="BV157" s="69"/>
      <c r="BW157" s="69"/>
      <c r="BX157" s="69"/>
      <c r="BY157" s="69"/>
      <c r="BZ157" s="69"/>
      <c r="CA157" s="69"/>
      <c r="CB157" s="69"/>
      <c r="CC157" s="69"/>
      <c r="CD157" s="69"/>
      <c r="CE157" s="69"/>
      <c r="CF157" s="69"/>
    </row>
    <row r="158">
      <c r="A158" s="69"/>
      <c r="B158" s="71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  <c r="BP158" s="69"/>
      <c r="BQ158" s="69"/>
      <c r="BR158" s="69"/>
      <c r="BS158" s="69"/>
      <c r="BT158" s="69"/>
      <c r="BU158" s="69"/>
      <c r="BV158" s="69"/>
      <c r="BW158" s="69"/>
      <c r="BX158" s="69"/>
      <c r="BY158" s="69"/>
      <c r="BZ158" s="69"/>
      <c r="CA158" s="69"/>
      <c r="CB158" s="69"/>
      <c r="CC158" s="69"/>
      <c r="CD158" s="69"/>
      <c r="CE158" s="69"/>
      <c r="CF158" s="69"/>
    </row>
    <row r="159">
      <c r="A159" s="69"/>
      <c r="B159" s="71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  <c r="BP159" s="69"/>
      <c r="BQ159" s="69"/>
      <c r="BR159" s="69"/>
      <c r="BS159" s="69"/>
      <c r="BT159" s="69"/>
      <c r="BU159" s="69"/>
      <c r="BV159" s="69"/>
      <c r="BW159" s="69"/>
      <c r="BX159" s="69"/>
      <c r="BY159" s="69"/>
      <c r="BZ159" s="69"/>
      <c r="CA159" s="69"/>
      <c r="CB159" s="69"/>
      <c r="CC159" s="69"/>
      <c r="CD159" s="69"/>
      <c r="CE159" s="69"/>
      <c r="CF159" s="69"/>
    </row>
    <row r="160">
      <c r="A160" s="69"/>
      <c r="B160" s="71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69"/>
      <c r="BE160" s="69"/>
      <c r="BF160" s="69"/>
      <c r="BG160" s="69"/>
      <c r="BH160" s="69"/>
      <c r="BI160" s="69"/>
      <c r="BJ160" s="69"/>
      <c r="BK160" s="69"/>
      <c r="BL160" s="69"/>
      <c r="BM160" s="69"/>
      <c r="BN160" s="69"/>
      <c r="BO160" s="69"/>
      <c r="BP160" s="69"/>
      <c r="BQ160" s="69"/>
      <c r="BR160" s="69"/>
      <c r="BS160" s="69"/>
      <c r="BT160" s="69"/>
      <c r="BU160" s="69"/>
      <c r="BV160" s="69"/>
      <c r="BW160" s="69"/>
      <c r="BX160" s="69"/>
      <c r="BY160" s="69"/>
      <c r="BZ160" s="69"/>
      <c r="CA160" s="69"/>
      <c r="CB160" s="69"/>
      <c r="CC160" s="69"/>
      <c r="CD160" s="69"/>
      <c r="CE160" s="69"/>
      <c r="CF160" s="69"/>
    </row>
    <row r="161">
      <c r="A161" s="69"/>
      <c r="B161" s="71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69"/>
      <c r="BE161" s="69"/>
      <c r="BF161" s="69"/>
      <c r="BG161" s="69"/>
      <c r="BH161" s="69"/>
      <c r="BI161" s="69"/>
      <c r="BJ161" s="69"/>
      <c r="BK161" s="69"/>
      <c r="BL161" s="69"/>
      <c r="BM161" s="69"/>
      <c r="BN161" s="69"/>
      <c r="BO161" s="69"/>
      <c r="BP161" s="69"/>
      <c r="BQ161" s="69"/>
      <c r="BR161" s="69"/>
      <c r="BS161" s="69"/>
      <c r="BT161" s="69"/>
      <c r="BU161" s="69"/>
      <c r="BV161" s="69"/>
      <c r="BW161" s="69"/>
      <c r="BX161" s="69"/>
      <c r="BY161" s="69"/>
      <c r="BZ161" s="69"/>
      <c r="CA161" s="69"/>
      <c r="CB161" s="69"/>
      <c r="CC161" s="69"/>
      <c r="CD161" s="69"/>
      <c r="CE161" s="69"/>
      <c r="CF161" s="69"/>
    </row>
    <row r="162">
      <c r="A162" s="69"/>
      <c r="B162" s="71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69"/>
      <c r="BE162" s="69"/>
      <c r="BF162" s="69"/>
      <c r="BG162" s="69"/>
      <c r="BH162" s="69"/>
      <c r="BI162" s="69"/>
      <c r="BJ162" s="69"/>
      <c r="BK162" s="69"/>
      <c r="BL162" s="69"/>
      <c r="BM162" s="69"/>
      <c r="BN162" s="69"/>
      <c r="BO162" s="69"/>
      <c r="BP162" s="69"/>
      <c r="BQ162" s="69"/>
      <c r="BR162" s="69"/>
      <c r="BS162" s="69"/>
      <c r="BT162" s="69"/>
      <c r="BU162" s="69"/>
      <c r="BV162" s="69"/>
      <c r="BW162" s="69"/>
      <c r="BX162" s="69"/>
      <c r="BY162" s="69"/>
      <c r="BZ162" s="69"/>
      <c r="CA162" s="69"/>
      <c r="CB162" s="69"/>
      <c r="CC162" s="69"/>
      <c r="CD162" s="69"/>
      <c r="CE162" s="69"/>
      <c r="CF162" s="69"/>
    </row>
    <row r="163">
      <c r="A163" s="69"/>
      <c r="B163" s="71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69"/>
      <c r="BE163" s="69"/>
      <c r="BF163" s="69"/>
      <c r="BG163" s="69"/>
      <c r="BH163" s="69"/>
      <c r="BI163" s="69"/>
      <c r="BJ163" s="69"/>
      <c r="BK163" s="69"/>
      <c r="BL163" s="69"/>
      <c r="BM163" s="69"/>
      <c r="BN163" s="69"/>
      <c r="BO163" s="69"/>
      <c r="BP163" s="69"/>
      <c r="BQ163" s="69"/>
      <c r="BR163" s="69"/>
      <c r="BS163" s="69"/>
      <c r="BT163" s="69"/>
      <c r="BU163" s="69"/>
      <c r="BV163" s="69"/>
      <c r="BW163" s="69"/>
      <c r="BX163" s="69"/>
      <c r="BY163" s="69"/>
      <c r="BZ163" s="69"/>
      <c r="CA163" s="69"/>
      <c r="CB163" s="69"/>
      <c r="CC163" s="69"/>
      <c r="CD163" s="69"/>
      <c r="CE163" s="69"/>
      <c r="CF163" s="69"/>
    </row>
    <row r="164">
      <c r="A164" s="69"/>
      <c r="B164" s="71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  <c r="BP164" s="69"/>
      <c r="BQ164" s="69"/>
      <c r="BR164" s="69"/>
      <c r="BS164" s="69"/>
      <c r="BT164" s="69"/>
      <c r="BU164" s="69"/>
      <c r="BV164" s="69"/>
      <c r="BW164" s="69"/>
      <c r="BX164" s="69"/>
      <c r="BY164" s="69"/>
      <c r="BZ164" s="69"/>
      <c r="CA164" s="69"/>
      <c r="CB164" s="69"/>
      <c r="CC164" s="69"/>
      <c r="CD164" s="69"/>
      <c r="CE164" s="69"/>
      <c r="CF164" s="69"/>
    </row>
    <row r="165">
      <c r="A165" s="69"/>
      <c r="B165" s="71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69"/>
      <c r="BE165" s="69"/>
      <c r="BF165" s="69"/>
      <c r="BG165" s="69"/>
      <c r="BH165" s="69"/>
      <c r="BI165" s="69"/>
      <c r="BJ165" s="69"/>
      <c r="BK165" s="69"/>
      <c r="BL165" s="69"/>
      <c r="BM165" s="69"/>
      <c r="BN165" s="69"/>
      <c r="BO165" s="69"/>
      <c r="BP165" s="69"/>
      <c r="BQ165" s="69"/>
      <c r="BR165" s="69"/>
      <c r="BS165" s="69"/>
      <c r="BT165" s="69"/>
      <c r="BU165" s="69"/>
      <c r="BV165" s="69"/>
      <c r="BW165" s="69"/>
      <c r="BX165" s="69"/>
      <c r="BY165" s="69"/>
      <c r="BZ165" s="69"/>
      <c r="CA165" s="69"/>
      <c r="CB165" s="69"/>
      <c r="CC165" s="69"/>
      <c r="CD165" s="69"/>
      <c r="CE165" s="69"/>
      <c r="CF165" s="69"/>
    </row>
    <row r="166">
      <c r="A166" s="69"/>
      <c r="B166" s="71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69"/>
      <c r="BE166" s="69"/>
      <c r="BF166" s="69"/>
      <c r="BG166" s="69"/>
      <c r="BH166" s="69"/>
      <c r="BI166" s="69"/>
      <c r="BJ166" s="69"/>
      <c r="BK166" s="69"/>
      <c r="BL166" s="69"/>
      <c r="BM166" s="69"/>
      <c r="BN166" s="69"/>
      <c r="BO166" s="69"/>
      <c r="BP166" s="69"/>
      <c r="BQ166" s="69"/>
      <c r="BR166" s="69"/>
      <c r="BS166" s="69"/>
      <c r="BT166" s="69"/>
      <c r="BU166" s="69"/>
      <c r="BV166" s="69"/>
      <c r="BW166" s="69"/>
      <c r="BX166" s="69"/>
      <c r="BY166" s="69"/>
      <c r="BZ166" s="69"/>
      <c r="CA166" s="69"/>
      <c r="CB166" s="69"/>
      <c r="CC166" s="69"/>
      <c r="CD166" s="69"/>
      <c r="CE166" s="69"/>
      <c r="CF166" s="69"/>
    </row>
    <row r="167">
      <c r="A167" s="69"/>
      <c r="B167" s="71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69"/>
      <c r="BE167" s="69"/>
      <c r="BF167" s="69"/>
      <c r="BG167" s="69"/>
      <c r="BH167" s="69"/>
      <c r="BI167" s="69"/>
      <c r="BJ167" s="69"/>
      <c r="BK167" s="69"/>
      <c r="BL167" s="69"/>
      <c r="BM167" s="69"/>
      <c r="BN167" s="69"/>
      <c r="BO167" s="69"/>
      <c r="BP167" s="69"/>
      <c r="BQ167" s="69"/>
      <c r="BR167" s="69"/>
      <c r="BS167" s="69"/>
      <c r="BT167" s="69"/>
      <c r="BU167" s="69"/>
      <c r="BV167" s="69"/>
      <c r="BW167" s="69"/>
      <c r="BX167" s="69"/>
      <c r="BY167" s="69"/>
      <c r="BZ167" s="69"/>
      <c r="CA167" s="69"/>
      <c r="CB167" s="69"/>
      <c r="CC167" s="69"/>
      <c r="CD167" s="69"/>
      <c r="CE167" s="69"/>
      <c r="CF167" s="69"/>
    </row>
    <row r="168">
      <c r="A168" s="69"/>
      <c r="B168" s="71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69"/>
      <c r="BE168" s="69"/>
      <c r="BF168" s="69"/>
      <c r="BG168" s="69"/>
      <c r="BH168" s="69"/>
      <c r="BI168" s="69"/>
      <c r="BJ168" s="69"/>
      <c r="BK168" s="69"/>
      <c r="BL168" s="69"/>
      <c r="BM168" s="69"/>
      <c r="BN168" s="69"/>
      <c r="BO168" s="69"/>
      <c r="BP168" s="69"/>
      <c r="BQ168" s="69"/>
      <c r="BR168" s="69"/>
      <c r="BS168" s="69"/>
      <c r="BT168" s="69"/>
      <c r="BU168" s="69"/>
      <c r="BV168" s="69"/>
      <c r="BW168" s="69"/>
      <c r="BX168" s="69"/>
      <c r="BY168" s="69"/>
      <c r="BZ168" s="69"/>
      <c r="CA168" s="69"/>
      <c r="CB168" s="69"/>
      <c r="CC168" s="69"/>
      <c r="CD168" s="69"/>
      <c r="CE168" s="69"/>
      <c r="CF168" s="69"/>
    </row>
    <row r="169">
      <c r="A169" s="69"/>
      <c r="B169" s="71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69"/>
      <c r="BE169" s="69"/>
      <c r="BF169" s="69"/>
      <c r="BG169" s="69"/>
      <c r="BH169" s="69"/>
      <c r="BI169" s="69"/>
      <c r="BJ169" s="69"/>
      <c r="BK169" s="69"/>
      <c r="BL169" s="69"/>
      <c r="BM169" s="69"/>
      <c r="BN169" s="69"/>
      <c r="BO169" s="69"/>
      <c r="BP169" s="69"/>
      <c r="BQ169" s="69"/>
      <c r="BR169" s="69"/>
      <c r="BS169" s="69"/>
      <c r="BT169" s="69"/>
      <c r="BU169" s="69"/>
      <c r="BV169" s="69"/>
      <c r="BW169" s="69"/>
      <c r="BX169" s="69"/>
      <c r="BY169" s="69"/>
      <c r="BZ169" s="69"/>
      <c r="CA169" s="69"/>
      <c r="CB169" s="69"/>
      <c r="CC169" s="69"/>
      <c r="CD169" s="69"/>
      <c r="CE169" s="69"/>
      <c r="CF169" s="69"/>
    </row>
    <row r="170">
      <c r="A170" s="69"/>
      <c r="B170" s="71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69"/>
      <c r="BE170" s="69"/>
      <c r="BF170" s="69"/>
      <c r="BG170" s="69"/>
      <c r="BH170" s="69"/>
      <c r="BI170" s="69"/>
      <c r="BJ170" s="69"/>
      <c r="BK170" s="69"/>
      <c r="BL170" s="69"/>
      <c r="BM170" s="69"/>
      <c r="BN170" s="69"/>
      <c r="BO170" s="69"/>
      <c r="BP170" s="69"/>
      <c r="BQ170" s="69"/>
      <c r="BR170" s="69"/>
      <c r="BS170" s="69"/>
      <c r="BT170" s="69"/>
      <c r="BU170" s="69"/>
      <c r="BV170" s="69"/>
      <c r="BW170" s="69"/>
      <c r="BX170" s="69"/>
      <c r="BY170" s="69"/>
      <c r="BZ170" s="69"/>
      <c r="CA170" s="69"/>
      <c r="CB170" s="69"/>
      <c r="CC170" s="69"/>
      <c r="CD170" s="69"/>
      <c r="CE170" s="69"/>
      <c r="CF170" s="69"/>
    </row>
    <row r="171">
      <c r="A171" s="69"/>
      <c r="B171" s="71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  <c r="BP171" s="69"/>
      <c r="BQ171" s="69"/>
      <c r="BR171" s="69"/>
      <c r="BS171" s="69"/>
      <c r="BT171" s="69"/>
      <c r="BU171" s="69"/>
      <c r="BV171" s="69"/>
      <c r="BW171" s="69"/>
      <c r="BX171" s="69"/>
      <c r="BY171" s="69"/>
      <c r="BZ171" s="69"/>
      <c r="CA171" s="69"/>
      <c r="CB171" s="69"/>
      <c r="CC171" s="69"/>
      <c r="CD171" s="69"/>
      <c r="CE171" s="69"/>
      <c r="CF171" s="69"/>
    </row>
    <row r="172">
      <c r="A172" s="69"/>
      <c r="B172" s="71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69"/>
      <c r="BE172" s="69"/>
      <c r="BF172" s="69"/>
      <c r="BG172" s="69"/>
      <c r="BH172" s="69"/>
      <c r="BI172" s="69"/>
      <c r="BJ172" s="69"/>
      <c r="BK172" s="69"/>
      <c r="BL172" s="69"/>
      <c r="BM172" s="69"/>
      <c r="BN172" s="69"/>
      <c r="BO172" s="69"/>
      <c r="BP172" s="69"/>
      <c r="BQ172" s="69"/>
      <c r="BR172" s="69"/>
      <c r="BS172" s="69"/>
      <c r="BT172" s="69"/>
      <c r="BU172" s="69"/>
      <c r="BV172" s="69"/>
      <c r="BW172" s="69"/>
      <c r="BX172" s="69"/>
      <c r="BY172" s="69"/>
      <c r="BZ172" s="69"/>
      <c r="CA172" s="69"/>
      <c r="CB172" s="69"/>
      <c r="CC172" s="69"/>
      <c r="CD172" s="69"/>
      <c r="CE172" s="69"/>
      <c r="CF172" s="69"/>
    </row>
    <row r="173">
      <c r="A173" s="69"/>
      <c r="B173" s="71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69"/>
      <c r="BE173" s="69"/>
      <c r="BF173" s="69"/>
      <c r="BG173" s="69"/>
      <c r="BH173" s="69"/>
      <c r="BI173" s="69"/>
      <c r="BJ173" s="69"/>
      <c r="BK173" s="69"/>
      <c r="BL173" s="69"/>
      <c r="BM173" s="69"/>
      <c r="BN173" s="69"/>
      <c r="BO173" s="69"/>
      <c r="BP173" s="69"/>
      <c r="BQ173" s="69"/>
      <c r="BR173" s="69"/>
      <c r="BS173" s="69"/>
      <c r="BT173" s="69"/>
      <c r="BU173" s="69"/>
      <c r="BV173" s="69"/>
      <c r="BW173" s="69"/>
      <c r="BX173" s="69"/>
      <c r="BY173" s="69"/>
      <c r="BZ173" s="69"/>
      <c r="CA173" s="69"/>
      <c r="CB173" s="69"/>
      <c r="CC173" s="69"/>
      <c r="CD173" s="69"/>
      <c r="CE173" s="69"/>
      <c r="CF173" s="69"/>
    </row>
    <row r="174">
      <c r="A174" s="69"/>
      <c r="B174" s="71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69"/>
      <c r="BE174" s="69"/>
      <c r="BF174" s="69"/>
      <c r="BG174" s="69"/>
      <c r="BH174" s="69"/>
      <c r="BI174" s="69"/>
      <c r="BJ174" s="69"/>
      <c r="BK174" s="69"/>
      <c r="BL174" s="69"/>
      <c r="BM174" s="69"/>
      <c r="BN174" s="69"/>
      <c r="BO174" s="69"/>
      <c r="BP174" s="69"/>
      <c r="BQ174" s="69"/>
      <c r="BR174" s="69"/>
      <c r="BS174" s="69"/>
      <c r="BT174" s="69"/>
      <c r="BU174" s="69"/>
      <c r="BV174" s="69"/>
      <c r="BW174" s="69"/>
      <c r="BX174" s="69"/>
      <c r="BY174" s="69"/>
      <c r="BZ174" s="69"/>
      <c r="CA174" s="69"/>
      <c r="CB174" s="69"/>
      <c r="CC174" s="69"/>
      <c r="CD174" s="69"/>
      <c r="CE174" s="69"/>
      <c r="CF174" s="69"/>
    </row>
    <row r="175">
      <c r="A175" s="69"/>
      <c r="B175" s="71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69"/>
      <c r="BE175" s="69"/>
      <c r="BF175" s="69"/>
      <c r="BG175" s="69"/>
      <c r="BH175" s="69"/>
      <c r="BI175" s="69"/>
      <c r="BJ175" s="69"/>
      <c r="BK175" s="69"/>
      <c r="BL175" s="69"/>
      <c r="BM175" s="69"/>
      <c r="BN175" s="69"/>
      <c r="BO175" s="69"/>
      <c r="BP175" s="69"/>
      <c r="BQ175" s="69"/>
      <c r="BR175" s="69"/>
      <c r="BS175" s="69"/>
      <c r="BT175" s="69"/>
      <c r="BU175" s="69"/>
      <c r="BV175" s="69"/>
      <c r="BW175" s="69"/>
      <c r="BX175" s="69"/>
      <c r="BY175" s="69"/>
      <c r="BZ175" s="69"/>
      <c r="CA175" s="69"/>
      <c r="CB175" s="69"/>
      <c r="CC175" s="69"/>
      <c r="CD175" s="69"/>
      <c r="CE175" s="69"/>
      <c r="CF175" s="69"/>
    </row>
    <row r="176">
      <c r="A176" s="69"/>
      <c r="B176" s="71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69"/>
      <c r="BE176" s="69"/>
      <c r="BF176" s="69"/>
      <c r="BG176" s="69"/>
      <c r="BH176" s="69"/>
      <c r="BI176" s="69"/>
      <c r="BJ176" s="69"/>
      <c r="BK176" s="69"/>
      <c r="BL176" s="69"/>
      <c r="BM176" s="69"/>
      <c r="BN176" s="69"/>
      <c r="BO176" s="69"/>
      <c r="BP176" s="69"/>
      <c r="BQ176" s="69"/>
      <c r="BR176" s="69"/>
      <c r="BS176" s="69"/>
      <c r="BT176" s="69"/>
      <c r="BU176" s="69"/>
      <c r="BV176" s="69"/>
      <c r="BW176" s="69"/>
      <c r="BX176" s="69"/>
      <c r="BY176" s="69"/>
      <c r="BZ176" s="69"/>
      <c r="CA176" s="69"/>
      <c r="CB176" s="69"/>
      <c r="CC176" s="69"/>
      <c r="CD176" s="69"/>
      <c r="CE176" s="69"/>
      <c r="CF176" s="69"/>
    </row>
    <row r="177">
      <c r="A177" s="69"/>
      <c r="B177" s="71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69"/>
      <c r="BE177" s="69"/>
      <c r="BF177" s="69"/>
      <c r="BG177" s="69"/>
      <c r="BH177" s="69"/>
      <c r="BI177" s="69"/>
      <c r="BJ177" s="69"/>
      <c r="BK177" s="69"/>
      <c r="BL177" s="69"/>
      <c r="BM177" s="69"/>
      <c r="BN177" s="69"/>
      <c r="BO177" s="69"/>
      <c r="BP177" s="69"/>
      <c r="BQ177" s="69"/>
      <c r="BR177" s="69"/>
      <c r="BS177" s="69"/>
      <c r="BT177" s="69"/>
      <c r="BU177" s="69"/>
      <c r="BV177" s="69"/>
      <c r="BW177" s="69"/>
      <c r="BX177" s="69"/>
      <c r="BY177" s="69"/>
      <c r="BZ177" s="69"/>
      <c r="CA177" s="69"/>
      <c r="CB177" s="69"/>
      <c r="CC177" s="69"/>
      <c r="CD177" s="69"/>
      <c r="CE177" s="69"/>
      <c r="CF177" s="69"/>
    </row>
    <row r="178">
      <c r="A178" s="69"/>
      <c r="B178" s="71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  <c r="BP178" s="69"/>
      <c r="BQ178" s="69"/>
      <c r="BR178" s="69"/>
      <c r="BS178" s="69"/>
      <c r="BT178" s="69"/>
      <c r="BU178" s="69"/>
      <c r="BV178" s="69"/>
      <c r="BW178" s="69"/>
      <c r="BX178" s="69"/>
      <c r="BY178" s="69"/>
      <c r="BZ178" s="69"/>
      <c r="CA178" s="69"/>
      <c r="CB178" s="69"/>
      <c r="CC178" s="69"/>
      <c r="CD178" s="69"/>
      <c r="CE178" s="69"/>
      <c r="CF178" s="69"/>
    </row>
    <row r="179">
      <c r="A179" s="69"/>
      <c r="B179" s="71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69"/>
      <c r="BE179" s="69"/>
      <c r="BF179" s="69"/>
      <c r="BG179" s="69"/>
      <c r="BH179" s="69"/>
      <c r="BI179" s="69"/>
      <c r="BJ179" s="69"/>
      <c r="BK179" s="69"/>
      <c r="BL179" s="69"/>
      <c r="BM179" s="69"/>
      <c r="BN179" s="69"/>
      <c r="BO179" s="69"/>
      <c r="BP179" s="69"/>
      <c r="BQ179" s="69"/>
      <c r="BR179" s="69"/>
      <c r="BS179" s="69"/>
      <c r="BT179" s="69"/>
      <c r="BU179" s="69"/>
      <c r="BV179" s="69"/>
      <c r="BW179" s="69"/>
      <c r="BX179" s="69"/>
      <c r="BY179" s="69"/>
      <c r="BZ179" s="69"/>
      <c r="CA179" s="69"/>
      <c r="CB179" s="69"/>
      <c r="CC179" s="69"/>
      <c r="CD179" s="69"/>
      <c r="CE179" s="69"/>
      <c r="CF179" s="69"/>
    </row>
    <row r="180">
      <c r="A180" s="69"/>
      <c r="B180" s="71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69"/>
      <c r="BE180" s="69"/>
      <c r="BF180" s="69"/>
      <c r="BG180" s="69"/>
      <c r="BH180" s="69"/>
      <c r="BI180" s="69"/>
      <c r="BJ180" s="69"/>
      <c r="BK180" s="69"/>
      <c r="BL180" s="69"/>
      <c r="BM180" s="69"/>
      <c r="BN180" s="69"/>
      <c r="BO180" s="69"/>
      <c r="BP180" s="69"/>
      <c r="BQ180" s="69"/>
      <c r="BR180" s="69"/>
      <c r="BS180" s="69"/>
      <c r="BT180" s="69"/>
      <c r="BU180" s="69"/>
      <c r="BV180" s="69"/>
      <c r="BW180" s="69"/>
      <c r="BX180" s="69"/>
      <c r="BY180" s="69"/>
      <c r="BZ180" s="69"/>
      <c r="CA180" s="69"/>
      <c r="CB180" s="69"/>
      <c r="CC180" s="69"/>
      <c r="CD180" s="69"/>
      <c r="CE180" s="69"/>
      <c r="CF180" s="69"/>
    </row>
    <row r="181">
      <c r="A181" s="69"/>
      <c r="B181" s="71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69"/>
      <c r="BE181" s="69"/>
      <c r="BF181" s="69"/>
      <c r="BG181" s="69"/>
      <c r="BH181" s="69"/>
      <c r="BI181" s="69"/>
      <c r="BJ181" s="69"/>
      <c r="BK181" s="69"/>
      <c r="BL181" s="69"/>
      <c r="BM181" s="69"/>
      <c r="BN181" s="69"/>
      <c r="BO181" s="69"/>
      <c r="BP181" s="69"/>
      <c r="BQ181" s="69"/>
      <c r="BR181" s="69"/>
      <c r="BS181" s="69"/>
      <c r="BT181" s="69"/>
      <c r="BU181" s="69"/>
      <c r="BV181" s="69"/>
      <c r="BW181" s="69"/>
      <c r="BX181" s="69"/>
      <c r="BY181" s="69"/>
      <c r="BZ181" s="69"/>
      <c r="CA181" s="69"/>
      <c r="CB181" s="69"/>
      <c r="CC181" s="69"/>
      <c r="CD181" s="69"/>
      <c r="CE181" s="69"/>
      <c r="CF181" s="69"/>
    </row>
    <row r="182">
      <c r="A182" s="69"/>
      <c r="B182" s="71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69"/>
      <c r="BE182" s="69"/>
      <c r="BF182" s="69"/>
      <c r="BG182" s="69"/>
      <c r="BH182" s="69"/>
      <c r="BI182" s="69"/>
      <c r="BJ182" s="69"/>
      <c r="BK182" s="69"/>
      <c r="BL182" s="69"/>
      <c r="BM182" s="69"/>
      <c r="BN182" s="69"/>
      <c r="BO182" s="69"/>
      <c r="BP182" s="69"/>
      <c r="BQ182" s="69"/>
      <c r="BR182" s="69"/>
      <c r="BS182" s="69"/>
      <c r="BT182" s="69"/>
      <c r="BU182" s="69"/>
      <c r="BV182" s="69"/>
      <c r="BW182" s="69"/>
      <c r="BX182" s="69"/>
      <c r="BY182" s="69"/>
      <c r="BZ182" s="69"/>
      <c r="CA182" s="69"/>
      <c r="CB182" s="69"/>
      <c r="CC182" s="69"/>
      <c r="CD182" s="69"/>
      <c r="CE182" s="69"/>
      <c r="CF182" s="69"/>
    </row>
    <row r="183">
      <c r="A183" s="69"/>
      <c r="B183" s="71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69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69"/>
      <c r="BP183" s="69"/>
      <c r="BQ183" s="69"/>
      <c r="BR183" s="69"/>
      <c r="BS183" s="69"/>
      <c r="BT183" s="69"/>
      <c r="BU183" s="69"/>
      <c r="BV183" s="69"/>
      <c r="BW183" s="69"/>
      <c r="BX183" s="69"/>
      <c r="BY183" s="69"/>
      <c r="BZ183" s="69"/>
      <c r="CA183" s="69"/>
      <c r="CB183" s="69"/>
      <c r="CC183" s="69"/>
      <c r="CD183" s="69"/>
      <c r="CE183" s="69"/>
      <c r="CF183" s="69"/>
    </row>
    <row r="184">
      <c r="A184" s="69"/>
      <c r="B184" s="71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69"/>
      <c r="BE184" s="69"/>
      <c r="BF184" s="69"/>
      <c r="BG184" s="69"/>
      <c r="BH184" s="69"/>
      <c r="BI184" s="69"/>
      <c r="BJ184" s="69"/>
      <c r="BK184" s="69"/>
      <c r="BL184" s="69"/>
      <c r="BM184" s="69"/>
      <c r="BN184" s="69"/>
      <c r="BO184" s="69"/>
      <c r="BP184" s="69"/>
      <c r="BQ184" s="69"/>
      <c r="BR184" s="69"/>
      <c r="BS184" s="69"/>
      <c r="BT184" s="69"/>
      <c r="BU184" s="69"/>
      <c r="BV184" s="69"/>
      <c r="BW184" s="69"/>
      <c r="BX184" s="69"/>
      <c r="BY184" s="69"/>
      <c r="BZ184" s="69"/>
      <c r="CA184" s="69"/>
      <c r="CB184" s="69"/>
      <c r="CC184" s="69"/>
      <c r="CD184" s="69"/>
      <c r="CE184" s="69"/>
      <c r="CF184" s="69"/>
    </row>
    <row r="185">
      <c r="A185" s="69"/>
      <c r="B185" s="71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  <c r="BP185" s="69"/>
      <c r="BQ185" s="69"/>
      <c r="BR185" s="69"/>
      <c r="BS185" s="69"/>
      <c r="BT185" s="69"/>
      <c r="BU185" s="69"/>
      <c r="BV185" s="69"/>
      <c r="BW185" s="69"/>
      <c r="BX185" s="69"/>
      <c r="BY185" s="69"/>
      <c r="BZ185" s="69"/>
      <c r="CA185" s="69"/>
      <c r="CB185" s="69"/>
      <c r="CC185" s="69"/>
      <c r="CD185" s="69"/>
      <c r="CE185" s="69"/>
      <c r="CF185" s="69"/>
    </row>
    <row r="186">
      <c r="A186" s="69"/>
      <c r="B186" s="71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69"/>
      <c r="BE186" s="69"/>
      <c r="BF186" s="69"/>
      <c r="BG186" s="69"/>
      <c r="BH186" s="69"/>
      <c r="BI186" s="69"/>
      <c r="BJ186" s="69"/>
      <c r="BK186" s="69"/>
      <c r="BL186" s="69"/>
      <c r="BM186" s="69"/>
      <c r="BN186" s="69"/>
      <c r="BO186" s="69"/>
      <c r="BP186" s="69"/>
      <c r="BQ186" s="69"/>
      <c r="BR186" s="69"/>
      <c r="BS186" s="69"/>
      <c r="BT186" s="69"/>
      <c r="BU186" s="69"/>
      <c r="BV186" s="69"/>
      <c r="BW186" s="69"/>
      <c r="BX186" s="69"/>
      <c r="BY186" s="69"/>
      <c r="BZ186" s="69"/>
      <c r="CA186" s="69"/>
      <c r="CB186" s="69"/>
      <c r="CC186" s="69"/>
      <c r="CD186" s="69"/>
      <c r="CE186" s="69"/>
      <c r="CF186" s="69"/>
    </row>
    <row r="187">
      <c r="A187" s="69"/>
      <c r="B187" s="71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69"/>
      <c r="BP187" s="69"/>
      <c r="BQ187" s="69"/>
      <c r="BR187" s="69"/>
      <c r="BS187" s="69"/>
      <c r="BT187" s="69"/>
      <c r="BU187" s="69"/>
      <c r="BV187" s="69"/>
      <c r="BW187" s="69"/>
      <c r="BX187" s="69"/>
      <c r="BY187" s="69"/>
      <c r="BZ187" s="69"/>
      <c r="CA187" s="69"/>
      <c r="CB187" s="69"/>
      <c r="CC187" s="69"/>
      <c r="CD187" s="69"/>
      <c r="CE187" s="69"/>
      <c r="CF187" s="69"/>
    </row>
    <row r="188">
      <c r="A188" s="69"/>
      <c r="B188" s="71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69"/>
      <c r="BE188" s="69"/>
      <c r="BF188" s="69"/>
      <c r="BG188" s="69"/>
      <c r="BH188" s="69"/>
      <c r="BI188" s="69"/>
      <c r="BJ188" s="69"/>
      <c r="BK188" s="69"/>
      <c r="BL188" s="69"/>
      <c r="BM188" s="69"/>
      <c r="BN188" s="69"/>
      <c r="BO188" s="69"/>
      <c r="BP188" s="69"/>
      <c r="BQ188" s="69"/>
      <c r="BR188" s="69"/>
      <c r="BS188" s="69"/>
      <c r="BT188" s="69"/>
      <c r="BU188" s="69"/>
      <c r="BV188" s="69"/>
      <c r="BW188" s="69"/>
      <c r="BX188" s="69"/>
      <c r="BY188" s="69"/>
      <c r="BZ188" s="69"/>
      <c r="CA188" s="69"/>
      <c r="CB188" s="69"/>
      <c r="CC188" s="69"/>
      <c r="CD188" s="69"/>
      <c r="CE188" s="69"/>
      <c r="CF188" s="69"/>
    </row>
    <row r="189">
      <c r="A189" s="69"/>
      <c r="B189" s="71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  <c r="BN189" s="69"/>
      <c r="BO189" s="69"/>
      <c r="BP189" s="69"/>
      <c r="BQ189" s="69"/>
      <c r="BR189" s="69"/>
      <c r="BS189" s="69"/>
      <c r="BT189" s="69"/>
      <c r="BU189" s="69"/>
      <c r="BV189" s="69"/>
      <c r="BW189" s="69"/>
      <c r="BX189" s="69"/>
      <c r="BY189" s="69"/>
      <c r="BZ189" s="69"/>
      <c r="CA189" s="69"/>
      <c r="CB189" s="69"/>
      <c r="CC189" s="69"/>
      <c r="CD189" s="69"/>
      <c r="CE189" s="69"/>
      <c r="CF189" s="69"/>
    </row>
    <row r="190">
      <c r="A190" s="69"/>
      <c r="B190" s="71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69"/>
      <c r="BE190" s="69"/>
      <c r="BF190" s="69"/>
      <c r="BG190" s="69"/>
      <c r="BH190" s="69"/>
      <c r="BI190" s="69"/>
      <c r="BJ190" s="69"/>
      <c r="BK190" s="69"/>
      <c r="BL190" s="69"/>
      <c r="BM190" s="69"/>
      <c r="BN190" s="69"/>
      <c r="BO190" s="69"/>
      <c r="BP190" s="69"/>
      <c r="BQ190" s="69"/>
      <c r="BR190" s="69"/>
      <c r="BS190" s="69"/>
      <c r="BT190" s="69"/>
      <c r="BU190" s="69"/>
      <c r="BV190" s="69"/>
      <c r="BW190" s="69"/>
      <c r="BX190" s="69"/>
      <c r="BY190" s="69"/>
      <c r="BZ190" s="69"/>
      <c r="CA190" s="69"/>
      <c r="CB190" s="69"/>
      <c r="CC190" s="69"/>
      <c r="CD190" s="69"/>
      <c r="CE190" s="69"/>
      <c r="CF190" s="69"/>
    </row>
    <row r="191">
      <c r="A191" s="69"/>
      <c r="B191" s="71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69"/>
      <c r="BE191" s="69"/>
      <c r="BF191" s="69"/>
      <c r="BG191" s="69"/>
      <c r="BH191" s="69"/>
      <c r="BI191" s="69"/>
      <c r="BJ191" s="69"/>
      <c r="BK191" s="69"/>
      <c r="BL191" s="69"/>
      <c r="BM191" s="69"/>
      <c r="BN191" s="69"/>
      <c r="BO191" s="69"/>
      <c r="BP191" s="69"/>
      <c r="BQ191" s="69"/>
      <c r="BR191" s="69"/>
      <c r="BS191" s="69"/>
      <c r="BT191" s="69"/>
      <c r="BU191" s="69"/>
      <c r="BV191" s="69"/>
      <c r="BW191" s="69"/>
      <c r="BX191" s="69"/>
      <c r="BY191" s="69"/>
      <c r="BZ191" s="69"/>
      <c r="CA191" s="69"/>
      <c r="CB191" s="69"/>
      <c r="CC191" s="69"/>
      <c r="CD191" s="69"/>
      <c r="CE191" s="69"/>
      <c r="CF191" s="69"/>
    </row>
    <row r="192">
      <c r="A192" s="69"/>
      <c r="B192" s="71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69"/>
      <c r="BE192" s="69"/>
      <c r="BF192" s="69"/>
      <c r="BG192" s="69"/>
      <c r="BH192" s="69"/>
      <c r="BI192" s="69"/>
      <c r="BJ192" s="69"/>
      <c r="BK192" s="69"/>
      <c r="BL192" s="69"/>
      <c r="BM192" s="69"/>
      <c r="BN192" s="69"/>
      <c r="BO192" s="69"/>
      <c r="BP192" s="69"/>
      <c r="BQ192" s="69"/>
      <c r="BR192" s="69"/>
      <c r="BS192" s="69"/>
      <c r="BT192" s="69"/>
      <c r="BU192" s="69"/>
      <c r="BV192" s="69"/>
      <c r="BW192" s="69"/>
      <c r="BX192" s="69"/>
      <c r="BY192" s="69"/>
      <c r="BZ192" s="69"/>
      <c r="CA192" s="69"/>
      <c r="CB192" s="69"/>
      <c r="CC192" s="69"/>
      <c r="CD192" s="69"/>
      <c r="CE192" s="69"/>
      <c r="CF192" s="69"/>
    </row>
    <row r="193">
      <c r="A193" s="69"/>
      <c r="B193" s="71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69"/>
      <c r="BE193" s="69"/>
      <c r="BF193" s="69"/>
      <c r="BG193" s="69"/>
      <c r="BH193" s="69"/>
      <c r="BI193" s="69"/>
      <c r="BJ193" s="69"/>
      <c r="BK193" s="69"/>
      <c r="BL193" s="69"/>
      <c r="BM193" s="69"/>
      <c r="BN193" s="69"/>
      <c r="BO193" s="69"/>
      <c r="BP193" s="69"/>
      <c r="BQ193" s="69"/>
      <c r="BR193" s="69"/>
      <c r="BS193" s="69"/>
      <c r="BT193" s="69"/>
      <c r="BU193" s="69"/>
      <c r="BV193" s="69"/>
      <c r="BW193" s="69"/>
      <c r="BX193" s="69"/>
      <c r="BY193" s="69"/>
      <c r="BZ193" s="69"/>
      <c r="CA193" s="69"/>
      <c r="CB193" s="69"/>
      <c r="CC193" s="69"/>
      <c r="CD193" s="69"/>
      <c r="CE193" s="69"/>
      <c r="CF193" s="69"/>
    </row>
    <row r="194">
      <c r="A194" s="69"/>
      <c r="B194" s="71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69"/>
      <c r="BE194" s="69"/>
      <c r="BF194" s="69"/>
      <c r="BG194" s="69"/>
      <c r="BH194" s="69"/>
      <c r="BI194" s="69"/>
      <c r="BJ194" s="69"/>
      <c r="BK194" s="69"/>
      <c r="BL194" s="69"/>
      <c r="BM194" s="69"/>
      <c r="BN194" s="69"/>
      <c r="BO194" s="69"/>
      <c r="BP194" s="69"/>
      <c r="BQ194" s="69"/>
      <c r="BR194" s="69"/>
      <c r="BS194" s="69"/>
      <c r="BT194" s="69"/>
      <c r="BU194" s="69"/>
      <c r="BV194" s="69"/>
      <c r="BW194" s="69"/>
      <c r="BX194" s="69"/>
      <c r="BY194" s="69"/>
      <c r="BZ194" s="69"/>
      <c r="CA194" s="69"/>
      <c r="CB194" s="69"/>
      <c r="CC194" s="69"/>
      <c r="CD194" s="69"/>
      <c r="CE194" s="69"/>
      <c r="CF194" s="69"/>
    </row>
    <row r="195">
      <c r="A195" s="69"/>
      <c r="B195" s="71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69"/>
      <c r="BE195" s="69"/>
      <c r="BF195" s="69"/>
      <c r="BG195" s="69"/>
      <c r="BH195" s="69"/>
      <c r="BI195" s="69"/>
      <c r="BJ195" s="69"/>
      <c r="BK195" s="69"/>
      <c r="BL195" s="69"/>
      <c r="BM195" s="69"/>
      <c r="BN195" s="69"/>
      <c r="BO195" s="69"/>
      <c r="BP195" s="69"/>
      <c r="BQ195" s="69"/>
      <c r="BR195" s="69"/>
      <c r="BS195" s="69"/>
      <c r="BT195" s="69"/>
      <c r="BU195" s="69"/>
      <c r="BV195" s="69"/>
      <c r="BW195" s="69"/>
      <c r="BX195" s="69"/>
      <c r="BY195" s="69"/>
      <c r="BZ195" s="69"/>
      <c r="CA195" s="69"/>
      <c r="CB195" s="69"/>
      <c r="CC195" s="69"/>
      <c r="CD195" s="69"/>
      <c r="CE195" s="69"/>
      <c r="CF195" s="69"/>
    </row>
    <row r="196">
      <c r="A196" s="69"/>
      <c r="B196" s="71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69"/>
      <c r="BE196" s="69"/>
      <c r="BF196" s="69"/>
      <c r="BG196" s="69"/>
      <c r="BH196" s="69"/>
      <c r="BI196" s="69"/>
      <c r="BJ196" s="69"/>
      <c r="BK196" s="69"/>
      <c r="BL196" s="69"/>
      <c r="BM196" s="69"/>
      <c r="BN196" s="69"/>
      <c r="BO196" s="69"/>
      <c r="BP196" s="69"/>
      <c r="BQ196" s="69"/>
      <c r="BR196" s="69"/>
      <c r="BS196" s="69"/>
      <c r="BT196" s="69"/>
      <c r="BU196" s="69"/>
      <c r="BV196" s="69"/>
      <c r="BW196" s="69"/>
      <c r="BX196" s="69"/>
      <c r="BY196" s="69"/>
      <c r="BZ196" s="69"/>
      <c r="CA196" s="69"/>
      <c r="CB196" s="69"/>
      <c r="CC196" s="69"/>
      <c r="CD196" s="69"/>
      <c r="CE196" s="69"/>
      <c r="CF196" s="69"/>
    </row>
    <row r="197">
      <c r="A197" s="69"/>
      <c r="B197" s="71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69"/>
      <c r="BE197" s="69"/>
      <c r="BF197" s="69"/>
      <c r="BG197" s="69"/>
      <c r="BH197" s="69"/>
      <c r="BI197" s="69"/>
      <c r="BJ197" s="69"/>
      <c r="BK197" s="69"/>
      <c r="BL197" s="69"/>
      <c r="BM197" s="69"/>
      <c r="BN197" s="69"/>
      <c r="BO197" s="69"/>
      <c r="BP197" s="69"/>
      <c r="BQ197" s="69"/>
      <c r="BR197" s="69"/>
      <c r="BS197" s="69"/>
      <c r="BT197" s="69"/>
      <c r="BU197" s="69"/>
      <c r="BV197" s="69"/>
      <c r="BW197" s="69"/>
      <c r="BX197" s="69"/>
      <c r="BY197" s="69"/>
      <c r="BZ197" s="69"/>
      <c r="CA197" s="69"/>
      <c r="CB197" s="69"/>
      <c r="CC197" s="69"/>
      <c r="CD197" s="69"/>
      <c r="CE197" s="69"/>
      <c r="CF197" s="69"/>
    </row>
    <row r="198">
      <c r="A198" s="69"/>
      <c r="B198" s="71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69"/>
      <c r="BE198" s="69"/>
      <c r="BF198" s="69"/>
      <c r="BG198" s="69"/>
      <c r="BH198" s="69"/>
      <c r="BI198" s="69"/>
      <c r="BJ198" s="69"/>
      <c r="BK198" s="69"/>
      <c r="BL198" s="69"/>
      <c r="BM198" s="69"/>
      <c r="BN198" s="69"/>
      <c r="BO198" s="69"/>
      <c r="BP198" s="69"/>
      <c r="BQ198" s="69"/>
      <c r="BR198" s="69"/>
      <c r="BS198" s="69"/>
      <c r="BT198" s="69"/>
      <c r="BU198" s="69"/>
      <c r="BV198" s="69"/>
      <c r="BW198" s="69"/>
      <c r="BX198" s="69"/>
      <c r="BY198" s="69"/>
      <c r="BZ198" s="69"/>
      <c r="CA198" s="69"/>
      <c r="CB198" s="69"/>
      <c r="CC198" s="69"/>
      <c r="CD198" s="69"/>
      <c r="CE198" s="69"/>
      <c r="CF198" s="69"/>
    </row>
    <row r="199">
      <c r="A199" s="69"/>
      <c r="B199" s="71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69"/>
      <c r="BE199" s="69"/>
      <c r="BF199" s="69"/>
      <c r="BG199" s="69"/>
      <c r="BH199" s="69"/>
      <c r="BI199" s="69"/>
      <c r="BJ199" s="69"/>
      <c r="BK199" s="69"/>
      <c r="BL199" s="69"/>
      <c r="BM199" s="69"/>
      <c r="BN199" s="69"/>
      <c r="BO199" s="69"/>
      <c r="BP199" s="69"/>
      <c r="BQ199" s="69"/>
      <c r="BR199" s="69"/>
      <c r="BS199" s="69"/>
      <c r="BT199" s="69"/>
      <c r="BU199" s="69"/>
      <c r="BV199" s="69"/>
      <c r="BW199" s="69"/>
      <c r="BX199" s="69"/>
      <c r="BY199" s="69"/>
      <c r="BZ199" s="69"/>
      <c r="CA199" s="69"/>
      <c r="CB199" s="69"/>
      <c r="CC199" s="69"/>
      <c r="CD199" s="69"/>
      <c r="CE199" s="69"/>
      <c r="CF199" s="69"/>
    </row>
    <row r="200">
      <c r="A200" s="69"/>
      <c r="B200" s="71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  <c r="BP200" s="69"/>
      <c r="BQ200" s="69"/>
      <c r="BR200" s="69"/>
      <c r="BS200" s="69"/>
      <c r="BT200" s="69"/>
      <c r="BU200" s="69"/>
      <c r="BV200" s="69"/>
      <c r="BW200" s="69"/>
      <c r="BX200" s="69"/>
      <c r="BY200" s="69"/>
      <c r="BZ200" s="69"/>
      <c r="CA200" s="69"/>
      <c r="CB200" s="69"/>
      <c r="CC200" s="69"/>
      <c r="CD200" s="69"/>
      <c r="CE200" s="69"/>
      <c r="CF200" s="69"/>
    </row>
    <row r="201">
      <c r="A201" s="69"/>
      <c r="B201" s="71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69"/>
      <c r="BE201" s="69"/>
      <c r="BF201" s="69"/>
      <c r="BG201" s="69"/>
      <c r="BH201" s="69"/>
      <c r="BI201" s="69"/>
      <c r="BJ201" s="69"/>
      <c r="BK201" s="69"/>
      <c r="BL201" s="69"/>
      <c r="BM201" s="69"/>
      <c r="BN201" s="69"/>
      <c r="BO201" s="69"/>
      <c r="BP201" s="69"/>
      <c r="BQ201" s="69"/>
      <c r="BR201" s="69"/>
      <c r="BS201" s="69"/>
      <c r="BT201" s="69"/>
      <c r="BU201" s="69"/>
      <c r="BV201" s="69"/>
      <c r="BW201" s="69"/>
      <c r="BX201" s="69"/>
      <c r="BY201" s="69"/>
      <c r="BZ201" s="69"/>
      <c r="CA201" s="69"/>
      <c r="CB201" s="69"/>
      <c r="CC201" s="69"/>
      <c r="CD201" s="69"/>
      <c r="CE201" s="69"/>
      <c r="CF201" s="69"/>
    </row>
    <row r="202">
      <c r="A202" s="69"/>
      <c r="B202" s="71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69"/>
      <c r="BE202" s="69"/>
      <c r="BF202" s="69"/>
      <c r="BG202" s="69"/>
      <c r="BH202" s="69"/>
      <c r="BI202" s="69"/>
      <c r="BJ202" s="69"/>
      <c r="BK202" s="69"/>
      <c r="BL202" s="69"/>
      <c r="BM202" s="69"/>
      <c r="BN202" s="69"/>
      <c r="BO202" s="69"/>
      <c r="BP202" s="69"/>
      <c r="BQ202" s="69"/>
      <c r="BR202" s="69"/>
      <c r="BS202" s="69"/>
      <c r="BT202" s="69"/>
      <c r="BU202" s="69"/>
      <c r="BV202" s="69"/>
      <c r="BW202" s="69"/>
      <c r="BX202" s="69"/>
      <c r="BY202" s="69"/>
      <c r="BZ202" s="69"/>
      <c r="CA202" s="69"/>
      <c r="CB202" s="69"/>
      <c r="CC202" s="69"/>
      <c r="CD202" s="69"/>
      <c r="CE202" s="69"/>
      <c r="CF202" s="69"/>
    </row>
    <row r="203">
      <c r="A203" s="69"/>
      <c r="B203" s="71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69"/>
      <c r="BE203" s="69"/>
      <c r="BF203" s="69"/>
      <c r="BG203" s="69"/>
      <c r="BH203" s="69"/>
      <c r="BI203" s="69"/>
      <c r="BJ203" s="69"/>
      <c r="BK203" s="69"/>
      <c r="BL203" s="69"/>
      <c r="BM203" s="69"/>
      <c r="BN203" s="69"/>
      <c r="BO203" s="69"/>
      <c r="BP203" s="69"/>
      <c r="BQ203" s="69"/>
      <c r="BR203" s="69"/>
      <c r="BS203" s="69"/>
      <c r="BT203" s="69"/>
      <c r="BU203" s="69"/>
      <c r="BV203" s="69"/>
      <c r="BW203" s="69"/>
      <c r="BX203" s="69"/>
      <c r="BY203" s="69"/>
      <c r="BZ203" s="69"/>
      <c r="CA203" s="69"/>
      <c r="CB203" s="69"/>
      <c r="CC203" s="69"/>
      <c r="CD203" s="69"/>
      <c r="CE203" s="69"/>
      <c r="CF203" s="69"/>
    </row>
    <row r="204">
      <c r="A204" s="69"/>
      <c r="B204" s="71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69"/>
      <c r="BE204" s="69"/>
      <c r="BF204" s="69"/>
      <c r="BG204" s="69"/>
      <c r="BH204" s="69"/>
      <c r="BI204" s="69"/>
      <c r="BJ204" s="69"/>
      <c r="BK204" s="69"/>
      <c r="BL204" s="69"/>
      <c r="BM204" s="69"/>
      <c r="BN204" s="69"/>
      <c r="BO204" s="69"/>
      <c r="BP204" s="69"/>
      <c r="BQ204" s="69"/>
      <c r="BR204" s="69"/>
      <c r="BS204" s="69"/>
      <c r="BT204" s="69"/>
      <c r="BU204" s="69"/>
      <c r="BV204" s="69"/>
      <c r="BW204" s="69"/>
      <c r="BX204" s="69"/>
      <c r="BY204" s="69"/>
      <c r="BZ204" s="69"/>
      <c r="CA204" s="69"/>
      <c r="CB204" s="69"/>
      <c r="CC204" s="69"/>
      <c r="CD204" s="69"/>
      <c r="CE204" s="69"/>
      <c r="CF204" s="69"/>
    </row>
    <row r="205">
      <c r="A205" s="69"/>
      <c r="B205" s="71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  <c r="BP205" s="69"/>
      <c r="BQ205" s="69"/>
      <c r="BR205" s="69"/>
      <c r="BS205" s="69"/>
      <c r="BT205" s="69"/>
      <c r="BU205" s="69"/>
      <c r="BV205" s="69"/>
      <c r="BW205" s="69"/>
      <c r="BX205" s="69"/>
      <c r="BY205" s="69"/>
      <c r="BZ205" s="69"/>
      <c r="CA205" s="69"/>
      <c r="CB205" s="69"/>
      <c r="CC205" s="69"/>
      <c r="CD205" s="69"/>
      <c r="CE205" s="69"/>
      <c r="CF205" s="69"/>
    </row>
    <row r="206">
      <c r="A206" s="69"/>
      <c r="B206" s="71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  <c r="BP206" s="69"/>
      <c r="BQ206" s="69"/>
      <c r="BR206" s="69"/>
      <c r="BS206" s="69"/>
      <c r="BT206" s="69"/>
      <c r="BU206" s="69"/>
      <c r="BV206" s="69"/>
      <c r="BW206" s="69"/>
      <c r="BX206" s="69"/>
      <c r="BY206" s="69"/>
      <c r="BZ206" s="69"/>
      <c r="CA206" s="69"/>
      <c r="CB206" s="69"/>
      <c r="CC206" s="69"/>
      <c r="CD206" s="69"/>
      <c r="CE206" s="69"/>
      <c r="CF206" s="69"/>
    </row>
    <row r="207">
      <c r="A207" s="69"/>
      <c r="B207" s="71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  <c r="BP207" s="69"/>
      <c r="BQ207" s="69"/>
      <c r="BR207" s="69"/>
      <c r="BS207" s="69"/>
      <c r="BT207" s="69"/>
      <c r="BU207" s="69"/>
      <c r="BV207" s="69"/>
      <c r="BW207" s="69"/>
      <c r="BX207" s="69"/>
      <c r="BY207" s="69"/>
      <c r="BZ207" s="69"/>
      <c r="CA207" s="69"/>
      <c r="CB207" s="69"/>
      <c r="CC207" s="69"/>
      <c r="CD207" s="69"/>
      <c r="CE207" s="69"/>
      <c r="CF207" s="69"/>
    </row>
    <row r="208">
      <c r="A208" s="69"/>
      <c r="B208" s="71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  <c r="BP208" s="69"/>
      <c r="BQ208" s="69"/>
      <c r="BR208" s="69"/>
      <c r="BS208" s="69"/>
      <c r="BT208" s="69"/>
      <c r="BU208" s="69"/>
      <c r="BV208" s="69"/>
      <c r="BW208" s="69"/>
      <c r="BX208" s="69"/>
      <c r="BY208" s="69"/>
      <c r="BZ208" s="69"/>
      <c r="CA208" s="69"/>
      <c r="CB208" s="69"/>
      <c r="CC208" s="69"/>
      <c r="CD208" s="69"/>
      <c r="CE208" s="69"/>
      <c r="CF208" s="69"/>
    </row>
    <row r="209">
      <c r="A209" s="69"/>
      <c r="B209" s="71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  <c r="BP209" s="69"/>
      <c r="BQ209" s="69"/>
      <c r="BR209" s="69"/>
      <c r="BS209" s="69"/>
      <c r="BT209" s="69"/>
      <c r="BU209" s="69"/>
      <c r="BV209" s="69"/>
      <c r="BW209" s="69"/>
      <c r="BX209" s="69"/>
      <c r="BY209" s="69"/>
      <c r="BZ209" s="69"/>
      <c r="CA209" s="69"/>
      <c r="CB209" s="69"/>
      <c r="CC209" s="69"/>
      <c r="CD209" s="69"/>
      <c r="CE209" s="69"/>
      <c r="CF209" s="69"/>
    </row>
    <row r="210">
      <c r="A210" s="69"/>
      <c r="B210" s="71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69"/>
      <c r="BE210" s="69"/>
      <c r="BF210" s="69"/>
      <c r="BG210" s="69"/>
      <c r="BH210" s="69"/>
      <c r="BI210" s="69"/>
      <c r="BJ210" s="69"/>
      <c r="BK210" s="69"/>
      <c r="BL210" s="69"/>
      <c r="BM210" s="69"/>
      <c r="BN210" s="69"/>
      <c r="BO210" s="69"/>
      <c r="BP210" s="69"/>
      <c r="BQ210" s="69"/>
      <c r="BR210" s="69"/>
      <c r="BS210" s="69"/>
      <c r="BT210" s="69"/>
      <c r="BU210" s="69"/>
      <c r="BV210" s="69"/>
      <c r="BW210" s="69"/>
      <c r="BX210" s="69"/>
      <c r="BY210" s="69"/>
      <c r="BZ210" s="69"/>
      <c r="CA210" s="69"/>
      <c r="CB210" s="69"/>
      <c r="CC210" s="69"/>
      <c r="CD210" s="69"/>
      <c r="CE210" s="69"/>
      <c r="CF210" s="69"/>
    </row>
    <row r="211">
      <c r="A211" s="69"/>
      <c r="B211" s="71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69"/>
      <c r="BE211" s="69"/>
      <c r="BF211" s="69"/>
      <c r="BG211" s="69"/>
      <c r="BH211" s="69"/>
      <c r="BI211" s="69"/>
      <c r="BJ211" s="69"/>
      <c r="BK211" s="69"/>
      <c r="BL211" s="69"/>
      <c r="BM211" s="69"/>
      <c r="BN211" s="69"/>
      <c r="BO211" s="69"/>
      <c r="BP211" s="69"/>
      <c r="BQ211" s="69"/>
      <c r="BR211" s="69"/>
      <c r="BS211" s="69"/>
      <c r="BT211" s="69"/>
      <c r="BU211" s="69"/>
      <c r="BV211" s="69"/>
      <c r="BW211" s="69"/>
      <c r="BX211" s="69"/>
      <c r="BY211" s="69"/>
      <c r="BZ211" s="69"/>
      <c r="CA211" s="69"/>
      <c r="CB211" s="69"/>
      <c r="CC211" s="69"/>
      <c r="CD211" s="69"/>
      <c r="CE211" s="69"/>
      <c r="CF211" s="69"/>
    </row>
    <row r="212">
      <c r="A212" s="69"/>
      <c r="B212" s="71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69"/>
      <c r="BE212" s="69"/>
      <c r="BF212" s="69"/>
      <c r="BG212" s="69"/>
      <c r="BH212" s="69"/>
      <c r="BI212" s="69"/>
      <c r="BJ212" s="69"/>
      <c r="BK212" s="69"/>
      <c r="BL212" s="69"/>
      <c r="BM212" s="69"/>
      <c r="BN212" s="69"/>
      <c r="BO212" s="69"/>
      <c r="BP212" s="69"/>
      <c r="BQ212" s="69"/>
      <c r="BR212" s="69"/>
      <c r="BS212" s="69"/>
      <c r="BT212" s="69"/>
      <c r="BU212" s="69"/>
      <c r="BV212" s="69"/>
      <c r="BW212" s="69"/>
      <c r="BX212" s="69"/>
      <c r="BY212" s="69"/>
      <c r="BZ212" s="69"/>
      <c r="CA212" s="69"/>
      <c r="CB212" s="69"/>
      <c r="CC212" s="69"/>
      <c r="CD212" s="69"/>
      <c r="CE212" s="69"/>
      <c r="CF212" s="69"/>
    </row>
    <row r="213">
      <c r="A213" s="69"/>
      <c r="B213" s="71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  <c r="BP213" s="69"/>
      <c r="BQ213" s="69"/>
      <c r="BR213" s="69"/>
      <c r="BS213" s="69"/>
      <c r="BT213" s="69"/>
      <c r="BU213" s="69"/>
      <c r="BV213" s="69"/>
      <c r="BW213" s="69"/>
      <c r="BX213" s="69"/>
      <c r="BY213" s="69"/>
      <c r="BZ213" s="69"/>
      <c r="CA213" s="69"/>
      <c r="CB213" s="69"/>
      <c r="CC213" s="69"/>
      <c r="CD213" s="69"/>
      <c r="CE213" s="69"/>
      <c r="CF213" s="69"/>
    </row>
    <row r="214">
      <c r="A214" s="69"/>
      <c r="B214" s="71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69"/>
      <c r="BE214" s="69"/>
      <c r="BF214" s="69"/>
      <c r="BG214" s="69"/>
      <c r="BH214" s="69"/>
      <c r="BI214" s="69"/>
      <c r="BJ214" s="69"/>
      <c r="BK214" s="69"/>
      <c r="BL214" s="69"/>
      <c r="BM214" s="69"/>
      <c r="BN214" s="69"/>
      <c r="BO214" s="69"/>
      <c r="BP214" s="69"/>
      <c r="BQ214" s="69"/>
      <c r="BR214" s="69"/>
      <c r="BS214" s="69"/>
      <c r="BT214" s="69"/>
      <c r="BU214" s="69"/>
      <c r="BV214" s="69"/>
      <c r="BW214" s="69"/>
      <c r="BX214" s="69"/>
      <c r="BY214" s="69"/>
      <c r="BZ214" s="69"/>
      <c r="CA214" s="69"/>
      <c r="CB214" s="69"/>
      <c r="CC214" s="69"/>
      <c r="CD214" s="69"/>
      <c r="CE214" s="69"/>
      <c r="CF214" s="69"/>
    </row>
    <row r="215">
      <c r="A215" s="69"/>
      <c r="B215" s="71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69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69"/>
      <c r="BP215" s="69"/>
      <c r="BQ215" s="69"/>
      <c r="BR215" s="69"/>
      <c r="BS215" s="69"/>
      <c r="BT215" s="69"/>
      <c r="BU215" s="69"/>
      <c r="BV215" s="69"/>
      <c r="BW215" s="69"/>
      <c r="BX215" s="69"/>
      <c r="BY215" s="69"/>
      <c r="BZ215" s="69"/>
      <c r="CA215" s="69"/>
      <c r="CB215" s="69"/>
      <c r="CC215" s="69"/>
      <c r="CD215" s="69"/>
      <c r="CE215" s="69"/>
      <c r="CF215" s="69"/>
    </row>
    <row r="216">
      <c r="A216" s="69"/>
      <c r="B216" s="71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  <c r="BP216" s="69"/>
      <c r="BQ216" s="69"/>
      <c r="BR216" s="69"/>
      <c r="BS216" s="69"/>
      <c r="BT216" s="69"/>
      <c r="BU216" s="69"/>
      <c r="BV216" s="69"/>
      <c r="BW216" s="69"/>
      <c r="BX216" s="69"/>
      <c r="BY216" s="69"/>
      <c r="BZ216" s="69"/>
      <c r="CA216" s="69"/>
      <c r="CB216" s="69"/>
      <c r="CC216" s="69"/>
      <c r="CD216" s="69"/>
      <c r="CE216" s="69"/>
      <c r="CF216" s="69"/>
    </row>
    <row r="217">
      <c r="A217" s="69"/>
      <c r="B217" s="71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  <c r="BP217" s="69"/>
      <c r="BQ217" s="69"/>
      <c r="BR217" s="69"/>
      <c r="BS217" s="69"/>
      <c r="BT217" s="69"/>
      <c r="BU217" s="69"/>
      <c r="BV217" s="69"/>
      <c r="BW217" s="69"/>
      <c r="BX217" s="69"/>
      <c r="BY217" s="69"/>
      <c r="BZ217" s="69"/>
      <c r="CA217" s="69"/>
      <c r="CB217" s="69"/>
      <c r="CC217" s="69"/>
      <c r="CD217" s="69"/>
      <c r="CE217" s="69"/>
      <c r="CF217" s="69"/>
    </row>
    <row r="218">
      <c r="A218" s="69"/>
      <c r="B218" s="71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  <c r="BP218" s="69"/>
      <c r="BQ218" s="69"/>
      <c r="BR218" s="69"/>
      <c r="BS218" s="69"/>
      <c r="BT218" s="69"/>
      <c r="BU218" s="69"/>
      <c r="BV218" s="69"/>
      <c r="BW218" s="69"/>
      <c r="BX218" s="69"/>
      <c r="BY218" s="69"/>
      <c r="BZ218" s="69"/>
      <c r="CA218" s="69"/>
      <c r="CB218" s="69"/>
      <c r="CC218" s="69"/>
      <c r="CD218" s="69"/>
      <c r="CE218" s="69"/>
      <c r="CF218" s="69"/>
    </row>
    <row r="219">
      <c r="A219" s="69"/>
      <c r="B219" s="71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  <c r="BP219" s="69"/>
      <c r="BQ219" s="69"/>
      <c r="BR219" s="69"/>
      <c r="BS219" s="69"/>
      <c r="BT219" s="69"/>
      <c r="BU219" s="69"/>
      <c r="BV219" s="69"/>
      <c r="BW219" s="69"/>
      <c r="BX219" s="69"/>
      <c r="BY219" s="69"/>
      <c r="BZ219" s="69"/>
      <c r="CA219" s="69"/>
      <c r="CB219" s="69"/>
      <c r="CC219" s="69"/>
      <c r="CD219" s="69"/>
      <c r="CE219" s="69"/>
      <c r="CF219" s="69"/>
    </row>
    <row r="220">
      <c r="A220" s="69"/>
      <c r="B220" s="71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69"/>
      <c r="BE220" s="69"/>
      <c r="BF220" s="69"/>
      <c r="BG220" s="69"/>
      <c r="BH220" s="69"/>
      <c r="BI220" s="69"/>
      <c r="BJ220" s="69"/>
      <c r="BK220" s="69"/>
      <c r="BL220" s="69"/>
      <c r="BM220" s="69"/>
      <c r="BN220" s="69"/>
      <c r="BO220" s="69"/>
      <c r="BP220" s="69"/>
      <c r="BQ220" s="69"/>
      <c r="BR220" s="69"/>
      <c r="BS220" s="69"/>
      <c r="BT220" s="69"/>
      <c r="BU220" s="69"/>
      <c r="BV220" s="69"/>
      <c r="BW220" s="69"/>
      <c r="BX220" s="69"/>
      <c r="BY220" s="69"/>
      <c r="BZ220" s="69"/>
      <c r="CA220" s="69"/>
      <c r="CB220" s="69"/>
      <c r="CC220" s="69"/>
      <c r="CD220" s="69"/>
      <c r="CE220" s="69"/>
      <c r="CF220" s="69"/>
    </row>
    <row r="221">
      <c r="A221" s="69"/>
      <c r="B221" s="71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69"/>
      <c r="BE221" s="69"/>
      <c r="BF221" s="69"/>
      <c r="BG221" s="69"/>
      <c r="BH221" s="69"/>
      <c r="BI221" s="69"/>
      <c r="BJ221" s="69"/>
      <c r="BK221" s="69"/>
      <c r="BL221" s="69"/>
      <c r="BM221" s="69"/>
      <c r="BN221" s="69"/>
      <c r="BO221" s="69"/>
      <c r="BP221" s="69"/>
      <c r="BQ221" s="69"/>
      <c r="BR221" s="69"/>
      <c r="BS221" s="69"/>
      <c r="BT221" s="69"/>
      <c r="BU221" s="69"/>
      <c r="BV221" s="69"/>
      <c r="BW221" s="69"/>
      <c r="BX221" s="69"/>
      <c r="BY221" s="69"/>
      <c r="BZ221" s="69"/>
      <c r="CA221" s="69"/>
      <c r="CB221" s="69"/>
      <c r="CC221" s="69"/>
      <c r="CD221" s="69"/>
      <c r="CE221" s="69"/>
      <c r="CF221" s="69"/>
    </row>
    <row r="222">
      <c r="A222" s="69"/>
      <c r="B222" s="71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69"/>
      <c r="BE222" s="69"/>
      <c r="BF222" s="69"/>
      <c r="BG222" s="69"/>
      <c r="BH222" s="69"/>
      <c r="BI222" s="69"/>
      <c r="BJ222" s="69"/>
      <c r="BK222" s="69"/>
      <c r="BL222" s="69"/>
      <c r="BM222" s="69"/>
      <c r="BN222" s="69"/>
      <c r="BO222" s="69"/>
      <c r="BP222" s="69"/>
      <c r="BQ222" s="69"/>
      <c r="BR222" s="69"/>
      <c r="BS222" s="69"/>
      <c r="BT222" s="69"/>
      <c r="BU222" s="69"/>
      <c r="BV222" s="69"/>
      <c r="BW222" s="69"/>
      <c r="BX222" s="69"/>
      <c r="BY222" s="69"/>
      <c r="BZ222" s="69"/>
      <c r="CA222" s="69"/>
      <c r="CB222" s="69"/>
      <c r="CC222" s="69"/>
      <c r="CD222" s="69"/>
      <c r="CE222" s="69"/>
      <c r="CF222" s="69"/>
    </row>
    <row r="223">
      <c r="A223" s="69"/>
      <c r="B223" s="71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69"/>
      <c r="BE223" s="69"/>
      <c r="BF223" s="69"/>
      <c r="BG223" s="69"/>
      <c r="BH223" s="69"/>
      <c r="BI223" s="69"/>
      <c r="BJ223" s="69"/>
      <c r="BK223" s="69"/>
      <c r="BL223" s="69"/>
      <c r="BM223" s="69"/>
      <c r="BN223" s="69"/>
      <c r="BO223" s="69"/>
      <c r="BP223" s="69"/>
      <c r="BQ223" s="69"/>
      <c r="BR223" s="69"/>
      <c r="BS223" s="69"/>
      <c r="BT223" s="69"/>
      <c r="BU223" s="69"/>
      <c r="BV223" s="69"/>
      <c r="BW223" s="69"/>
      <c r="BX223" s="69"/>
      <c r="BY223" s="69"/>
      <c r="BZ223" s="69"/>
      <c r="CA223" s="69"/>
      <c r="CB223" s="69"/>
      <c r="CC223" s="69"/>
      <c r="CD223" s="69"/>
      <c r="CE223" s="69"/>
      <c r="CF223" s="69"/>
    </row>
    <row r="224">
      <c r="A224" s="69"/>
      <c r="B224" s="71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69"/>
      <c r="BE224" s="69"/>
      <c r="BF224" s="69"/>
      <c r="BG224" s="69"/>
      <c r="BH224" s="69"/>
      <c r="BI224" s="69"/>
      <c r="BJ224" s="69"/>
      <c r="BK224" s="69"/>
      <c r="BL224" s="69"/>
      <c r="BM224" s="69"/>
      <c r="BN224" s="69"/>
      <c r="BO224" s="69"/>
      <c r="BP224" s="69"/>
      <c r="BQ224" s="69"/>
      <c r="BR224" s="69"/>
      <c r="BS224" s="69"/>
      <c r="BT224" s="69"/>
      <c r="BU224" s="69"/>
      <c r="BV224" s="69"/>
      <c r="BW224" s="69"/>
      <c r="BX224" s="69"/>
      <c r="BY224" s="69"/>
      <c r="BZ224" s="69"/>
      <c r="CA224" s="69"/>
      <c r="CB224" s="69"/>
      <c r="CC224" s="69"/>
      <c r="CD224" s="69"/>
      <c r="CE224" s="69"/>
      <c r="CF224" s="69"/>
    </row>
    <row r="225">
      <c r="A225" s="69"/>
      <c r="B225" s="71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69"/>
      <c r="BE225" s="69"/>
      <c r="BF225" s="69"/>
      <c r="BG225" s="69"/>
      <c r="BH225" s="69"/>
      <c r="BI225" s="69"/>
      <c r="BJ225" s="69"/>
      <c r="BK225" s="69"/>
      <c r="BL225" s="69"/>
      <c r="BM225" s="69"/>
      <c r="BN225" s="69"/>
      <c r="BO225" s="69"/>
      <c r="BP225" s="69"/>
      <c r="BQ225" s="69"/>
      <c r="BR225" s="69"/>
      <c r="BS225" s="69"/>
      <c r="BT225" s="69"/>
      <c r="BU225" s="69"/>
      <c r="BV225" s="69"/>
      <c r="BW225" s="69"/>
      <c r="BX225" s="69"/>
      <c r="BY225" s="69"/>
      <c r="BZ225" s="69"/>
      <c r="CA225" s="69"/>
      <c r="CB225" s="69"/>
      <c r="CC225" s="69"/>
      <c r="CD225" s="69"/>
      <c r="CE225" s="69"/>
      <c r="CF225" s="69"/>
    </row>
    <row r="226">
      <c r="A226" s="69"/>
      <c r="B226" s="71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  <c r="BP226" s="69"/>
      <c r="BQ226" s="69"/>
      <c r="BR226" s="69"/>
      <c r="BS226" s="69"/>
      <c r="BT226" s="69"/>
      <c r="BU226" s="69"/>
      <c r="BV226" s="69"/>
      <c r="BW226" s="69"/>
      <c r="BX226" s="69"/>
      <c r="BY226" s="69"/>
      <c r="BZ226" s="69"/>
      <c r="CA226" s="69"/>
      <c r="CB226" s="69"/>
      <c r="CC226" s="69"/>
      <c r="CD226" s="69"/>
      <c r="CE226" s="69"/>
      <c r="CF226" s="69"/>
    </row>
    <row r="227">
      <c r="A227" s="69"/>
      <c r="B227" s="71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69"/>
      <c r="BE227" s="69"/>
      <c r="BF227" s="69"/>
      <c r="BG227" s="69"/>
      <c r="BH227" s="69"/>
      <c r="BI227" s="69"/>
      <c r="BJ227" s="69"/>
      <c r="BK227" s="69"/>
      <c r="BL227" s="69"/>
      <c r="BM227" s="69"/>
      <c r="BN227" s="69"/>
      <c r="BO227" s="69"/>
      <c r="BP227" s="69"/>
      <c r="BQ227" s="69"/>
      <c r="BR227" s="69"/>
      <c r="BS227" s="69"/>
      <c r="BT227" s="69"/>
      <c r="BU227" s="69"/>
      <c r="BV227" s="69"/>
      <c r="BW227" s="69"/>
      <c r="BX227" s="69"/>
      <c r="BY227" s="69"/>
      <c r="BZ227" s="69"/>
      <c r="CA227" s="69"/>
      <c r="CB227" s="69"/>
      <c r="CC227" s="69"/>
      <c r="CD227" s="69"/>
      <c r="CE227" s="69"/>
      <c r="CF227" s="69"/>
    </row>
    <row r="228">
      <c r="A228" s="69"/>
      <c r="B228" s="71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69"/>
      <c r="BE228" s="69"/>
      <c r="BF228" s="69"/>
      <c r="BG228" s="69"/>
      <c r="BH228" s="69"/>
      <c r="BI228" s="69"/>
      <c r="BJ228" s="69"/>
      <c r="BK228" s="69"/>
      <c r="BL228" s="69"/>
      <c r="BM228" s="69"/>
      <c r="BN228" s="69"/>
      <c r="BO228" s="69"/>
      <c r="BP228" s="69"/>
      <c r="BQ228" s="69"/>
      <c r="BR228" s="69"/>
      <c r="BS228" s="69"/>
      <c r="BT228" s="69"/>
      <c r="BU228" s="69"/>
      <c r="BV228" s="69"/>
      <c r="BW228" s="69"/>
      <c r="BX228" s="69"/>
      <c r="BY228" s="69"/>
      <c r="BZ228" s="69"/>
      <c r="CA228" s="69"/>
      <c r="CB228" s="69"/>
      <c r="CC228" s="69"/>
      <c r="CD228" s="69"/>
      <c r="CE228" s="69"/>
      <c r="CF228" s="69"/>
    </row>
    <row r="229">
      <c r="A229" s="69"/>
      <c r="B229" s="71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69"/>
      <c r="BE229" s="69"/>
      <c r="BF229" s="69"/>
      <c r="BG229" s="69"/>
      <c r="BH229" s="69"/>
      <c r="BI229" s="69"/>
      <c r="BJ229" s="69"/>
      <c r="BK229" s="69"/>
      <c r="BL229" s="69"/>
      <c r="BM229" s="69"/>
      <c r="BN229" s="69"/>
      <c r="BO229" s="69"/>
      <c r="BP229" s="69"/>
      <c r="BQ229" s="69"/>
      <c r="BR229" s="69"/>
      <c r="BS229" s="69"/>
      <c r="BT229" s="69"/>
      <c r="BU229" s="69"/>
      <c r="BV229" s="69"/>
      <c r="BW229" s="69"/>
      <c r="BX229" s="69"/>
      <c r="BY229" s="69"/>
      <c r="BZ229" s="69"/>
      <c r="CA229" s="69"/>
      <c r="CB229" s="69"/>
      <c r="CC229" s="69"/>
      <c r="CD229" s="69"/>
      <c r="CE229" s="69"/>
      <c r="CF229" s="69"/>
    </row>
    <row r="230">
      <c r="A230" s="69"/>
      <c r="B230" s="71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  <c r="BP230" s="69"/>
      <c r="BQ230" s="69"/>
      <c r="BR230" s="69"/>
      <c r="BS230" s="69"/>
      <c r="BT230" s="69"/>
      <c r="BU230" s="69"/>
      <c r="BV230" s="69"/>
      <c r="BW230" s="69"/>
      <c r="BX230" s="69"/>
      <c r="BY230" s="69"/>
      <c r="BZ230" s="69"/>
      <c r="CA230" s="69"/>
      <c r="CB230" s="69"/>
      <c r="CC230" s="69"/>
      <c r="CD230" s="69"/>
      <c r="CE230" s="69"/>
      <c r="CF230" s="69"/>
    </row>
    <row r="231">
      <c r="A231" s="69"/>
      <c r="B231" s="71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69"/>
      <c r="BE231" s="69"/>
      <c r="BF231" s="69"/>
      <c r="BG231" s="69"/>
      <c r="BH231" s="69"/>
      <c r="BI231" s="69"/>
      <c r="BJ231" s="69"/>
      <c r="BK231" s="69"/>
      <c r="BL231" s="69"/>
      <c r="BM231" s="69"/>
      <c r="BN231" s="69"/>
      <c r="BO231" s="69"/>
      <c r="BP231" s="69"/>
      <c r="BQ231" s="69"/>
      <c r="BR231" s="69"/>
      <c r="BS231" s="69"/>
      <c r="BT231" s="69"/>
      <c r="BU231" s="69"/>
      <c r="BV231" s="69"/>
      <c r="BW231" s="69"/>
      <c r="BX231" s="69"/>
      <c r="BY231" s="69"/>
      <c r="BZ231" s="69"/>
      <c r="CA231" s="69"/>
      <c r="CB231" s="69"/>
      <c r="CC231" s="69"/>
      <c r="CD231" s="69"/>
      <c r="CE231" s="69"/>
      <c r="CF231" s="69"/>
    </row>
    <row r="232">
      <c r="A232" s="69"/>
      <c r="B232" s="71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69"/>
      <c r="BE232" s="69"/>
      <c r="BF232" s="69"/>
      <c r="BG232" s="69"/>
      <c r="BH232" s="69"/>
      <c r="BI232" s="69"/>
      <c r="BJ232" s="69"/>
      <c r="BK232" s="69"/>
      <c r="BL232" s="69"/>
      <c r="BM232" s="69"/>
      <c r="BN232" s="69"/>
      <c r="BO232" s="69"/>
      <c r="BP232" s="69"/>
      <c r="BQ232" s="69"/>
      <c r="BR232" s="69"/>
      <c r="BS232" s="69"/>
      <c r="BT232" s="69"/>
      <c r="BU232" s="69"/>
      <c r="BV232" s="69"/>
      <c r="BW232" s="69"/>
      <c r="BX232" s="69"/>
      <c r="BY232" s="69"/>
      <c r="BZ232" s="69"/>
      <c r="CA232" s="69"/>
      <c r="CB232" s="69"/>
      <c r="CC232" s="69"/>
      <c r="CD232" s="69"/>
      <c r="CE232" s="69"/>
      <c r="CF232" s="69"/>
    </row>
    <row r="233">
      <c r="A233" s="69"/>
      <c r="B233" s="71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69"/>
      <c r="BE233" s="69"/>
      <c r="BF233" s="69"/>
      <c r="BG233" s="69"/>
      <c r="BH233" s="69"/>
      <c r="BI233" s="69"/>
      <c r="BJ233" s="69"/>
      <c r="BK233" s="69"/>
      <c r="BL233" s="69"/>
      <c r="BM233" s="69"/>
      <c r="BN233" s="69"/>
      <c r="BO233" s="69"/>
      <c r="BP233" s="69"/>
      <c r="BQ233" s="69"/>
      <c r="BR233" s="69"/>
      <c r="BS233" s="69"/>
      <c r="BT233" s="69"/>
      <c r="BU233" s="69"/>
      <c r="BV233" s="69"/>
      <c r="BW233" s="69"/>
      <c r="BX233" s="69"/>
      <c r="BY233" s="69"/>
      <c r="BZ233" s="69"/>
      <c r="CA233" s="69"/>
      <c r="CB233" s="69"/>
      <c r="CC233" s="69"/>
      <c r="CD233" s="69"/>
      <c r="CE233" s="69"/>
      <c r="CF233" s="69"/>
    </row>
    <row r="234">
      <c r="A234" s="69"/>
      <c r="B234" s="71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69"/>
      <c r="BE234" s="69"/>
      <c r="BF234" s="69"/>
      <c r="BG234" s="69"/>
      <c r="BH234" s="69"/>
      <c r="BI234" s="69"/>
      <c r="BJ234" s="69"/>
      <c r="BK234" s="69"/>
      <c r="BL234" s="69"/>
      <c r="BM234" s="69"/>
      <c r="BN234" s="69"/>
      <c r="BO234" s="69"/>
      <c r="BP234" s="69"/>
      <c r="BQ234" s="69"/>
      <c r="BR234" s="69"/>
      <c r="BS234" s="69"/>
      <c r="BT234" s="69"/>
      <c r="BU234" s="69"/>
      <c r="BV234" s="69"/>
      <c r="BW234" s="69"/>
      <c r="BX234" s="69"/>
      <c r="BY234" s="69"/>
      <c r="BZ234" s="69"/>
      <c r="CA234" s="69"/>
      <c r="CB234" s="69"/>
      <c r="CC234" s="69"/>
      <c r="CD234" s="69"/>
      <c r="CE234" s="69"/>
      <c r="CF234" s="69"/>
    </row>
    <row r="235">
      <c r="A235" s="69"/>
      <c r="B235" s="71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69"/>
      <c r="BE235" s="69"/>
      <c r="BF235" s="69"/>
      <c r="BG235" s="69"/>
      <c r="BH235" s="69"/>
      <c r="BI235" s="69"/>
      <c r="BJ235" s="69"/>
      <c r="BK235" s="69"/>
      <c r="BL235" s="69"/>
      <c r="BM235" s="69"/>
      <c r="BN235" s="69"/>
      <c r="BO235" s="69"/>
      <c r="BP235" s="69"/>
      <c r="BQ235" s="69"/>
      <c r="BR235" s="69"/>
      <c r="BS235" s="69"/>
      <c r="BT235" s="69"/>
      <c r="BU235" s="69"/>
      <c r="BV235" s="69"/>
      <c r="BW235" s="69"/>
      <c r="BX235" s="69"/>
      <c r="BY235" s="69"/>
      <c r="BZ235" s="69"/>
      <c r="CA235" s="69"/>
      <c r="CB235" s="69"/>
      <c r="CC235" s="69"/>
      <c r="CD235" s="69"/>
      <c r="CE235" s="69"/>
      <c r="CF235" s="69"/>
    </row>
    <row r="236">
      <c r="A236" s="69"/>
      <c r="B236" s="71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  <c r="BP236" s="69"/>
      <c r="BQ236" s="69"/>
      <c r="BR236" s="69"/>
      <c r="BS236" s="69"/>
      <c r="BT236" s="69"/>
      <c r="BU236" s="69"/>
      <c r="BV236" s="69"/>
      <c r="BW236" s="69"/>
      <c r="BX236" s="69"/>
      <c r="BY236" s="69"/>
      <c r="BZ236" s="69"/>
      <c r="CA236" s="69"/>
      <c r="CB236" s="69"/>
      <c r="CC236" s="69"/>
      <c r="CD236" s="69"/>
      <c r="CE236" s="69"/>
      <c r="CF236" s="69"/>
    </row>
    <row r="237">
      <c r="A237" s="69"/>
      <c r="B237" s="71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69"/>
      <c r="BE237" s="69"/>
      <c r="BF237" s="69"/>
      <c r="BG237" s="69"/>
      <c r="BH237" s="69"/>
      <c r="BI237" s="69"/>
      <c r="BJ237" s="69"/>
      <c r="BK237" s="69"/>
      <c r="BL237" s="69"/>
      <c r="BM237" s="69"/>
      <c r="BN237" s="69"/>
      <c r="BO237" s="69"/>
      <c r="BP237" s="69"/>
      <c r="BQ237" s="69"/>
      <c r="BR237" s="69"/>
      <c r="BS237" s="69"/>
      <c r="BT237" s="69"/>
      <c r="BU237" s="69"/>
      <c r="BV237" s="69"/>
      <c r="BW237" s="69"/>
      <c r="BX237" s="69"/>
      <c r="BY237" s="69"/>
      <c r="BZ237" s="69"/>
      <c r="CA237" s="69"/>
      <c r="CB237" s="69"/>
      <c r="CC237" s="69"/>
      <c r="CD237" s="69"/>
      <c r="CE237" s="69"/>
      <c r="CF237" s="69"/>
    </row>
    <row r="238">
      <c r="A238" s="69"/>
      <c r="B238" s="71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  <c r="BP238" s="69"/>
      <c r="BQ238" s="69"/>
      <c r="BR238" s="69"/>
      <c r="BS238" s="69"/>
      <c r="BT238" s="69"/>
      <c r="BU238" s="69"/>
      <c r="BV238" s="69"/>
      <c r="BW238" s="69"/>
      <c r="BX238" s="69"/>
      <c r="BY238" s="69"/>
      <c r="BZ238" s="69"/>
      <c r="CA238" s="69"/>
      <c r="CB238" s="69"/>
      <c r="CC238" s="69"/>
      <c r="CD238" s="69"/>
      <c r="CE238" s="69"/>
      <c r="CF238" s="69"/>
    </row>
    <row r="239">
      <c r="A239" s="69"/>
      <c r="B239" s="71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  <c r="BP239" s="69"/>
      <c r="BQ239" s="69"/>
      <c r="BR239" s="69"/>
      <c r="BS239" s="69"/>
      <c r="BT239" s="69"/>
      <c r="BU239" s="69"/>
      <c r="BV239" s="69"/>
      <c r="BW239" s="69"/>
      <c r="BX239" s="69"/>
      <c r="BY239" s="69"/>
      <c r="BZ239" s="69"/>
      <c r="CA239" s="69"/>
      <c r="CB239" s="69"/>
      <c r="CC239" s="69"/>
      <c r="CD239" s="69"/>
      <c r="CE239" s="69"/>
      <c r="CF239" s="69"/>
    </row>
    <row r="240">
      <c r="A240" s="69"/>
      <c r="B240" s="71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  <c r="BP240" s="69"/>
      <c r="BQ240" s="69"/>
      <c r="BR240" s="69"/>
      <c r="BS240" s="69"/>
      <c r="BT240" s="69"/>
      <c r="BU240" s="69"/>
      <c r="BV240" s="69"/>
      <c r="BW240" s="69"/>
      <c r="BX240" s="69"/>
      <c r="BY240" s="69"/>
      <c r="BZ240" s="69"/>
      <c r="CA240" s="69"/>
      <c r="CB240" s="69"/>
      <c r="CC240" s="69"/>
      <c r="CD240" s="69"/>
      <c r="CE240" s="69"/>
      <c r="CF240" s="69"/>
    </row>
    <row r="241">
      <c r="A241" s="69"/>
      <c r="B241" s="71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  <c r="BP241" s="69"/>
      <c r="BQ241" s="69"/>
      <c r="BR241" s="69"/>
      <c r="BS241" s="69"/>
      <c r="BT241" s="69"/>
      <c r="BU241" s="69"/>
      <c r="BV241" s="69"/>
      <c r="BW241" s="69"/>
      <c r="BX241" s="69"/>
      <c r="BY241" s="69"/>
      <c r="BZ241" s="69"/>
      <c r="CA241" s="69"/>
      <c r="CB241" s="69"/>
      <c r="CC241" s="69"/>
      <c r="CD241" s="69"/>
      <c r="CE241" s="69"/>
      <c r="CF241" s="69"/>
    </row>
    <row r="242">
      <c r="A242" s="69"/>
      <c r="B242" s="71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  <c r="BP242" s="69"/>
      <c r="BQ242" s="69"/>
      <c r="BR242" s="69"/>
      <c r="BS242" s="69"/>
      <c r="BT242" s="69"/>
      <c r="BU242" s="69"/>
      <c r="BV242" s="69"/>
      <c r="BW242" s="69"/>
      <c r="BX242" s="69"/>
      <c r="BY242" s="69"/>
      <c r="BZ242" s="69"/>
      <c r="CA242" s="69"/>
      <c r="CB242" s="69"/>
      <c r="CC242" s="69"/>
      <c r="CD242" s="69"/>
      <c r="CE242" s="69"/>
      <c r="CF242" s="69"/>
    </row>
    <row r="243">
      <c r="A243" s="69"/>
      <c r="B243" s="71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  <c r="BP243" s="69"/>
      <c r="BQ243" s="69"/>
      <c r="BR243" s="69"/>
      <c r="BS243" s="69"/>
      <c r="BT243" s="69"/>
      <c r="BU243" s="69"/>
      <c r="BV243" s="69"/>
      <c r="BW243" s="69"/>
      <c r="BX243" s="69"/>
      <c r="BY243" s="69"/>
      <c r="BZ243" s="69"/>
      <c r="CA243" s="69"/>
      <c r="CB243" s="69"/>
      <c r="CC243" s="69"/>
      <c r="CD243" s="69"/>
      <c r="CE243" s="69"/>
      <c r="CF243" s="69"/>
    </row>
    <row r="244">
      <c r="A244" s="69"/>
      <c r="B244" s="71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69"/>
      <c r="BE244" s="69"/>
      <c r="BF244" s="69"/>
      <c r="BG244" s="69"/>
      <c r="BH244" s="69"/>
      <c r="BI244" s="69"/>
      <c r="BJ244" s="69"/>
      <c r="BK244" s="69"/>
      <c r="BL244" s="69"/>
      <c r="BM244" s="69"/>
      <c r="BN244" s="69"/>
      <c r="BO244" s="69"/>
      <c r="BP244" s="69"/>
      <c r="BQ244" s="69"/>
      <c r="BR244" s="69"/>
      <c r="BS244" s="69"/>
      <c r="BT244" s="69"/>
      <c r="BU244" s="69"/>
      <c r="BV244" s="69"/>
      <c r="BW244" s="69"/>
      <c r="BX244" s="69"/>
      <c r="BY244" s="69"/>
      <c r="BZ244" s="69"/>
      <c r="CA244" s="69"/>
      <c r="CB244" s="69"/>
      <c r="CC244" s="69"/>
      <c r="CD244" s="69"/>
      <c r="CE244" s="69"/>
      <c r="CF244" s="69"/>
    </row>
    <row r="245">
      <c r="A245" s="69"/>
      <c r="B245" s="71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69"/>
      <c r="BE245" s="69"/>
      <c r="BF245" s="69"/>
      <c r="BG245" s="69"/>
      <c r="BH245" s="69"/>
      <c r="BI245" s="69"/>
      <c r="BJ245" s="69"/>
      <c r="BK245" s="69"/>
      <c r="BL245" s="69"/>
      <c r="BM245" s="69"/>
      <c r="BN245" s="69"/>
      <c r="BO245" s="69"/>
      <c r="BP245" s="69"/>
      <c r="BQ245" s="69"/>
      <c r="BR245" s="69"/>
      <c r="BS245" s="69"/>
      <c r="BT245" s="69"/>
      <c r="BU245" s="69"/>
      <c r="BV245" s="69"/>
      <c r="BW245" s="69"/>
      <c r="BX245" s="69"/>
      <c r="BY245" s="69"/>
      <c r="BZ245" s="69"/>
      <c r="CA245" s="69"/>
      <c r="CB245" s="69"/>
      <c r="CC245" s="69"/>
      <c r="CD245" s="69"/>
      <c r="CE245" s="69"/>
      <c r="CF245" s="69"/>
    </row>
    <row r="246">
      <c r="A246" s="69"/>
      <c r="B246" s="71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69"/>
      <c r="BE246" s="69"/>
      <c r="BF246" s="69"/>
      <c r="BG246" s="69"/>
      <c r="BH246" s="69"/>
      <c r="BI246" s="69"/>
      <c r="BJ246" s="69"/>
      <c r="BK246" s="69"/>
      <c r="BL246" s="69"/>
      <c r="BM246" s="69"/>
      <c r="BN246" s="69"/>
      <c r="BO246" s="69"/>
      <c r="BP246" s="69"/>
      <c r="BQ246" s="69"/>
      <c r="BR246" s="69"/>
      <c r="BS246" s="69"/>
      <c r="BT246" s="69"/>
      <c r="BU246" s="69"/>
      <c r="BV246" s="69"/>
      <c r="BW246" s="69"/>
      <c r="BX246" s="69"/>
      <c r="BY246" s="69"/>
      <c r="BZ246" s="69"/>
      <c r="CA246" s="69"/>
      <c r="CB246" s="69"/>
      <c r="CC246" s="69"/>
      <c r="CD246" s="69"/>
      <c r="CE246" s="69"/>
      <c r="CF246" s="69"/>
    </row>
    <row r="247">
      <c r="A247" s="69"/>
      <c r="B247" s="71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  <c r="BP247" s="69"/>
      <c r="BQ247" s="69"/>
      <c r="BR247" s="69"/>
      <c r="BS247" s="69"/>
      <c r="BT247" s="69"/>
      <c r="BU247" s="69"/>
      <c r="BV247" s="69"/>
      <c r="BW247" s="69"/>
      <c r="BX247" s="69"/>
      <c r="BY247" s="69"/>
      <c r="BZ247" s="69"/>
      <c r="CA247" s="69"/>
      <c r="CB247" s="69"/>
      <c r="CC247" s="69"/>
      <c r="CD247" s="69"/>
      <c r="CE247" s="69"/>
      <c r="CF247" s="69"/>
    </row>
    <row r="248">
      <c r="A248" s="69"/>
      <c r="B248" s="71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9"/>
      <c r="BP248" s="69"/>
      <c r="BQ248" s="69"/>
      <c r="BR248" s="69"/>
      <c r="BS248" s="69"/>
      <c r="BT248" s="69"/>
      <c r="BU248" s="69"/>
      <c r="BV248" s="69"/>
      <c r="BW248" s="69"/>
      <c r="BX248" s="69"/>
      <c r="BY248" s="69"/>
      <c r="BZ248" s="69"/>
      <c r="CA248" s="69"/>
      <c r="CB248" s="69"/>
      <c r="CC248" s="69"/>
      <c r="CD248" s="69"/>
      <c r="CE248" s="69"/>
      <c r="CF248" s="69"/>
    </row>
    <row r="249">
      <c r="A249" s="69"/>
      <c r="B249" s="71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69"/>
      <c r="BE249" s="69"/>
      <c r="BF249" s="69"/>
      <c r="BG249" s="69"/>
      <c r="BH249" s="69"/>
      <c r="BI249" s="69"/>
      <c r="BJ249" s="69"/>
      <c r="BK249" s="69"/>
      <c r="BL249" s="69"/>
      <c r="BM249" s="69"/>
      <c r="BN249" s="69"/>
      <c r="BO249" s="69"/>
      <c r="BP249" s="69"/>
      <c r="BQ249" s="69"/>
      <c r="BR249" s="69"/>
      <c r="BS249" s="69"/>
      <c r="BT249" s="69"/>
      <c r="BU249" s="69"/>
      <c r="BV249" s="69"/>
      <c r="BW249" s="69"/>
      <c r="BX249" s="69"/>
      <c r="BY249" s="69"/>
      <c r="BZ249" s="69"/>
      <c r="CA249" s="69"/>
      <c r="CB249" s="69"/>
      <c r="CC249" s="69"/>
      <c r="CD249" s="69"/>
      <c r="CE249" s="69"/>
      <c r="CF249" s="69"/>
    </row>
    <row r="250">
      <c r="A250" s="69"/>
      <c r="B250" s="71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69"/>
      <c r="BE250" s="69"/>
      <c r="BF250" s="69"/>
      <c r="BG250" s="69"/>
      <c r="BH250" s="69"/>
      <c r="BI250" s="69"/>
      <c r="BJ250" s="69"/>
      <c r="BK250" s="69"/>
      <c r="BL250" s="69"/>
      <c r="BM250" s="69"/>
      <c r="BN250" s="69"/>
      <c r="BO250" s="69"/>
      <c r="BP250" s="69"/>
      <c r="BQ250" s="69"/>
      <c r="BR250" s="69"/>
      <c r="BS250" s="69"/>
      <c r="BT250" s="69"/>
      <c r="BU250" s="69"/>
      <c r="BV250" s="69"/>
      <c r="BW250" s="69"/>
      <c r="BX250" s="69"/>
      <c r="BY250" s="69"/>
      <c r="BZ250" s="69"/>
      <c r="CA250" s="69"/>
      <c r="CB250" s="69"/>
      <c r="CC250" s="69"/>
      <c r="CD250" s="69"/>
      <c r="CE250" s="69"/>
      <c r="CF250" s="69"/>
    </row>
    <row r="251">
      <c r="A251" s="69"/>
      <c r="B251" s="71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69"/>
      <c r="BE251" s="69"/>
      <c r="BF251" s="69"/>
      <c r="BG251" s="69"/>
      <c r="BH251" s="69"/>
      <c r="BI251" s="69"/>
      <c r="BJ251" s="69"/>
      <c r="BK251" s="69"/>
      <c r="BL251" s="69"/>
      <c r="BM251" s="69"/>
      <c r="BN251" s="69"/>
      <c r="BO251" s="69"/>
      <c r="BP251" s="69"/>
      <c r="BQ251" s="69"/>
      <c r="BR251" s="69"/>
      <c r="BS251" s="69"/>
      <c r="BT251" s="69"/>
      <c r="BU251" s="69"/>
      <c r="BV251" s="69"/>
      <c r="BW251" s="69"/>
      <c r="BX251" s="69"/>
      <c r="BY251" s="69"/>
      <c r="BZ251" s="69"/>
      <c r="CA251" s="69"/>
      <c r="CB251" s="69"/>
      <c r="CC251" s="69"/>
      <c r="CD251" s="69"/>
      <c r="CE251" s="69"/>
      <c r="CF251" s="69"/>
    </row>
    <row r="252">
      <c r="A252" s="69"/>
      <c r="B252" s="71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69"/>
      <c r="BE252" s="69"/>
      <c r="BF252" s="69"/>
      <c r="BG252" s="69"/>
      <c r="BH252" s="69"/>
      <c r="BI252" s="69"/>
      <c r="BJ252" s="69"/>
      <c r="BK252" s="69"/>
      <c r="BL252" s="69"/>
      <c r="BM252" s="69"/>
      <c r="BN252" s="69"/>
      <c r="BO252" s="69"/>
      <c r="BP252" s="69"/>
      <c r="BQ252" s="69"/>
      <c r="BR252" s="69"/>
      <c r="BS252" s="69"/>
      <c r="BT252" s="69"/>
      <c r="BU252" s="69"/>
      <c r="BV252" s="69"/>
      <c r="BW252" s="69"/>
      <c r="BX252" s="69"/>
      <c r="BY252" s="69"/>
      <c r="BZ252" s="69"/>
      <c r="CA252" s="69"/>
      <c r="CB252" s="69"/>
      <c r="CC252" s="69"/>
      <c r="CD252" s="69"/>
      <c r="CE252" s="69"/>
      <c r="CF252" s="69"/>
    </row>
    <row r="253">
      <c r="A253" s="69"/>
      <c r="B253" s="71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69"/>
      <c r="BE253" s="69"/>
      <c r="BF253" s="69"/>
      <c r="BG253" s="69"/>
      <c r="BH253" s="69"/>
      <c r="BI253" s="69"/>
      <c r="BJ253" s="69"/>
      <c r="BK253" s="69"/>
      <c r="BL253" s="69"/>
      <c r="BM253" s="69"/>
      <c r="BN253" s="69"/>
      <c r="BO253" s="69"/>
      <c r="BP253" s="69"/>
      <c r="BQ253" s="69"/>
      <c r="BR253" s="69"/>
      <c r="BS253" s="69"/>
      <c r="BT253" s="69"/>
      <c r="BU253" s="69"/>
      <c r="BV253" s="69"/>
      <c r="BW253" s="69"/>
      <c r="BX253" s="69"/>
      <c r="BY253" s="69"/>
      <c r="BZ253" s="69"/>
      <c r="CA253" s="69"/>
      <c r="CB253" s="69"/>
      <c r="CC253" s="69"/>
      <c r="CD253" s="69"/>
      <c r="CE253" s="69"/>
      <c r="CF253" s="69"/>
    </row>
    <row r="254">
      <c r="A254" s="69"/>
      <c r="B254" s="71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  <c r="BP254" s="69"/>
      <c r="BQ254" s="69"/>
      <c r="BR254" s="69"/>
      <c r="BS254" s="69"/>
      <c r="BT254" s="69"/>
      <c r="BU254" s="69"/>
      <c r="BV254" s="69"/>
      <c r="BW254" s="69"/>
      <c r="BX254" s="69"/>
      <c r="BY254" s="69"/>
      <c r="BZ254" s="69"/>
      <c r="CA254" s="69"/>
      <c r="CB254" s="69"/>
      <c r="CC254" s="69"/>
      <c r="CD254" s="69"/>
      <c r="CE254" s="69"/>
      <c r="CF254" s="69"/>
    </row>
    <row r="255">
      <c r="A255" s="69"/>
      <c r="B255" s="71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  <c r="BP255" s="69"/>
      <c r="BQ255" s="69"/>
      <c r="BR255" s="69"/>
      <c r="BS255" s="69"/>
      <c r="BT255" s="69"/>
      <c r="BU255" s="69"/>
      <c r="BV255" s="69"/>
      <c r="BW255" s="69"/>
      <c r="BX255" s="69"/>
      <c r="BY255" s="69"/>
      <c r="BZ255" s="69"/>
      <c r="CA255" s="69"/>
      <c r="CB255" s="69"/>
      <c r="CC255" s="69"/>
      <c r="CD255" s="69"/>
      <c r="CE255" s="69"/>
      <c r="CF255" s="69"/>
    </row>
    <row r="256">
      <c r="A256" s="69"/>
      <c r="B256" s="71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69"/>
      <c r="BE256" s="69"/>
      <c r="BF256" s="69"/>
      <c r="BG256" s="69"/>
      <c r="BH256" s="69"/>
      <c r="BI256" s="69"/>
      <c r="BJ256" s="69"/>
      <c r="BK256" s="69"/>
      <c r="BL256" s="69"/>
      <c r="BM256" s="69"/>
      <c r="BN256" s="69"/>
      <c r="BO256" s="69"/>
      <c r="BP256" s="69"/>
      <c r="BQ256" s="69"/>
      <c r="BR256" s="69"/>
      <c r="BS256" s="69"/>
      <c r="BT256" s="69"/>
      <c r="BU256" s="69"/>
      <c r="BV256" s="69"/>
      <c r="BW256" s="69"/>
      <c r="BX256" s="69"/>
      <c r="BY256" s="69"/>
      <c r="BZ256" s="69"/>
      <c r="CA256" s="69"/>
      <c r="CB256" s="69"/>
      <c r="CC256" s="69"/>
      <c r="CD256" s="69"/>
      <c r="CE256" s="69"/>
      <c r="CF256" s="69"/>
    </row>
    <row r="257">
      <c r="A257" s="69"/>
      <c r="B257" s="71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  <c r="BP257" s="69"/>
      <c r="BQ257" s="69"/>
      <c r="BR257" s="69"/>
      <c r="BS257" s="69"/>
      <c r="BT257" s="69"/>
      <c r="BU257" s="69"/>
      <c r="BV257" s="69"/>
      <c r="BW257" s="69"/>
      <c r="BX257" s="69"/>
      <c r="BY257" s="69"/>
      <c r="BZ257" s="69"/>
      <c r="CA257" s="69"/>
      <c r="CB257" s="69"/>
      <c r="CC257" s="69"/>
      <c r="CD257" s="69"/>
      <c r="CE257" s="69"/>
      <c r="CF257" s="69"/>
    </row>
    <row r="258">
      <c r="A258" s="69"/>
      <c r="B258" s="71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69"/>
      <c r="BE258" s="69"/>
      <c r="BF258" s="69"/>
      <c r="BG258" s="69"/>
      <c r="BH258" s="69"/>
      <c r="BI258" s="69"/>
      <c r="BJ258" s="69"/>
      <c r="BK258" s="69"/>
      <c r="BL258" s="69"/>
      <c r="BM258" s="69"/>
      <c r="BN258" s="69"/>
      <c r="BO258" s="69"/>
      <c r="BP258" s="69"/>
      <c r="BQ258" s="69"/>
      <c r="BR258" s="69"/>
      <c r="BS258" s="69"/>
      <c r="BT258" s="69"/>
      <c r="BU258" s="69"/>
      <c r="BV258" s="69"/>
      <c r="BW258" s="69"/>
      <c r="BX258" s="69"/>
      <c r="BY258" s="69"/>
      <c r="BZ258" s="69"/>
      <c r="CA258" s="69"/>
      <c r="CB258" s="69"/>
      <c r="CC258" s="69"/>
      <c r="CD258" s="69"/>
      <c r="CE258" s="69"/>
      <c r="CF258" s="69"/>
    </row>
    <row r="259">
      <c r="A259" s="69"/>
      <c r="B259" s="71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  <c r="BP259" s="69"/>
      <c r="BQ259" s="69"/>
      <c r="BR259" s="69"/>
      <c r="BS259" s="69"/>
      <c r="BT259" s="69"/>
      <c r="BU259" s="69"/>
      <c r="BV259" s="69"/>
      <c r="BW259" s="69"/>
      <c r="BX259" s="69"/>
      <c r="BY259" s="69"/>
      <c r="BZ259" s="69"/>
      <c r="CA259" s="69"/>
      <c r="CB259" s="69"/>
      <c r="CC259" s="69"/>
      <c r="CD259" s="69"/>
      <c r="CE259" s="69"/>
      <c r="CF259" s="69"/>
    </row>
    <row r="260">
      <c r="A260" s="69"/>
      <c r="B260" s="71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  <c r="BP260" s="69"/>
      <c r="BQ260" s="69"/>
      <c r="BR260" s="69"/>
      <c r="BS260" s="69"/>
      <c r="BT260" s="69"/>
      <c r="BU260" s="69"/>
      <c r="BV260" s="69"/>
      <c r="BW260" s="69"/>
      <c r="BX260" s="69"/>
      <c r="BY260" s="69"/>
      <c r="BZ260" s="69"/>
      <c r="CA260" s="69"/>
      <c r="CB260" s="69"/>
      <c r="CC260" s="69"/>
      <c r="CD260" s="69"/>
      <c r="CE260" s="69"/>
      <c r="CF260" s="69"/>
    </row>
    <row r="261">
      <c r="A261" s="69"/>
      <c r="B261" s="71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  <c r="BP261" s="69"/>
      <c r="BQ261" s="69"/>
      <c r="BR261" s="69"/>
      <c r="BS261" s="69"/>
      <c r="BT261" s="69"/>
      <c r="BU261" s="69"/>
      <c r="BV261" s="69"/>
      <c r="BW261" s="69"/>
      <c r="BX261" s="69"/>
      <c r="BY261" s="69"/>
      <c r="BZ261" s="69"/>
      <c r="CA261" s="69"/>
      <c r="CB261" s="69"/>
      <c r="CC261" s="69"/>
      <c r="CD261" s="69"/>
      <c r="CE261" s="69"/>
      <c r="CF261" s="69"/>
    </row>
    <row r="262">
      <c r="A262" s="69"/>
      <c r="B262" s="71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69"/>
      <c r="BE262" s="69"/>
      <c r="BF262" s="69"/>
      <c r="BG262" s="69"/>
      <c r="BH262" s="69"/>
      <c r="BI262" s="69"/>
      <c r="BJ262" s="69"/>
      <c r="BK262" s="69"/>
      <c r="BL262" s="69"/>
      <c r="BM262" s="69"/>
      <c r="BN262" s="69"/>
      <c r="BO262" s="69"/>
      <c r="BP262" s="69"/>
      <c r="BQ262" s="69"/>
      <c r="BR262" s="69"/>
      <c r="BS262" s="69"/>
      <c r="BT262" s="69"/>
      <c r="BU262" s="69"/>
      <c r="BV262" s="69"/>
      <c r="BW262" s="69"/>
      <c r="BX262" s="69"/>
      <c r="BY262" s="69"/>
      <c r="BZ262" s="69"/>
      <c r="CA262" s="69"/>
      <c r="CB262" s="69"/>
      <c r="CC262" s="69"/>
      <c r="CD262" s="69"/>
      <c r="CE262" s="69"/>
      <c r="CF262" s="69"/>
    </row>
    <row r="263">
      <c r="A263" s="69"/>
      <c r="B263" s="71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69"/>
      <c r="BE263" s="69"/>
      <c r="BF263" s="69"/>
      <c r="BG263" s="69"/>
      <c r="BH263" s="69"/>
      <c r="BI263" s="69"/>
      <c r="BJ263" s="69"/>
      <c r="BK263" s="69"/>
      <c r="BL263" s="69"/>
      <c r="BM263" s="69"/>
      <c r="BN263" s="69"/>
      <c r="BO263" s="69"/>
      <c r="BP263" s="69"/>
      <c r="BQ263" s="69"/>
      <c r="BR263" s="69"/>
      <c r="BS263" s="69"/>
      <c r="BT263" s="69"/>
      <c r="BU263" s="69"/>
      <c r="BV263" s="69"/>
      <c r="BW263" s="69"/>
      <c r="BX263" s="69"/>
      <c r="BY263" s="69"/>
      <c r="BZ263" s="69"/>
      <c r="CA263" s="69"/>
      <c r="CB263" s="69"/>
      <c r="CC263" s="69"/>
      <c r="CD263" s="69"/>
      <c r="CE263" s="69"/>
      <c r="CF263" s="69"/>
    </row>
    <row r="264">
      <c r="A264" s="69"/>
      <c r="B264" s="71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69"/>
      <c r="BE264" s="69"/>
      <c r="BF264" s="69"/>
      <c r="BG264" s="69"/>
      <c r="BH264" s="69"/>
      <c r="BI264" s="69"/>
      <c r="BJ264" s="69"/>
      <c r="BK264" s="69"/>
      <c r="BL264" s="69"/>
      <c r="BM264" s="69"/>
      <c r="BN264" s="69"/>
      <c r="BO264" s="69"/>
      <c r="BP264" s="69"/>
      <c r="BQ264" s="69"/>
      <c r="BR264" s="69"/>
      <c r="BS264" s="69"/>
      <c r="BT264" s="69"/>
      <c r="BU264" s="69"/>
      <c r="BV264" s="69"/>
      <c r="BW264" s="69"/>
      <c r="BX264" s="69"/>
      <c r="BY264" s="69"/>
      <c r="BZ264" s="69"/>
      <c r="CA264" s="69"/>
      <c r="CB264" s="69"/>
      <c r="CC264" s="69"/>
      <c r="CD264" s="69"/>
      <c r="CE264" s="69"/>
      <c r="CF264" s="69"/>
    </row>
    <row r="265">
      <c r="A265" s="69"/>
      <c r="B265" s="71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  <c r="BP265" s="69"/>
      <c r="BQ265" s="69"/>
      <c r="BR265" s="69"/>
      <c r="BS265" s="69"/>
      <c r="BT265" s="69"/>
      <c r="BU265" s="69"/>
      <c r="BV265" s="69"/>
      <c r="BW265" s="69"/>
      <c r="BX265" s="69"/>
      <c r="BY265" s="69"/>
      <c r="BZ265" s="69"/>
      <c r="CA265" s="69"/>
      <c r="CB265" s="69"/>
      <c r="CC265" s="69"/>
      <c r="CD265" s="69"/>
      <c r="CE265" s="69"/>
      <c r="CF265" s="69"/>
    </row>
    <row r="266">
      <c r="A266" s="69"/>
      <c r="B266" s="71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69"/>
      <c r="BE266" s="69"/>
      <c r="BF266" s="69"/>
      <c r="BG266" s="69"/>
      <c r="BH266" s="69"/>
      <c r="BI266" s="69"/>
      <c r="BJ266" s="69"/>
      <c r="BK266" s="69"/>
      <c r="BL266" s="69"/>
      <c r="BM266" s="69"/>
      <c r="BN266" s="69"/>
      <c r="BO266" s="69"/>
      <c r="BP266" s="69"/>
      <c r="BQ266" s="69"/>
      <c r="BR266" s="69"/>
      <c r="BS266" s="69"/>
      <c r="BT266" s="69"/>
      <c r="BU266" s="69"/>
      <c r="BV266" s="69"/>
      <c r="BW266" s="69"/>
      <c r="BX266" s="69"/>
      <c r="BY266" s="69"/>
      <c r="BZ266" s="69"/>
      <c r="CA266" s="69"/>
      <c r="CB266" s="69"/>
      <c r="CC266" s="69"/>
      <c r="CD266" s="69"/>
      <c r="CE266" s="69"/>
      <c r="CF266" s="69"/>
    </row>
    <row r="267">
      <c r="A267" s="69"/>
      <c r="B267" s="71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69"/>
      <c r="BE267" s="69"/>
      <c r="BF267" s="69"/>
      <c r="BG267" s="69"/>
      <c r="BH267" s="69"/>
      <c r="BI267" s="69"/>
      <c r="BJ267" s="69"/>
      <c r="BK267" s="69"/>
      <c r="BL267" s="69"/>
      <c r="BM267" s="69"/>
      <c r="BN267" s="69"/>
      <c r="BO267" s="69"/>
      <c r="BP267" s="69"/>
      <c r="BQ267" s="69"/>
      <c r="BR267" s="69"/>
      <c r="BS267" s="69"/>
      <c r="BT267" s="69"/>
      <c r="BU267" s="69"/>
      <c r="BV267" s="69"/>
      <c r="BW267" s="69"/>
      <c r="BX267" s="69"/>
      <c r="BY267" s="69"/>
      <c r="BZ267" s="69"/>
      <c r="CA267" s="69"/>
      <c r="CB267" s="69"/>
      <c r="CC267" s="69"/>
      <c r="CD267" s="69"/>
      <c r="CE267" s="69"/>
      <c r="CF267" s="69"/>
    </row>
    <row r="268">
      <c r="A268" s="69"/>
      <c r="B268" s="71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69"/>
      <c r="BE268" s="69"/>
      <c r="BF268" s="69"/>
      <c r="BG268" s="69"/>
      <c r="BH268" s="69"/>
      <c r="BI268" s="69"/>
      <c r="BJ268" s="69"/>
      <c r="BK268" s="69"/>
      <c r="BL268" s="69"/>
      <c r="BM268" s="69"/>
      <c r="BN268" s="69"/>
      <c r="BO268" s="69"/>
      <c r="BP268" s="69"/>
      <c r="BQ268" s="69"/>
      <c r="BR268" s="69"/>
      <c r="BS268" s="69"/>
      <c r="BT268" s="69"/>
      <c r="BU268" s="69"/>
      <c r="BV268" s="69"/>
      <c r="BW268" s="69"/>
      <c r="BX268" s="69"/>
      <c r="BY268" s="69"/>
      <c r="BZ268" s="69"/>
      <c r="CA268" s="69"/>
      <c r="CB268" s="69"/>
      <c r="CC268" s="69"/>
      <c r="CD268" s="69"/>
      <c r="CE268" s="69"/>
      <c r="CF268" s="69"/>
    </row>
    <row r="269">
      <c r="A269" s="69"/>
      <c r="B269" s="71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69"/>
      <c r="BE269" s="69"/>
      <c r="BF269" s="69"/>
      <c r="BG269" s="69"/>
      <c r="BH269" s="69"/>
      <c r="BI269" s="69"/>
      <c r="BJ269" s="69"/>
      <c r="BK269" s="69"/>
      <c r="BL269" s="69"/>
      <c r="BM269" s="69"/>
      <c r="BN269" s="69"/>
      <c r="BO269" s="69"/>
      <c r="BP269" s="69"/>
      <c r="BQ269" s="69"/>
      <c r="BR269" s="69"/>
      <c r="BS269" s="69"/>
      <c r="BT269" s="69"/>
      <c r="BU269" s="69"/>
      <c r="BV269" s="69"/>
      <c r="BW269" s="69"/>
      <c r="BX269" s="69"/>
      <c r="BY269" s="69"/>
      <c r="BZ269" s="69"/>
      <c r="CA269" s="69"/>
      <c r="CB269" s="69"/>
      <c r="CC269" s="69"/>
      <c r="CD269" s="69"/>
      <c r="CE269" s="69"/>
      <c r="CF269" s="69"/>
    </row>
    <row r="270">
      <c r="A270" s="69"/>
      <c r="B270" s="71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69"/>
      <c r="BE270" s="69"/>
      <c r="BF270" s="69"/>
      <c r="BG270" s="69"/>
      <c r="BH270" s="69"/>
      <c r="BI270" s="69"/>
      <c r="BJ270" s="69"/>
      <c r="BK270" s="69"/>
      <c r="BL270" s="69"/>
      <c r="BM270" s="69"/>
      <c r="BN270" s="69"/>
      <c r="BO270" s="69"/>
      <c r="BP270" s="69"/>
      <c r="BQ270" s="69"/>
      <c r="BR270" s="69"/>
      <c r="BS270" s="69"/>
      <c r="BT270" s="69"/>
      <c r="BU270" s="69"/>
      <c r="BV270" s="69"/>
      <c r="BW270" s="69"/>
      <c r="BX270" s="69"/>
      <c r="BY270" s="69"/>
      <c r="BZ270" s="69"/>
      <c r="CA270" s="69"/>
      <c r="CB270" s="69"/>
      <c r="CC270" s="69"/>
      <c r="CD270" s="69"/>
      <c r="CE270" s="69"/>
      <c r="CF270" s="69"/>
    </row>
    <row r="271">
      <c r="A271" s="69"/>
      <c r="B271" s="71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  <c r="BP271" s="69"/>
      <c r="BQ271" s="69"/>
      <c r="BR271" s="69"/>
      <c r="BS271" s="69"/>
      <c r="BT271" s="69"/>
      <c r="BU271" s="69"/>
      <c r="BV271" s="69"/>
      <c r="BW271" s="69"/>
      <c r="BX271" s="69"/>
      <c r="BY271" s="69"/>
      <c r="BZ271" s="69"/>
      <c r="CA271" s="69"/>
      <c r="CB271" s="69"/>
      <c r="CC271" s="69"/>
      <c r="CD271" s="69"/>
      <c r="CE271" s="69"/>
      <c r="CF271" s="69"/>
    </row>
    <row r="272">
      <c r="A272" s="69"/>
      <c r="B272" s="71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69"/>
      <c r="BE272" s="69"/>
      <c r="BF272" s="69"/>
      <c r="BG272" s="69"/>
      <c r="BH272" s="69"/>
      <c r="BI272" s="69"/>
      <c r="BJ272" s="69"/>
      <c r="BK272" s="69"/>
      <c r="BL272" s="69"/>
      <c r="BM272" s="69"/>
      <c r="BN272" s="69"/>
      <c r="BO272" s="69"/>
      <c r="BP272" s="69"/>
      <c r="BQ272" s="69"/>
      <c r="BR272" s="69"/>
      <c r="BS272" s="69"/>
      <c r="BT272" s="69"/>
      <c r="BU272" s="69"/>
      <c r="BV272" s="69"/>
      <c r="BW272" s="69"/>
      <c r="BX272" s="69"/>
      <c r="BY272" s="69"/>
      <c r="BZ272" s="69"/>
      <c r="CA272" s="69"/>
      <c r="CB272" s="69"/>
      <c r="CC272" s="69"/>
      <c r="CD272" s="69"/>
      <c r="CE272" s="69"/>
      <c r="CF272" s="69"/>
    </row>
    <row r="273">
      <c r="A273" s="69"/>
      <c r="B273" s="71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  <c r="BP273" s="69"/>
      <c r="BQ273" s="69"/>
      <c r="BR273" s="69"/>
      <c r="BS273" s="69"/>
      <c r="BT273" s="69"/>
      <c r="BU273" s="69"/>
      <c r="BV273" s="69"/>
      <c r="BW273" s="69"/>
      <c r="BX273" s="69"/>
      <c r="BY273" s="69"/>
      <c r="BZ273" s="69"/>
      <c r="CA273" s="69"/>
      <c r="CB273" s="69"/>
      <c r="CC273" s="69"/>
      <c r="CD273" s="69"/>
      <c r="CE273" s="69"/>
      <c r="CF273" s="69"/>
    </row>
    <row r="274">
      <c r="A274" s="69"/>
      <c r="B274" s="71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  <c r="BP274" s="69"/>
      <c r="BQ274" s="69"/>
      <c r="BR274" s="69"/>
      <c r="BS274" s="69"/>
      <c r="BT274" s="69"/>
      <c r="BU274" s="69"/>
      <c r="BV274" s="69"/>
      <c r="BW274" s="69"/>
      <c r="BX274" s="69"/>
      <c r="BY274" s="69"/>
      <c r="BZ274" s="69"/>
      <c r="CA274" s="69"/>
      <c r="CB274" s="69"/>
      <c r="CC274" s="69"/>
      <c r="CD274" s="69"/>
      <c r="CE274" s="69"/>
      <c r="CF274" s="69"/>
    </row>
    <row r="275">
      <c r="A275" s="69"/>
      <c r="B275" s="71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69"/>
      <c r="BE275" s="69"/>
      <c r="BF275" s="69"/>
      <c r="BG275" s="69"/>
      <c r="BH275" s="69"/>
      <c r="BI275" s="69"/>
      <c r="BJ275" s="69"/>
      <c r="BK275" s="69"/>
      <c r="BL275" s="69"/>
      <c r="BM275" s="69"/>
      <c r="BN275" s="69"/>
      <c r="BO275" s="69"/>
      <c r="BP275" s="69"/>
      <c r="BQ275" s="69"/>
      <c r="BR275" s="69"/>
      <c r="BS275" s="69"/>
      <c r="BT275" s="69"/>
      <c r="BU275" s="69"/>
      <c r="BV275" s="69"/>
      <c r="BW275" s="69"/>
      <c r="BX275" s="69"/>
      <c r="BY275" s="69"/>
      <c r="BZ275" s="69"/>
      <c r="CA275" s="69"/>
      <c r="CB275" s="69"/>
      <c r="CC275" s="69"/>
      <c r="CD275" s="69"/>
      <c r="CE275" s="69"/>
      <c r="CF275" s="69"/>
    </row>
    <row r="276">
      <c r="A276" s="69"/>
      <c r="B276" s="71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69"/>
      <c r="BE276" s="69"/>
      <c r="BF276" s="69"/>
      <c r="BG276" s="69"/>
      <c r="BH276" s="69"/>
      <c r="BI276" s="69"/>
      <c r="BJ276" s="69"/>
      <c r="BK276" s="69"/>
      <c r="BL276" s="69"/>
      <c r="BM276" s="69"/>
      <c r="BN276" s="69"/>
      <c r="BO276" s="69"/>
      <c r="BP276" s="69"/>
      <c r="BQ276" s="69"/>
      <c r="BR276" s="69"/>
      <c r="BS276" s="69"/>
      <c r="BT276" s="69"/>
      <c r="BU276" s="69"/>
      <c r="BV276" s="69"/>
      <c r="BW276" s="69"/>
      <c r="BX276" s="69"/>
      <c r="BY276" s="69"/>
      <c r="BZ276" s="69"/>
      <c r="CA276" s="69"/>
      <c r="CB276" s="69"/>
      <c r="CC276" s="69"/>
      <c r="CD276" s="69"/>
      <c r="CE276" s="69"/>
      <c r="CF276" s="69"/>
    </row>
    <row r="277">
      <c r="A277" s="69"/>
      <c r="B277" s="71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  <c r="BP277" s="69"/>
      <c r="BQ277" s="69"/>
      <c r="BR277" s="69"/>
      <c r="BS277" s="69"/>
      <c r="BT277" s="69"/>
      <c r="BU277" s="69"/>
      <c r="BV277" s="69"/>
      <c r="BW277" s="69"/>
      <c r="BX277" s="69"/>
      <c r="BY277" s="69"/>
      <c r="BZ277" s="69"/>
      <c r="CA277" s="69"/>
      <c r="CB277" s="69"/>
      <c r="CC277" s="69"/>
      <c r="CD277" s="69"/>
      <c r="CE277" s="69"/>
      <c r="CF277" s="69"/>
    </row>
    <row r="278">
      <c r="A278" s="69"/>
      <c r="B278" s="71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69"/>
      <c r="BE278" s="69"/>
      <c r="BF278" s="69"/>
      <c r="BG278" s="69"/>
      <c r="BH278" s="69"/>
      <c r="BI278" s="69"/>
      <c r="BJ278" s="69"/>
      <c r="BK278" s="69"/>
      <c r="BL278" s="69"/>
      <c r="BM278" s="69"/>
      <c r="BN278" s="69"/>
      <c r="BO278" s="69"/>
      <c r="BP278" s="69"/>
      <c r="BQ278" s="69"/>
      <c r="BR278" s="69"/>
      <c r="BS278" s="69"/>
      <c r="BT278" s="69"/>
      <c r="BU278" s="69"/>
      <c r="BV278" s="69"/>
      <c r="BW278" s="69"/>
      <c r="BX278" s="69"/>
      <c r="BY278" s="69"/>
      <c r="BZ278" s="69"/>
      <c r="CA278" s="69"/>
      <c r="CB278" s="69"/>
      <c r="CC278" s="69"/>
      <c r="CD278" s="69"/>
      <c r="CE278" s="69"/>
      <c r="CF278" s="69"/>
    </row>
    <row r="279">
      <c r="A279" s="69"/>
      <c r="B279" s="71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69"/>
      <c r="BE279" s="69"/>
      <c r="BF279" s="69"/>
      <c r="BG279" s="69"/>
      <c r="BH279" s="69"/>
      <c r="BI279" s="69"/>
      <c r="BJ279" s="69"/>
      <c r="BK279" s="69"/>
      <c r="BL279" s="69"/>
      <c r="BM279" s="69"/>
      <c r="BN279" s="69"/>
      <c r="BO279" s="69"/>
      <c r="BP279" s="69"/>
      <c r="BQ279" s="69"/>
      <c r="BR279" s="69"/>
      <c r="BS279" s="69"/>
      <c r="BT279" s="69"/>
      <c r="BU279" s="69"/>
      <c r="BV279" s="69"/>
      <c r="BW279" s="69"/>
      <c r="BX279" s="69"/>
      <c r="BY279" s="69"/>
      <c r="BZ279" s="69"/>
      <c r="CA279" s="69"/>
      <c r="CB279" s="69"/>
      <c r="CC279" s="69"/>
      <c r="CD279" s="69"/>
      <c r="CE279" s="69"/>
      <c r="CF279" s="69"/>
    </row>
    <row r="280">
      <c r="A280" s="69"/>
      <c r="B280" s="71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  <c r="BP280" s="69"/>
      <c r="BQ280" s="69"/>
      <c r="BR280" s="69"/>
      <c r="BS280" s="69"/>
      <c r="BT280" s="69"/>
      <c r="BU280" s="69"/>
      <c r="BV280" s="69"/>
      <c r="BW280" s="69"/>
      <c r="BX280" s="69"/>
      <c r="BY280" s="69"/>
      <c r="BZ280" s="69"/>
      <c r="CA280" s="69"/>
      <c r="CB280" s="69"/>
      <c r="CC280" s="69"/>
      <c r="CD280" s="69"/>
      <c r="CE280" s="69"/>
      <c r="CF280" s="69"/>
    </row>
    <row r="281">
      <c r="A281" s="69"/>
      <c r="B281" s="71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  <c r="BP281" s="69"/>
      <c r="BQ281" s="69"/>
      <c r="BR281" s="69"/>
      <c r="BS281" s="69"/>
      <c r="BT281" s="69"/>
      <c r="BU281" s="69"/>
      <c r="BV281" s="69"/>
      <c r="BW281" s="69"/>
      <c r="BX281" s="69"/>
      <c r="BY281" s="69"/>
      <c r="BZ281" s="69"/>
      <c r="CA281" s="69"/>
      <c r="CB281" s="69"/>
      <c r="CC281" s="69"/>
      <c r="CD281" s="69"/>
      <c r="CE281" s="69"/>
      <c r="CF281" s="69"/>
    </row>
    <row r="282">
      <c r="A282" s="69"/>
      <c r="B282" s="71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  <c r="BP282" s="69"/>
      <c r="BQ282" s="69"/>
      <c r="BR282" s="69"/>
      <c r="BS282" s="69"/>
      <c r="BT282" s="69"/>
      <c r="BU282" s="69"/>
      <c r="BV282" s="69"/>
      <c r="BW282" s="69"/>
      <c r="BX282" s="69"/>
      <c r="BY282" s="69"/>
      <c r="BZ282" s="69"/>
      <c r="CA282" s="69"/>
      <c r="CB282" s="69"/>
      <c r="CC282" s="69"/>
      <c r="CD282" s="69"/>
      <c r="CE282" s="69"/>
      <c r="CF282" s="69"/>
    </row>
    <row r="283">
      <c r="A283" s="69"/>
      <c r="B283" s="71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  <c r="BP283" s="69"/>
      <c r="BQ283" s="69"/>
      <c r="BR283" s="69"/>
      <c r="BS283" s="69"/>
      <c r="BT283" s="69"/>
      <c r="BU283" s="69"/>
      <c r="BV283" s="69"/>
      <c r="BW283" s="69"/>
      <c r="BX283" s="69"/>
      <c r="BY283" s="69"/>
      <c r="BZ283" s="69"/>
      <c r="CA283" s="69"/>
      <c r="CB283" s="69"/>
      <c r="CC283" s="69"/>
      <c r="CD283" s="69"/>
      <c r="CE283" s="69"/>
      <c r="CF283" s="69"/>
    </row>
    <row r="284">
      <c r="A284" s="69"/>
      <c r="B284" s="71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69"/>
      <c r="BE284" s="69"/>
      <c r="BF284" s="69"/>
      <c r="BG284" s="69"/>
      <c r="BH284" s="69"/>
      <c r="BI284" s="69"/>
      <c r="BJ284" s="69"/>
      <c r="BK284" s="69"/>
      <c r="BL284" s="69"/>
      <c r="BM284" s="69"/>
      <c r="BN284" s="69"/>
      <c r="BO284" s="69"/>
      <c r="BP284" s="69"/>
      <c r="BQ284" s="69"/>
      <c r="BR284" s="69"/>
      <c r="BS284" s="69"/>
      <c r="BT284" s="69"/>
      <c r="BU284" s="69"/>
      <c r="BV284" s="69"/>
      <c r="BW284" s="69"/>
      <c r="BX284" s="69"/>
      <c r="BY284" s="69"/>
      <c r="BZ284" s="69"/>
      <c r="CA284" s="69"/>
      <c r="CB284" s="69"/>
      <c r="CC284" s="69"/>
      <c r="CD284" s="69"/>
      <c r="CE284" s="69"/>
      <c r="CF284" s="69"/>
    </row>
    <row r="285">
      <c r="A285" s="69"/>
      <c r="B285" s="71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69"/>
      <c r="BE285" s="69"/>
      <c r="BF285" s="69"/>
      <c r="BG285" s="69"/>
      <c r="BH285" s="69"/>
      <c r="BI285" s="69"/>
      <c r="BJ285" s="69"/>
      <c r="BK285" s="69"/>
      <c r="BL285" s="69"/>
      <c r="BM285" s="69"/>
      <c r="BN285" s="69"/>
      <c r="BO285" s="69"/>
      <c r="BP285" s="69"/>
      <c r="BQ285" s="69"/>
      <c r="BR285" s="69"/>
      <c r="BS285" s="69"/>
      <c r="BT285" s="69"/>
      <c r="BU285" s="69"/>
      <c r="BV285" s="69"/>
      <c r="BW285" s="69"/>
      <c r="BX285" s="69"/>
      <c r="BY285" s="69"/>
      <c r="BZ285" s="69"/>
      <c r="CA285" s="69"/>
      <c r="CB285" s="69"/>
      <c r="CC285" s="69"/>
      <c r="CD285" s="69"/>
      <c r="CE285" s="69"/>
      <c r="CF285" s="69"/>
    </row>
    <row r="286">
      <c r="A286" s="69"/>
      <c r="B286" s="71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69"/>
      <c r="BE286" s="69"/>
      <c r="BF286" s="69"/>
      <c r="BG286" s="69"/>
      <c r="BH286" s="69"/>
      <c r="BI286" s="69"/>
      <c r="BJ286" s="69"/>
      <c r="BK286" s="69"/>
      <c r="BL286" s="69"/>
      <c r="BM286" s="69"/>
      <c r="BN286" s="69"/>
      <c r="BO286" s="69"/>
      <c r="BP286" s="69"/>
      <c r="BQ286" s="69"/>
      <c r="BR286" s="69"/>
      <c r="BS286" s="69"/>
      <c r="BT286" s="69"/>
      <c r="BU286" s="69"/>
      <c r="BV286" s="69"/>
      <c r="BW286" s="69"/>
      <c r="BX286" s="69"/>
      <c r="BY286" s="69"/>
      <c r="BZ286" s="69"/>
      <c r="CA286" s="69"/>
      <c r="CB286" s="69"/>
      <c r="CC286" s="69"/>
      <c r="CD286" s="69"/>
      <c r="CE286" s="69"/>
      <c r="CF286" s="69"/>
    </row>
    <row r="287">
      <c r="A287" s="69"/>
      <c r="B287" s="71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  <c r="BP287" s="69"/>
      <c r="BQ287" s="69"/>
      <c r="BR287" s="69"/>
      <c r="BS287" s="69"/>
      <c r="BT287" s="69"/>
      <c r="BU287" s="69"/>
      <c r="BV287" s="69"/>
      <c r="BW287" s="69"/>
      <c r="BX287" s="69"/>
      <c r="BY287" s="69"/>
      <c r="BZ287" s="69"/>
      <c r="CA287" s="69"/>
      <c r="CB287" s="69"/>
      <c r="CC287" s="69"/>
      <c r="CD287" s="69"/>
      <c r="CE287" s="69"/>
      <c r="CF287" s="69"/>
    </row>
    <row r="288">
      <c r="A288" s="69"/>
      <c r="B288" s="71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69"/>
      <c r="BE288" s="69"/>
      <c r="BF288" s="69"/>
      <c r="BG288" s="69"/>
      <c r="BH288" s="69"/>
      <c r="BI288" s="69"/>
      <c r="BJ288" s="69"/>
      <c r="BK288" s="69"/>
      <c r="BL288" s="69"/>
      <c r="BM288" s="69"/>
      <c r="BN288" s="69"/>
      <c r="BO288" s="69"/>
      <c r="BP288" s="69"/>
      <c r="BQ288" s="69"/>
      <c r="BR288" s="69"/>
      <c r="BS288" s="69"/>
      <c r="BT288" s="69"/>
      <c r="BU288" s="69"/>
      <c r="BV288" s="69"/>
      <c r="BW288" s="69"/>
      <c r="BX288" s="69"/>
      <c r="BY288" s="69"/>
      <c r="BZ288" s="69"/>
      <c r="CA288" s="69"/>
      <c r="CB288" s="69"/>
      <c r="CC288" s="69"/>
      <c r="CD288" s="69"/>
      <c r="CE288" s="69"/>
      <c r="CF288" s="69"/>
    </row>
    <row r="289">
      <c r="A289" s="69"/>
      <c r="B289" s="71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  <c r="BP289" s="69"/>
      <c r="BQ289" s="69"/>
      <c r="BR289" s="69"/>
      <c r="BS289" s="69"/>
      <c r="BT289" s="69"/>
      <c r="BU289" s="69"/>
      <c r="BV289" s="69"/>
      <c r="BW289" s="69"/>
      <c r="BX289" s="69"/>
      <c r="BY289" s="69"/>
      <c r="BZ289" s="69"/>
      <c r="CA289" s="69"/>
      <c r="CB289" s="69"/>
      <c r="CC289" s="69"/>
      <c r="CD289" s="69"/>
      <c r="CE289" s="69"/>
      <c r="CF289" s="69"/>
    </row>
    <row r="290">
      <c r="A290" s="69"/>
      <c r="B290" s="71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69"/>
      <c r="BE290" s="69"/>
      <c r="BF290" s="69"/>
      <c r="BG290" s="69"/>
      <c r="BH290" s="69"/>
      <c r="BI290" s="69"/>
      <c r="BJ290" s="69"/>
      <c r="BK290" s="69"/>
      <c r="BL290" s="69"/>
      <c r="BM290" s="69"/>
      <c r="BN290" s="69"/>
      <c r="BO290" s="69"/>
      <c r="BP290" s="69"/>
      <c r="BQ290" s="69"/>
      <c r="BR290" s="69"/>
      <c r="BS290" s="69"/>
      <c r="BT290" s="69"/>
      <c r="BU290" s="69"/>
      <c r="BV290" s="69"/>
      <c r="BW290" s="69"/>
      <c r="BX290" s="69"/>
      <c r="BY290" s="69"/>
      <c r="BZ290" s="69"/>
      <c r="CA290" s="69"/>
      <c r="CB290" s="69"/>
      <c r="CC290" s="69"/>
      <c r="CD290" s="69"/>
      <c r="CE290" s="69"/>
      <c r="CF290" s="69"/>
    </row>
    <row r="291">
      <c r="A291" s="69"/>
      <c r="B291" s="71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  <c r="BP291" s="69"/>
      <c r="BQ291" s="69"/>
      <c r="BR291" s="69"/>
      <c r="BS291" s="69"/>
      <c r="BT291" s="69"/>
      <c r="BU291" s="69"/>
      <c r="BV291" s="69"/>
      <c r="BW291" s="69"/>
      <c r="BX291" s="69"/>
      <c r="BY291" s="69"/>
      <c r="BZ291" s="69"/>
      <c r="CA291" s="69"/>
      <c r="CB291" s="69"/>
      <c r="CC291" s="69"/>
      <c r="CD291" s="69"/>
      <c r="CE291" s="69"/>
      <c r="CF291" s="69"/>
    </row>
    <row r="292">
      <c r="A292" s="69"/>
      <c r="B292" s="71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  <c r="BP292" s="69"/>
      <c r="BQ292" s="69"/>
      <c r="BR292" s="69"/>
      <c r="BS292" s="69"/>
      <c r="BT292" s="69"/>
      <c r="BU292" s="69"/>
      <c r="BV292" s="69"/>
      <c r="BW292" s="69"/>
      <c r="BX292" s="69"/>
      <c r="BY292" s="69"/>
      <c r="BZ292" s="69"/>
      <c r="CA292" s="69"/>
      <c r="CB292" s="69"/>
      <c r="CC292" s="69"/>
      <c r="CD292" s="69"/>
      <c r="CE292" s="69"/>
      <c r="CF292" s="69"/>
    </row>
    <row r="293">
      <c r="A293" s="69"/>
      <c r="B293" s="71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  <c r="BP293" s="69"/>
      <c r="BQ293" s="69"/>
      <c r="BR293" s="69"/>
      <c r="BS293" s="69"/>
      <c r="BT293" s="69"/>
      <c r="BU293" s="69"/>
      <c r="BV293" s="69"/>
      <c r="BW293" s="69"/>
      <c r="BX293" s="69"/>
      <c r="BY293" s="69"/>
      <c r="BZ293" s="69"/>
      <c r="CA293" s="69"/>
      <c r="CB293" s="69"/>
      <c r="CC293" s="69"/>
      <c r="CD293" s="69"/>
      <c r="CE293" s="69"/>
      <c r="CF293" s="69"/>
    </row>
    <row r="294">
      <c r="A294" s="69"/>
      <c r="B294" s="71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  <c r="BP294" s="69"/>
      <c r="BQ294" s="69"/>
      <c r="BR294" s="69"/>
      <c r="BS294" s="69"/>
      <c r="BT294" s="69"/>
      <c r="BU294" s="69"/>
      <c r="BV294" s="69"/>
      <c r="BW294" s="69"/>
      <c r="BX294" s="69"/>
      <c r="BY294" s="69"/>
      <c r="BZ294" s="69"/>
      <c r="CA294" s="69"/>
      <c r="CB294" s="69"/>
      <c r="CC294" s="69"/>
      <c r="CD294" s="69"/>
      <c r="CE294" s="69"/>
      <c r="CF294" s="69"/>
    </row>
    <row r="295">
      <c r="A295" s="69"/>
      <c r="B295" s="71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  <c r="BP295" s="69"/>
      <c r="BQ295" s="69"/>
      <c r="BR295" s="69"/>
      <c r="BS295" s="69"/>
      <c r="BT295" s="69"/>
      <c r="BU295" s="69"/>
      <c r="BV295" s="69"/>
      <c r="BW295" s="69"/>
      <c r="BX295" s="69"/>
      <c r="BY295" s="69"/>
      <c r="BZ295" s="69"/>
      <c r="CA295" s="69"/>
      <c r="CB295" s="69"/>
      <c r="CC295" s="69"/>
      <c r="CD295" s="69"/>
      <c r="CE295" s="69"/>
      <c r="CF295" s="69"/>
    </row>
    <row r="296">
      <c r="A296" s="69"/>
      <c r="B296" s="71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69"/>
      <c r="BE296" s="69"/>
      <c r="BF296" s="69"/>
      <c r="BG296" s="69"/>
      <c r="BH296" s="69"/>
      <c r="BI296" s="69"/>
      <c r="BJ296" s="69"/>
      <c r="BK296" s="69"/>
      <c r="BL296" s="69"/>
      <c r="BM296" s="69"/>
      <c r="BN296" s="69"/>
      <c r="BO296" s="69"/>
      <c r="BP296" s="69"/>
      <c r="BQ296" s="69"/>
      <c r="BR296" s="69"/>
      <c r="BS296" s="69"/>
      <c r="BT296" s="69"/>
      <c r="BU296" s="69"/>
      <c r="BV296" s="69"/>
      <c r="BW296" s="69"/>
      <c r="BX296" s="69"/>
      <c r="BY296" s="69"/>
      <c r="BZ296" s="69"/>
      <c r="CA296" s="69"/>
      <c r="CB296" s="69"/>
      <c r="CC296" s="69"/>
      <c r="CD296" s="69"/>
      <c r="CE296" s="69"/>
      <c r="CF296" s="69"/>
    </row>
    <row r="297">
      <c r="A297" s="69"/>
      <c r="B297" s="71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69"/>
      <c r="BE297" s="69"/>
      <c r="BF297" s="69"/>
      <c r="BG297" s="69"/>
      <c r="BH297" s="69"/>
      <c r="BI297" s="69"/>
      <c r="BJ297" s="69"/>
      <c r="BK297" s="69"/>
      <c r="BL297" s="69"/>
      <c r="BM297" s="69"/>
      <c r="BN297" s="69"/>
      <c r="BO297" s="69"/>
      <c r="BP297" s="69"/>
      <c r="BQ297" s="69"/>
      <c r="BR297" s="69"/>
      <c r="BS297" s="69"/>
      <c r="BT297" s="69"/>
      <c r="BU297" s="69"/>
      <c r="BV297" s="69"/>
      <c r="BW297" s="69"/>
      <c r="BX297" s="69"/>
      <c r="BY297" s="69"/>
      <c r="BZ297" s="69"/>
      <c r="CA297" s="69"/>
      <c r="CB297" s="69"/>
      <c r="CC297" s="69"/>
      <c r="CD297" s="69"/>
      <c r="CE297" s="69"/>
      <c r="CF297" s="69"/>
    </row>
    <row r="298">
      <c r="A298" s="69"/>
      <c r="B298" s="71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69"/>
      <c r="BE298" s="69"/>
      <c r="BF298" s="69"/>
      <c r="BG298" s="69"/>
      <c r="BH298" s="69"/>
      <c r="BI298" s="69"/>
      <c r="BJ298" s="69"/>
      <c r="BK298" s="69"/>
      <c r="BL298" s="69"/>
      <c r="BM298" s="69"/>
      <c r="BN298" s="69"/>
      <c r="BO298" s="69"/>
      <c r="BP298" s="69"/>
      <c r="BQ298" s="69"/>
      <c r="BR298" s="69"/>
      <c r="BS298" s="69"/>
      <c r="BT298" s="69"/>
      <c r="BU298" s="69"/>
      <c r="BV298" s="69"/>
      <c r="BW298" s="69"/>
      <c r="BX298" s="69"/>
      <c r="BY298" s="69"/>
      <c r="BZ298" s="69"/>
      <c r="CA298" s="69"/>
      <c r="CB298" s="69"/>
      <c r="CC298" s="69"/>
      <c r="CD298" s="69"/>
      <c r="CE298" s="69"/>
      <c r="CF298" s="69"/>
    </row>
    <row r="299">
      <c r="A299" s="69"/>
      <c r="B299" s="71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  <c r="BP299" s="69"/>
      <c r="BQ299" s="69"/>
      <c r="BR299" s="69"/>
      <c r="BS299" s="69"/>
      <c r="BT299" s="69"/>
      <c r="BU299" s="69"/>
      <c r="BV299" s="69"/>
      <c r="BW299" s="69"/>
      <c r="BX299" s="69"/>
      <c r="BY299" s="69"/>
      <c r="BZ299" s="69"/>
      <c r="CA299" s="69"/>
      <c r="CB299" s="69"/>
      <c r="CC299" s="69"/>
      <c r="CD299" s="69"/>
      <c r="CE299" s="69"/>
      <c r="CF299" s="69"/>
    </row>
    <row r="300">
      <c r="A300" s="69"/>
      <c r="B300" s="71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69"/>
      <c r="BE300" s="69"/>
      <c r="BF300" s="69"/>
      <c r="BG300" s="69"/>
      <c r="BH300" s="69"/>
      <c r="BI300" s="69"/>
      <c r="BJ300" s="69"/>
      <c r="BK300" s="69"/>
      <c r="BL300" s="69"/>
      <c r="BM300" s="69"/>
      <c r="BN300" s="69"/>
      <c r="BO300" s="69"/>
      <c r="BP300" s="69"/>
      <c r="BQ300" s="69"/>
      <c r="BR300" s="69"/>
      <c r="BS300" s="69"/>
      <c r="BT300" s="69"/>
      <c r="BU300" s="69"/>
      <c r="BV300" s="69"/>
      <c r="BW300" s="69"/>
      <c r="BX300" s="69"/>
      <c r="BY300" s="69"/>
      <c r="BZ300" s="69"/>
      <c r="CA300" s="69"/>
      <c r="CB300" s="69"/>
      <c r="CC300" s="69"/>
      <c r="CD300" s="69"/>
      <c r="CE300" s="69"/>
      <c r="CF300" s="69"/>
    </row>
    <row r="301">
      <c r="A301" s="69"/>
      <c r="B301" s="71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69"/>
      <c r="BE301" s="69"/>
      <c r="BF301" s="69"/>
      <c r="BG301" s="69"/>
      <c r="BH301" s="69"/>
      <c r="BI301" s="69"/>
      <c r="BJ301" s="69"/>
      <c r="BK301" s="69"/>
      <c r="BL301" s="69"/>
      <c r="BM301" s="69"/>
      <c r="BN301" s="69"/>
      <c r="BO301" s="69"/>
      <c r="BP301" s="69"/>
      <c r="BQ301" s="69"/>
      <c r="BR301" s="69"/>
      <c r="BS301" s="69"/>
      <c r="BT301" s="69"/>
      <c r="BU301" s="69"/>
      <c r="BV301" s="69"/>
      <c r="BW301" s="69"/>
      <c r="BX301" s="69"/>
      <c r="BY301" s="69"/>
      <c r="BZ301" s="69"/>
      <c r="CA301" s="69"/>
      <c r="CB301" s="69"/>
      <c r="CC301" s="69"/>
      <c r="CD301" s="69"/>
      <c r="CE301" s="69"/>
      <c r="CF301" s="69"/>
    </row>
    <row r="302">
      <c r="A302" s="69"/>
      <c r="B302" s="71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  <c r="BP302" s="69"/>
      <c r="BQ302" s="69"/>
      <c r="BR302" s="69"/>
      <c r="BS302" s="69"/>
      <c r="BT302" s="69"/>
      <c r="BU302" s="69"/>
      <c r="BV302" s="69"/>
      <c r="BW302" s="69"/>
      <c r="BX302" s="69"/>
      <c r="BY302" s="69"/>
      <c r="BZ302" s="69"/>
      <c r="CA302" s="69"/>
      <c r="CB302" s="69"/>
      <c r="CC302" s="69"/>
      <c r="CD302" s="69"/>
      <c r="CE302" s="69"/>
      <c r="CF302" s="69"/>
    </row>
    <row r="303">
      <c r="A303" s="69"/>
      <c r="B303" s="71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  <c r="BP303" s="69"/>
      <c r="BQ303" s="69"/>
      <c r="BR303" s="69"/>
      <c r="BS303" s="69"/>
      <c r="BT303" s="69"/>
      <c r="BU303" s="69"/>
      <c r="BV303" s="69"/>
      <c r="BW303" s="69"/>
      <c r="BX303" s="69"/>
      <c r="BY303" s="69"/>
      <c r="BZ303" s="69"/>
      <c r="CA303" s="69"/>
      <c r="CB303" s="69"/>
      <c r="CC303" s="69"/>
      <c r="CD303" s="69"/>
      <c r="CE303" s="69"/>
      <c r="CF303" s="69"/>
    </row>
    <row r="304">
      <c r="A304" s="69"/>
      <c r="B304" s="71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  <c r="BP304" s="69"/>
      <c r="BQ304" s="69"/>
      <c r="BR304" s="69"/>
      <c r="BS304" s="69"/>
      <c r="BT304" s="69"/>
      <c r="BU304" s="69"/>
      <c r="BV304" s="69"/>
      <c r="BW304" s="69"/>
      <c r="BX304" s="69"/>
      <c r="BY304" s="69"/>
      <c r="BZ304" s="69"/>
      <c r="CA304" s="69"/>
      <c r="CB304" s="69"/>
      <c r="CC304" s="69"/>
      <c r="CD304" s="69"/>
      <c r="CE304" s="69"/>
      <c r="CF304" s="69"/>
    </row>
    <row r="305">
      <c r="A305" s="69"/>
      <c r="B305" s="71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69"/>
      <c r="BE305" s="69"/>
      <c r="BF305" s="69"/>
      <c r="BG305" s="69"/>
      <c r="BH305" s="69"/>
      <c r="BI305" s="69"/>
      <c r="BJ305" s="69"/>
      <c r="BK305" s="69"/>
      <c r="BL305" s="69"/>
      <c r="BM305" s="69"/>
      <c r="BN305" s="69"/>
      <c r="BO305" s="69"/>
      <c r="BP305" s="69"/>
      <c r="BQ305" s="69"/>
      <c r="BR305" s="69"/>
      <c r="BS305" s="69"/>
      <c r="BT305" s="69"/>
      <c r="BU305" s="69"/>
      <c r="BV305" s="69"/>
      <c r="BW305" s="69"/>
      <c r="BX305" s="69"/>
      <c r="BY305" s="69"/>
      <c r="BZ305" s="69"/>
      <c r="CA305" s="69"/>
      <c r="CB305" s="69"/>
      <c r="CC305" s="69"/>
      <c r="CD305" s="69"/>
      <c r="CE305" s="69"/>
      <c r="CF305" s="69"/>
    </row>
    <row r="306">
      <c r="A306" s="69"/>
      <c r="B306" s="71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  <c r="BP306" s="69"/>
      <c r="BQ306" s="69"/>
      <c r="BR306" s="69"/>
      <c r="BS306" s="69"/>
      <c r="BT306" s="69"/>
      <c r="BU306" s="69"/>
      <c r="BV306" s="69"/>
      <c r="BW306" s="69"/>
      <c r="BX306" s="69"/>
      <c r="BY306" s="69"/>
      <c r="BZ306" s="69"/>
      <c r="CA306" s="69"/>
      <c r="CB306" s="69"/>
      <c r="CC306" s="69"/>
      <c r="CD306" s="69"/>
      <c r="CE306" s="69"/>
      <c r="CF306" s="69"/>
    </row>
    <row r="307">
      <c r="A307" s="69"/>
      <c r="B307" s="71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  <c r="BP307" s="69"/>
      <c r="BQ307" s="69"/>
      <c r="BR307" s="69"/>
      <c r="BS307" s="69"/>
      <c r="BT307" s="69"/>
      <c r="BU307" s="69"/>
      <c r="BV307" s="69"/>
      <c r="BW307" s="69"/>
      <c r="BX307" s="69"/>
      <c r="BY307" s="69"/>
      <c r="BZ307" s="69"/>
      <c r="CA307" s="69"/>
      <c r="CB307" s="69"/>
      <c r="CC307" s="69"/>
      <c r="CD307" s="69"/>
      <c r="CE307" s="69"/>
      <c r="CF307" s="69"/>
    </row>
    <row r="308">
      <c r="A308" s="69"/>
      <c r="B308" s="71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  <c r="BP308" s="69"/>
      <c r="BQ308" s="69"/>
      <c r="BR308" s="69"/>
      <c r="BS308" s="69"/>
      <c r="BT308" s="69"/>
      <c r="BU308" s="69"/>
      <c r="BV308" s="69"/>
      <c r="BW308" s="69"/>
      <c r="BX308" s="69"/>
      <c r="BY308" s="69"/>
      <c r="BZ308" s="69"/>
      <c r="CA308" s="69"/>
      <c r="CB308" s="69"/>
      <c r="CC308" s="69"/>
      <c r="CD308" s="69"/>
      <c r="CE308" s="69"/>
      <c r="CF308" s="69"/>
    </row>
    <row r="309">
      <c r="A309" s="69"/>
      <c r="B309" s="71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  <c r="BP309" s="69"/>
      <c r="BQ309" s="69"/>
      <c r="BR309" s="69"/>
      <c r="BS309" s="69"/>
      <c r="BT309" s="69"/>
      <c r="BU309" s="69"/>
      <c r="BV309" s="69"/>
      <c r="BW309" s="69"/>
      <c r="BX309" s="69"/>
      <c r="BY309" s="69"/>
      <c r="BZ309" s="69"/>
      <c r="CA309" s="69"/>
      <c r="CB309" s="69"/>
      <c r="CC309" s="69"/>
      <c r="CD309" s="69"/>
      <c r="CE309" s="69"/>
      <c r="CF309" s="69"/>
    </row>
    <row r="310">
      <c r="A310" s="69"/>
      <c r="B310" s="71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69"/>
      <c r="BE310" s="69"/>
      <c r="BF310" s="69"/>
      <c r="BG310" s="69"/>
      <c r="BH310" s="69"/>
      <c r="BI310" s="69"/>
      <c r="BJ310" s="69"/>
      <c r="BK310" s="69"/>
      <c r="BL310" s="69"/>
      <c r="BM310" s="69"/>
      <c r="BN310" s="69"/>
      <c r="BO310" s="69"/>
      <c r="BP310" s="69"/>
      <c r="BQ310" s="69"/>
      <c r="BR310" s="69"/>
      <c r="BS310" s="69"/>
      <c r="BT310" s="69"/>
      <c r="BU310" s="69"/>
      <c r="BV310" s="69"/>
      <c r="BW310" s="69"/>
      <c r="BX310" s="69"/>
      <c r="BY310" s="69"/>
      <c r="BZ310" s="69"/>
      <c r="CA310" s="69"/>
      <c r="CB310" s="69"/>
      <c r="CC310" s="69"/>
      <c r="CD310" s="69"/>
      <c r="CE310" s="69"/>
      <c r="CF310" s="69"/>
    </row>
    <row r="311">
      <c r="A311" s="69"/>
      <c r="B311" s="71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69"/>
      <c r="BE311" s="69"/>
      <c r="BF311" s="69"/>
      <c r="BG311" s="69"/>
      <c r="BH311" s="69"/>
      <c r="BI311" s="69"/>
      <c r="BJ311" s="69"/>
      <c r="BK311" s="69"/>
      <c r="BL311" s="69"/>
      <c r="BM311" s="69"/>
      <c r="BN311" s="69"/>
      <c r="BO311" s="69"/>
      <c r="BP311" s="69"/>
      <c r="BQ311" s="69"/>
      <c r="BR311" s="69"/>
      <c r="BS311" s="69"/>
      <c r="BT311" s="69"/>
      <c r="BU311" s="69"/>
      <c r="BV311" s="69"/>
      <c r="BW311" s="69"/>
      <c r="BX311" s="69"/>
      <c r="BY311" s="69"/>
      <c r="BZ311" s="69"/>
      <c r="CA311" s="69"/>
      <c r="CB311" s="69"/>
      <c r="CC311" s="69"/>
      <c r="CD311" s="69"/>
      <c r="CE311" s="69"/>
      <c r="CF311" s="69"/>
    </row>
    <row r="312">
      <c r="A312" s="69"/>
      <c r="B312" s="71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69"/>
      <c r="BE312" s="69"/>
      <c r="BF312" s="69"/>
      <c r="BG312" s="69"/>
      <c r="BH312" s="69"/>
      <c r="BI312" s="69"/>
      <c r="BJ312" s="69"/>
      <c r="BK312" s="69"/>
      <c r="BL312" s="69"/>
      <c r="BM312" s="69"/>
      <c r="BN312" s="69"/>
      <c r="BO312" s="69"/>
      <c r="BP312" s="69"/>
      <c r="BQ312" s="69"/>
      <c r="BR312" s="69"/>
      <c r="BS312" s="69"/>
      <c r="BT312" s="69"/>
      <c r="BU312" s="69"/>
      <c r="BV312" s="69"/>
      <c r="BW312" s="69"/>
      <c r="BX312" s="69"/>
      <c r="BY312" s="69"/>
      <c r="BZ312" s="69"/>
      <c r="CA312" s="69"/>
      <c r="CB312" s="69"/>
      <c r="CC312" s="69"/>
      <c r="CD312" s="69"/>
      <c r="CE312" s="69"/>
      <c r="CF312" s="69"/>
    </row>
    <row r="313">
      <c r="A313" s="69"/>
      <c r="B313" s="71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69"/>
      <c r="BE313" s="69"/>
      <c r="BF313" s="69"/>
      <c r="BG313" s="69"/>
      <c r="BH313" s="69"/>
      <c r="BI313" s="69"/>
      <c r="BJ313" s="69"/>
      <c r="BK313" s="69"/>
      <c r="BL313" s="69"/>
      <c r="BM313" s="69"/>
      <c r="BN313" s="69"/>
      <c r="BO313" s="69"/>
      <c r="BP313" s="69"/>
      <c r="BQ313" s="69"/>
      <c r="BR313" s="69"/>
      <c r="BS313" s="69"/>
      <c r="BT313" s="69"/>
      <c r="BU313" s="69"/>
      <c r="BV313" s="69"/>
      <c r="BW313" s="69"/>
      <c r="BX313" s="69"/>
      <c r="BY313" s="69"/>
      <c r="BZ313" s="69"/>
      <c r="CA313" s="69"/>
      <c r="CB313" s="69"/>
      <c r="CC313" s="69"/>
      <c r="CD313" s="69"/>
      <c r="CE313" s="69"/>
      <c r="CF313" s="69"/>
    </row>
    <row r="314">
      <c r="A314" s="69"/>
      <c r="B314" s="71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  <c r="BP314" s="69"/>
      <c r="BQ314" s="69"/>
      <c r="BR314" s="69"/>
      <c r="BS314" s="69"/>
      <c r="BT314" s="69"/>
      <c r="BU314" s="69"/>
      <c r="BV314" s="69"/>
      <c r="BW314" s="69"/>
      <c r="BX314" s="69"/>
      <c r="BY314" s="69"/>
      <c r="BZ314" s="69"/>
      <c r="CA314" s="69"/>
      <c r="CB314" s="69"/>
      <c r="CC314" s="69"/>
      <c r="CD314" s="69"/>
      <c r="CE314" s="69"/>
      <c r="CF314" s="69"/>
    </row>
    <row r="315">
      <c r="A315" s="69"/>
      <c r="B315" s="71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  <c r="BP315" s="69"/>
      <c r="BQ315" s="69"/>
      <c r="BR315" s="69"/>
      <c r="BS315" s="69"/>
      <c r="BT315" s="69"/>
      <c r="BU315" s="69"/>
      <c r="BV315" s="69"/>
      <c r="BW315" s="69"/>
      <c r="BX315" s="69"/>
      <c r="BY315" s="69"/>
      <c r="BZ315" s="69"/>
      <c r="CA315" s="69"/>
      <c r="CB315" s="69"/>
      <c r="CC315" s="69"/>
      <c r="CD315" s="69"/>
      <c r="CE315" s="69"/>
      <c r="CF315" s="69"/>
    </row>
    <row r="316">
      <c r="A316" s="69"/>
      <c r="B316" s="71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69"/>
      <c r="BE316" s="69"/>
      <c r="BF316" s="69"/>
      <c r="BG316" s="69"/>
      <c r="BH316" s="69"/>
      <c r="BI316" s="69"/>
      <c r="BJ316" s="69"/>
      <c r="BK316" s="69"/>
      <c r="BL316" s="69"/>
      <c r="BM316" s="69"/>
      <c r="BN316" s="69"/>
      <c r="BO316" s="69"/>
      <c r="BP316" s="69"/>
      <c r="BQ316" s="69"/>
      <c r="BR316" s="69"/>
      <c r="BS316" s="69"/>
      <c r="BT316" s="69"/>
      <c r="BU316" s="69"/>
      <c r="BV316" s="69"/>
      <c r="BW316" s="69"/>
      <c r="BX316" s="69"/>
      <c r="BY316" s="69"/>
      <c r="BZ316" s="69"/>
      <c r="CA316" s="69"/>
      <c r="CB316" s="69"/>
      <c r="CC316" s="69"/>
      <c r="CD316" s="69"/>
      <c r="CE316" s="69"/>
      <c r="CF316" s="69"/>
    </row>
    <row r="317">
      <c r="A317" s="69"/>
      <c r="B317" s="71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69"/>
      <c r="BE317" s="69"/>
      <c r="BF317" s="69"/>
      <c r="BG317" s="69"/>
      <c r="BH317" s="69"/>
      <c r="BI317" s="69"/>
      <c r="BJ317" s="69"/>
      <c r="BK317" s="69"/>
      <c r="BL317" s="69"/>
      <c r="BM317" s="69"/>
      <c r="BN317" s="69"/>
      <c r="BO317" s="69"/>
      <c r="BP317" s="69"/>
      <c r="BQ317" s="69"/>
      <c r="BR317" s="69"/>
      <c r="BS317" s="69"/>
      <c r="BT317" s="69"/>
      <c r="BU317" s="69"/>
      <c r="BV317" s="69"/>
      <c r="BW317" s="69"/>
      <c r="BX317" s="69"/>
      <c r="BY317" s="69"/>
      <c r="BZ317" s="69"/>
      <c r="CA317" s="69"/>
      <c r="CB317" s="69"/>
      <c r="CC317" s="69"/>
      <c r="CD317" s="69"/>
      <c r="CE317" s="69"/>
      <c r="CF317" s="69"/>
    </row>
    <row r="318">
      <c r="A318" s="69"/>
      <c r="B318" s="71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  <c r="BN318" s="69"/>
      <c r="BO318" s="69"/>
      <c r="BP318" s="69"/>
      <c r="BQ318" s="69"/>
      <c r="BR318" s="69"/>
      <c r="BS318" s="69"/>
      <c r="BT318" s="69"/>
      <c r="BU318" s="69"/>
      <c r="BV318" s="69"/>
      <c r="BW318" s="69"/>
      <c r="BX318" s="69"/>
      <c r="BY318" s="69"/>
      <c r="BZ318" s="69"/>
      <c r="CA318" s="69"/>
      <c r="CB318" s="69"/>
      <c r="CC318" s="69"/>
      <c r="CD318" s="69"/>
      <c r="CE318" s="69"/>
      <c r="CF318" s="69"/>
    </row>
    <row r="319">
      <c r="A319" s="69"/>
      <c r="B319" s="71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  <c r="BP319" s="69"/>
      <c r="BQ319" s="69"/>
      <c r="BR319" s="69"/>
      <c r="BS319" s="69"/>
      <c r="BT319" s="69"/>
      <c r="BU319" s="69"/>
      <c r="BV319" s="69"/>
      <c r="BW319" s="69"/>
      <c r="BX319" s="69"/>
      <c r="BY319" s="69"/>
      <c r="BZ319" s="69"/>
      <c r="CA319" s="69"/>
      <c r="CB319" s="69"/>
      <c r="CC319" s="69"/>
      <c r="CD319" s="69"/>
      <c r="CE319" s="69"/>
      <c r="CF319" s="69"/>
    </row>
    <row r="320">
      <c r="A320" s="69"/>
      <c r="B320" s="71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69"/>
      <c r="BE320" s="69"/>
      <c r="BF320" s="69"/>
      <c r="BG320" s="69"/>
      <c r="BH320" s="69"/>
      <c r="BI320" s="69"/>
      <c r="BJ320" s="69"/>
      <c r="BK320" s="69"/>
      <c r="BL320" s="69"/>
      <c r="BM320" s="69"/>
      <c r="BN320" s="69"/>
      <c r="BO320" s="69"/>
      <c r="BP320" s="69"/>
      <c r="BQ320" s="69"/>
      <c r="BR320" s="69"/>
      <c r="BS320" s="69"/>
      <c r="BT320" s="69"/>
      <c r="BU320" s="69"/>
      <c r="BV320" s="69"/>
      <c r="BW320" s="69"/>
      <c r="BX320" s="69"/>
      <c r="BY320" s="69"/>
      <c r="BZ320" s="69"/>
      <c r="CA320" s="69"/>
      <c r="CB320" s="69"/>
      <c r="CC320" s="69"/>
      <c r="CD320" s="69"/>
      <c r="CE320" s="69"/>
      <c r="CF320" s="69"/>
    </row>
    <row r="321">
      <c r="A321" s="69"/>
      <c r="B321" s="71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69"/>
      <c r="BE321" s="69"/>
      <c r="BF321" s="69"/>
      <c r="BG321" s="69"/>
      <c r="BH321" s="69"/>
      <c r="BI321" s="69"/>
      <c r="BJ321" s="69"/>
      <c r="BK321" s="69"/>
      <c r="BL321" s="69"/>
      <c r="BM321" s="69"/>
      <c r="BN321" s="69"/>
      <c r="BO321" s="69"/>
      <c r="BP321" s="69"/>
      <c r="BQ321" s="69"/>
      <c r="BR321" s="69"/>
      <c r="BS321" s="69"/>
      <c r="BT321" s="69"/>
      <c r="BU321" s="69"/>
      <c r="BV321" s="69"/>
      <c r="BW321" s="69"/>
      <c r="BX321" s="69"/>
      <c r="BY321" s="69"/>
      <c r="BZ321" s="69"/>
      <c r="CA321" s="69"/>
      <c r="CB321" s="69"/>
      <c r="CC321" s="69"/>
      <c r="CD321" s="69"/>
      <c r="CE321" s="69"/>
      <c r="CF321" s="69"/>
    </row>
    <row r="322">
      <c r="A322" s="69"/>
      <c r="B322" s="71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69"/>
      <c r="BE322" s="69"/>
      <c r="BF322" s="69"/>
      <c r="BG322" s="69"/>
      <c r="BH322" s="69"/>
      <c r="BI322" s="69"/>
      <c r="BJ322" s="69"/>
      <c r="BK322" s="69"/>
      <c r="BL322" s="69"/>
      <c r="BM322" s="69"/>
      <c r="BN322" s="69"/>
      <c r="BO322" s="69"/>
      <c r="BP322" s="69"/>
      <c r="BQ322" s="69"/>
      <c r="BR322" s="69"/>
      <c r="BS322" s="69"/>
      <c r="BT322" s="69"/>
      <c r="BU322" s="69"/>
      <c r="BV322" s="69"/>
      <c r="BW322" s="69"/>
      <c r="BX322" s="69"/>
      <c r="BY322" s="69"/>
      <c r="BZ322" s="69"/>
      <c r="CA322" s="69"/>
      <c r="CB322" s="69"/>
      <c r="CC322" s="69"/>
      <c r="CD322" s="69"/>
      <c r="CE322" s="69"/>
      <c r="CF322" s="69"/>
    </row>
    <row r="323">
      <c r="A323" s="69"/>
      <c r="B323" s="71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  <c r="BN323" s="69"/>
      <c r="BO323" s="69"/>
      <c r="BP323" s="69"/>
      <c r="BQ323" s="69"/>
      <c r="BR323" s="69"/>
      <c r="BS323" s="69"/>
      <c r="BT323" s="69"/>
      <c r="BU323" s="69"/>
      <c r="BV323" s="69"/>
      <c r="BW323" s="69"/>
      <c r="BX323" s="69"/>
      <c r="BY323" s="69"/>
      <c r="BZ323" s="69"/>
      <c r="CA323" s="69"/>
      <c r="CB323" s="69"/>
      <c r="CC323" s="69"/>
      <c r="CD323" s="69"/>
      <c r="CE323" s="69"/>
      <c r="CF323" s="69"/>
    </row>
    <row r="324">
      <c r="A324" s="69"/>
      <c r="B324" s="71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69"/>
      <c r="BE324" s="69"/>
      <c r="BF324" s="69"/>
      <c r="BG324" s="69"/>
      <c r="BH324" s="69"/>
      <c r="BI324" s="69"/>
      <c r="BJ324" s="69"/>
      <c r="BK324" s="69"/>
      <c r="BL324" s="69"/>
      <c r="BM324" s="69"/>
      <c r="BN324" s="69"/>
      <c r="BO324" s="69"/>
      <c r="BP324" s="69"/>
      <c r="BQ324" s="69"/>
      <c r="BR324" s="69"/>
      <c r="BS324" s="69"/>
      <c r="BT324" s="69"/>
      <c r="BU324" s="69"/>
      <c r="BV324" s="69"/>
      <c r="BW324" s="69"/>
      <c r="BX324" s="69"/>
      <c r="BY324" s="69"/>
      <c r="BZ324" s="69"/>
      <c r="CA324" s="69"/>
      <c r="CB324" s="69"/>
      <c r="CC324" s="69"/>
      <c r="CD324" s="69"/>
      <c r="CE324" s="69"/>
      <c r="CF324" s="69"/>
    </row>
    <row r="325">
      <c r="A325" s="69"/>
      <c r="B325" s="71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69"/>
      <c r="BE325" s="69"/>
      <c r="BF325" s="69"/>
      <c r="BG325" s="69"/>
      <c r="BH325" s="69"/>
      <c r="BI325" s="69"/>
      <c r="BJ325" s="69"/>
      <c r="BK325" s="69"/>
      <c r="BL325" s="69"/>
      <c r="BM325" s="69"/>
      <c r="BN325" s="69"/>
      <c r="BO325" s="69"/>
      <c r="BP325" s="69"/>
      <c r="BQ325" s="69"/>
      <c r="BR325" s="69"/>
      <c r="BS325" s="69"/>
      <c r="BT325" s="69"/>
      <c r="BU325" s="69"/>
      <c r="BV325" s="69"/>
      <c r="BW325" s="69"/>
      <c r="BX325" s="69"/>
      <c r="BY325" s="69"/>
      <c r="BZ325" s="69"/>
      <c r="CA325" s="69"/>
      <c r="CB325" s="69"/>
      <c r="CC325" s="69"/>
      <c r="CD325" s="69"/>
      <c r="CE325" s="69"/>
      <c r="CF325" s="69"/>
    </row>
    <row r="326">
      <c r="A326" s="69"/>
      <c r="B326" s="71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69"/>
      <c r="BE326" s="69"/>
      <c r="BF326" s="69"/>
      <c r="BG326" s="69"/>
      <c r="BH326" s="69"/>
      <c r="BI326" s="69"/>
      <c r="BJ326" s="69"/>
      <c r="BK326" s="69"/>
      <c r="BL326" s="69"/>
      <c r="BM326" s="69"/>
      <c r="BN326" s="69"/>
      <c r="BO326" s="69"/>
      <c r="BP326" s="69"/>
      <c r="BQ326" s="69"/>
      <c r="BR326" s="69"/>
      <c r="BS326" s="69"/>
      <c r="BT326" s="69"/>
      <c r="BU326" s="69"/>
      <c r="BV326" s="69"/>
      <c r="BW326" s="69"/>
      <c r="BX326" s="69"/>
      <c r="BY326" s="69"/>
      <c r="BZ326" s="69"/>
      <c r="CA326" s="69"/>
      <c r="CB326" s="69"/>
      <c r="CC326" s="69"/>
      <c r="CD326" s="69"/>
      <c r="CE326" s="69"/>
      <c r="CF326" s="69"/>
    </row>
    <row r="327">
      <c r="A327" s="69"/>
      <c r="B327" s="71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69"/>
      <c r="BE327" s="69"/>
      <c r="BF327" s="69"/>
      <c r="BG327" s="69"/>
      <c r="BH327" s="69"/>
      <c r="BI327" s="69"/>
      <c r="BJ327" s="69"/>
      <c r="BK327" s="69"/>
      <c r="BL327" s="69"/>
      <c r="BM327" s="69"/>
      <c r="BN327" s="69"/>
      <c r="BO327" s="69"/>
      <c r="BP327" s="69"/>
      <c r="BQ327" s="69"/>
      <c r="BR327" s="69"/>
      <c r="BS327" s="69"/>
      <c r="BT327" s="69"/>
      <c r="BU327" s="69"/>
      <c r="BV327" s="69"/>
      <c r="BW327" s="69"/>
      <c r="BX327" s="69"/>
      <c r="BY327" s="69"/>
      <c r="BZ327" s="69"/>
      <c r="CA327" s="69"/>
      <c r="CB327" s="69"/>
      <c r="CC327" s="69"/>
      <c r="CD327" s="69"/>
      <c r="CE327" s="69"/>
      <c r="CF327" s="69"/>
    </row>
    <row r="328">
      <c r="A328" s="69"/>
      <c r="B328" s="71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69"/>
      <c r="BE328" s="69"/>
      <c r="BF328" s="69"/>
      <c r="BG328" s="69"/>
      <c r="BH328" s="69"/>
      <c r="BI328" s="69"/>
      <c r="BJ328" s="69"/>
      <c r="BK328" s="69"/>
      <c r="BL328" s="69"/>
      <c r="BM328" s="69"/>
      <c r="BN328" s="69"/>
      <c r="BO328" s="69"/>
      <c r="BP328" s="69"/>
      <c r="BQ328" s="69"/>
      <c r="BR328" s="69"/>
      <c r="BS328" s="69"/>
      <c r="BT328" s="69"/>
      <c r="BU328" s="69"/>
      <c r="BV328" s="69"/>
      <c r="BW328" s="69"/>
      <c r="BX328" s="69"/>
      <c r="BY328" s="69"/>
      <c r="BZ328" s="69"/>
      <c r="CA328" s="69"/>
      <c r="CB328" s="69"/>
      <c r="CC328" s="69"/>
      <c r="CD328" s="69"/>
      <c r="CE328" s="69"/>
      <c r="CF328" s="69"/>
    </row>
    <row r="329">
      <c r="A329" s="69"/>
      <c r="B329" s="71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69"/>
      <c r="BE329" s="69"/>
      <c r="BF329" s="69"/>
      <c r="BG329" s="69"/>
      <c r="BH329" s="69"/>
      <c r="BI329" s="69"/>
      <c r="BJ329" s="69"/>
      <c r="BK329" s="69"/>
      <c r="BL329" s="69"/>
      <c r="BM329" s="69"/>
      <c r="BN329" s="69"/>
      <c r="BO329" s="69"/>
      <c r="BP329" s="69"/>
      <c r="BQ329" s="69"/>
      <c r="BR329" s="69"/>
      <c r="BS329" s="69"/>
      <c r="BT329" s="69"/>
      <c r="BU329" s="69"/>
      <c r="BV329" s="69"/>
      <c r="BW329" s="69"/>
      <c r="BX329" s="69"/>
      <c r="BY329" s="69"/>
      <c r="BZ329" s="69"/>
      <c r="CA329" s="69"/>
      <c r="CB329" s="69"/>
      <c r="CC329" s="69"/>
      <c r="CD329" s="69"/>
      <c r="CE329" s="69"/>
      <c r="CF329" s="69"/>
    </row>
    <row r="330">
      <c r="A330" s="69"/>
      <c r="B330" s="71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69"/>
      <c r="BE330" s="69"/>
      <c r="BF330" s="69"/>
      <c r="BG330" s="69"/>
      <c r="BH330" s="69"/>
      <c r="BI330" s="69"/>
      <c r="BJ330" s="69"/>
      <c r="BK330" s="69"/>
      <c r="BL330" s="69"/>
      <c r="BM330" s="69"/>
      <c r="BN330" s="69"/>
      <c r="BO330" s="69"/>
      <c r="BP330" s="69"/>
      <c r="BQ330" s="69"/>
      <c r="BR330" s="69"/>
      <c r="BS330" s="69"/>
      <c r="BT330" s="69"/>
      <c r="BU330" s="69"/>
      <c r="BV330" s="69"/>
      <c r="BW330" s="69"/>
      <c r="BX330" s="69"/>
      <c r="BY330" s="69"/>
      <c r="BZ330" s="69"/>
      <c r="CA330" s="69"/>
      <c r="CB330" s="69"/>
      <c r="CC330" s="69"/>
      <c r="CD330" s="69"/>
      <c r="CE330" s="69"/>
      <c r="CF330" s="69"/>
    </row>
    <row r="331">
      <c r="A331" s="69"/>
      <c r="B331" s="71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69"/>
      <c r="BE331" s="69"/>
      <c r="BF331" s="69"/>
      <c r="BG331" s="69"/>
      <c r="BH331" s="69"/>
      <c r="BI331" s="69"/>
      <c r="BJ331" s="69"/>
      <c r="BK331" s="69"/>
      <c r="BL331" s="69"/>
      <c r="BM331" s="69"/>
      <c r="BN331" s="69"/>
      <c r="BO331" s="69"/>
      <c r="BP331" s="69"/>
      <c r="BQ331" s="69"/>
      <c r="BR331" s="69"/>
      <c r="BS331" s="69"/>
      <c r="BT331" s="69"/>
      <c r="BU331" s="69"/>
      <c r="BV331" s="69"/>
      <c r="BW331" s="69"/>
      <c r="BX331" s="69"/>
      <c r="BY331" s="69"/>
      <c r="BZ331" s="69"/>
      <c r="CA331" s="69"/>
      <c r="CB331" s="69"/>
      <c r="CC331" s="69"/>
      <c r="CD331" s="69"/>
      <c r="CE331" s="69"/>
      <c r="CF331" s="69"/>
    </row>
    <row r="332">
      <c r="A332" s="69"/>
      <c r="B332" s="71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69"/>
      <c r="BE332" s="69"/>
      <c r="BF332" s="69"/>
      <c r="BG332" s="69"/>
      <c r="BH332" s="69"/>
      <c r="BI332" s="69"/>
      <c r="BJ332" s="69"/>
      <c r="BK332" s="69"/>
      <c r="BL332" s="69"/>
      <c r="BM332" s="69"/>
      <c r="BN332" s="69"/>
      <c r="BO332" s="69"/>
      <c r="BP332" s="69"/>
      <c r="BQ332" s="69"/>
      <c r="BR332" s="69"/>
      <c r="BS332" s="69"/>
      <c r="BT332" s="69"/>
      <c r="BU332" s="69"/>
      <c r="BV332" s="69"/>
      <c r="BW332" s="69"/>
      <c r="BX332" s="69"/>
      <c r="BY332" s="69"/>
      <c r="BZ332" s="69"/>
      <c r="CA332" s="69"/>
      <c r="CB332" s="69"/>
      <c r="CC332" s="69"/>
      <c r="CD332" s="69"/>
      <c r="CE332" s="69"/>
      <c r="CF332" s="69"/>
    </row>
    <row r="333">
      <c r="A333" s="69"/>
      <c r="B333" s="71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69"/>
      <c r="BE333" s="69"/>
      <c r="BF333" s="69"/>
      <c r="BG333" s="69"/>
      <c r="BH333" s="69"/>
      <c r="BI333" s="69"/>
      <c r="BJ333" s="69"/>
      <c r="BK333" s="69"/>
      <c r="BL333" s="69"/>
      <c r="BM333" s="69"/>
      <c r="BN333" s="69"/>
      <c r="BO333" s="69"/>
      <c r="BP333" s="69"/>
      <c r="BQ333" s="69"/>
      <c r="BR333" s="69"/>
      <c r="BS333" s="69"/>
      <c r="BT333" s="69"/>
      <c r="BU333" s="69"/>
      <c r="BV333" s="69"/>
      <c r="BW333" s="69"/>
      <c r="BX333" s="69"/>
      <c r="BY333" s="69"/>
      <c r="BZ333" s="69"/>
      <c r="CA333" s="69"/>
      <c r="CB333" s="69"/>
      <c r="CC333" s="69"/>
      <c r="CD333" s="69"/>
      <c r="CE333" s="69"/>
      <c r="CF333" s="69"/>
    </row>
    <row r="334">
      <c r="A334" s="69"/>
      <c r="B334" s="71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69"/>
      <c r="BE334" s="69"/>
      <c r="BF334" s="69"/>
      <c r="BG334" s="69"/>
      <c r="BH334" s="69"/>
      <c r="BI334" s="69"/>
      <c r="BJ334" s="69"/>
      <c r="BK334" s="69"/>
      <c r="BL334" s="69"/>
      <c r="BM334" s="69"/>
      <c r="BN334" s="69"/>
      <c r="BO334" s="69"/>
      <c r="BP334" s="69"/>
      <c r="BQ334" s="69"/>
      <c r="BR334" s="69"/>
      <c r="BS334" s="69"/>
      <c r="BT334" s="69"/>
      <c r="BU334" s="69"/>
      <c r="BV334" s="69"/>
      <c r="BW334" s="69"/>
      <c r="BX334" s="69"/>
      <c r="BY334" s="69"/>
      <c r="BZ334" s="69"/>
      <c r="CA334" s="69"/>
      <c r="CB334" s="69"/>
      <c r="CC334" s="69"/>
      <c r="CD334" s="69"/>
      <c r="CE334" s="69"/>
      <c r="CF334" s="69"/>
    </row>
    <row r="335">
      <c r="A335" s="69"/>
      <c r="B335" s="71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69"/>
      <c r="BE335" s="69"/>
      <c r="BF335" s="69"/>
      <c r="BG335" s="69"/>
      <c r="BH335" s="69"/>
      <c r="BI335" s="69"/>
      <c r="BJ335" s="69"/>
      <c r="BK335" s="69"/>
      <c r="BL335" s="69"/>
      <c r="BM335" s="69"/>
      <c r="BN335" s="69"/>
      <c r="BO335" s="69"/>
      <c r="BP335" s="69"/>
      <c r="BQ335" s="69"/>
      <c r="BR335" s="69"/>
      <c r="BS335" s="69"/>
      <c r="BT335" s="69"/>
      <c r="BU335" s="69"/>
      <c r="BV335" s="69"/>
      <c r="BW335" s="69"/>
      <c r="BX335" s="69"/>
      <c r="BY335" s="69"/>
      <c r="BZ335" s="69"/>
      <c r="CA335" s="69"/>
      <c r="CB335" s="69"/>
      <c r="CC335" s="69"/>
      <c r="CD335" s="69"/>
      <c r="CE335" s="69"/>
      <c r="CF335" s="69"/>
    </row>
    <row r="336">
      <c r="A336" s="69"/>
      <c r="B336" s="71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69"/>
      <c r="BE336" s="69"/>
      <c r="BF336" s="69"/>
      <c r="BG336" s="69"/>
      <c r="BH336" s="69"/>
      <c r="BI336" s="69"/>
      <c r="BJ336" s="69"/>
      <c r="BK336" s="69"/>
      <c r="BL336" s="69"/>
      <c r="BM336" s="69"/>
      <c r="BN336" s="69"/>
      <c r="BO336" s="69"/>
      <c r="BP336" s="69"/>
      <c r="BQ336" s="69"/>
      <c r="BR336" s="69"/>
      <c r="BS336" s="69"/>
      <c r="BT336" s="69"/>
      <c r="BU336" s="69"/>
      <c r="BV336" s="69"/>
      <c r="BW336" s="69"/>
      <c r="BX336" s="69"/>
      <c r="BY336" s="69"/>
      <c r="BZ336" s="69"/>
      <c r="CA336" s="69"/>
      <c r="CB336" s="69"/>
      <c r="CC336" s="69"/>
      <c r="CD336" s="69"/>
      <c r="CE336" s="69"/>
      <c r="CF336" s="69"/>
    </row>
    <row r="337">
      <c r="A337" s="69"/>
      <c r="B337" s="71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69"/>
      <c r="BE337" s="69"/>
      <c r="BF337" s="69"/>
      <c r="BG337" s="69"/>
      <c r="BH337" s="69"/>
      <c r="BI337" s="69"/>
      <c r="BJ337" s="69"/>
      <c r="BK337" s="69"/>
      <c r="BL337" s="69"/>
      <c r="BM337" s="69"/>
      <c r="BN337" s="69"/>
      <c r="BO337" s="69"/>
      <c r="BP337" s="69"/>
      <c r="BQ337" s="69"/>
      <c r="BR337" s="69"/>
      <c r="BS337" s="69"/>
      <c r="BT337" s="69"/>
      <c r="BU337" s="69"/>
      <c r="BV337" s="69"/>
      <c r="BW337" s="69"/>
      <c r="BX337" s="69"/>
      <c r="BY337" s="69"/>
      <c r="BZ337" s="69"/>
      <c r="CA337" s="69"/>
      <c r="CB337" s="69"/>
      <c r="CC337" s="69"/>
      <c r="CD337" s="69"/>
      <c r="CE337" s="69"/>
      <c r="CF337" s="69"/>
    </row>
    <row r="338">
      <c r="A338" s="69"/>
      <c r="B338" s="71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69"/>
      <c r="BE338" s="69"/>
      <c r="BF338" s="69"/>
      <c r="BG338" s="69"/>
      <c r="BH338" s="69"/>
      <c r="BI338" s="69"/>
      <c r="BJ338" s="69"/>
      <c r="BK338" s="69"/>
      <c r="BL338" s="69"/>
      <c r="BM338" s="69"/>
      <c r="BN338" s="69"/>
      <c r="BO338" s="69"/>
      <c r="BP338" s="69"/>
      <c r="BQ338" s="69"/>
      <c r="BR338" s="69"/>
      <c r="BS338" s="69"/>
      <c r="BT338" s="69"/>
      <c r="BU338" s="69"/>
      <c r="BV338" s="69"/>
      <c r="BW338" s="69"/>
      <c r="BX338" s="69"/>
      <c r="BY338" s="69"/>
      <c r="BZ338" s="69"/>
      <c r="CA338" s="69"/>
      <c r="CB338" s="69"/>
      <c r="CC338" s="69"/>
      <c r="CD338" s="69"/>
      <c r="CE338" s="69"/>
      <c r="CF338" s="69"/>
    </row>
    <row r="339">
      <c r="A339" s="69"/>
      <c r="B339" s="71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69"/>
      <c r="BE339" s="69"/>
      <c r="BF339" s="69"/>
      <c r="BG339" s="69"/>
      <c r="BH339" s="69"/>
      <c r="BI339" s="69"/>
      <c r="BJ339" s="69"/>
      <c r="BK339" s="69"/>
      <c r="BL339" s="69"/>
      <c r="BM339" s="69"/>
      <c r="BN339" s="69"/>
      <c r="BO339" s="69"/>
      <c r="BP339" s="69"/>
      <c r="BQ339" s="69"/>
      <c r="BR339" s="69"/>
      <c r="BS339" s="69"/>
      <c r="BT339" s="69"/>
      <c r="BU339" s="69"/>
      <c r="BV339" s="69"/>
      <c r="BW339" s="69"/>
      <c r="BX339" s="69"/>
      <c r="BY339" s="69"/>
      <c r="BZ339" s="69"/>
      <c r="CA339" s="69"/>
      <c r="CB339" s="69"/>
      <c r="CC339" s="69"/>
      <c r="CD339" s="69"/>
      <c r="CE339" s="69"/>
      <c r="CF339" s="69"/>
    </row>
    <row r="340">
      <c r="A340" s="69"/>
      <c r="B340" s="71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69"/>
      <c r="BE340" s="69"/>
      <c r="BF340" s="69"/>
      <c r="BG340" s="69"/>
      <c r="BH340" s="69"/>
      <c r="BI340" s="69"/>
      <c r="BJ340" s="69"/>
      <c r="BK340" s="69"/>
      <c r="BL340" s="69"/>
      <c r="BM340" s="69"/>
      <c r="BN340" s="69"/>
      <c r="BO340" s="69"/>
      <c r="BP340" s="69"/>
      <c r="BQ340" s="69"/>
      <c r="BR340" s="69"/>
      <c r="BS340" s="69"/>
      <c r="BT340" s="69"/>
      <c r="BU340" s="69"/>
      <c r="BV340" s="69"/>
      <c r="BW340" s="69"/>
      <c r="BX340" s="69"/>
      <c r="BY340" s="69"/>
      <c r="BZ340" s="69"/>
      <c r="CA340" s="69"/>
      <c r="CB340" s="69"/>
      <c r="CC340" s="69"/>
      <c r="CD340" s="69"/>
      <c r="CE340" s="69"/>
      <c r="CF340" s="69"/>
    </row>
    <row r="341">
      <c r="A341" s="69"/>
      <c r="B341" s="71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69"/>
      <c r="BE341" s="69"/>
      <c r="BF341" s="69"/>
      <c r="BG341" s="69"/>
      <c r="BH341" s="69"/>
      <c r="BI341" s="69"/>
      <c r="BJ341" s="69"/>
      <c r="BK341" s="69"/>
      <c r="BL341" s="69"/>
      <c r="BM341" s="69"/>
      <c r="BN341" s="69"/>
      <c r="BO341" s="69"/>
      <c r="BP341" s="69"/>
      <c r="BQ341" s="69"/>
      <c r="BR341" s="69"/>
      <c r="BS341" s="69"/>
      <c r="BT341" s="69"/>
      <c r="BU341" s="69"/>
      <c r="BV341" s="69"/>
      <c r="BW341" s="69"/>
      <c r="BX341" s="69"/>
      <c r="BY341" s="69"/>
      <c r="BZ341" s="69"/>
      <c r="CA341" s="69"/>
      <c r="CB341" s="69"/>
      <c r="CC341" s="69"/>
      <c r="CD341" s="69"/>
      <c r="CE341" s="69"/>
      <c r="CF341" s="69"/>
    </row>
    <row r="342">
      <c r="A342" s="69"/>
      <c r="B342" s="71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69"/>
      <c r="BE342" s="69"/>
      <c r="BF342" s="69"/>
      <c r="BG342" s="69"/>
      <c r="BH342" s="69"/>
      <c r="BI342" s="69"/>
      <c r="BJ342" s="69"/>
      <c r="BK342" s="69"/>
      <c r="BL342" s="69"/>
      <c r="BM342" s="69"/>
      <c r="BN342" s="69"/>
      <c r="BO342" s="69"/>
      <c r="BP342" s="69"/>
      <c r="BQ342" s="69"/>
      <c r="BR342" s="69"/>
      <c r="BS342" s="69"/>
      <c r="BT342" s="69"/>
      <c r="BU342" s="69"/>
      <c r="BV342" s="69"/>
      <c r="BW342" s="69"/>
      <c r="BX342" s="69"/>
      <c r="BY342" s="69"/>
      <c r="BZ342" s="69"/>
      <c r="CA342" s="69"/>
      <c r="CB342" s="69"/>
      <c r="CC342" s="69"/>
      <c r="CD342" s="69"/>
      <c r="CE342" s="69"/>
      <c r="CF342" s="69"/>
    </row>
    <row r="343">
      <c r="A343" s="69"/>
      <c r="B343" s="71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69"/>
      <c r="BE343" s="69"/>
      <c r="BF343" s="69"/>
      <c r="BG343" s="69"/>
      <c r="BH343" s="69"/>
      <c r="BI343" s="69"/>
      <c r="BJ343" s="69"/>
      <c r="BK343" s="69"/>
      <c r="BL343" s="69"/>
      <c r="BM343" s="69"/>
      <c r="BN343" s="69"/>
      <c r="BO343" s="69"/>
      <c r="BP343" s="69"/>
      <c r="BQ343" s="69"/>
      <c r="BR343" s="69"/>
      <c r="BS343" s="69"/>
      <c r="BT343" s="69"/>
      <c r="BU343" s="69"/>
      <c r="BV343" s="69"/>
      <c r="BW343" s="69"/>
      <c r="BX343" s="69"/>
      <c r="BY343" s="69"/>
      <c r="BZ343" s="69"/>
      <c r="CA343" s="69"/>
      <c r="CB343" s="69"/>
      <c r="CC343" s="69"/>
      <c r="CD343" s="69"/>
      <c r="CE343" s="69"/>
      <c r="CF343" s="69"/>
    </row>
    <row r="344">
      <c r="A344" s="69"/>
      <c r="B344" s="71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69"/>
      <c r="BE344" s="69"/>
      <c r="BF344" s="69"/>
      <c r="BG344" s="69"/>
      <c r="BH344" s="69"/>
      <c r="BI344" s="69"/>
      <c r="BJ344" s="69"/>
      <c r="BK344" s="69"/>
      <c r="BL344" s="69"/>
      <c r="BM344" s="69"/>
      <c r="BN344" s="69"/>
      <c r="BO344" s="69"/>
      <c r="BP344" s="69"/>
      <c r="BQ344" s="69"/>
      <c r="BR344" s="69"/>
      <c r="BS344" s="69"/>
      <c r="BT344" s="69"/>
      <c r="BU344" s="69"/>
      <c r="BV344" s="69"/>
      <c r="BW344" s="69"/>
      <c r="BX344" s="69"/>
      <c r="BY344" s="69"/>
      <c r="BZ344" s="69"/>
      <c r="CA344" s="69"/>
      <c r="CB344" s="69"/>
      <c r="CC344" s="69"/>
      <c r="CD344" s="69"/>
      <c r="CE344" s="69"/>
      <c r="CF344" s="69"/>
    </row>
    <row r="345">
      <c r="A345" s="69"/>
      <c r="B345" s="71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69"/>
      <c r="BE345" s="69"/>
      <c r="BF345" s="69"/>
      <c r="BG345" s="69"/>
      <c r="BH345" s="69"/>
      <c r="BI345" s="69"/>
      <c r="BJ345" s="69"/>
      <c r="BK345" s="69"/>
      <c r="BL345" s="69"/>
      <c r="BM345" s="69"/>
      <c r="BN345" s="69"/>
      <c r="BO345" s="69"/>
      <c r="BP345" s="69"/>
      <c r="BQ345" s="69"/>
      <c r="BR345" s="69"/>
      <c r="BS345" s="69"/>
      <c r="BT345" s="69"/>
      <c r="BU345" s="69"/>
      <c r="BV345" s="69"/>
      <c r="BW345" s="69"/>
      <c r="BX345" s="69"/>
      <c r="BY345" s="69"/>
      <c r="BZ345" s="69"/>
      <c r="CA345" s="69"/>
      <c r="CB345" s="69"/>
      <c r="CC345" s="69"/>
      <c r="CD345" s="69"/>
      <c r="CE345" s="69"/>
      <c r="CF345" s="69"/>
    </row>
    <row r="346">
      <c r="A346" s="69"/>
      <c r="B346" s="71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69"/>
      <c r="BE346" s="69"/>
      <c r="BF346" s="69"/>
      <c r="BG346" s="69"/>
      <c r="BH346" s="69"/>
      <c r="BI346" s="69"/>
      <c r="BJ346" s="69"/>
      <c r="BK346" s="69"/>
      <c r="BL346" s="69"/>
      <c r="BM346" s="69"/>
      <c r="BN346" s="69"/>
      <c r="BO346" s="69"/>
      <c r="BP346" s="69"/>
      <c r="BQ346" s="69"/>
      <c r="BR346" s="69"/>
      <c r="BS346" s="69"/>
      <c r="BT346" s="69"/>
      <c r="BU346" s="69"/>
      <c r="BV346" s="69"/>
      <c r="BW346" s="69"/>
      <c r="BX346" s="69"/>
      <c r="BY346" s="69"/>
      <c r="BZ346" s="69"/>
      <c r="CA346" s="69"/>
      <c r="CB346" s="69"/>
      <c r="CC346" s="69"/>
      <c r="CD346" s="69"/>
      <c r="CE346" s="69"/>
      <c r="CF346" s="69"/>
    </row>
    <row r="347">
      <c r="A347" s="69"/>
      <c r="B347" s="71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69"/>
      <c r="BE347" s="69"/>
      <c r="BF347" s="69"/>
      <c r="BG347" s="69"/>
      <c r="BH347" s="69"/>
      <c r="BI347" s="69"/>
      <c r="BJ347" s="69"/>
      <c r="BK347" s="69"/>
      <c r="BL347" s="69"/>
      <c r="BM347" s="69"/>
      <c r="BN347" s="69"/>
      <c r="BO347" s="69"/>
      <c r="BP347" s="69"/>
      <c r="BQ347" s="69"/>
      <c r="BR347" s="69"/>
      <c r="BS347" s="69"/>
      <c r="BT347" s="69"/>
      <c r="BU347" s="69"/>
      <c r="BV347" s="69"/>
      <c r="BW347" s="69"/>
      <c r="BX347" s="69"/>
      <c r="BY347" s="69"/>
      <c r="BZ347" s="69"/>
      <c r="CA347" s="69"/>
      <c r="CB347" s="69"/>
      <c r="CC347" s="69"/>
      <c r="CD347" s="69"/>
      <c r="CE347" s="69"/>
      <c r="CF347" s="69"/>
    </row>
    <row r="348">
      <c r="A348" s="69"/>
      <c r="B348" s="71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69"/>
      <c r="BE348" s="69"/>
      <c r="BF348" s="69"/>
      <c r="BG348" s="69"/>
      <c r="BH348" s="69"/>
      <c r="BI348" s="69"/>
      <c r="BJ348" s="69"/>
      <c r="BK348" s="69"/>
      <c r="BL348" s="69"/>
      <c r="BM348" s="69"/>
      <c r="BN348" s="69"/>
      <c r="BO348" s="69"/>
      <c r="BP348" s="69"/>
      <c r="BQ348" s="69"/>
      <c r="BR348" s="69"/>
      <c r="BS348" s="69"/>
      <c r="BT348" s="69"/>
      <c r="BU348" s="69"/>
      <c r="BV348" s="69"/>
      <c r="BW348" s="69"/>
      <c r="BX348" s="69"/>
      <c r="BY348" s="69"/>
      <c r="BZ348" s="69"/>
      <c r="CA348" s="69"/>
      <c r="CB348" s="69"/>
      <c r="CC348" s="69"/>
      <c r="CD348" s="69"/>
      <c r="CE348" s="69"/>
      <c r="CF348" s="69"/>
    </row>
    <row r="349">
      <c r="A349" s="69"/>
      <c r="B349" s="71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69"/>
      <c r="BE349" s="69"/>
      <c r="BF349" s="69"/>
      <c r="BG349" s="69"/>
      <c r="BH349" s="69"/>
      <c r="BI349" s="69"/>
      <c r="BJ349" s="69"/>
      <c r="BK349" s="69"/>
      <c r="BL349" s="69"/>
      <c r="BM349" s="69"/>
      <c r="BN349" s="69"/>
      <c r="BO349" s="69"/>
      <c r="BP349" s="69"/>
      <c r="BQ349" s="69"/>
      <c r="BR349" s="69"/>
      <c r="BS349" s="69"/>
      <c r="BT349" s="69"/>
      <c r="BU349" s="69"/>
      <c r="BV349" s="69"/>
      <c r="BW349" s="69"/>
      <c r="BX349" s="69"/>
      <c r="BY349" s="69"/>
      <c r="BZ349" s="69"/>
      <c r="CA349" s="69"/>
      <c r="CB349" s="69"/>
      <c r="CC349" s="69"/>
      <c r="CD349" s="69"/>
      <c r="CE349" s="69"/>
      <c r="CF349" s="69"/>
    </row>
    <row r="350">
      <c r="A350" s="69"/>
      <c r="B350" s="71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69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  <c r="BP350" s="69"/>
      <c r="BQ350" s="69"/>
      <c r="BR350" s="69"/>
      <c r="BS350" s="69"/>
      <c r="BT350" s="69"/>
      <c r="BU350" s="69"/>
      <c r="BV350" s="69"/>
      <c r="BW350" s="69"/>
      <c r="BX350" s="69"/>
      <c r="BY350" s="69"/>
      <c r="BZ350" s="69"/>
      <c r="CA350" s="69"/>
      <c r="CB350" s="69"/>
      <c r="CC350" s="69"/>
      <c r="CD350" s="69"/>
      <c r="CE350" s="69"/>
      <c r="CF350" s="69"/>
    </row>
    <row r="351">
      <c r="A351" s="69"/>
      <c r="B351" s="71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69"/>
      <c r="BE351" s="69"/>
      <c r="BF351" s="69"/>
      <c r="BG351" s="69"/>
      <c r="BH351" s="69"/>
      <c r="BI351" s="69"/>
      <c r="BJ351" s="69"/>
      <c r="BK351" s="69"/>
      <c r="BL351" s="69"/>
      <c r="BM351" s="69"/>
      <c r="BN351" s="69"/>
      <c r="BO351" s="69"/>
      <c r="BP351" s="69"/>
      <c r="BQ351" s="69"/>
      <c r="BR351" s="69"/>
      <c r="BS351" s="69"/>
      <c r="BT351" s="69"/>
      <c r="BU351" s="69"/>
      <c r="BV351" s="69"/>
      <c r="BW351" s="69"/>
      <c r="BX351" s="69"/>
      <c r="BY351" s="69"/>
      <c r="BZ351" s="69"/>
      <c r="CA351" s="69"/>
      <c r="CB351" s="69"/>
      <c r="CC351" s="69"/>
      <c r="CD351" s="69"/>
      <c r="CE351" s="69"/>
      <c r="CF351" s="69"/>
    </row>
    <row r="352">
      <c r="A352" s="69"/>
      <c r="B352" s="71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69"/>
      <c r="BE352" s="69"/>
      <c r="BF352" s="69"/>
      <c r="BG352" s="69"/>
      <c r="BH352" s="69"/>
      <c r="BI352" s="69"/>
      <c r="BJ352" s="69"/>
      <c r="BK352" s="69"/>
      <c r="BL352" s="69"/>
      <c r="BM352" s="69"/>
      <c r="BN352" s="69"/>
      <c r="BO352" s="69"/>
      <c r="BP352" s="69"/>
      <c r="BQ352" s="69"/>
      <c r="BR352" s="69"/>
      <c r="BS352" s="69"/>
      <c r="BT352" s="69"/>
      <c r="BU352" s="69"/>
      <c r="BV352" s="69"/>
      <c r="BW352" s="69"/>
      <c r="BX352" s="69"/>
      <c r="BY352" s="69"/>
      <c r="BZ352" s="69"/>
      <c r="CA352" s="69"/>
      <c r="CB352" s="69"/>
      <c r="CC352" s="69"/>
      <c r="CD352" s="69"/>
      <c r="CE352" s="69"/>
      <c r="CF352" s="69"/>
    </row>
    <row r="353">
      <c r="A353" s="69"/>
      <c r="B353" s="71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69"/>
      <c r="BE353" s="69"/>
      <c r="BF353" s="69"/>
      <c r="BG353" s="69"/>
      <c r="BH353" s="69"/>
      <c r="BI353" s="69"/>
      <c r="BJ353" s="69"/>
      <c r="BK353" s="69"/>
      <c r="BL353" s="69"/>
      <c r="BM353" s="69"/>
      <c r="BN353" s="69"/>
      <c r="BO353" s="69"/>
      <c r="BP353" s="69"/>
      <c r="BQ353" s="69"/>
      <c r="BR353" s="69"/>
      <c r="BS353" s="69"/>
      <c r="BT353" s="69"/>
      <c r="BU353" s="69"/>
      <c r="BV353" s="69"/>
      <c r="BW353" s="69"/>
      <c r="BX353" s="69"/>
      <c r="BY353" s="69"/>
      <c r="BZ353" s="69"/>
      <c r="CA353" s="69"/>
      <c r="CB353" s="69"/>
      <c r="CC353" s="69"/>
      <c r="CD353" s="69"/>
      <c r="CE353" s="69"/>
      <c r="CF353" s="69"/>
    </row>
    <row r="354">
      <c r="A354" s="69"/>
      <c r="B354" s="71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69"/>
      <c r="BE354" s="69"/>
      <c r="BF354" s="69"/>
      <c r="BG354" s="69"/>
      <c r="BH354" s="69"/>
      <c r="BI354" s="69"/>
      <c r="BJ354" s="69"/>
      <c r="BK354" s="69"/>
      <c r="BL354" s="69"/>
      <c r="BM354" s="69"/>
      <c r="BN354" s="69"/>
      <c r="BO354" s="69"/>
      <c r="BP354" s="69"/>
      <c r="BQ354" s="69"/>
      <c r="BR354" s="69"/>
      <c r="BS354" s="69"/>
      <c r="BT354" s="69"/>
      <c r="BU354" s="69"/>
      <c r="BV354" s="69"/>
      <c r="BW354" s="69"/>
      <c r="BX354" s="69"/>
      <c r="BY354" s="69"/>
      <c r="BZ354" s="69"/>
      <c r="CA354" s="69"/>
      <c r="CB354" s="69"/>
      <c r="CC354" s="69"/>
      <c r="CD354" s="69"/>
      <c r="CE354" s="69"/>
      <c r="CF354" s="69"/>
    </row>
    <row r="355">
      <c r="A355" s="69"/>
      <c r="B355" s="71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69"/>
      <c r="BE355" s="69"/>
      <c r="BF355" s="69"/>
      <c r="BG355" s="69"/>
      <c r="BH355" s="69"/>
      <c r="BI355" s="69"/>
      <c r="BJ355" s="69"/>
      <c r="BK355" s="69"/>
      <c r="BL355" s="69"/>
      <c r="BM355" s="69"/>
      <c r="BN355" s="69"/>
      <c r="BO355" s="69"/>
      <c r="BP355" s="69"/>
      <c r="BQ355" s="69"/>
      <c r="BR355" s="69"/>
      <c r="BS355" s="69"/>
      <c r="BT355" s="69"/>
      <c r="BU355" s="69"/>
      <c r="BV355" s="69"/>
      <c r="BW355" s="69"/>
      <c r="BX355" s="69"/>
      <c r="BY355" s="69"/>
      <c r="BZ355" s="69"/>
      <c r="CA355" s="69"/>
      <c r="CB355" s="69"/>
      <c r="CC355" s="69"/>
      <c r="CD355" s="69"/>
      <c r="CE355" s="69"/>
      <c r="CF355" s="69"/>
    </row>
    <row r="356">
      <c r="A356" s="69"/>
      <c r="B356" s="71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69"/>
      <c r="BE356" s="69"/>
      <c r="BF356" s="69"/>
      <c r="BG356" s="69"/>
      <c r="BH356" s="69"/>
      <c r="BI356" s="69"/>
      <c r="BJ356" s="69"/>
      <c r="BK356" s="69"/>
      <c r="BL356" s="69"/>
      <c r="BM356" s="69"/>
      <c r="BN356" s="69"/>
      <c r="BO356" s="69"/>
      <c r="BP356" s="69"/>
      <c r="BQ356" s="69"/>
      <c r="BR356" s="69"/>
      <c r="BS356" s="69"/>
      <c r="BT356" s="69"/>
      <c r="BU356" s="69"/>
      <c r="BV356" s="69"/>
      <c r="BW356" s="69"/>
      <c r="BX356" s="69"/>
      <c r="BY356" s="69"/>
      <c r="BZ356" s="69"/>
      <c r="CA356" s="69"/>
      <c r="CB356" s="69"/>
      <c r="CC356" s="69"/>
      <c r="CD356" s="69"/>
      <c r="CE356" s="69"/>
      <c r="CF356" s="69"/>
    </row>
    <row r="357">
      <c r="A357" s="69"/>
      <c r="B357" s="71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69"/>
      <c r="BE357" s="69"/>
      <c r="BF357" s="69"/>
      <c r="BG357" s="69"/>
      <c r="BH357" s="69"/>
      <c r="BI357" s="69"/>
      <c r="BJ357" s="69"/>
      <c r="BK357" s="69"/>
      <c r="BL357" s="69"/>
      <c r="BM357" s="69"/>
      <c r="BN357" s="69"/>
      <c r="BO357" s="69"/>
      <c r="BP357" s="69"/>
      <c r="BQ357" s="69"/>
      <c r="BR357" s="69"/>
      <c r="BS357" s="69"/>
      <c r="BT357" s="69"/>
      <c r="BU357" s="69"/>
      <c r="BV357" s="69"/>
      <c r="BW357" s="69"/>
      <c r="BX357" s="69"/>
      <c r="BY357" s="69"/>
      <c r="BZ357" s="69"/>
      <c r="CA357" s="69"/>
      <c r="CB357" s="69"/>
      <c r="CC357" s="69"/>
      <c r="CD357" s="69"/>
      <c r="CE357" s="69"/>
      <c r="CF357" s="69"/>
    </row>
    <row r="358">
      <c r="A358" s="69"/>
      <c r="B358" s="71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69"/>
      <c r="BE358" s="69"/>
      <c r="BF358" s="69"/>
      <c r="BG358" s="69"/>
      <c r="BH358" s="69"/>
      <c r="BI358" s="69"/>
      <c r="BJ358" s="69"/>
      <c r="BK358" s="69"/>
      <c r="BL358" s="69"/>
      <c r="BM358" s="69"/>
      <c r="BN358" s="69"/>
      <c r="BO358" s="69"/>
      <c r="BP358" s="69"/>
      <c r="BQ358" s="69"/>
      <c r="BR358" s="69"/>
      <c r="BS358" s="69"/>
      <c r="BT358" s="69"/>
      <c r="BU358" s="69"/>
      <c r="BV358" s="69"/>
      <c r="BW358" s="69"/>
      <c r="BX358" s="69"/>
      <c r="BY358" s="69"/>
      <c r="BZ358" s="69"/>
      <c r="CA358" s="69"/>
      <c r="CB358" s="69"/>
      <c r="CC358" s="69"/>
      <c r="CD358" s="69"/>
      <c r="CE358" s="69"/>
      <c r="CF358" s="69"/>
    </row>
    <row r="359">
      <c r="A359" s="69"/>
      <c r="B359" s="71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69"/>
      <c r="BE359" s="69"/>
      <c r="BF359" s="69"/>
      <c r="BG359" s="69"/>
      <c r="BH359" s="69"/>
      <c r="BI359" s="69"/>
      <c r="BJ359" s="69"/>
      <c r="BK359" s="69"/>
      <c r="BL359" s="69"/>
      <c r="BM359" s="69"/>
      <c r="BN359" s="69"/>
      <c r="BO359" s="69"/>
      <c r="BP359" s="69"/>
      <c r="BQ359" s="69"/>
      <c r="BR359" s="69"/>
      <c r="BS359" s="69"/>
      <c r="BT359" s="69"/>
      <c r="BU359" s="69"/>
      <c r="BV359" s="69"/>
      <c r="BW359" s="69"/>
      <c r="BX359" s="69"/>
      <c r="BY359" s="69"/>
      <c r="BZ359" s="69"/>
      <c r="CA359" s="69"/>
      <c r="CB359" s="69"/>
      <c r="CC359" s="69"/>
      <c r="CD359" s="69"/>
      <c r="CE359" s="69"/>
      <c r="CF359" s="69"/>
    </row>
    <row r="360">
      <c r="A360" s="69"/>
      <c r="B360" s="71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69"/>
      <c r="BE360" s="69"/>
      <c r="BF360" s="69"/>
      <c r="BG360" s="69"/>
      <c r="BH360" s="69"/>
      <c r="BI360" s="69"/>
      <c r="BJ360" s="69"/>
      <c r="BK360" s="69"/>
      <c r="BL360" s="69"/>
      <c r="BM360" s="69"/>
      <c r="BN360" s="69"/>
      <c r="BO360" s="69"/>
      <c r="BP360" s="69"/>
      <c r="BQ360" s="69"/>
      <c r="BR360" s="69"/>
      <c r="BS360" s="69"/>
      <c r="BT360" s="69"/>
      <c r="BU360" s="69"/>
      <c r="BV360" s="69"/>
      <c r="BW360" s="69"/>
      <c r="BX360" s="69"/>
      <c r="BY360" s="69"/>
      <c r="BZ360" s="69"/>
      <c r="CA360" s="69"/>
      <c r="CB360" s="69"/>
      <c r="CC360" s="69"/>
      <c r="CD360" s="69"/>
      <c r="CE360" s="69"/>
      <c r="CF360" s="69"/>
    </row>
    <row r="361">
      <c r="A361" s="69"/>
      <c r="B361" s="71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69"/>
      <c r="BE361" s="69"/>
      <c r="BF361" s="69"/>
      <c r="BG361" s="69"/>
      <c r="BH361" s="69"/>
      <c r="BI361" s="69"/>
      <c r="BJ361" s="69"/>
      <c r="BK361" s="69"/>
      <c r="BL361" s="69"/>
      <c r="BM361" s="69"/>
      <c r="BN361" s="69"/>
      <c r="BO361" s="69"/>
      <c r="BP361" s="69"/>
      <c r="BQ361" s="69"/>
      <c r="BR361" s="69"/>
      <c r="BS361" s="69"/>
      <c r="BT361" s="69"/>
      <c r="BU361" s="69"/>
      <c r="BV361" s="69"/>
      <c r="BW361" s="69"/>
      <c r="BX361" s="69"/>
      <c r="BY361" s="69"/>
      <c r="BZ361" s="69"/>
      <c r="CA361" s="69"/>
      <c r="CB361" s="69"/>
      <c r="CC361" s="69"/>
      <c r="CD361" s="69"/>
      <c r="CE361" s="69"/>
      <c r="CF361" s="69"/>
    </row>
    <row r="362">
      <c r="A362" s="69"/>
      <c r="B362" s="71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69"/>
      <c r="BE362" s="69"/>
      <c r="BF362" s="69"/>
      <c r="BG362" s="69"/>
      <c r="BH362" s="69"/>
      <c r="BI362" s="69"/>
      <c r="BJ362" s="69"/>
      <c r="BK362" s="69"/>
      <c r="BL362" s="69"/>
      <c r="BM362" s="69"/>
      <c r="BN362" s="69"/>
      <c r="BO362" s="69"/>
      <c r="BP362" s="69"/>
      <c r="BQ362" s="69"/>
      <c r="BR362" s="69"/>
      <c r="BS362" s="69"/>
      <c r="BT362" s="69"/>
      <c r="BU362" s="69"/>
      <c r="BV362" s="69"/>
      <c r="BW362" s="69"/>
      <c r="BX362" s="69"/>
      <c r="BY362" s="69"/>
      <c r="BZ362" s="69"/>
      <c r="CA362" s="69"/>
      <c r="CB362" s="69"/>
      <c r="CC362" s="69"/>
      <c r="CD362" s="69"/>
      <c r="CE362" s="69"/>
      <c r="CF362" s="69"/>
    </row>
    <row r="363">
      <c r="A363" s="69"/>
      <c r="B363" s="71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69"/>
      <c r="BE363" s="69"/>
      <c r="BF363" s="69"/>
      <c r="BG363" s="69"/>
      <c r="BH363" s="69"/>
      <c r="BI363" s="69"/>
      <c r="BJ363" s="69"/>
      <c r="BK363" s="69"/>
      <c r="BL363" s="69"/>
      <c r="BM363" s="69"/>
      <c r="BN363" s="69"/>
      <c r="BO363" s="69"/>
      <c r="BP363" s="69"/>
      <c r="BQ363" s="69"/>
      <c r="BR363" s="69"/>
      <c r="BS363" s="69"/>
      <c r="BT363" s="69"/>
      <c r="BU363" s="69"/>
      <c r="BV363" s="69"/>
      <c r="BW363" s="69"/>
      <c r="BX363" s="69"/>
      <c r="BY363" s="69"/>
      <c r="BZ363" s="69"/>
      <c r="CA363" s="69"/>
      <c r="CB363" s="69"/>
      <c r="CC363" s="69"/>
      <c r="CD363" s="69"/>
      <c r="CE363" s="69"/>
      <c r="CF363" s="69"/>
    </row>
    <row r="364">
      <c r="A364" s="69"/>
      <c r="B364" s="71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69"/>
      <c r="BE364" s="69"/>
      <c r="BF364" s="69"/>
      <c r="BG364" s="69"/>
      <c r="BH364" s="69"/>
      <c r="BI364" s="69"/>
      <c r="BJ364" s="69"/>
      <c r="BK364" s="69"/>
      <c r="BL364" s="69"/>
      <c r="BM364" s="69"/>
      <c r="BN364" s="69"/>
      <c r="BO364" s="69"/>
      <c r="BP364" s="69"/>
      <c r="BQ364" s="69"/>
      <c r="BR364" s="69"/>
      <c r="BS364" s="69"/>
      <c r="BT364" s="69"/>
      <c r="BU364" s="69"/>
      <c r="BV364" s="69"/>
      <c r="BW364" s="69"/>
      <c r="BX364" s="69"/>
      <c r="BY364" s="69"/>
      <c r="BZ364" s="69"/>
      <c r="CA364" s="69"/>
      <c r="CB364" s="69"/>
      <c r="CC364" s="69"/>
      <c r="CD364" s="69"/>
      <c r="CE364" s="69"/>
      <c r="CF364" s="69"/>
    </row>
    <row r="365">
      <c r="A365" s="69"/>
      <c r="B365" s="71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69"/>
      <c r="BE365" s="69"/>
      <c r="BF365" s="69"/>
      <c r="BG365" s="69"/>
      <c r="BH365" s="69"/>
      <c r="BI365" s="69"/>
      <c r="BJ365" s="69"/>
      <c r="BK365" s="69"/>
      <c r="BL365" s="69"/>
      <c r="BM365" s="69"/>
      <c r="BN365" s="69"/>
      <c r="BO365" s="69"/>
      <c r="BP365" s="69"/>
      <c r="BQ365" s="69"/>
      <c r="BR365" s="69"/>
      <c r="BS365" s="69"/>
      <c r="BT365" s="69"/>
      <c r="BU365" s="69"/>
      <c r="BV365" s="69"/>
      <c r="BW365" s="69"/>
      <c r="BX365" s="69"/>
      <c r="BY365" s="69"/>
      <c r="BZ365" s="69"/>
      <c r="CA365" s="69"/>
      <c r="CB365" s="69"/>
      <c r="CC365" s="69"/>
      <c r="CD365" s="69"/>
      <c r="CE365" s="69"/>
      <c r="CF365" s="69"/>
    </row>
    <row r="366">
      <c r="A366" s="69"/>
      <c r="B366" s="71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69"/>
      <c r="BE366" s="69"/>
      <c r="BF366" s="69"/>
      <c r="BG366" s="69"/>
      <c r="BH366" s="69"/>
      <c r="BI366" s="69"/>
      <c r="BJ366" s="69"/>
      <c r="BK366" s="69"/>
      <c r="BL366" s="69"/>
      <c r="BM366" s="69"/>
      <c r="BN366" s="69"/>
      <c r="BO366" s="69"/>
      <c r="BP366" s="69"/>
      <c r="BQ366" s="69"/>
      <c r="BR366" s="69"/>
      <c r="BS366" s="69"/>
      <c r="BT366" s="69"/>
      <c r="BU366" s="69"/>
      <c r="BV366" s="69"/>
      <c r="BW366" s="69"/>
      <c r="BX366" s="69"/>
      <c r="BY366" s="69"/>
      <c r="BZ366" s="69"/>
      <c r="CA366" s="69"/>
      <c r="CB366" s="69"/>
      <c r="CC366" s="69"/>
      <c r="CD366" s="69"/>
      <c r="CE366" s="69"/>
      <c r="CF366" s="69"/>
    </row>
    <row r="367">
      <c r="A367" s="69"/>
      <c r="B367" s="71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69"/>
      <c r="BE367" s="69"/>
      <c r="BF367" s="69"/>
      <c r="BG367" s="69"/>
      <c r="BH367" s="69"/>
      <c r="BI367" s="69"/>
      <c r="BJ367" s="69"/>
      <c r="BK367" s="69"/>
      <c r="BL367" s="69"/>
      <c r="BM367" s="69"/>
      <c r="BN367" s="69"/>
      <c r="BO367" s="69"/>
      <c r="BP367" s="69"/>
      <c r="BQ367" s="69"/>
      <c r="BR367" s="69"/>
      <c r="BS367" s="69"/>
      <c r="BT367" s="69"/>
      <c r="BU367" s="69"/>
      <c r="BV367" s="69"/>
      <c r="BW367" s="69"/>
      <c r="BX367" s="69"/>
      <c r="BY367" s="69"/>
      <c r="BZ367" s="69"/>
      <c r="CA367" s="69"/>
      <c r="CB367" s="69"/>
      <c r="CC367" s="69"/>
      <c r="CD367" s="69"/>
      <c r="CE367" s="69"/>
      <c r="CF367" s="69"/>
    </row>
    <row r="368">
      <c r="A368" s="69"/>
      <c r="B368" s="71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69"/>
      <c r="BE368" s="69"/>
      <c r="BF368" s="69"/>
      <c r="BG368" s="69"/>
      <c r="BH368" s="69"/>
      <c r="BI368" s="69"/>
      <c r="BJ368" s="69"/>
      <c r="BK368" s="69"/>
      <c r="BL368" s="69"/>
      <c r="BM368" s="69"/>
      <c r="BN368" s="69"/>
      <c r="BO368" s="69"/>
      <c r="BP368" s="69"/>
      <c r="BQ368" s="69"/>
      <c r="BR368" s="69"/>
      <c r="BS368" s="69"/>
      <c r="BT368" s="69"/>
      <c r="BU368" s="69"/>
      <c r="BV368" s="69"/>
      <c r="BW368" s="69"/>
      <c r="BX368" s="69"/>
      <c r="BY368" s="69"/>
      <c r="BZ368" s="69"/>
      <c r="CA368" s="69"/>
      <c r="CB368" s="69"/>
      <c r="CC368" s="69"/>
      <c r="CD368" s="69"/>
      <c r="CE368" s="69"/>
      <c r="CF368" s="69"/>
    </row>
    <row r="369">
      <c r="A369" s="69"/>
      <c r="B369" s="71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69"/>
      <c r="BE369" s="69"/>
      <c r="BF369" s="69"/>
      <c r="BG369" s="69"/>
      <c r="BH369" s="69"/>
      <c r="BI369" s="69"/>
      <c r="BJ369" s="69"/>
      <c r="BK369" s="69"/>
      <c r="BL369" s="69"/>
      <c r="BM369" s="69"/>
      <c r="BN369" s="69"/>
      <c r="BO369" s="69"/>
      <c r="BP369" s="69"/>
      <c r="BQ369" s="69"/>
      <c r="BR369" s="69"/>
      <c r="BS369" s="69"/>
      <c r="BT369" s="69"/>
      <c r="BU369" s="69"/>
      <c r="BV369" s="69"/>
      <c r="BW369" s="69"/>
      <c r="BX369" s="69"/>
      <c r="BY369" s="69"/>
      <c r="BZ369" s="69"/>
      <c r="CA369" s="69"/>
      <c r="CB369" s="69"/>
      <c r="CC369" s="69"/>
      <c r="CD369" s="69"/>
      <c r="CE369" s="69"/>
      <c r="CF369" s="69"/>
    </row>
    <row r="370">
      <c r="A370" s="69"/>
      <c r="B370" s="71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69"/>
      <c r="BE370" s="69"/>
      <c r="BF370" s="69"/>
      <c r="BG370" s="69"/>
      <c r="BH370" s="69"/>
      <c r="BI370" s="69"/>
      <c r="BJ370" s="69"/>
      <c r="BK370" s="69"/>
      <c r="BL370" s="69"/>
      <c r="BM370" s="69"/>
      <c r="BN370" s="69"/>
      <c r="BO370" s="69"/>
      <c r="BP370" s="69"/>
      <c r="BQ370" s="69"/>
      <c r="BR370" s="69"/>
      <c r="BS370" s="69"/>
      <c r="BT370" s="69"/>
      <c r="BU370" s="69"/>
      <c r="BV370" s="69"/>
      <c r="BW370" s="69"/>
      <c r="BX370" s="69"/>
      <c r="BY370" s="69"/>
      <c r="BZ370" s="69"/>
      <c r="CA370" s="69"/>
      <c r="CB370" s="69"/>
      <c r="CC370" s="69"/>
      <c r="CD370" s="69"/>
      <c r="CE370" s="69"/>
      <c r="CF370" s="69"/>
    </row>
    <row r="371">
      <c r="A371" s="69"/>
      <c r="B371" s="71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69"/>
      <c r="BE371" s="69"/>
      <c r="BF371" s="69"/>
      <c r="BG371" s="69"/>
      <c r="BH371" s="69"/>
      <c r="BI371" s="69"/>
      <c r="BJ371" s="69"/>
      <c r="BK371" s="69"/>
      <c r="BL371" s="69"/>
      <c r="BM371" s="69"/>
      <c r="BN371" s="69"/>
      <c r="BO371" s="69"/>
      <c r="BP371" s="69"/>
      <c r="BQ371" s="69"/>
      <c r="BR371" s="69"/>
      <c r="BS371" s="69"/>
      <c r="BT371" s="69"/>
      <c r="BU371" s="69"/>
      <c r="BV371" s="69"/>
      <c r="BW371" s="69"/>
      <c r="BX371" s="69"/>
      <c r="BY371" s="69"/>
      <c r="BZ371" s="69"/>
      <c r="CA371" s="69"/>
      <c r="CB371" s="69"/>
      <c r="CC371" s="69"/>
      <c r="CD371" s="69"/>
      <c r="CE371" s="69"/>
      <c r="CF371" s="69"/>
    </row>
    <row r="372">
      <c r="A372" s="69"/>
      <c r="B372" s="71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69"/>
      <c r="BE372" s="69"/>
      <c r="BF372" s="69"/>
      <c r="BG372" s="69"/>
      <c r="BH372" s="69"/>
      <c r="BI372" s="69"/>
      <c r="BJ372" s="69"/>
      <c r="BK372" s="69"/>
      <c r="BL372" s="69"/>
      <c r="BM372" s="69"/>
      <c r="BN372" s="69"/>
      <c r="BO372" s="69"/>
      <c r="BP372" s="69"/>
      <c r="BQ372" s="69"/>
      <c r="BR372" s="69"/>
      <c r="BS372" s="69"/>
      <c r="BT372" s="69"/>
      <c r="BU372" s="69"/>
      <c r="BV372" s="69"/>
      <c r="BW372" s="69"/>
      <c r="BX372" s="69"/>
      <c r="BY372" s="69"/>
      <c r="BZ372" s="69"/>
      <c r="CA372" s="69"/>
      <c r="CB372" s="69"/>
      <c r="CC372" s="69"/>
      <c r="CD372" s="69"/>
      <c r="CE372" s="69"/>
      <c r="CF372" s="69"/>
    </row>
    <row r="373">
      <c r="A373" s="69"/>
      <c r="B373" s="71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69"/>
      <c r="BE373" s="69"/>
      <c r="BF373" s="69"/>
      <c r="BG373" s="69"/>
      <c r="BH373" s="69"/>
      <c r="BI373" s="69"/>
      <c r="BJ373" s="69"/>
      <c r="BK373" s="69"/>
      <c r="BL373" s="69"/>
      <c r="BM373" s="69"/>
      <c r="BN373" s="69"/>
      <c r="BO373" s="69"/>
      <c r="BP373" s="69"/>
      <c r="BQ373" s="69"/>
      <c r="BR373" s="69"/>
      <c r="BS373" s="69"/>
      <c r="BT373" s="69"/>
      <c r="BU373" s="69"/>
      <c r="BV373" s="69"/>
      <c r="BW373" s="69"/>
      <c r="BX373" s="69"/>
      <c r="BY373" s="69"/>
      <c r="BZ373" s="69"/>
      <c r="CA373" s="69"/>
      <c r="CB373" s="69"/>
      <c r="CC373" s="69"/>
      <c r="CD373" s="69"/>
      <c r="CE373" s="69"/>
      <c r="CF373" s="69"/>
    </row>
    <row r="374">
      <c r="A374" s="69"/>
      <c r="B374" s="71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69"/>
      <c r="BE374" s="69"/>
      <c r="BF374" s="69"/>
      <c r="BG374" s="69"/>
      <c r="BH374" s="69"/>
      <c r="BI374" s="69"/>
      <c r="BJ374" s="69"/>
      <c r="BK374" s="69"/>
      <c r="BL374" s="69"/>
      <c r="BM374" s="69"/>
      <c r="BN374" s="69"/>
      <c r="BO374" s="69"/>
      <c r="BP374" s="69"/>
      <c r="BQ374" s="69"/>
      <c r="BR374" s="69"/>
      <c r="BS374" s="69"/>
      <c r="BT374" s="69"/>
      <c r="BU374" s="69"/>
      <c r="BV374" s="69"/>
      <c r="BW374" s="69"/>
      <c r="BX374" s="69"/>
      <c r="BY374" s="69"/>
      <c r="BZ374" s="69"/>
      <c r="CA374" s="69"/>
      <c r="CB374" s="69"/>
      <c r="CC374" s="69"/>
      <c r="CD374" s="69"/>
      <c r="CE374" s="69"/>
      <c r="CF374" s="69"/>
    </row>
    <row r="375">
      <c r="A375" s="69"/>
      <c r="B375" s="71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69"/>
      <c r="BE375" s="69"/>
      <c r="BF375" s="69"/>
      <c r="BG375" s="69"/>
      <c r="BH375" s="69"/>
      <c r="BI375" s="69"/>
      <c r="BJ375" s="69"/>
      <c r="BK375" s="69"/>
      <c r="BL375" s="69"/>
      <c r="BM375" s="69"/>
      <c r="BN375" s="69"/>
      <c r="BO375" s="69"/>
      <c r="BP375" s="69"/>
      <c r="BQ375" s="69"/>
      <c r="BR375" s="69"/>
      <c r="BS375" s="69"/>
      <c r="BT375" s="69"/>
      <c r="BU375" s="69"/>
      <c r="BV375" s="69"/>
      <c r="BW375" s="69"/>
      <c r="BX375" s="69"/>
      <c r="BY375" s="69"/>
      <c r="BZ375" s="69"/>
      <c r="CA375" s="69"/>
      <c r="CB375" s="69"/>
      <c r="CC375" s="69"/>
      <c r="CD375" s="69"/>
      <c r="CE375" s="69"/>
      <c r="CF375" s="69"/>
    </row>
    <row r="376">
      <c r="A376" s="69"/>
      <c r="B376" s="71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69"/>
      <c r="BE376" s="69"/>
      <c r="BF376" s="69"/>
      <c r="BG376" s="69"/>
      <c r="BH376" s="69"/>
      <c r="BI376" s="69"/>
      <c r="BJ376" s="69"/>
      <c r="BK376" s="69"/>
      <c r="BL376" s="69"/>
      <c r="BM376" s="69"/>
      <c r="BN376" s="69"/>
      <c r="BO376" s="69"/>
      <c r="BP376" s="69"/>
      <c r="BQ376" s="69"/>
      <c r="BR376" s="69"/>
      <c r="BS376" s="69"/>
      <c r="BT376" s="69"/>
      <c r="BU376" s="69"/>
      <c r="BV376" s="69"/>
      <c r="BW376" s="69"/>
      <c r="BX376" s="69"/>
      <c r="BY376" s="69"/>
      <c r="BZ376" s="69"/>
      <c r="CA376" s="69"/>
      <c r="CB376" s="69"/>
      <c r="CC376" s="69"/>
      <c r="CD376" s="69"/>
      <c r="CE376" s="69"/>
      <c r="CF376" s="69"/>
    </row>
    <row r="377">
      <c r="A377" s="69"/>
      <c r="B377" s="71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69"/>
      <c r="BE377" s="69"/>
      <c r="BF377" s="69"/>
      <c r="BG377" s="69"/>
      <c r="BH377" s="69"/>
      <c r="BI377" s="69"/>
      <c r="BJ377" s="69"/>
      <c r="BK377" s="69"/>
      <c r="BL377" s="69"/>
      <c r="BM377" s="69"/>
      <c r="BN377" s="69"/>
      <c r="BO377" s="69"/>
      <c r="BP377" s="69"/>
      <c r="BQ377" s="69"/>
      <c r="BR377" s="69"/>
      <c r="BS377" s="69"/>
      <c r="BT377" s="69"/>
      <c r="BU377" s="69"/>
      <c r="BV377" s="69"/>
      <c r="BW377" s="69"/>
      <c r="BX377" s="69"/>
      <c r="BY377" s="69"/>
      <c r="BZ377" s="69"/>
      <c r="CA377" s="69"/>
      <c r="CB377" s="69"/>
      <c r="CC377" s="69"/>
      <c r="CD377" s="69"/>
      <c r="CE377" s="69"/>
      <c r="CF377" s="69"/>
    </row>
    <row r="378">
      <c r="A378" s="69"/>
      <c r="B378" s="71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69"/>
      <c r="BE378" s="69"/>
      <c r="BF378" s="69"/>
      <c r="BG378" s="69"/>
      <c r="BH378" s="69"/>
      <c r="BI378" s="69"/>
      <c r="BJ378" s="69"/>
      <c r="BK378" s="69"/>
      <c r="BL378" s="69"/>
      <c r="BM378" s="69"/>
      <c r="BN378" s="69"/>
      <c r="BO378" s="69"/>
      <c r="BP378" s="69"/>
      <c r="BQ378" s="69"/>
      <c r="BR378" s="69"/>
      <c r="BS378" s="69"/>
      <c r="BT378" s="69"/>
      <c r="BU378" s="69"/>
      <c r="BV378" s="69"/>
      <c r="BW378" s="69"/>
      <c r="BX378" s="69"/>
      <c r="BY378" s="69"/>
      <c r="BZ378" s="69"/>
      <c r="CA378" s="69"/>
      <c r="CB378" s="69"/>
      <c r="CC378" s="69"/>
      <c r="CD378" s="69"/>
      <c r="CE378" s="69"/>
      <c r="CF378" s="69"/>
    </row>
    <row r="379">
      <c r="A379" s="69"/>
      <c r="B379" s="71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69"/>
      <c r="BE379" s="69"/>
      <c r="BF379" s="69"/>
      <c r="BG379" s="69"/>
      <c r="BH379" s="69"/>
      <c r="BI379" s="69"/>
      <c r="BJ379" s="69"/>
      <c r="BK379" s="69"/>
      <c r="BL379" s="69"/>
      <c r="BM379" s="69"/>
      <c r="BN379" s="69"/>
      <c r="BO379" s="69"/>
      <c r="BP379" s="69"/>
      <c r="BQ379" s="69"/>
      <c r="BR379" s="69"/>
      <c r="BS379" s="69"/>
      <c r="BT379" s="69"/>
      <c r="BU379" s="69"/>
      <c r="BV379" s="69"/>
      <c r="BW379" s="69"/>
      <c r="BX379" s="69"/>
      <c r="BY379" s="69"/>
      <c r="BZ379" s="69"/>
      <c r="CA379" s="69"/>
      <c r="CB379" s="69"/>
      <c r="CC379" s="69"/>
      <c r="CD379" s="69"/>
      <c r="CE379" s="69"/>
      <c r="CF379" s="69"/>
    </row>
    <row r="380">
      <c r="A380" s="69"/>
      <c r="B380" s="71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69"/>
      <c r="BE380" s="69"/>
      <c r="BF380" s="69"/>
      <c r="BG380" s="69"/>
      <c r="BH380" s="69"/>
      <c r="BI380" s="69"/>
      <c r="BJ380" s="69"/>
      <c r="BK380" s="69"/>
      <c r="BL380" s="69"/>
      <c r="BM380" s="69"/>
      <c r="BN380" s="69"/>
      <c r="BO380" s="69"/>
      <c r="BP380" s="69"/>
      <c r="BQ380" s="69"/>
      <c r="BR380" s="69"/>
      <c r="BS380" s="69"/>
      <c r="BT380" s="69"/>
      <c r="BU380" s="69"/>
      <c r="BV380" s="69"/>
      <c r="BW380" s="69"/>
      <c r="BX380" s="69"/>
      <c r="BY380" s="69"/>
      <c r="BZ380" s="69"/>
      <c r="CA380" s="69"/>
      <c r="CB380" s="69"/>
      <c r="CC380" s="69"/>
      <c r="CD380" s="69"/>
      <c r="CE380" s="69"/>
      <c r="CF380" s="69"/>
    </row>
    <row r="381">
      <c r="A381" s="69"/>
      <c r="B381" s="71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69"/>
      <c r="BE381" s="69"/>
      <c r="BF381" s="69"/>
      <c r="BG381" s="69"/>
      <c r="BH381" s="69"/>
      <c r="BI381" s="69"/>
      <c r="BJ381" s="69"/>
      <c r="BK381" s="69"/>
      <c r="BL381" s="69"/>
      <c r="BM381" s="69"/>
      <c r="BN381" s="69"/>
      <c r="BO381" s="69"/>
      <c r="BP381" s="69"/>
      <c r="BQ381" s="69"/>
      <c r="BR381" s="69"/>
      <c r="BS381" s="69"/>
      <c r="BT381" s="69"/>
      <c r="BU381" s="69"/>
      <c r="BV381" s="69"/>
      <c r="BW381" s="69"/>
      <c r="BX381" s="69"/>
      <c r="BY381" s="69"/>
      <c r="BZ381" s="69"/>
      <c r="CA381" s="69"/>
      <c r="CB381" s="69"/>
      <c r="CC381" s="69"/>
      <c r="CD381" s="69"/>
      <c r="CE381" s="69"/>
      <c r="CF381" s="69"/>
    </row>
    <row r="382">
      <c r="A382" s="69"/>
      <c r="B382" s="71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69"/>
      <c r="BE382" s="69"/>
      <c r="BF382" s="69"/>
      <c r="BG382" s="69"/>
      <c r="BH382" s="69"/>
      <c r="BI382" s="69"/>
      <c r="BJ382" s="69"/>
      <c r="BK382" s="69"/>
      <c r="BL382" s="69"/>
      <c r="BM382" s="69"/>
      <c r="BN382" s="69"/>
      <c r="BO382" s="69"/>
      <c r="BP382" s="69"/>
      <c r="BQ382" s="69"/>
      <c r="BR382" s="69"/>
      <c r="BS382" s="69"/>
      <c r="BT382" s="69"/>
      <c r="BU382" s="69"/>
      <c r="BV382" s="69"/>
      <c r="BW382" s="69"/>
      <c r="BX382" s="69"/>
      <c r="BY382" s="69"/>
      <c r="BZ382" s="69"/>
      <c r="CA382" s="69"/>
      <c r="CB382" s="69"/>
      <c r="CC382" s="69"/>
      <c r="CD382" s="69"/>
      <c r="CE382" s="69"/>
      <c r="CF382" s="69"/>
    </row>
    <row r="383">
      <c r="A383" s="69"/>
      <c r="B383" s="71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69"/>
      <c r="BE383" s="69"/>
      <c r="BF383" s="69"/>
      <c r="BG383" s="69"/>
      <c r="BH383" s="69"/>
      <c r="BI383" s="69"/>
      <c r="BJ383" s="69"/>
      <c r="BK383" s="69"/>
      <c r="BL383" s="69"/>
      <c r="BM383" s="69"/>
      <c r="BN383" s="69"/>
      <c r="BO383" s="69"/>
      <c r="BP383" s="69"/>
      <c r="BQ383" s="69"/>
      <c r="BR383" s="69"/>
      <c r="BS383" s="69"/>
      <c r="BT383" s="69"/>
      <c r="BU383" s="69"/>
      <c r="BV383" s="69"/>
      <c r="BW383" s="69"/>
      <c r="BX383" s="69"/>
      <c r="BY383" s="69"/>
      <c r="BZ383" s="69"/>
      <c r="CA383" s="69"/>
      <c r="CB383" s="69"/>
      <c r="CC383" s="69"/>
      <c r="CD383" s="69"/>
      <c r="CE383" s="69"/>
      <c r="CF383" s="69"/>
    </row>
    <row r="384">
      <c r="A384" s="69"/>
      <c r="B384" s="71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69"/>
      <c r="BE384" s="69"/>
      <c r="BF384" s="69"/>
      <c r="BG384" s="69"/>
      <c r="BH384" s="69"/>
      <c r="BI384" s="69"/>
      <c r="BJ384" s="69"/>
      <c r="BK384" s="69"/>
      <c r="BL384" s="69"/>
      <c r="BM384" s="69"/>
      <c r="BN384" s="69"/>
      <c r="BO384" s="69"/>
      <c r="BP384" s="69"/>
      <c r="BQ384" s="69"/>
      <c r="BR384" s="69"/>
      <c r="BS384" s="69"/>
      <c r="BT384" s="69"/>
      <c r="BU384" s="69"/>
      <c r="BV384" s="69"/>
      <c r="BW384" s="69"/>
      <c r="BX384" s="69"/>
      <c r="BY384" s="69"/>
      <c r="BZ384" s="69"/>
      <c r="CA384" s="69"/>
      <c r="CB384" s="69"/>
      <c r="CC384" s="69"/>
      <c r="CD384" s="69"/>
      <c r="CE384" s="69"/>
      <c r="CF384" s="69"/>
    </row>
    <row r="385">
      <c r="A385" s="69"/>
      <c r="B385" s="71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69"/>
      <c r="BE385" s="69"/>
      <c r="BF385" s="69"/>
      <c r="BG385" s="69"/>
      <c r="BH385" s="69"/>
      <c r="BI385" s="69"/>
      <c r="BJ385" s="69"/>
      <c r="BK385" s="69"/>
      <c r="BL385" s="69"/>
      <c r="BM385" s="69"/>
      <c r="BN385" s="69"/>
      <c r="BO385" s="69"/>
      <c r="BP385" s="69"/>
      <c r="BQ385" s="69"/>
      <c r="BR385" s="69"/>
      <c r="BS385" s="69"/>
      <c r="BT385" s="69"/>
      <c r="BU385" s="69"/>
      <c r="BV385" s="69"/>
      <c r="BW385" s="69"/>
      <c r="BX385" s="69"/>
      <c r="BY385" s="69"/>
      <c r="BZ385" s="69"/>
      <c r="CA385" s="69"/>
      <c r="CB385" s="69"/>
      <c r="CC385" s="69"/>
      <c r="CD385" s="69"/>
      <c r="CE385" s="69"/>
      <c r="CF385" s="69"/>
    </row>
    <row r="386">
      <c r="A386" s="69"/>
      <c r="B386" s="71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69"/>
      <c r="BE386" s="69"/>
      <c r="BF386" s="69"/>
      <c r="BG386" s="69"/>
      <c r="BH386" s="69"/>
      <c r="BI386" s="69"/>
      <c r="BJ386" s="69"/>
      <c r="BK386" s="69"/>
      <c r="BL386" s="69"/>
      <c r="BM386" s="69"/>
      <c r="BN386" s="69"/>
      <c r="BO386" s="69"/>
      <c r="BP386" s="69"/>
      <c r="BQ386" s="69"/>
      <c r="BR386" s="69"/>
      <c r="BS386" s="69"/>
      <c r="BT386" s="69"/>
      <c r="BU386" s="69"/>
      <c r="BV386" s="69"/>
      <c r="BW386" s="69"/>
      <c r="BX386" s="69"/>
      <c r="BY386" s="69"/>
      <c r="BZ386" s="69"/>
      <c r="CA386" s="69"/>
      <c r="CB386" s="69"/>
      <c r="CC386" s="69"/>
      <c r="CD386" s="69"/>
      <c r="CE386" s="69"/>
      <c r="CF386" s="69"/>
    </row>
    <row r="387">
      <c r="A387" s="69"/>
      <c r="B387" s="71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69"/>
      <c r="BE387" s="69"/>
      <c r="BF387" s="69"/>
      <c r="BG387" s="69"/>
      <c r="BH387" s="69"/>
      <c r="BI387" s="69"/>
      <c r="BJ387" s="69"/>
      <c r="BK387" s="69"/>
      <c r="BL387" s="69"/>
      <c r="BM387" s="69"/>
      <c r="BN387" s="69"/>
      <c r="BO387" s="69"/>
      <c r="BP387" s="69"/>
      <c r="BQ387" s="69"/>
      <c r="BR387" s="69"/>
      <c r="BS387" s="69"/>
      <c r="BT387" s="69"/>
      <c r="BU387" s="69"/>
      <c r="BV387" s="69"/>
      <c r="BW387" s="69"/>
      <c r="BX387" s="69"/>
      <c r="BY387" s="69"/>
      <c r="BZ387" s="69"/>
      <c r="CA387" s="69"/>
      <c r="CB387" s="69"/>
      <c r="CC387" s="69"/>
      <c r="CD387" s="69"/>
      <c r="CE387" s="69"/>
      <c r="CF387" s="69"/>
    </row>
    <row r="388">
      <c r="A388" s="69"/>
      <c r="B388" s="71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69"/>
      <c r="BE388" s="69"/>
      <c r="BF388" s="69"/>
      <c r="BG388" s="69"/>
      <c r="BH388" s="69"/>
      <c r="BI388" s="69"/>
      <c r="BJ388" s="69"/>
      <c r="BK388" s="69"/>
      <c r="BL388" s="69"/>
      <c r="BM388" s="69"/>
      <c r="BN388" s="69"/>
      <c r="BO388" s="69"/>
      <c r="BP388" s="69"/>
      <c r="BQ388" s="69"/>
      <c r="BR388" s="69"/>
      <c r="BS388" s="69"/>
      <c r="BT388" s="69"/>
      <c r="BU388" s="69"/>
      <c r="BV388" s="69"/>
      <c r="BW388" s="69"/>
      <c r="BX388" s="69"/>
      <c r="BY388" s="69"/>
      <c r="BZ388" s="69"/>
      <c r="CA388" s="69"/>
      <c r="CB388" s="69"/>
      <c r="CC388" s="69"/>
      <c r="CD388" s="69"/>
      <c r="CE388" s="69"/>
      <c r="CF388" s="69"/>
    </row>
    <row r="389">
      <c r="A389" s="69"/>
      <c r="B389" s="71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69"/>
      <c r="BE389" s="69"/>
      <c r="BF389" s="69"/>
      <c r="BG389" s="69"/>
      <c r="BH389" s="69"/>
      <c r="BI389" s="69"/>
      <c r="BJ389" s="69"/>
      <c r="BK389" s="69"/>
      <c r="BL389" s="69"/>
      <c r="BM389" s="69"/>
      <c r="BN389" s="69"/>
      <c r="BO389" s="69"/>
      <c r="BP389" s="69"/>
      <c r="BQ389" s="69"/>
      <c r="BR389" s="69"/>
      <c r="BS389" s="69"/>
      <c r="BT389" s="69"/>
      <c r="BU389" s="69"/>
      <c r="BV389" s="69"/>
      <c r="BW389" s="69"/>
      <c r="BX389" s="69"/>
      <c r="BY389" s="69"/>
      <c r="BZ389" s="69"/>
      <c r="CA389" s="69"/>
      <c r="CB389" s="69"/>
      <c r="CC389" s="69"/>
      <c r="CD389" s="69"/>
      <c r="CE389" s="69"/>
      <c r="CF389" s="69"/>
    </row>
    <row r="390">
      <c r="A390" s="69"/>
      <c r="B390" s="71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69"/>
      <c r="BE390" s="69"/>
      <c r="BF390" s="69"/>
      <c r="BG390" s="69"/>
      <c r="BH390" s="69"/>
      <c r="BI390" s="69"/>
      <c r="BJ390" s="69"/>
      <c r="BK390" s="69"/>
      <c r="BL390" s="69"/>
      <c r="BM390" s="69"/>
      <c r="BN390" s="69"/>
      <c r="BO390" s="69"/>
      <c r="BP390" s="69"/>
      <c r="BQ390" s="69"/>
      <c r="BR390" s="69"/>
      <c r="BS390" s="69"/>
      <c r="BT390" s="69"/>
      <c r="BU390" s="69"/>
      <c r="BV390" s="69"/>
      <c r="BW390" s="69"/>
      <c r="BX390" s="69"/>
      <c r="BY390" s="69"/>
      <c r="BZ390" s="69"/>
      <c r="CA390" s="69"/>
      <c r="CB390" s="69"/>
      <c r="CC390" s="69"/>
      <c r="CD390" s="69"/>
      <c r="CE390" s="69"/>
      <c r="CF390" s="69"/>
    </row>
    <row r="391">
      <c r="A391" s="69"/>
      <c r="B391" s="71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69"/>
      <c r="BE391" s="69"/>
      <c r="BF391" s="69"/>
      <c r="BG391" s="69"/>
      <c r="BH391" s="69"/>
      <c r="BI391" s="69"/>
      <c r="BJ391" s="69"/>
      <c r="BK391" s="69"/>
      <c r="BL391" s="69"/>
      <c r="BM391" s="69"/>
      <c r="BN391" s="69"/>
      <c r="BO391" s="69"/>
      <c r="BP391" s="69"/>
      <c r="BQ391" s="69"/>
      <c r="BR391" s="69"/>
      <c r="BS391" s="69"/>
      <c r="BT391" s="69"/>
      <c r="BU391" s="69"/>
      <c r="BV391" s="69"/>
      <c r="BW391" s="69"/>
      <c r="BX391" s="69"/>
      <c r="BY391" s="69"/>
      <c r="BZ391" s="69"/>
      <c r="CA391" s="69"/>
      <c r="CB391" s="69"/>
      <c r="CC391" s="69"/>
      <c r="CD391" s="69"/>
      <c r="CE391" s="69"/>
      <c r="CF391" s="69"/>
    </row>
    <row r="392">
      <c r="A392" s="69"/>
      <c r="B392" s="71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69"/>
      <c r="BE392" s="69"/>
      <c r="BF392" s="69"/>
      <c r="BG392" s="69"/>
      <c r="BH392" s="69"/>
      <c r="BI392" s="69"/>
      <c r="BJ392" s="69"/>
      <c r="BK392" s="69"/>
      <c r="BL392" s="69"/>
      <c r="BM392" s="69"/>
      <c r="BN392" s="69"/>
      <c r="BO392" s="69"/>
      <c r="BP392" s="69"/>
      <c r="BQ392" s="69"/>
      <c r="BR392" s="69"/>
      <c r="BS392" s="69"/>
      <c r="BT392" s="69"/>
      <c r="BU392" s="69"/>
      <c r="BV392" s="69"/>
      <c r="BW392" s="69"/>
      <c r="BX392" s="69"/>
      <c r="BY392" s="69"/>
      <c r="BZ392" s="69"/>
      <c r="CA392" s="69"/>
      <c r="CB392" s="69"/>
      <c r="CC392" s="69"/>
      <c r="CD392" s="69"/>
      <c r="CE392" s="69"/>
      <c r="CF392" s="69"/>
    </row>
    <row r="393">
      <c r="A393" s="69"/>
      <c r="B393" s="71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69"/>
      <c r="BE393" s="69"/>
      <c r="BF393" s="69"/>
      <c r="BG393" s="69"/>
      <c r="BH393" s="69"/>
      <c r="BI393" s="69"/>
      <c r="BJ393" s="69"/>
      <c r="BK393" s="69"/>
      <c r="BL393" s="69"/>
      <c r="BM393" s="69"/>
      <c r="BN393" s="69"/>
      <c r="BO393" s="69"/>
      <c r="BP393" s="69"/>
      <c r="BQ393" s="69"/>
      <c r="BR393" s="69"/>
      <c r="BS393" s="69"/>
      <c r="BT393" s="69"/>
      <c r="BU393" s="69"/>
      <c r="BV393" s="69"/>
      <c r="BW393" s="69"/>
      <c r="BX393" s="69"/>
      <c r="BY393" s="69"/>
      <c r="BZ393" s="69"/>
      <c r="CA393" s="69"/>
      <c r="CB393" s="69"/>
      <c r="CC393" s="69"/>
      <c r="CD393" s="69"/>
      <c r="CE393" s="69"/>
      <c r="CF393" s="69"/>
    </row>
    <row r="394">
      <c r="A394" s="69"/>
      <c r="B394" s="71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69"/>
      <c r="BE394" s="69"/>
      <c r="BF394" s="69"/>
      <c r="BG394" s="69"/>
      <c r="BH394" s="69"/>
      <c r="BI394" s="69"/>
      <c r="BJ394" s="69"/>
      <c r="BK394" s="69"/>
      <c r="BL394" s="69"/>
      <c r="BM394" s="69"/>
      <c r="BN394" s="69"/>
      <c r="BO394" s="69"/>
      <c r="BP394" s="69"/>
      <c r="BQ394" s="69"/>
      <c r="BR394" s="69"/>
      <c r="BS394" s="69"/>
      <c r="BT394" s="69"/>
      <c r="BU394" s="69"/>
      <c r="BV394" s="69"/>
      <c r="BW394" s="69"/>
      <c r="BX394" s="69"/>
      <c r="BY394" s="69"/>
      <c r="BZ394" s="69"/>
      <c r="CA394" s="69"/>
      <c r="CB394" s="69"/>
      <c r="CC394" s="69"/>
      <c r="CD394" s="69"/>
      <c r="CE394" s="69"/>
      <c r="CF394" s="69"/>
    </row>
    <row r="395">
      <c r="A395" s="69"/>
      <c r="B395" s="71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69"/>
      <c r="BE395" s="69"/>
      <c r="BF395" s="69"/>
      <c r="BG395" s="69"/>
      <c r="BH395" s="69"/>
      <c r="BI395" s="69"/>
      <c r="BJ395" s="69"/>
      <c r="BK395" s="69"/>
      <c r="BL395" s="69"/>
      <c r="BM395" s="69"/>
      <c r="BN395" s="69"/>
      <c r="BO395" s="69"/>
      <c r="BP395" s="69"/>
      <c r="BQ395" s="69"/>
      <c r="BR395" s="69"/>
      <c r="BS395" s="69"/>
      <c r="BT395" s="69"/>
      <c r="BU395" s="69"/>
      <c r="BV395" s="69"/>
      <c r="BW395" s="69"/>
      <c r="BX395" s="69"/>
      <c r="BY395" s="69"/>
      <c r="BZ395" s="69"/>
      <c r="CA395" s="69"/>
      <c r="CB395" s="69"/>
      <c r="CC395" s="69"/>
      <c r="CD395" s="69"/>
      <c r="CE395" s="69"/>
      <c r="CF395" s="69"/>
    </row>
    <row r="396">
      <c r="A396" s="69"/>
      <c r="B396" s="71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69"/>
      <c r="BE396" s="69"/>
      <c r="BF396" s="69"/>
      <c r="BG396" s="69"/>
      <c r="BH396" s="69"/>
      <c r="BI396" s="69"/>
      <c r="BJ396" s="69"/>
      <c r="BK396" s="69"/>
      <c r="BL396" s="69"/>
      <c r="BM396" s="69"/>
      <c r="BN396" s="69"/>
      <c r="BO396" s="69"/>
      <c r="BP396" s="69"/>
      <c r="BQ396" s="69"/>
      <c r="BR396" s="69"/>
      <c r="BS396" s="69"/>
      <c r="BT396" s="69"/>
      <c r="BU396" s="69"/>
      <c r="BV396" s="69"/>
      <c r="BW396" s="69"/>
      <c r="BX396" s="69"/>
      <c r="BY396" s="69"/>
      <c r="BZ396" s="69"/>
      <c r="CA396" s="69"/>
      <c r="CB396" s="69"/>
      <c r="CC396" s="69"/>
      <c r="CD396" s="69"/>
      <c r="CE396" s="69"/>
      <c r="CF396" s="69"/>
    </row>
    <row r="397">
      <c r="A397" s="69"/>
      <c r="B397" s="71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69"/>
      <c r="BE397" s="69"/>
      <c r="BF397" s="69"/>
      <c r="BG397" s="69"/>
      <c r="BH397" s="69"/>
      <c r="BI397" s="69"/>
      <c r="BJ397" s="69"/>
      <c r="BK397" s="69"/>
      <c r="BL397" s="69"/>
      <c r="BM397" s="69"/>
      <c r="BN397" s="69"/>
      <c r="BO397" s="69"/>
      <c r="BP397" s="69"/>
      <c r="BQ397" s="69"/>
      <c r="BR397" s="69"/>
      <c r="BS397" s="69"/>
      <c r="BT397" s="69"/>
      <c r="BU397" s="69"/>
      <c r="BV397" s="69"/>
      <c r="BW397" s="69"/>
      <c r="BX397" s="69"/>
      <c r="BY397" s="69"/>
      <c r="BZ397" s="69"/>
      <c r="CA397" s="69"/>
      <c r="CB397" s="69"/>
      <c r="CC397" s="69"/>
      <c r="CD397" s="69"/>
      <c r="CE397" s="69"/>
      <c r="CF397" s="69"/>
    </row>
    <row r="398">
      <c r="A398" s="69"/>
      <c r="B398" s="71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69"/>
      <c r="BE398" s="69"/>
      <c r="BF398" s="69"/>
      <c r="BG398" s="69"/>
      <c r="BH398" s="69"/>
      <c r="BI398" s="69"/>
      <c r="BJ398" s="69"/>
      <c r="BK398" s="69"/>
      <c r="BL398" s="69"/>
      <c r="BM398" s="69"/>
      <c r="BN398" s="69"/>
      <c r="BO398" s="69"/>
      <c r="BP398" s="69"/>
      <c r="BQ398" s="69"/>
      <c r="BR398" s="69"/>
      <c r="BS398" s="69"/>
      <c r="BT398" s="69"/>
      <c r="BU398" s="69"/>
      <c r="BV398" s="69"/>
      <c r="BW398" s="69"/>
      <c r="BX398" s="69"/>
      <c r="BY398" s="69"/>
      <c r="BZ398" s="69"/>
      <c r="CA398" s="69"/>
      <c r="CB398" s="69"/>
      <c r="CC398" s="69"/>
      <c r="CD398" s="69"/>
      <c r="CE398" s="69"/>
      <c r="CF398" s="69"/>
    </row>
    <row r="399">
      <c r="A399" s="69"/>
      <c r="B399" s="71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69"/>
      <c r="BE399" s="69"/>
      <c r="BF399" s="69"/>
      <c r="BG399" s="69"/>
      <c r="BH399" s="69"/>
      <c r="BI399" s="69"/>
      <c r="BJ399" s="69"/>
      <c r="BK399" s="69"/>
      <c r="BL399" s="69"/>
      <c r="BM399" s="69"/>
      <c r="BN399" s="69"/>
      <c r="BO399" s="69"/>
      <c r="BP399" s="69"/>
      <c r="BQ399" s="69"/>
      <c r="BR399" s="69"/>
      <c r="BS399" s="69"/>
      <c r="BT399" s="69"/>
      <c r="BU399" s="69"/>
      <c r="BV399" s="69"/>
      <c r="BW399" s="69"/>
      <c r="BX399" s="69"/>
      <c r="BY399" s="69"/>
      <c r="BZ399" s="69"/>
      <c r="CA399" s="69"/>
      <c r="CB399" s="69"/>
      <c r="CC399" s="69"/>
      <c r="CD399" s="69"/>
      <c r="CE399" s="69"/>
      <c r="CF399" s="69"/>
    </row>
    <row r="400">
      <c r="A400" s="69"/>
      <c r="B400" s="71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69"/>
      <c r="BE400" s="69"/>
      <c r="BF400" s="69"/>
      <c r="BG400" s="69"/>
      <c r="BH400" s="69"/>
      <c r="BI400" s="69"/>
      <c r="BJ400" s="69"/>
      <c r="BK400" s="69"/>
      <c r="BL400" s="69"/>
      <c r="BM400" s="69"/>
      <c r="BN400" s="69"/>
      <c r="BO400" s="69"/>
      <c r="BP400" s="69"/>
      <c r="BQ400" s="69"/>
      <c r="BR400" s="69"/>
      <c r="BS400" s="69"/>
      <c r="BT400" s="69"/>
      <c r="BU400" s="69"/>
      <c r="BV400" s="69"/>
      <c r="BW400" s="69"/>
      <c r="BX400" s="69"/>
      <c r="BY400" s="69"/>
      <c r="BZ400" s="69"/>
      <c r="CA400" s="69"/>
      <c r="CB400" s="69"/>
      <c r="CC400" s="69"/>
      <c r="CD400" s="69"/>
      <c r="CE400" s="69"/>
      <c r="CF400" s="69"/>
    </row>
    <row r="401">
      <c r="A401" s="69"/>
      <c r="B401" s="71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69"/>
      <c r="BE401" s="69"/>
      <c r="BF401" s="69"/>
      <c r="BG401" s="69"/>
      <c r="BH401" s="69"/>
      <c r="BI401" s="69"/>
      <c r="BJ401" s="69"/>
      <c r="BK401" s="69"/>
      <c r="BL401" s="69"/>
      <c r="BM401" s="69"/>
      <c r="BN401" s="69"/>
      <c r="BO401" s="69"/>
      <c r="BP401" s="69"/>
      <c r="BQ401" s="69"/>
      <c r="BR401" s="69"/>
      <c r="BS401" s="69"/>
      <c r="BT401" s="69"/>
      <c r="BU401" s="69"/>
      <c r="BV401" s="69"/>
      <c r="BW401" s="69"/>
      <c r="BX401" s="69"/>
      <c r="BY401" s="69"/>
      <c r="BZ401" s="69"/>
      <c r="CA401" s="69"/>
      <c r="CB401" s="69"/>
      <c r="CC401" s="69"/>
      <c r="CD401" s="69"/>
      <c r="CE401" s="69"/>
      <c r="CF401" s="69"/>
    </row>
    <row r="402">
      <c r="A402" s="69"/>
      <c r="B402" s="71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69"/>
      <c r="BE402" s="69"/>
      <c r="BF402" s="69"/>
      <c r="BG402" s="69"/>
      <c r="BH402" s="69"/>
      <c r="BI402" s="69"/>
      <c r="BJ402" s="69"/>
      <c r="BK402" s="69"/>
      <c r="BL402" s="69"/>
      <c r="BM402" s="69"/>
      <c r="BN402" s="69"/>
      <c r="BO402" s="69"/>
      <c r="BP402" s="69"/>
      <c r="BQ402" s="69"/>
      <c r="BR402" s="69"/>
      <c r="BS402" s="69"/>
      <c r="BT402" s="69"/>
      <c r="BU402" s="69"/>
      <c r="BV402" s="69"/>
      <c r="BW402" s="69"/>
      <c r="BX402" s="69"/>
      <c r="BY402" s="69"/>
      <c r="BZ402" s="69"/>
      <c r="CA402" s="69"/>
      <c r="CB402" s="69"/>
      <c r="CC402" s="69"/>
      <c r="CD402" s="69"/>
      <c r="CE402" s="69"/>
      <c r="CF402" s="69"/>
    </row>
    <row r="403">
      <c r="A403" s="69"/>
      <c r="B403" s="71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69"/>
      <c r="BE403" s="69"/>
      <c r="BF403" s="69"/>
      <c r="BG403" s="69"/>
      <c r="BH403" s="69"/>
      <c r="BI403" s="69"/>
      <c r="BJ403" s="69"/>
      <c r="BK403" s="69"/>
      <c r="BL403" s="69"/>
      <c r="BM403" s="69"/>
      <c r="BN403" s="69"/>
      <c r="BO403" s="69"/>
      <c r="BP403" s="69"/>
      <c r="BQ403" s="69"/>
      <c r="BR403" s="69"/>
      <c r="BS403" s="69"/>
      <c r="BT403" s="69"/>
      <c r="BU403" s="69"/>
      <c r="BV403" s="69"/>
      <c r="BW403" s="69"/>
      <c r="BX403" s="69"/>
      <c r="BY403" s="69"/>
      <c r="BZ403" s="69"/>
      <c r="CA403" s="69"/>
      <c r="CB403" s="69"/>
      <c r="CC403" s="69"/>
      <c r="CD403" s="69"/>
      <c r="CE403" s="69"/>
      <c r="CF403" s="69"/>
    </row>
    <row r="404">
      <c r="A404" s="69"/>
      <c r="B404" s="71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69"/>
      <c r="BE404" s="69"/>
      <c r="BF404" s="69"/>
      <c r="BG404" s="69"/>
      <c r="BH404" s="69"/>
      <c r="BI404" s="69"/>
      <c r="BJ404" s="69"/>
      <c r="BK404" s="69"/>
      <c r="BL404" s="69"/>
      <c r="BM404" s="69"/>
      <c r="BN404" s="69"/>
      <c r="BO404" s="69"/>
      <c r="BP404" s="69"/>
      <c r="BQ404" s="69"/>
      <c r="BR404" s="69"/>
      <c r="BS404" s="69"/>
      <c r="BT404" s="69"/>
      <c r="BU404" s="69"/>
      <c r="BV404" s="69"/>
      <c r="BW404" s="69"/>
      <c r="BX404" s="69"/>
      <c r="BY404" s="69"/>
      <c r="BZ404" s="69"/>
      <c r="CA404" s="69"/>
      <c r="CB404" s="69"/>
      <c r="CC404" s="69"/>
      <c r="CD404" s="69"/>
      <c r="CE404" s="69"/>
      <c r="CF404" s="69"/>
    </row>
    <row r="405">
      <c r="A405" s="69"/>
      <c r="B405" s="71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69"/>
      <c r="BE405" s="69"/>
      <c r="BF405" s="69"/>
      <c r="BG405" s="69"/>
      <c r="BH405" s="69"/>
      <c r="BI405" s="69"/>
      <c r="BJ405" s="69"/>
      <c r="BK405" s="69"/>
      <c r="BL405" s="69"/>
      <c r="BM405" s="69"/>
      <c r="BN405" s="69"/>
      <c r="BO405" s="69"/>
      <c r="BP405" s="69"/>
      <c r="BQ405" s="69"/>
      <c r="BR405" s="69"/>
      <c r="BS405" s="69"/>
      <c r="BT405" s="69"/>
      <c r="BU405" s="69"/>
      <c r="BV405" s="69"/>
      <c r="BW405" s="69"/>
      <c r="BX405" s="69"/>
      <c r="BY405" s="69"/>
      <c r="BZ405" s="69"/>
      <c r="CA405" s="69"/>
      <c r="CB405" s="69"/>
      <c r="CC405" s="69"/>
      <c r="CD405" s="69"/>
      <c r="CE405" s="69"/>
      <c r="CF405" s="69"/>
    </row>
    <row r="406">
      <c r="A406" s="69"/>
      <c r="B406" s="71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69"/>
      <c r="BE406" s="69"/>
      <c r="BF406" s="69"/>
      <c r="BG406" s="69"/>
      <c r="BH406" s="69"/>
      <c r="BI406" s="69"/>
      <c r="BJ406" s="69"/>
      <c r="BK406" s="69"/>
      <c r="BL406" s="69"/>
      <c r="BM406" s="69"/>
      <c r="BN406" s="69"/>
      <c r="BO406" s="69"/>
      <c r="BP406" s="69"/>
      <c r="BQ406" s="69"/>
      <c r="BR406" s="69"/>
      <c r="BS406" s="69"/>
      <c r="BT406" s="69"/>
      <c r="BU406" s="69"/>
      <c r="BV406" s="69"/>
      <c r="BW406" s="69"/>
      <c r="BX406" s="69"/>
      <c r="BY406" s="69"/>
      <c r="BZ406" s="69"/>
      <c r="CA406" s="69"/>
      <c r="CB406" s="69"/>
      <c r="CC406" s="69"/>
      <c r="CD406" s="69"/>
      <c r="CE406" s="69"/>
      <c r="CF406" s="69"/>
    </row>
    <row r="407">
      <c r="A407" s="69"/>
      <c r="B407" s="71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69"/>
      <c r="BE407" s="69"/>
      <c r="BF407" s="69"/>
      <c r="BG407" s="69"/>
      <c r="BH407" s="69"/>
      <c r="BI407" s="69"/>
      <c r="BJ407" s="69"/>
      <c r="BK407" s="69"/>
      <c r="BL407" s="69"/>
      <c r="BM407" s="69"/>
      <c r="BN407" s="69"/>
      <c r="BO407" s="69"/>
      <c r="BP407" s="69"/>
      <c r="BQ407" s="69"/>
      <c r="BR407" s="69"/>
      <c r="BS407" s="69"/>
      <c r="BT407" s="69"/>
      <c r="BU407" s="69"/>
      <c r="BV407" s="69"/>
      <c r="BW407" s="69"/>
      <c r="BX407" s="69"/>
      <c r="BY407" s="69"/>
      <c r="BZ407" s="69"/>
      <c r="CA407" s="69"/>
      <c r="CB407" s="69"/>
      <c r="CC407" s="69"/>
      <c r="CD407" s="69"/>
      <c r="CE407" s="69"/>
      <c r="CF407" s="69"/>
    </row>
    <row r="408">
      <c r="A408" s="69"/>
      <c r="B408" s="71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69"/>
      <c r="BE408" s="69"/>
      <c r="BF408" s="69"/>
      <c r="BG408" s="69"/>
      <c r="BH408" s="69"/>
      <c r="BI408" s="69"/>
      <c r="BJ408" s="69"/>
      <c r="BK408" s="69"/>
      <c r="BL408" s="69"/>
      <c r="BM408" s="69"/>
      <c r="BN408" s="69"/>
      <c r="BO408" s="69"/>
      <c r="BP408" s="69"/>
      <c r="BQ408" s="69"/>
      <c r="BR408" s="69"/>
      <c r="BS408" s="69"/>
      <c r="BT408" s="69"/>
      <c r="BU408" s="69"/>
      <c r="BV408" s="69"/>
      <c r="BW408" s="69"/>
      <c r="BX408" s="69"/>
      <c r="BY408" s="69"/>
      <c r="BZ408" s="69"/>
      <c r="CA408" s="69"/>
      <c r="CB408" s="69"/>
      <c r="CC408" s="69"/>
      <c r="CD408" s="69"/>
      <c r="CE408" s="69"/>
      <c r="CF408" s="69"/>
    </row>
    <row r="409">
      <c r="A409" s="69"/>
      <c r="B409" s="71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69"/>
      <c r="BE409" s="69"/>
      <c r="BF409" s="69"/>
      <c r="BG409" s="69"/>
      <c r="BH409" s="69"/>
      <c r="BI409" s="69"/>
      <c r="BJ409" s="69"/>
      <c r="BK409" s="69"/>
      <c r="BL409" s="69"/>
      <c r="BM409" s="69"/>
      <c r="BN409" s="69"/>
      <c r="BO409" s="69"/>
      <c r="BP409" s="69"/>
      <c r="BQ409" s="69"/>
      <c r="BR409" s="69"/>
      <c r="BS409" s="69"/>
      <c r="BT409" s="69"/>
      <c r="BU409" s="69"/>
      <c r="BV409" s="69"/>
      <c r="BW409" s="69"/>
      <c r="BX409" s="69"/>
      <c r="BY409" s="69"/>
      <c r="BZ409" s="69"/>
      <c r="CA409" s="69"/>
      <c r="CB409" s="69"/>
      <c r="CC409" s="69"/>
      <c r="CD409" s="69"/>
      <c r="CE409" s="69"/>
      <c r="CF409" s="69"/>
    </row>
    <row r="410">
      <c r="A410" s="69"/>
      <c r="B410" s="71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69"/>
      <c r="BE410" s="69"/>
      <c r="BF410" s="69"/>
      <c r="BG410" s="69"/>
      <c r="BH410" s="69"/>
      <c r="BI410" s="69"/>
      <c r="BJ410" s="69"/>
      <c r="BK410" s="69"/>
      <c r="BL410" s="69"/>
      <c r="BM410" s="69"/>
      <c r="BN410" s="69"/>
      <c r="BO410" s="69"/>
      <c r="BP410" s="69"/>
      <c r="BQ410" s="69"/>
      <c r="BR410" s="69"/>
      <c r="BS410" s="69"/>
      <c r="BT410" s="69"/>
      <c r="BU410" s="69"/>
      <c r="BV410" s="69"/>
      <c r="BW410" s="69"/>
      <c r="BX410" s="69"/>
      <c r="BY410" s="69"/>
      <c r="BZ410" s="69"/>
      <c r="CA410" s="69"/>
      <c r="CB410" s="69"/>
      <c r="CC410" s="69"/>
      <c r="CD410" s="69"/>
      <c r="CE410" s="69"/>
      <c r="CF410" s="69"/>
    </row>
    <row r="411">
      <c r="A411" s="69"/>
      <c r="B411" s="71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69"/>
      <c r="BE411" s="69"/>
      <c r="BF411" s="69"/>
      <c r="BG411" s="69"/>
      <c r="BH411" s="69"/>
      <c r="BI411" s="69"/>
      <c r="BJ411" s="69"/>
      <c r="BK411" s="69"/>
      <c r="BL411" s="69"/>
      <c r="BM411" s="69"/>
      <c r="BN411" s="69"/>
      <c r="BO411" s="69"/>
      <c r="BP411" s="69"/>
      <c r="BQ411" s="69"/>
      <c r="BR411" s="69"/>
      <c r="BS411" s="69"/>
      <c r="BT411" s="69"/>
      <c r="BU411" s="69"/>
      <c r="BV411" s="69"/>
      <c r="BW411" s="69"/>
      <c r="BX411" s="69"/>
      <c r="BY411" s="69"/>
      <c r="BZ411" s="69"/>
      <c r="CA411" s="69"/>
      <c r="CB411" s="69"/>
      <c r="CC411" s="69"/>
      <c r="CD411" s="69"/>
      <c r="CE411" s="69"/>
      <c r="CF411" s="69"/>
    </row>
    <row r="412">
      <c r="A412" s="69"/>
      <c r="B412" s="71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69"/>
      <c r="BE412" s="69"/>
      <c r="BF412" s="69"/>
      <c r="BG412" s="69"/>
      <c r="BH412" s="69"/>
      <c r="BI412" s="69"/>
      <c r="BJ412" s="69"/>
      <c r="BK412" s="69"/>
      <c r="BL412" s="69"/>
      <c r="BM412" s="69"/>
      <c r="BN412" s="69"/>
      <c r="BO412" s="69"/>
      <c r="BP412" s="69"/>
      <c r="BQ412" s="69"/>
      <c r="BR412" s="69"/>
      <c r="BS412" s="69"/>
      <c r="BT412" s="69"/>
      <c r="BU412" s="69"/>
      <c r="BV412" s="69"/>
      <c r="BW412" s="69"/>
      <c r="BX412" s="69"/>
      <c r="BY412" s="69"/>
      <c r="BZ412" s="69"/>
      <c r="CA412" s="69"/>
      <c r="CB412" s="69"/>
      <c r="CC412" s="69"/>
      <c r="CD412" s="69"/>
      <c r="CE412" s="69"/>
      <c r="CF412" s="69"/>
    </row>
    <row r="413">
      <c r="A413" s="69"/>
      <c r="B413" s="71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69"/>
      <c r="BE413" s="69"/>
      <c r="BF413" s="69"/>
      <c r="BG413" s="69"/>
      <c r="BH413" s="69"/>
      <c r="BI413" s="69"/>
      <c r="BJ413" s="69"/>
      <c r="BK413" s="69"/>
      <c r="BL413" s="69"/>
      <c r="BM413" s="69"/>
      <c r="BN413" s="69"/>
      <c r="BO413" s="69"/>
      <c r="BP413" s="69"/>
      <c r="BQ413" s="69"/>
      <c r="BR413" s="69"/>
      <c r="BS413" s="69"/>
      <c r="BT413" s="69"/>
      <c r="BU413" s="69"/>
      <c r="BV413" s="69"/>
      <c r="BW413" s="69"/>
      <c r="BX413" s="69"/>
      <c r="BY413" s="69"/>
      <c r="BZ413" s="69"/>
      <c r="CA413" s="69"/>
      <c r="CB413" s="69"/>
      <c r="CC413" s="69"/>
      <c r="CD413" s="69"/>
      <c r="CE413" s="69"/>
      <c r="CF413" s="69"/>
    </row>
    <row r="414">
      <c r="A414" s="69"/>
      <c r="B414" s="71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69"/>
      <c r="BE414" s="69"/>
      <c r="BF414" s="69"/>
      <c r="BG414" s="69"/>
      <c r="BH414" s="69"/>
      <c r="BI414" s="69"/>
      <c r="BJ414" s="69"/>
      <c r="BK414" s="69"/>
      <c r="BL414" s="69"/>
      <c r="BM414" s="69"/>
      <c r="BN414" s="69"/>
      <c r="BO414" s="69"/>
      <c r="BP414" s="69"/>
      <c r="BQ414" s="69"/>
      <c r="BR414" s="69"/>
      <c r="BS414" s="69"/>
      <c r="BT414" s="69"/>
      <c r="BU414" s="69"/>
      <c r="BV414" s="69"/>
      <c r="BW414" s="69"/>
      <c r="BX414" s="69"/>
      <c r="BY414" s="69"/>
      <c r="BZ414" s="69"/>
      <c r="CA414" s="69"/>
      <c r="CB414" s="69"/>
      <c r="CC414" s="69"/>
      <c r="CD414" s="69"/>
      <c r="CE414" s="69"/>
      <c r="CF414" s="69"/>
    </row>
    <row r="415">
      <c r="A415" s="69"/>
      <c r="B415" s="71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69"/>
      <c r="BE415" s="69"/>
      <c r="BF415" s="69"/>
      <c r="BG415" s="69"/>
      <c r="BH415" s="69"/>
      <c r="BI415" s="69"/>
      <c r="BJ415" s="69"/>
      <c r="BK415" s="69"/>
      <c r="BL415" s="69"/>
      <c r="BM415" s="69"/>
      <c r="BN415" s="69"/>
      <c r="BO415" s="69"/>
      <c r="BP415" s="69"/>
      <c r="BQ415" s="69"/>
      <c r="BR415" s="69"/>
      <c r="BS415" s="69"/>
      <c r="BT415" s="69"/>
      <c r="BU415" s="69"/>
      <c r="BV415" s="69"/>
      <c r="BW415" s="69"/>
      <c r="BX415" s="69"/>
      <c r="BY415" s="69"/>
      <c r="BZ415" s="69"/>
      <c r="CA415" s="69"/>
      <c r="CB415" s="69"/>
      <c r="CC415" s="69"/>
      <c r="CD415" s="69"/>
      <c r="CE415" s="69"/>
      <c r="CF415" s="69"/>
    </row>
    <row r="416">
      <c r="A416" s="69"/>
      <c r="B416" s="71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69"/>
      <c r="BE416" s="69"/>
      <c r="BF416" s="69"/>
      <c r="BG416" s="69"/>
      <c r="BH416" s="69"/>
      <c r="BI416" s="69"/>
      <c r="BJ416" s="69"/>
      <c r="BK416" s="69"/>
      <c r="BL416" s="69"/>
      <c r="BM416" s="69"/>
      <c r="BN416" s="69"/>
      <c r="BO416" s="69"/>
      <c r="BP416" s="69"/>
      <c r="BQ416" s="69"/>
      <c r="BR416" s="69"/>
      <c r="BS416" s="69"/>
      <c r="BT416" s="69"/>
      <c r="BU416" s="69"/>
      <c r="BV416" s="69"/>
      <c r="BW416" s="69"/>
      <c r="BX416" s="69"/>
      <c r="BY416" s="69"/>
      <c r="BZ416" s="69"/>
      <c r="CA416" s="69"/>
      <c r="CB416" s="69"/>
      <c r="CC416" s="69"/>
      <c r="CD416" s="69"/>
      <c r="CE416" s="69"/>
      <c r="CF416" s="69"/>
    </row>
    <row r="417">
      <c r="A417" s="69"/>
      <c r="B417" s="71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69"/>
      <c r="BE417" s="69"/>
      <c r="BF417" s="69"/>
      <c r="BG417" s="69"/>
      <c r="BH417" s="69"/>
      <c r="BI417" s="69"/>
      <c r="BJ417" s="69"/>
      <c r="BK417" s="69"/>
      <c r="BL417" s="69"/>
      <c r="BM417" s="69"/>
      <c r="BN417" s="69"/>
      <c r="BO417" s="69"/>
      <c r="BP417" s="69"/>
      <c r="BQ417" s="69"/>
      <c r="BR417" s="69"/>
      <c r="BS417" s="69"/>
      <c r="BT417" s="69"/>
      <c r="BU417" s="69"/>
      <c r="BV417" s="69"/>
      <c r="BW417" s="69"/>
      <c r="BX417" s="69"/>
      <c r="BY417" s="69"/>
      <c r="BZ417" s="69"/>
      <c r="CA417" s="69"/>
      <c r="CB417" s="69"/>
      <c r="CC417" s="69"/>
      <c r="CD417" s="69"/>
      <c r="CE417" s="69"/>
      <c r="CF417" s="69"/>
    </row>
    <row r="418">
      <c r="A418" s="69"/>
      <c r="B418" s="71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69"/>
      <c r="BE418" s="69"/>
      <c r="BF418" s="69"/>
      <c r="BG418" s="69"/>
      <c r="BH418" s="69"/>
      <c r="BI418" s="69"/>
      <c r="BJ418" s="69"/>
      <c r="BK418" s="69"/>
      <c r="BL418" s="69"/>
      <c r="BM418" s="69"/>
      <c r="BN418" s="69"/>
      <c r="BO418" s="69"/>
      <c r="BP418" s="69"/>
      <c r="BQ418" s="69"/>
      <c r="BR418" s="69"/>
      <c r="BS418" s="69"/>
      <c r="BT418" s="69"/>
      <c r="BU418" s="69"/>
      <c r="BV418" s="69"/>
      <c r="BW418" s="69"/>
      <c r="BX418" s="69"/>
      <c r="BY418" s="69"/>
      <c r="BZ418" s="69"/>
      <c r="CA418" s="69"/>
      <c r="CB418" s="69"/>
      <c r="CC418" s="69"/>
      <c r="CD418" s="69"/>
      <c r="CE418" s="69"/>
      <c r="CF418" s="69"/>
    </row>
    <row r="419">
      <c r="A419" s="69"/>
      <c r="B419" s="71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69"/>
      <c r="BE419" s="69"/>
      <c r="BF419" s="69"/>
      <c r="BG419" s="69"/>
      <c r="BH419" s="69"/>
      <c r="BI419" s="69"/>
      <c r="BJ419" s="69"/>
      <c r="BK419" s="69"/>
      <c r="BL419" s="69"/>
      <c r="BM419" s="69"/>
      <c r="BN419" s="69"/>
      <c r="BO419" s="69"/>
      <c r="BP419" s="69"/>
      <c r="BQ419" s="69"/>
      <c r="BR419" s="69"/>
      <c r="BS419" s="69"/>
      <c r="BT419" s="69"/>
      <c r="BU419" s="69"/>
      <c r="BV419" s="69"/>
      <c r="BW419" s="69"/>
      <c r="BX419" s="69"/>
      <c r="BY419" s="69"/>
      <c r="BZ419" s="69"/>
      <c r="CA419" s="69"/>
      <c r="CB419" s="69"/>
      <c r="CC419" s="69"/>
      <c r="CD419" s="69"/>
      <c r="CE419" s="69"/>
      <c r="CF419" s="69"/>
    </row>
    <row r="420">
      <c r="A420" s="69"/>
      <c r="B420" s="71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69"/>
      <c r="BE420" s="69"/>
      <c r="BF420" s="69"/>
      <c r="BG420" s="69"/>
      <c r="BH420" s="69"/>
      <c r="BI420" s="69"/>
      <c r="BJ420" s="69"/>
      <c r="BK420" s="69"/>
      <c r="BL420" s="69"/>
      <c r="BM420" s="69"/>
      <c r="BN420" s="69"/>
      <c r="BO420" s="69"/>
      <c r="BP420" s="69"/>
      <c r="BQ420" s="69"/>
      <c r="BR420" s="69"/>
      <c r="BS420" s="69"/>
      <c r="BT420" s="69"/>
      <c r="BU420" s="69"/>
      <c r="BV420" s="69"/>
      <c r="BW420" s="69"/>
      <c r="BX420" s="69"/>
      <c r="BY420" s="69"/>
      <c r="BZ420" s="69"/>
      <c r="CA420" s="69"/>
      <c r="CB420" s="69"/>
      <c r="CC420" s="69"/>
      <c r="CD420" s="69"/>
      <c r="CE420" s="69"/>
      <c r="CF420" s="69"/>
    </row>
    <row r="421">
      <c r="A421" s="69"/>
      <c r="B421" s="71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69"/>
      <c r="BE421" s="69"/>
      <c r="BF421" s="69"/>
      <c r="BG421" s="69"/>
      <c r="BH421" s="69"/>
      <c r="BI421" s="69"/>
      <c r="BJ421" s="69"/>
      <c r="BK421" s="69"/>
      <c r="BL421" s="69"/>
      <c r="BM421" s="69"/>
      <c r="BN421" s="69"/>
      <c r="BO421" s="69"/>
      <c r="BP421" s="69"/>
      <c r="BQ421" s="69"/>
      <c r="BR421" s="69"/>
      <c r="BS421" s="69"/>
      <c r="BT421" s="69"/>
      <c r="BU421" s="69"/>
      <c r="BV421" s="69"/>
      <c r="BW421" s="69"/>
      <c r="BX421" s="69"/>
      <c r="BY421" s="69"/>
      <c r="BZ421" s="69"/>
      <c r="CA421" s="69"/>
      <c r="CB421" s="69"/>
      <c r="CC421" s="69"/>
      <c r="CD421" s="69"/>
      <c r="CE421" s="69"/>
      <c r="CF421" s="69"/>
    </row>
    <row r="422">
      <c r="A422" s="69"/>
      <c r="B422" s="71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69"/>
      <c r="BE422" s="69"/>
      <c r="BF422" s="69"/>
      <c r="BG422" s="69"/>
      <c r="BH422" s="69"/>
      <c r="BI422" s="69"/>
      <c r="BJ422" s="69"/>
      <c r="BK422" s="69"/>
      <c r="BL422" s="69"/>
      <c r="BM422" s="69"/>
      <c r="BN422" s="69"/>
      <c r="BO422" s="69"/>
      <c r="BP422" s="69"/>
      <c r="BQ422" s="69"/>
      <c r="BR422" s="69"/>
      <c r="BS422" s="69"/>
      <c r="BT422" s="69"/>
      <c r="BU422" s="69"/>
      <c r="BV422" s="69"/>
      <c r="BW422" s="69"/>
      <c r="BX422" s="69"/>
      <c r="BY422" s="69"/>
      <c r="BZ422" s="69"/>
      <c r="CA422" s="69"/>
      <c r="CB422" s="69"/>
      <c r="CC422" s="69"/>
      <c r="CD422" s="69"/>
      <c r="CE422" s="69"/>
      <c r="CF422" s="69"/>
    </row>
    <row r="423">
      <c r="A423" s="69"/>
      <c r="B423" s="71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69"/>
      <c r="BE423" s="69"/>
      <c r="BF423" s="69"/>
      <c r="BG423" s="69"/>
      <c r="BH423" s="69"/>
      <c r="BI423" s="69"/>
      <c r="BJ423" s="69"/>
      <c r="BK423" s="69"/>
      <c r="BL423" s="69"/>
      <c r="BM423" s="69"/>
      <c r="BN423" s="69"/>
      <c r="BO423" s="69"/>
      <c r="BP423" s="69"/>
      <c r="BQ423" s="69"/>
      <c r="BR423" s="69"/>
      <c r="BS423" s="69"/>
      <c r="BT423" s="69"/>
      <c r="BU423" s="69"/>
      <c r="BV423" s="69"/>
      <c r="BW423" s="69"/>
      <c r="BX423" s="69"/>
      <c r="BY423" s="69"/>
      <c r="BZ423" s="69"/>
      <c r="CA423" s="69"/>
      <c r="CB423" s="69"/>
      <c r="CC423" s="69"/>
      <c r="CD423" s="69"/>
      <c r="CE423" s="69"/>
      <c r="CF423" s="69"/>
    </row>
    <row r="424">
      <c r="A424" s="69"/>
      <c r="B424" s="71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69"/>
      <c r="BE424" s="69"/>
      <c r="BF424" s="69"/>
      <c r="BG424" s="69"/>
      <c r="BH424" s="69"/>
      <c r="BI424" s="69"/>
      <c r="BJ424" s="69"/>
      <c r="BK424" s="69"/>
      <c r="BL424" s="69"/>
      <c r="BM424" s="69"/>
      <c r="BN424" s="69"/>
      <c r="BO424" s="69"/>
      <c r="BP424" s="69"/>
      <c r="BQ424" s="69"/>
      <c r="BR424" s="69"/>
      <c r="BS424" s="69"/>
      <c r="BT424" s="69"/>
      <c r="BU424" s="69"/>
      <c r="BV424" s="69"/>
      <c r="BW424" s="69"/>
      <c r="BX424" s="69"/>
      <c r="BY424" s="69"/>
      <c r="BZ424" s="69"/>
      <c r="CA424" s="69"/>
      <c r="CB424" s="69"/>
      <c r="CC424" s="69"/>
      <c r="CD424" s="69"/>
      <c r="CE424" s="69"/>
      <c r="CF424" s="69"/>
    </row>
    <row r="425">
      <c r="A425" s="69"/>
      <c r="B425" s="71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69"/>
      <c r="BE425" s="69"/>
      <c r="BF425" s="69"/>
      <c r="BG425" s="69"/>
      <c r="BH425" s="69"/>
      <c r="BI425" s="69"/>
      <c r="BJ425" s="69"/>
      <c r="BK425" s="69"/>
      <c r="BL425" s="69"/>
      <c r="BM425" s="69"/>
      <c r="BN425" s="69"/>
      <c r="BO425" s="69"/>
      <c r="BP425" s="69"/>
      <c r="BQ425" s="69"/>
      <c r="BR425" s="69"/>
      <c r="BS425" s="69"/>
      <c r="BT425" s="69"/>
      <c r="BU425" s="69"/>
      <c r="BV425" s="69"/>
      <c r="BW425" s="69"/>
      <c r="BX425" s="69"/>
      <c r="BY425" s="69"/>
      <c r="BZ425" s="69"/>
      <c r="CA425" s="69"/>
      <c r="CB425" s="69"/>
      <c r="CC425" s="69"/>
      <c r="CD425" s="69"/>
      <c r="CE425" s="69"/>
      <c r="CF425" s="69"/>
    </row>
    <row r="426">
      <c r="A426" s="69"/>
      <c r="B426" s="71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69"/>
      <c r="BE426" s="69"/>
      <c r="BF426" s="69"/>
      <c r="BG426" s="69"/>
      <c r="BH426" s="69"/>
      <c r="BI426" s="69"/>
      <c r="BJ426" s="69"/>
      <c r="BK426" s="69"/>
      <c r="BL426" s="69"/>
      <c r="BM426" s="69"/>
      <c r="BN426" s="69"/>
      <c r="BO426" s="69"/>
      <c r="BP426" s="69"/>
      <c r="BQ426" s="69"/>
      <c r="BR426" s="69"/>
      <c r="BS426" s="69"/>
      <c r="BT426" s="69"/>
      <c r="BU426" s="69"/>
      <c r="BV426" s="69"/>
      <c r="BW426" s="69"/>
      <c r="BX426" s="69"/>
      <c r="BY426" s="69"/>
      <c r="BZ426" s="69"/>
      <c r="CA426" s="69"/>
      <c r="CB426" s="69"/>
      <c r="CC426" s="69"/>
      <c r="CD426" s="69"/>
      <c r="CE426" s="69"/>
      <c r="CF426" s="69"/>
    </row>
    <row r="427">
      <c r="A427" s="69"/>
      <c r="B427" s="71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69"/>
      <c r="BE427" s="69"/>
      <c r="BF427" s="69"/>
      <c r="BG427" s="69"/>
      <c r="BH427" s="69"/>
      <c r="BI427" s="69"/>
      <c r="BJ427" s="69"/>
      <c r="BK427" s="69"/>
      <c r="BL427" s="69"/>
      <c r="BM427" s="69"/>
      <c r="BN427" s="69"/>
      <c r="BO427" s="69"/>
      <c r="BP427" s="69"/>
      <c r="BQ427" s="69"/>
      <c r="BR427" s="69"/>
      <c r="BS427" s="69"/>
      <c r="BT427" s="69"/>
      <c r="BU427" s="69"/>
      <c r="BV427" s="69"/>
      <c r="BW427" s="69"/>
      <c r="BX427" s="69"/>
      <c r="BY427" s="69"/>
      <c r="BZ427" s="69"/>
      <c r="CA427" s="69"/>
      <c r="CB427" s="69"/>
      <c r="CC427" s="69"/>
      <c r="CD427" s="69"/>
      <c r="CE427" s="69"/>
      <c r="CF427" s="69"/>
    </row>
    <row r="428">
      <c r="A428" s="69"/>
      <c r="B428" s="71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69"/>
      <c r="BE428" s="69"/>
      <c r="BF428" s="69"/>
      <c r="BG428" s="69"/>
      <c r="BH428" s="69"/>
      <c r="BI428" s="69"/>
      <c r="BJ428" s="69"/>
      <c r="BK428" s="69"/>
      <c r="BL428" s="69"/>
      <c r="BM428" s="69"/>
      <c r="BN428" s="69"/>
      <c r="BO428" s="69"/>
      <c r="BP428" s="69"/>
      <c r="BQ428" s="69"/>
      <c r="BR428" s="69"/>
      <c r="BS428" s="69"/>
      <c r="BT428" s="69"/>
      <c r="BU428" s="69"/>
      <c r="BV428" s="69"/>
      <c r="BW428" s="69"/>
      <c r="BX428" s="69"/>
      <c r="BY428" s="69"/>
      <c r="BZ428" s="69"/>
      <c r="CA428" s="69"/>
      <c r="CB428" s="69"/>
      <c r="CC428" s="69"/>
      <c r="CD428" s="69"/>
      <c r="CE428" s="69"/>
      <c r="CF428" s="69"/>
    </row>
    <row r="429">
      <c r="A429" s="69"/>
      <c r="B429" s="71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69"/>
      <c r="BE429" s="69"/>
      <c r="BF429" s="69"/>
      <c r="BG429" s="69"/>
      <c r="BH429" s="69"/>
      <c r="BI429" s="69"/>
      <c r="BJ429" s="69"/>
      <c r="BK429" s="69"/>
      <c r="BL429" s="69"/>
      <c r="BM429" s="69"/>
      <c r="BN429" s="69"/>
      <c r="BO429" s="69"/>
      <c r="BP429" s="69"/>
      <c r="BQ429" s="69"/>
      <c r="BR429" s="69"/>
      <c r="BS429" s="69"/>
      <c r="BT429" s="69"/>
      <c r="BU429" s="69"/>
      <c r="BV429" s="69"/>
      <c r="BW429" s="69"/>
      <c r="BX429" s="69"/>
      <c r="BY429" s="69"/>
      <c r="BZ429" s="69"/>
      <c r="CA429" s="69"/>
      <c r="CB429" s="69"/>
      <c r="CC429" s="69"/>
      <c r="CD429" s="69"/>
      <c r="CE429" s="69"/>
      <c r="CF429" s="69"/>
    </row>
    <row r="430">
      <c r="A430" s="69"/>
      <c r="B430" s="71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69"/>
      <c r="BE430" s="69"/>
      <c r="BF430" s="69"/>
      <c r="BG430" s="69"/>
      <c r="BH430" s="69"/>
      <c r="BI430" s="69"/>
      <c r="BJ430" s="69"/>
      <c r="BK430" s="69"/>
      <c r="BL430" s="69"/>
      <c r="BM430" s="69"/>
      <c r="BN430" s="69"/>
      <c r="BO430" s="69"/>
      <c r="BP430" s="69"/>
      <c r="BQ430" s="69"/>
      <c r="BR430" s="69"/>
      <c r="BS430" s="69"/>
      <c r="BT430" s="69"/>
      <c r="BU430" s="69"/>
      <c r="BV430" s="69"/>
      <c r="BW430" s="69"/>
      <c r="BX430" s="69"/>
      <c r="BY430" s="69"/>
      <c r="BZ430" s="69"/>
      <c r="CA430" s="69"/>
      <c r="CB430" s="69"/>
      <c r="CC430" s="69"/>
      <c r="CD430" s="69"/>
      <c r="CE430" s="69"/>
      <c r="CF430" s="69"/>
    </row>
    <row r="431">
      <c r="A431" s="69"/>
      <c r="B431" s="71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69"/>
      <c r="BE431" s="69"/>
      <c r="BF431" s="69"/>
      <c r="BG431" s="69"/>
      <c r="BH431" s="69"/>
      <c r="BI431" s="69"/>
      <c r="BJ431" s="69"/>
      <c r="BK431" s="69"/>
      <c r="BL431" s="69"/>
      <c r="BM431" s="69"/>
      <c r="BN431" s="69"/>
      <c r="BO431" s="69"/>
      <c r="BP431" s="69"/>
      <c r="BQ431" s="69"/>
      <c r="BR431" s="69"/>
      <c r="BS431" s="69"/>
      <c r="BT431" s="69"/>
      <c r="BU431" s="69"/>
      <c r="BV431" s="69"/>
      <c r="BW431" s="69"/>
      <c r="BX431" s="69"/>
      <c r="BY431" s="69"/>
      <c r="BZ431" s="69"/>
      <c r="CA431" s="69"/>
      <c r="CB431" s="69"/>
      <c r="CC431" s="69"/>
      <c r="CD431" s="69"/>
      <c r="CE431" s="69"/>
      <c r="CF431" s="69"/>
    </row>
    <row r="432">
      <c r="A432" s="69"/>
      <c r="B432" s="71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69"/>
      <c r="BE432" s="69"/>
      <c r="BF432" s="69"/>
      <c r="BG432" s="69"/>
      <c r="BH432" s="69"/>
      <c r="BI432" s="69"/>
      <c r="BJ432" s="69"/>
      <c r="BK432" s="69"/>
      <c r="BL432" s="69"/>
      <c r="BM432" s="69"/>
      <c r="BN432" s="69"/>
      <c r="BO432" s="69"/>
      <c r="BP432" s="69"/>
      <c r="BQ432" s="69"/>
      <c r="BR432" s="69"/>
      <c r="BS432" s="69"/>
      <c r="BT432" s="69"/>
      <c r="BU432" s="69"/>
      <c r="BV432" s="69"/>
      <c r="BW432" s="69"/>
      <c r="BX432" s="69"/>
      <c r="BY432" s="69"/>
      <c r="BZ432" s="69"/>
      <c r="CA432" s="69"/>
      <c r="CB432" s="69"/>
      <c r="CC432" s="69"/>
      <c r="CD432" s="69"/>
      <c r="CE432" s="69"/>
      <c r="CF432" s="69"/>
    </row>
    <row r="433">
      <c r="A433" s="69"/>
      <c r="B433" s="71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69"/>
      <c r="BE433" s="69"/>
      <c r="BF433" s="69"/>
      <c r="BG433" s="69"/>
      <c r="BH433" s="69"/>
      <c r="BI433" s="69"/>
      <c r="BJ433" s="69"/>
      <c r="BK433" s="69"/>
      <c r="BL433" s="69"/>
      <c r="BM433" s="69"/>
      <c r="BN433" s="69"/>
      <c r="BO433" s="69"/>
      <c r="BP433" s="69"/>
      <c r="BQ433" s="69"/>
      <c r="BR433" s="69"/>
      <c r="BS433" s="69"/>
      <c r="BT433" s="69"/>
      <c r="BU433" s="69"/>
      <c r="BV433" s="69"/>
      <c r="BW433" s="69"/>
      <c r="BX433" s="69"/>
      <c r="BY433" s="69"/>
      <c r="BZ433" s="69"/>
      <c r="CA433" s="69"/>
      <c r="CB433" s="69"/>
      <c r="CC433" s="69"/>
      <c r="CD433" s="69"/>
      <c r="CE433" s="69"/>
      <c r="CF433" s="69"/>
    </row>
    <row r="434">
      <c r="A434" s="69"/>
      <c r="B434" s="71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69"/>
      <c r="BE434" s="69"/>
      <c r="BF434" s="69"/>
      <c r="BG434" s="69"/>
      <c r="BH434" s="69"/>
      <c r="BI434" s="69"/>
      <c r="BJ434" s="69"/>
      <c r="BK434" s="69"/>
      <c r="BL434" s="69"/>
      <c r="BM434" s="69"/>
      <c r="BN434" s="69"/>
      <c r="BO434" s="69"/>
      <c r="BP434" s="69"/>
      <c r="BQ434" s="69"/>
      <c r="BR434" s="69"/>
      <c r="BS434" s="69"/>
      <c r="BT434" s="69"/>
      <c r="BU434" s="69"/>
      <c r="BV434" s="69"/>
      <c r="BW434" s="69"/>
      <c r="BX434" s="69"/>
      <c r="BY434" s="69"/>
      <c r="BZ434" s="69"/>
      <c r="CA434" s="69"/>
      <c r="CB434" s="69"/>
      <c r="CC434" s="69"/>
      <c r="CD434" s="69"/>
      <c r="CE434" s="69"/>
      <c r="CF434" s="69"/>
    </row>
    <row r="435">
      <c r="A435" s="69"/>
      <c r="B435" s="71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69"/>
      <c r="BE435" s="69"/>
      <c r="BF435" s="69"/>
      <c r="BG435" s="69"/>
      <c r="BH435" s="69"/>
      <c r="BI435" s="69"/>
      <c r="BJ435" s="69"/>
      <c r="BK435" s="69"/>
      <c r="BL435" s="69"/>
      <c r="BM435" s="69"/>
      <c r="BN435" s="69"/>
      <c r="BO435" s="69"/>
      <c r="BP435" s="69"/>
      <c r="BQ435" s="69"/>
      <c r="BR435" s="69"/>
      <c r="BS435" s="69"/>
      <c r="BT435" s="69"/>
      <c r="BU435" s="69"/>
      <c r="BV435" s="69"/>
      <c r="BW435" s="69"/>
      <c r="BX435" s="69"/>
      <c r="BY435" s="69"/>
      <c r="BZ435" s="69"/>
      <c r="CA435" s="69"/>
      <c r="CB435" s="69"/>
      <c r="CC435" s="69"/>
      <c r="CD435" s="69"/>
      <c r="CE435" s="69"/>
      <c r="CF435" s="69"/>
    </row>
    <row r="436">
      <c r="A436" s="69"/>
      <c r="B436" s="71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69"/>
      <c r="BE436" s="69"/>
      <c r="BF436" s="69"/>
      <c r="BG436" s="69"/>
      <c r="BH436" s="69"/>
      <c r="BI436" s="69"/>
      <c r="BJ436" s="69"/>
      <c r="BK436" s="69"/>
      <c r="BL436" s="69"/>
      <c r="BM436" s="69"/>
      <c r="BN436" s="69"/>
      <c r="BO436" s="69"/>
      <c r="BP436" s="69"/>
      <c r="BQ436" s="69"/>
      <c r="BR436" s="69"/>
      <c r="BS436" s="69"/>
      <c r="BT436" s="69"/>
      <c r="BU436" s="69"/>
      <c r="BV436" s="69"/>
      <c r="BW436" s="69"/>
      <c r="BX436" s="69"/>
      <c r="BY436" s="69"/>
      <c r="BZ436" s="69"/>
      <c r="CA436" s="69"/>
      <c r="CB436" s="69"/>
      <c r="CC436" s="69"/>
      <c r="CD436" s="69"/>
      <c r="CE436" s="69"/>
      <c r="CF436" s="69"/>
    </row>
    <row r="437">
      <c r="A437" s="69"/>
      <c r="B437" s="71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69"/>
      <c r="BE437" s="69"/>
      <c r="BF437" s="69"/>
      <c r="BG437" s="69"/>
      <c r="BH437" s="69"/>
      <c r="BI437" s="69"/>
      <c r="BJ437" s="69"/>
      <c r="BK437" s="69"/>
      <c r="BL437" s="69"/>
      <c r="BM437" s="69"/>
      <c r="BN437" s="69"/>
      <c r="BO437" s="69"/>
      <c r="BP437" s="69"/>
      <c r="BQ437" s="69"/>
      <c r="BR437" s="69"/>
      <c r="BS437" s="69"/>
      <c r="BT437" s="69"/>
      <c r="BU437" s="69"/>
      <c r="BV437" s="69"/>
      <c r="BW437" s="69"/>
      <c r="BX437" s="69"/>
      <c r="BY437" s="69"/>
      <c r="BZ437" s="69"/>
      <c r="CA437" s="69"/>
      <c r="CB437" s="69"/>
      <c r="CC437" s="69"/>
      <c r="CD437" s="69"/>
      <c r="CE437" s="69"/>
      <c r="CF437" s="69"/>
    </row>
    <row r="438">
      <c r="A438" s="69"/>
      <c r="B438" s="71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69"/>
      <c r="BE438" s="69"/>
      <c r="BF438" s="69"/>
      <c r="BG438" s="69"/>
      <c r="BH438" s="69"/>
      <c r="BI438" s="69"/>
      <c r="BJ438" s="69"/>
      <c r="BK438" s="69"/>
      <c r="BL438" s="69"/>
      <c r="BM438" s="69"/>
      <c r="BN438" s="69"/>
      <c r="BO438" s="69"/>
      <c r="BP438" s="69"/>
      <c r="BQ438" s="69"/>
      <c r="BR438" s="69"/>
      <c r="BS438" s="69"/>
      <c r="BT438" s="69"/>
      <c r="BU438" s="69"/>
      <c r="BV438" s="69"/>
      <c r="BW438" s="69"/>
      <c r="BX438" s="69"/>
      <c r="BY438" s="69"/>
      <c r="BZ438" s="69"/>
      <c r="CA438" s="69"/>
      <c r="CB438" s="69"/>
      <c r="CC438" s="69"/>
      <c r="CD438" s="69"/>
      <c r="CE438" s="69"/>
      <c r="CF438" s="69"/>
    </row>
    <row r="439">
      <c r="A439" s="69"/>
      <c r="B439" s="71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69"/>
      <c r="BE439" s="69"/>
      <c r="BF439" s="69"/>
      <c r="BG439" s="69"/>
      <c r="BH439" s="69"/>
      <c r="BI439" s="69"/>
      <c r="BJ439" s="69"/>
      <c r="BK439" s="69"/>
      <c r="BL439" s="69"/>
      <c r="BM439" s="69"/>
      <c r="BN439" s="69"/>
      <c r="BO439" s="69"/>
      <c r="BP439" s="69"/>
      <c r="BQ439" s="69"/>
      <c r="BR439" s="69"/>
      <c r="BS439" s="69"/>
      <c r="BT439" s="69"/>
      <c r="BU439" s="69"/>
      <c r="BV439" s="69"/>
      <c r="BW439" s="69"/>
      <c r="BX439" s="69"/>
      <c r="BY439" s="69"/>
      <c r="BZ439" s="69"/>
      <c r="CA439" s="69"/>
      <c r="CB439" s="69"/>
      <c r="CC439" s="69"/>
      <c r="CD439" s="69"/>
      <c r="CE439" s="69"/>
      <c r="CF439" s="69"/>
    </row>
    <row r="440">
      <c r="A440" s="69"/>
      <c r="B440" s="71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69"/>
      <c r="BE440" s="69"/>
      <c r="BF440" s="69"/>
      <c r="BG440" s="69"/>
      <c r="BH440" s="69"/>
      <c r="BI440" s="69"/>
      <c r="BJ440" s="69"/>
      <c r="BK440" s="69"/>
      <c r="BL440" s="69"/>
      <c r="BM440" s="69"/>
      <c r="BN440" s="69"/>
      <c r="BO440" s="69"/>
      <c r="BP440" s="69"/>
      <c r="BQ440" s="69"/>
      <c r="BR440" s="69"/>
      <c r="BS440" s="69"/>
      <c r="BT440" s="69"/>
      <c r="BU440" s="69"/>
      <c r="BV440" s="69"/>
      <c r="BW440" s="69"/>
      <c r="BX440" s="69"/>
      <c r="BY440" s="69"/>
      <c r="BZ440" s="69"/>
      <c r="CA440" s="69"/>
      <c r="CB440" s="69"/>
      <c r="CC440" s="69"/>
      <c r="CD440" s="69"/>
      <c r="CE440" s="69"/>
      <c r="CF440" s="69"/>
    </row>
    <row r="441">
      <c r="A441" s="69"/>
      <c r="B441" s="71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69"/>
      <c r="BE441" s="69"/>
      <c r="BF441" s="69"/>
      <c r="BG441" s="69"/>
      <c r="BH441" s="69"/>
      <c r="BI441" s="69"/>
      <c r="BJ441" s="69"/>
      <c r="BK441" s="69"/>
      <c r="BL441" s="69"/>
      <c r="BM441" s="69"/>
      <c r="BN441" s="69"/>
      <c r="BO441" s="69"/>
      <c r="BP441" s="69"/>
      <c r="BQ441" s="69"/>
      <c r="BR441" s="69"/>
      <c r="BS441" s="69"/>
      <c r="BT441" s="69"/>
      <c r="BU441" s="69"/>
      <c r="BV441" s="69"/>
      <c r="BW441" s="69"/>
      <c r="BX441" s="69"/>
      <c r="BY441" s="69"/>
      <c r="BZ441" s="69"/>
      <c r="CA441" s="69"/>
      <c r="CB441" s="69"/>
      <c r="CC441" s="69"/>
      <c r="CD441" s="69"/>
      <c r="CE441" s="69"/>
      <c r="CF441" s="69"/>
    </row>
    <row r="442">
      <c r="A442" s="69"/>
      <c r="B442" s="71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69"/>
      <c r="BE442" s="69"/>
      <c r="BF442" s="69"/>
      <c r="BG442" s="69"/>
      <c r="BH442" s="69"/>
      <c r="BI442" s="69"/>
      <c r="BJ442" s="69"/>
      <c r="BK442" s="69"/>
      <c r="BL442" s="69"/>
      <c r="BM442" s="69"/>
      <c r="BN442" s="69"/>
      <c r="BO442" s="69"/>
      <c r="BP442" s="69"/>
      <c r="BQ442" s="69"/>
      <c r="BR442" s="69"/>
      <c r="BS442" s="69"/>
      <c r="BT442" s="69"/>
      <c r="BU442" s="69"/>
      <c r="BV442" s="69"/>
      <c r="BW442" s="69"/>
      <c r="BX442" s="69"/>
      <c r="BY442" s="69"/>
      <c r="BZ442" s="69"/>
      <c r="CA442" s="69"/>
      <c r="CB442" s="69"/>
      <c r="CC442" s="69"/>
      <c r="CD442" s="69"/>
      <c r="CE442" s="69"/>
      <c r="CF442" s="69"/>
    </row>
    <row r="443">
      <c r="A443" s="69"/>
      <c r="B443" s="71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69"/>
      <c r="BE443" s="69"/>
      <c r="BF443" s="69"/>
      <c r="BG443" s="69"/>
      <c r="BH443" s="69"/>
      <c r="BI443" s="69"/>
      <c r="BJ443" s="69"/>
      <c r="BK443" s="69"/>
      <c r="BL443" s="69"/>
      <c r="BM443" s="69"/>
      <c r="BN443" s="69"/>
      <c r="BO443" s="69"/>
      <c r="BP443" s="69"/>
      <c r="BQ443" s="69"/>
      <c r="BR443" s="69"/>
      <c r="BS443" s="69"/>
      <c r="BT443" s="69"/>
      <c r="BU443" s="69"/>
      <c r="BV443" s="69"/>
      <c r="BW443" s="69"/>
      <c r="BX443" s="69"/>
      <c r="BY443" s="69"/>
      <c r="BZ443" s="69"/>
      <c r="CA443" s="69"/>
      <c r="CB443" s="69"/>
      <c r="CC443" s="69"/>
      <c r="CD443" s="69"/>
      <c r="CE443" s="69"/>
      <c r="CF443" s="69"/>
    </row>
    <row r="444">
      <c r="A444" s="69"/>
      <c r="B444" s="71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69"/>
      <c r="BE444" s="69"/>
      <c r="BF444" s="69"/>
      <c r="BG444" s="69"/>
      <c r="BH444" s="69"/>
      <c r="BI444" s="69"/>
      <c r="BJ444" s="69"/>
      <c r="BK444" s="69"/>
      <c r="BL444" s="69"/>
      <c r="BM444" s="69"/>
      <c r="BN444" s="69"/>
      <c r="BO444" s="69"/>
      <c r="BP444" s="69"/>
      <c r="BQ444" s="69"/>
      <c r="BR444" s="69"/>
      <c r="BS444" s="69"/>
      <c r="BT444" s="69"/>
      <c r="BU444" s="69"/>
      <c r="BV444" s="69"/>
      <c r="BW444" s="69"/>
      <c r="BX444" s="69"/>
      <c r="BY444" s="69"/>
      <c r="BZ444" s="69"/>
      <c r="CA444" s="69"/>
      <c r="CB444" s="69"/>
      <c r="CC444" s="69"/>
      <c r="CD444" s="69"/>
      <c r="CE444" s="69"/>
      <c r="CF444" s="69"/>
    </row>
    <row r="445">
      <c r="A445" s="69"/>
      <c r="B445" s="71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69"/>
      <c r="BE445" s="69"/>
      <c r="BF445" s="69"/>
      <c r="BG445" s="69"/>
      <c r="BH445" s="69"/>
      <c r="BI445" s="69"/>
      <c r="BJ445" s="69"/>
      <c r="BK445" s="69"/>
      <c r="BL445" s="69"/>
      <c r="BM445" s="69"/>
      <c r="BN445" s="69"/>
      <c r="BO445" s="69"/>
      <c r="BP445" s="69"/>
      <c r="BQ445" s="69"/>
      <c r="BR445" s="69"/>
      <c r="BS445" s="69"/>
      <c r="BT445" s="69"/>
      <c r="BU445" s="69"/>
      <c r="BV445" s="69"/>
      <c r="BW445" s="69"/>
      <c r="BX445" s="69"/>
      <c r="BY445" s="69"/>
      <c r="BZ445" s="69"/>
      <c r="CA445" s="69"/>
      <c r="CB445" s="69"/>
      <c r="CC445" s="69"/>
      <c r="CD445" s="69"/>
      <c r="CE445" s="69"/>
      <c r="CF445" s="69"/>
    </row>
    <row r="446">
      <c r="A446" s="69"/>
      <c r="B446" s="71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69"/>
      <c r="BE446" s="69"/>
      <c r="BF446" s="69"/>
      <c r="BG446" s="69"/>
      <c r="BH446" s="69"/>
      <c r="BI446" s="69"/>
      <c r="BJ446" s="69"/>
      <c r="BK446" s="69"/>
      <c r="BL446" s="69"/>
      <c r="BM446" s="69"/>
      <c r="BN446" s="69"/>
      <c r="BO446" s="69"/>
      <c r="BP446" s="69"/>
      <c r="BQ446" s="69"/>
      <c r="BR446" s="69"/>
      <c r="BS446" s="69"/>
      <c r="BT446" s="69"/>
      <c r="BU446" s="69"/>
      <c r="BV446" s="69"/>
      <c r="BW446" s="69"/>
      <c r="BX446" s="69"/>
      <c r="BY446" s="69"/>
      <c r="BZ446" s="69"/>
      <c r="CA446" s="69"/>
      <c r="CB446" s="69"/>
      <c r="CC446" s="69"/>
      <c r="CD446" s="69"/>
      <c r="CE446" s="69"/>
      <c r="CF446" s="69"/>
    </row>
    <row r="447">
      <c r="A447" s="69"/>
      <c r="B447" s="71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69"/>
      <c r="BE447" s="69"/>
      <c r="BF447" s="69"/>
      <c r="BG447" s="69"/>
      <c r="BH447" s="69"/>
      <c r="BI447" s="69"/>
      <c r="BJ447" s="69"/>
      <c r="BK447" s="69"/>
      <c r="BL447" s="69"/>
      <c r="BM447" s="69"/>
      <c r="BN447" s="69"/>
      <c r="BO447" s="69"/>
      <c r="BP447" s="69"/>
      <c r="BQ447" s="69"/>
      <c r="BR447" s="69"/>
      <c r="BS447" s="69"/>
      <c r="BT447" s="69"/>
      <c r="BU447" s="69"/>
      <c r="BV447" s="69"/>
      <c r="BW447" s="69"/>
      <c r="BX447" s="69"/>
      <c r="BY447" s="69"/>
      <c r="BZ447" s="69"/>
      <c r="CA447" s="69"/>
      <c r="CB447" s="69"/>
      <c r="CC447" s="69"/>
      <c r="CD447" s="69"/>
      <c r="CE447" s="69"/>
      <c r="CF447" s="69"/>
    </row>
    <row r="448">
      <c r="A448" s="69"/>
      <c r="B448" s="71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69"/>
      <c r="BE448" s="69"/>
      <c r="BF448" s="69"/>
      <c r="BG448" s="69"/>
      <c r="BH448" s="69"/>
      <c r="BI448" s="69"/>
      <c r="BJ448" s="69"/>
      <c r="BK448" s="69"/>
      <c r="BL448" s="69"/>
      <c r="BM448" s="69"/>
      <c r="BN448" s="69"/>
      <c r="BO448" s="69"/>
      <c r="BP448" s="69"/>
      <c r="BQ448" s="69"/>
      <c r="BR448" s="69"/>
      <c r="BS448" s="69"/>
      <c r="BT448" s="69"/>
      <c r="BU448" s="69"/>
      <c r="BV448" s="69"/>
      <c r="BW448" s="69"/>
      <c r="BX448" s="69"/>
      <c r="BY448" s="69"/>
      <c r="BZ448" s="69"/>
      <c r="CA448" s="69"/>
      <c r="CB448" s="69"/>
      <c r="CC448" s="69"/>
      <c r="CD448" s="69"/>
      <c r="CE448" s="69"/>
      <c r="CF448" s="69"/>
    </row>
    <row r="449">
      <c r="A449" s="69"/>
      <c r="B449" s="71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69"/>
      <c r="BE449" s="69"/>
      <c r="BF449" s="69"/>
      <c r="BG449" s="69"/>
      <c r="BH449" s="69"/>
      <c r="BI449" s="69"/>
      <c r="BJ449" s="69"/>
      <c r="BK449" s="69"/>
      <c r="BL449" s="69"/>
      <c r="BM449" s="69"/>
      <c r="BN449" s="69"/>
      <c r="BO449" s="69"/>
      <c r="BP449" s="69"/>
      <c r="BQ449" s="69"/>
      <c r="BR449" s="69"/>
      <c r="BS449" s="69"/>
      <c r="BT449" s="69"/>
      <c r="BU449" s="69"/>
      <c r="BV449" s="69"/>
      <c r="BW449" s="69"/>
      <c r="BX449" s="69"/>
      <c r="BY449" s="69"/>
      <c r="BZ449" s="69"/>
      <c r="CA449" s="69"/>
      <c r="CB449" s="69"/>
      <c r="CC449" s="69"/>
      <c r="CD449" s="69"/>
      <c r="CE449" s="69"/>
      <c r="CF449" s="69"/>
    </row>
    <row r="450">
      <c r="A450" s="69"/>
      <c r="B450" s="71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69"/>
      <c r="BE450" s="69"/>
      <c r="BF450" s="69"/>
      <c r="BG450" s="69"/>
      <c r="BH450" s="69"/>
      <c r="BI450" s="69"/>
      <c r="BJ450" s="69"/>
      <c r="BK450" s="69"/>
      <c r="BL450" s="69"/>
      <c r="BM450" s="69"/>
      <c r="BN450" s="69"/>
      <c r="BO450" s="69"/>
      <c r="BP450" s="69"/>
      <c r="BQ450" s="69"/>
      <c r="BR450" s="69"/>
      <c r="BS450" s="69"/>
      <c r="BT450" s="69"/>
      <c r="BU450" s="69"/>
      <c r="BV450" s="69"/>
      <c r="BW450" s="69"/>
      <c r="BX450" s="69"/>
      <c r="BY450" s="69"/>
      <c r="BZ450" s="69"/>
      <c r="CA450" s="69"/>
      <c r="CB450" s="69"/>
      <c r="CC450" s="69"/>
      <c r="CD450" s="69"/>
      <c r="CE450" s="69"/>
      <c r="CF450" s="69"/>
    </row>
    <row r="451">
      <c r="A451" s="69"/>
      <c r="B451" s="71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69"/>
      <c r="BE451" s="69"/>
      <c r="BF451" s="69"/>
      <c r="BG451" s="69"/>
      <c r="BH451" s="69"/>
      <c r="BI451" s="69"/>
      <c r="BJ451" s="69"/>
      <c r="BK451" s="69"/>
      <c r="BL451" s="69"/>
      <c r="BM451" s="69"/>
      <c r="BN451" s="69"/>
      <c r="BO451" s="69"/>
      <c r="BP451" s="69"/>
      <c r="BQ451" s="69"/>
      <c r="BR451" s="69"/>
      <c r="BS451" s="69"/>
      <c r="BT451" s="69"/>
      <c r="BU451" s="69"/>
      <c r="BV451" s="69"/>
      <c r="BW451" s="69"/>
      <c r="BX451" s="69"/>
      <c r="BY451" s="69"/>
      <c r="BZ451" s="69"/>
      <c r="CA451" s="69"/>
      <c r="CB451" s="69"/>
      <c r="CC451" s="69"/>
      <c r="CD451" s="69"/>
      <c r="CE451" s="69"/>
      <c r="CF451" s="69"/>
    </row>
    <row r="452">
      <c r="A452" s="69"/>
      <c r="B452" s="71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69"/>
      <c r="BE452" s="69"/>
      <c r="BF452" s="69"/>
      <c r="BG452" s="69"/>
      <c r="BH452" s="69"/>
      <c r="BI452" s="69"/>
      <c r="BJ452" s="69"/>
      <c r="BK452" s="69"/>
      <c r="BL452" s="69"/>
      <c r="BM452" s="69"/>
      <c r="BN452" s="69"/>
      <c r="BO452" s="69"/>
      <c r="BP452" s="69"/>
      <c r="BQ452" s="69"/>
      <c r="BR452" s="69"/>
      <c r="BS452" s="69"/>
      <c r="BT452" s="69"/>
      <c r="BU452" s="69"/>
      <c r="BV452" s="69"/>
      <c r="BW452" s="69"/>
      <c r="BX452" s="69"/>
      <c r="BY452" s="69"/>
      <c r="BZ452" s="69"/>
      <c r="CA452" s="69"/>
      <c r="CB452" s="69"/>
      <c r="CC452" s="69"/>
      <c r="CD452" s="69"/>
      <c r="CE452" s="69"/>
      <c r="CF452" s="69"/>
    </row>
    <row r="453">
      <c r="A453" s="69"/>
      <c r="B453" s="71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69"/>
      <c r="BE453" s="69"/>
      <c r="BF453" s="69"/>
      <c r="BG453" s="69"/>
      <c r="BH453" s="69"/>
      <c r="BI453" s="69"/>
      <c r="BJ453" s="69"/>
      <c r="BK453" s="69"/>
      <c r="BL453" s="69"/>
      <c r="BM453" s="69"/>
      <c r="BN453" s="69"/>
      <c r="BO453" s="69"/>
      <c r="BP453" s="69"/>
      <c r="BQ453" s="69"/>
      <c r="BR453" s="69"/>
      <c r="BS453" s="69"/>
      <c r="BT453" s="69"/>
      <c r="BU453" s="69"/>
      <c r="BV453" s="69"/>
      <c r="BW453" s="69"/>
      <c r="BX453" s="69"/>
      <c r="BY453" s="69"/>
      <c r="BZ453" s="69"/>
      <c r="CA453" s="69"/>
      <c r="CB453" s="69"/>
      <c r="CC453" s="69"/>
      <c r="CD453" s="69"/>
      <c r="CE453" s="69"/>
      <c r="CF453" s="69"/>
    </row>
    <row r="454">
      <c r="A454" s="69"/>
      <c r="B454" s="71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69"/>
      <c r="BE454" s="69"/>
      <c r="BF454" s="69"/>
      <c r="BG454" s="69"/>
      <c r="BH454" s="69"/>
      <c r="BI454" s="69"/>
      <c r="BJ454" s="69"/>
      <c r="BK454" s="69"/>
      <c r="BL454" s="69"/>
      <c r="BM454" s="69"/>
      <c r="BN454" s="69"/>
      <c r="BO454" s="69"/>
      <c r="BP454" s="69"/>
      <c r="BQ454" s="69"/>
      <c r="BR454" s="69"/>
      <c r="BS454" s="69"/>
      <c r="BT454" s="69"/>
      <c r="BU454" s="69"/>
      <c r="BV454" s="69"/>
      <c r="BW454" s="69"/>
      <c r="BX454" s="69"/>
      <c r="BY454" s="69"/>
      <c r="BZ454" s="69"/>
      <c r="CA454" s="69"/>
      <c r="CB454" s="69"/>
      <c r="CC454" s="69"/>
      <c r="CD454" s="69"/>
      <c r="CE454" s="69"/>
      <c r="CF454" s="69"/>
    </row>
    <row r="455">
      <c r="A455" s="69"/>
      <c r="B455" s="71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69"/>
      <c r="BE455" s="69"/>
      <c r="BF455" s="69"/>
      <c r="BG455" s="69"/>
      <c r="BH455" s="69"/>
      <c r="BI455" s="69"/>
      <c r="BJ455" s="69"/>
      <c r="BK455" s="69"/>
      <c r="BL455" s="69"/>
      <c r="BM455" s="69"/>
      <c r="BN455" s="69"/>
      <c r="BO455" s="69"/>
      <c r="BP455" s="69"/>
      <c r="BQ455" s="69"/>
      <c r="BR455" s="69"/>
      <c r="BS455" s="69"/>
      <c r="BT455" s="69"/>
      <c r="BU455" s="69"/>
      <c r="BV455" s="69"/>
      <c r="BW455" s="69"/>
      <c r="BX455" s="69"/>
      <c r="BY455" s="69"/>
      <c r="BZ455" s="69"/>
      <c r="CA455" s="69"/>
      <c r="CB455" s="69"/>
      <c r="CC455" s="69"/>
      <c r="CD455" s="69"/>
      <c r="CE455" s="69"/>
      <c r="CF455" s="69"/>
    </row>
    <row r="456">
      <c r="A456" s="69"/>
      <c r="B456" s="71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69"/>
      <c r="BE456" s="69"/>
      <c r="BF456" s="69"/>
      <c r="BG456" s="69"/>
      <c r="BH456" s="69"/>
      <c r="BI456" s="69"/>
      <c r="BJ456" s="69"/>
      <c r="BK456" s="69"/>
      <c r="BL456" s="69"/>
      <c r="BM456" s="69"/>
      <c r="BN456" s="69"/>
      <c r="BO456" s="69"/>
      <c r="BP456" s="69"/>
      <c r="BQ456" s="69"/>
      <c r="BR456" s="69"/>
      <c r="BS456" s="69"/>
      <c r="BT456" s="69"/>
      <c r="BU456" s="69"/>
      <c r="BV456" s="69"/>
      <c r="BW456" s="69"/>
      <c r="BX456" s="69"/>
      <c r="BY456" s="69"/>
      <c r="BZ456" s="69"/>
      <c r="CA456" s="69"/>
      <c r="CB456" s="69"/>
      <c r="CC456" s="69"/>
      <c r="CD456" s="69"/>
      <c r="CE456" s="69"/>
      <c r="CF456" s="69"/>
    </row>
    <row r="457">
      <c r="A457" s="69"/>
      <c r="B457" s="71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69"/>
      <c r="BE457" s="69"/>
      <c r="BF457" s="69"/>
      <c r="BG457" s="69"/>
      <c r="BH457" s="69"/>
      <c r="BI457" s="69"/>
      <c r="BJ457" s="69"/>
      <c r="BK457" s="69"/>
      <c r="BL457" s="69"/>
      <c r="BM457" s="69"/>
      <c r="BN457" s="69"/>
      <c r="BO457" s="69"/>
      <c r="BP457" s="69"/>
      <c r="BQ457" s="69"/>
      <c r="BR457" s="69"/>
      <c r="BS457" s="69"/>
      <c r="BT457" s="69"/>
      <c r="BU457" s="69"/>
      <c r="BV457" s="69"/>
      <c r="BW457" s="69"/>
      <c r="BX457" s="69"/>
      <c r="BY457" s="69"/>
      <c r="BZ457" s="69"/>
      <c r="CA457" s="69"/>
      <c r="CB457" s="69"/>
      <c r="CC457" s="69"/>
      <c r="CD457" s="69"/>
      <c r="CE457" s="69"/>
      <c r="CF457" s="69"/>
    </row>
    <row r="458">
      <c r="A458" s="69"/>
      <c r="B458" s="71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69"/>
      <c r="BE458" s="69"/>
      <c r="BF458" s="69"/>
      <c r="BG458" s="69"/>
      <c r="BH458" s="69"/>
      <c r="BI458" s="69"/>
      <c r="BJ458" s="69"/>
      <c r="BK458" s="69"/>
      <c r="BL458" s="69"/>
      <c r="BM458" s="69"/>
      <c r="BN458" s="69"/>
      <c r="BO458" s="69"/>
      <c r="BP458" s="69"/>
      <c r="BQ458" s="69"/>
      <c r="BR458" s="69"/>
      <c r="BS458" s="69"/>
      <c r="BT458" s="69"/>
      <c r="BU458" s="69"/>
      <c r="BV458" s="69"/>
      <c r="BW458" s="69"/>
      <c r="BX458" s="69"/>
      <c r="BY458" s="69"/>
      <c r="BZ458" s="69"/>
      <c r="CA458" s="69"/>
      <c r="CB458" s="69"/>
      <c r="CC458" s="69"/>
      <c r="CD458" s="69"/>
      <c r="CE458" s="69"/>
      <c r="CF458" s="69"/>
    </row>
    <row r="459">
      <c r="A459" s="69"/>
      <c r="B459" s="71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69"/>
      <c r="BE459" s="69"/>
      <c r="BF459" s="69"/>
      <c r="BG459" s="69"/>
      <c r="BH459" s="69"/>
      <c r="BI459" s="69"/>
      <c r="BJ459" s="69"/>
      <c r="BK459" s="69"/>
      <c r="BL459" s="69"/>
      <c r="BM459" s="69"/>
      <c r="BN459" s="69"/>
      <c r="BO459" s="69"/>
      <c r="BP459" s="69"/>
      <c r="BQ459" s="69"/>
      <c r="BR459" s="69"/>
      <c r="BS459" s="69"/>
      <c r="BT459" s="69"/>
      <c r="BU459" s="69"/>
      <c r="BV459" s="69"/>
      <c r="BW459" s="69"/>
      <c r="BX459" s="69"/>
      <c r="BY459" s="69"/>
      <c r="BZ459" s="69"/>
      <c r="CA459" s="69"/>
      <c r="CB459" s="69"/>
      <c r="CC459" s="69"/>
      <c r="CD459" s="69"/>
      <c r="CE459" s="69"/>
      <c r="CF459" s="69"/>
    </row>
    <row r="460">
      <c r="A460" s="69"/>
      <c r="B460" s="71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69"/>
      <c r="BE460" s="69"/>
      <c r="BF460" s="69"/>
      <c r="BG460" s="69"/>
      <c r="BH460" s="69"/>
      <c r="BI460" s="69"/>
      <c r="BJ460" s="69"/>
      <c r="BK460" s="69"/>
      <c r="BL460" s="69"/>
      <c r="BM460" s="69"/>
      <c r="BN460" s="69"/>
      <c r="BO460" s="69"/>
      <c r="BP460" s="69"/>
      <c r="BQ460" s="69"/>
      <c r="BR460" s="69"/>
      <c r="BS460" s="69"/>
      <c r="BT460" s="69"/>
      <c r="BU460" s="69"/>
      <c r="BV460" s="69"/>
      <c r="BW460" s="69"/>
      <c r="BX460" s="69"/>
      <c r="BY460" s="69"/>
      <c r="BZ460" s="69"/>
      <c r="CA460" s="69"/>
      <c r="CB460" s="69"/>
      <c r="CC460" s="69"/>
      <c r="CD460" s="69"/>
      <c r="CE460" s="69"/>
      <c r="CF460" s="69"/>
    </row>
    <row r="461">
      <c r="A461" s="69"/>
      <c r="B461" s="71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69"/>
      <c r="BE461" s="69"/>
      <c r="BF461" s="69"/>
      <c r="BG461" s="69"/>
      <c r="BH461" s="69"/>
      <c r="BI461" s="69"/>
      <c r="BJ461" s="69"/>
      <c r="BK461" s="69"/>
      <c r="BL461" s="69"/>
      <c r="BM461" s="69"/>
      <c r="BN461" s="69"/>
      <c r="BO461" s="69"/>
      <c r="BP461" s="69"/>
      <c r="BQ461" s="69"/>
      <c r="BR461" s="69"/>
      <c r="BS461" s="69"/>
      <c r="BT461" s="69"/>
      <c r="BU461" s="69"/>
      <c r="BV461" s="69"/>
      <c r="BW461" s="69"/>
      <c r="BX461" s="69"/>
      <c r="BY461" s="69"/>
      <c r="BZ461" s="69"/>
      <c r="CA461" s="69"/>
      <c r="CB461" s="69"/>
      <c r="CC461" s="69"/>
      <c r="CD461" s="69"/>
      <c r="CE461" s="69"/>
      <c r="CF461" s="69"/>
    </row>
    <row r="462">
      <c r="A462" s="69"/>
      <c r="B462" s="71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69"/>
      <c r="BE462" s="69"/>
      <c r="BF462" s="69"/>
      <c r="BG462" s="69"/>
      <c r="BH462" s="69"/>
      <c r="BI462" s="69"/>
      <c r="BJ462" s="69"/>
      <c r="BK462" s="69"/>
      <c r="BL462" s="69"/>
      <c r="BM462" s="69"/>
      <c r="BN462" s="69"/>
      <c r="BO462" s="69"/>
      <c r="BP462" s="69"/>
      <c r="BQ462" s="69"/>
      <c r="BR462" s="69"/>
      <c r="BS462" s="69"/>
      <c r="BT462" s="69"/>
      <c r="BU462" s="69"/>
      <c r="BV462" s="69"/>
      <c r="BW462" s="69"/>
      <c r="BX462" s="69"/>
      <c r="BY462" s="69"/>
      <c r="BZ462" s="69"/>
      <c r="CA462" s="69"/>
      <c r="CB462" s="69"/>
      <c r="CC462" s="69"/>
      <c r="CD462" s="69"/>
      <c r="CE462" s="69"/>
      <c r="CF462" s="69"/>
    </row>
    <row r="463">
      <c r="A463" s="69"/>
      <c r="B463" s="71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69"/>
      <c r="BE463" s="69"/>
      <c r="BF463" s="69"/>
      <c r="BG463" s="69"/>
      <c r="BH463" s="69"/>
      <c r="BI463" s="69"/>
      <c r="BJ463" s="69"/>
      <c r="BK463" s="69"/>
      <c r="BL463" s="69"/>
      <c r="BM463" s="69"/>
      <c r="BN463" s="69"/>
      <c r="BO463" s="69"/>
      <c r="BP463" s="69"/>
      <c r="BQ463" s="69"/>
      <c r="BR463" s="69"/>
      <c r="BS463" s="69"/>
      <c r="BT463" s="69"/>
      <c r="BU463" s="69"/>
      <c r="BV463" s="69"/>
      <c r="BW463" s="69"/>
      <c r="BX463" s="69"/>
      <c r="BY463" s="69"/>
      <c r="BZ463" s="69"/>
      <c r="CA463" s="69"/>
      <c r="CB463" s="69"/>
      <c r="CC463" s="69"/>
      <c r="CD463" s="69"/>
      <c r="CE463" s="69"/>
      <c r="CF463" s="69"/>
    </row>
    <row r="464">
      <c r="A464" s="69"/>
      <c r="B464" s="71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69"/>
      <c r="BE464" s="69"/>
      <c r="BF464" s="69"/>
      <c r="BG464" s="69"/>
      <c r="BH464" s="69"/>
      <c r="BI464" s="69"/>
      <c r="BJ464" s="69"/>
      <c r="BK464" s="69"/>
      <c r="BL464" s="69"/>
      <c r="BM464" s="69"/>
      <c r="BN464" s="69"/>
      <c r="BO464" s="69"/>
      <c r="BP464" s="69"/>
      <c r="BQ464" s="69"/>
      <c r="BR464" s="69"/>
      <c r="BS464" s="69"/>
      <c r="BT464" s="69"/>
      <c r="BU464" s="69"/>
      <c r="BV464" s="69"/>
      <c r="BW464" s="69"/>
      <c r="BX464" s="69"/>
      <c r="BY464" s="69"/>
      <c r="BZ464" s="69"/>
      <c r="CA464" s="69"/>
      <c r="CB464" s="69"/>
      <c r="CC464" s="69"/>
      <c r="CD464" s="69"/>
      <c r="CE464" s="69"/>
      <c r="CF464" s="69"/>
    </row>
    <row r="465">
      <c r="A465" s="69"/>
      <c r="B465" s="71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69"/>
      <c r="BE465" s="69"/>
      <c r="BF465" s="69"/>
      <c r="BG465" s="69"/>
      <c r="BH465" s="69"/>
      <c r="BI465" s="69"/>
      <c r="BJ465" s="69"/>
      <c r="BK465" s="69"/>
      <c r="BL465" s="69"/>
      <c r="BM465" s="69"/>
      <c r="BN465" s="69"/>
      <c r="BO465" s="69"/>
      <c r="BP465" s="69"/>
      <c r="BQ465" s="69"/>
      <c r="BR465" s="69"/>
      <c r="BS465" s="69"/>
      <c r="BT465" s="69"/>
      <c r="BU465" s="69"/>
      <c r="BV465" s="69"/>
      <c r="BW465" s="69"/>
      <c r="BX465" s="69"/>
      <c r="BY465" s="69"/>
      <c r="BZ465" s="69"/>
      <c r="CA465" s="69"/>
      <c r="CB465" s="69"/>
      <c r="CC465" s="69"/>
      <c r="CD465" s="69"/>
      <c r="CE465" s="69"/>
      <c r="CF465" s="69"/>
    </row>
    <row r="466">
      <c r="A466" s="69"/>
      <c r="B466" s="71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69"/>
      <c r="BE466" s="69"/>
      <c r="BF466" s="69"/>
      <c r="BG466" s="69"/>
      <c r="BH466" s="69"/>
      <c r="BI466" s="69"/>
      <c r="BJ466" s="69"/>
      <c r="BK466" s="69"/>
      <c r="BL466" s="69"/>
      <c r="BM466" s="69"/>
      <c r="BN466" s="69"/>
      <c r="BO466" s="69"/>
      <c r="BP466" s="69"/>
      <c r="BQ466" s="69"/>
      <c r="BR466" s="69"/>
      <c r="BS466" s="69"/>
      <c r="BT466" s="69"/>
      <c r="BU466" s="69"/>
      <c r="BV466" s="69"/>
      <c r="BW466" s="69"/>
      <c r="BX466" s="69"/>
      <c r="BY466" s="69"/>
      <c r="BZ466" s="69"/>
      <c r="CA466" s="69"/>
      <c r="CB466" s="69"/>
      <c r="CC466" s="69"/>
      <c r="CD466" s="69"/>
      <c r="CE466" s="69"/>
      <c r="CF466" s="69"/>
    </row>
    <row r="467">
      <c r="A467" s="69"/>
      <c r="B467" s="71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69"/>
      <c r="BE467" s="69"/>
      <c r="BF467" s="69"/>
      <c r="BG467" s="69"/>
      <c r="BH467" s="69"/>
      <c r="BI467" s="69"/>
      <c r="BJ467" s="69"/>
      <c r="BK467" s="69"/>
      <c r="BL467" s="69"/>
      <c r="BM467" s="69"/>
      <c r="BN467" s="69"/>
      <c r="BO467" s="69"/>
      <c r="BP467" s="69"/>
      <c r="BQ467" s="69"/>
      <c r="BR467" s="69"/>
      <c r="BS467" s="69"/>
      <c r="BT467" s="69"/>
      <c r="BU467" s="69"/>
      <c r="BV467" s="69"/>
      <c r="BW467" s="69"/>
      <c r="BX467" s="69"/>
      <c r="BY467" s="69"/>
      <c r="BZ467" s="69"/>
      <c r="CA467" s="69"/>
      <c r="CB467" s="69"/>
      <c r="CC467" s="69"/>
      <c r="CD467" s="69"/>
      <c r="CE467" s="69"/>
      <c r="CF467" s="69"/>
    </row>
    <row r="468">
      <c r="A468" s="69"/>
      <c r="B468" s="71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69"/>
      <c r="BE468" s="69"/>
      <c r="BF468" s="69"/>
      <c r="BG468" s="69"/>
      <c r="BH468" s="69"/>
      <c r="BI468" s="69"/>
      <c r="BJ468" s="69"/>
      <c r="BK468" s="69"/>
      <c r="BL468" s="69"/>
      <c r="BM468" s="69"/>
      <c r="BN468" s="69"/>
      <c r="BO468" s="69"/>
      <c r="BP468" s="69"/>
      <c r="BQ468" s="69"/>
      <c r="BR468" s="69"/>
      <c r="BS468" s="69"/>
      <c r="BT468" s="69"/>
      <c r="BU468" s="69"/>
      <c r="BV468" s="69"/>
      <c r="BW468" s="69"/>
      <c r="BX468" s="69"/>
      <c r="BY468" s="69"/>
      <c r="BZ468" s="69"/>
      <c r="CA468" s="69"/>
      <c r="CB468" s="69"/>
      <c r="CC468" s="69"/>
      <c r="CD468" s="69"/>
      <c r="CE468" s="69"/>
      <c r="CF468" s="69"/>
    </row>
    <row r="469">
      <c r="A469" s="69"/>
      <c r="B469" s="71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69"/>
      <c r="BE469" s="69"/>
      <c r="BF469" s="69"/>
      <c r="BG469" s="69"/>
      <c r="BH469" s="69"/>
      <c r="BI469" s="69"/>
      <c r="BJ469" s="69"/>
      <c r="BK469" s="69"/>
      <c r="BL469" s="69"/>
      <c r="BM469" s="69"/>
      <c r="BN469" s="69"/>
      <c r="BO469" s="69"/>
      <c r="BP469" s="69"/>
      <c r="BQ469" s="69"/>
      <c r="BR469" s="69"/>
      <c r="BS469" s="69"/>
      <c r="BT469" s="69"/>
      <c r="BU469" s="69"/>
      <c r="BV469" s="69"/>
      <c r="BW469" s="69"/>
      <c r="BX469" s="69"/>
      <c r="BY469" s="69"/>
      <c r="BZ469" s="69"/>
      <c r="CA469" s="69"/>
      <c r="CB469" s="69"/>
      <c r="CC469" s="69"/>
      <c r="CD469" s="69"/>
      <c r="CE469" s="69"/>
      <c r="CF469" s="69"/>
    </row>
    <row r="470">
      <c r="A470" s="69"/>
      <c r="B470" s="71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69"/>
      <c r="BE470" s="69"/>
      <c r="BF470" s="69"/>
      <c r="BG470" s="69"/>
      <c r="BH470" s="69"/>
      <c r="BI470" s="69"/>
      <c r="BJ470" s="69"/>
      <c r="BK470" s="69"/>
      <c r="BL470" s="69"/>
      <c r="BM470" s="69"/>
      <c r="BN470" s="69"/>
      <c r="BO470" s="69"/>
      <c r="BP470" s="69"/>
      <c r="BQ470" s="69"/>
      <c r="BR470" s="69"/>
      <c r="BS470" s="69"/>
      <c r="BT470" s="69"/>
      <c r="BU470" s="69"/>
      <c r="BV470" s="69"/>
      <c r="BW470" s="69"/>
      <c r="BX470" s="69"/>
      <c r="BY470" s="69"/>
      <c r="BZ470" s="69"/>
      <c r="CA470" s="69"/>
      <c r="CB470" s="69"/>
      <c r="CC470" s="69"/>
      <c r="CD470" s="69"/>
      <c r="CE470" s="69"/>
      <c r="CF470" s="69"/>
    </row>
    <row r="471">
      <c r="A471" s="69"/>
      <c r="B471" s="71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69"/>
      <c r="BE471" s="69"/>
      <c r="BF471" s="69"/>
      <c r="BG471" s="69"/>
      <c r="BH471" s="69"/>
      <c r="BI471" s="69"/>
      <c r="BJ471" s="69"/>
      <c r="BK471" s="69"/>
      <c r="BL471" s="69"/>
      <c r="BM471" s="69"/>
      <c r="BN471" s="69"/>
      <c r="BO471" s="69"/>
      <c r="BP471" s="69"/>
      <c r="BQ471" s="69"/>
      <c r="BR471" s="69"/>
      <c r="BS471" s="69"/>
      <c r="BT471" s="69"/>
      <c r="BU471" s="69"/>
      <c r="BV471" s="69"/>
      <c r="BW471" s="69"/>
      <c r="BX471" s="69"/>
      <c r="BY471" s="69"/>
      <c r="BZ471" s="69"/>
      <c r="CA471" s="69"/>
      <c r="CB471" s="69"/>
      <c r="CC471" s="69"/>
      <c r="CD471" s="69"/>
      <c r="CE471" s="69"/>
      <c r="CF471" s="69"/>
    </row>
    <row r="472">
      <c r="A472" s="69"/>
      <c r="B472" s="71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69"/>
      <c r="BE472" s="69"/>
      <c r="BF472" s="69"/>
      <c r="BG472" s="69"/>
      <c r="BH472" s="69"/>
      <c r="BI472" s="69"/>
      <c r="BJ472" s="69"/>
      <c r="BK472" s="69"/>
      <c r="BL472" s="69"/>
      <c r="BM472" s="69"/>
      <c r="BN472" s="69"/>
      <c r="BO472" s="69"/>
      <c r="BP472" s="69"/>
      <c r="BQ472" s="69"/>
      <c r="BR472" s="69"/>
      <c r="BS472" s="69"/>
      <c r="BT472" s="69"/>
      <c r="BU472" s="69"/>
      <c r="BV472" s="69"/>
      <c r="BW472" s="69"/>
      <c r="BX472" s="69"/>
      <c r="BY472" s="69"/>
      <c r="BZ472" s="69"/>
      <c r="CA472" s="69"/>
      <c r="CB472" s="69"/>
      <c r="CC472" s="69"/>
      <c r="CD472" s="69"/>
      <c r="CE472" s="69"/>
      <c r="CF472" s="69"/>
    </row>
    <row r="473">
      <c r="A473" s="69"/>
      <c r="B473" s="71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69"/>
      <c r="BE473" s="69"/>
      <c r="BF473" s="69"/>
      <c r="BG473" s="69"/>
      <c r="BH473" s="69"/>
      <c r="BI473" s="69"/>
      <c r="BJ473" s="69"/>
      <c r="BK473" s="69"/>
      <c r="BL473" s="69"/>
      <c r="BM473" s="69"/>
      <c r="BN473" s="69"/>
      <c r="BO473" s="69"/>
      <c r="BP473" s="69"/>
      <c r="BQ473" s="69"/>
      <c r="BR473" s="69"/>
      <c r="BS473" s="69"/>
      <c r="BT473" s="69"/>
      <c r="BU473" s="69"/>
      <c r="BV473" s="69"/>
      <c r="BW473" s="69"/>
      <c r="BX473" s="69"/>
      <c r="BY473" s="69"/>
      <c r="BZ473" s="69"/>
      <c r="CA473" s="69"/>
      <c r="CB473" s="69"/>
      <c r="CC473" s="69"/>
      <c r="CD473" s="69"/>
      <c r="CE473" s="69"/>
      <c r="CF473" s="69"/>
    </row>
    <row r="474">
      <c r="A474" s="69"/>
      <c r="B474" s="71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69"/>
      <c r="BE474" s="69"/>
      <c r="BF474" s="69"/>
      <c r="BG474" s="69"/>
      <c r="BH474" s="69"/>
      <c r="BI474" s="69"/>
      <c r="BJ474" s="69"/>
      <c r="BK474" s="69"/>
      <c r="BL474" s="69"/>
      <c r="BM474" s="69"/>
      <c r="BN474" s="69"/>
      <c r="BO474" s="69"/>
      <c r="BP474" s="69"/>
      <c r="BQ474" s="69"/>
      <c r="BR474" s="69"/>
      <c r="BS474" s="69"/>
      <c r="BT474" s="69"/>
      <c r="BU474" s="69"/>
      <c r="BV474" s="69"/>
      <c r="BW474" s="69"/>
      <c r="BX474" s="69"/>
      <c r="BY474" s="69"/>
      <c r="BZ474" s="69"/>
      <c r="CA474" s="69"/>
      <c r="CB474" s="69"/>
      <c r="CC474" s="69"/>
      <c r="CD474" s="69"/>
      <c r="CE474" s="69"/>
      <c r="CF474" s="69"/>
    </row>
    <row r="475">
      <c r="A475" s="69"/>
      <c r="B475" s="71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69"/>
      <c r="BE475" s="69"/>
      <c r="BF475" s="69"/>
      <c r="BG475" s="69"/>
      <c r="BH475" s="69"/>
      <c r="BI475" s="69"/>
      <c r="BJ475" s="69"/>
      <c r="BK475" s="69"/>
      <c r="BL475" s="69"/>
      <c r="BM475" s="69"/>
      <c r="BN475" s="69"/>
      <c r="BO475" s="69"/>
      <c r="BP475" s="69"/>
      <c r="BQ475" s="69"/>
      <c r="BR475" s="69"/>
      <c r="BS475" s="69"/>
      <c r="BT475" s="69"/>
      <c r="BU475" s="69"/>
      <c r="BV475" s="69"/>
      <c r="BW475" s="69"/>
      <c r="BX475" s="69"/>
      <c r="BY475" s="69"/>
      <c r="BZ475" s="69"/>
      <c r="CA475" s="69"/>
      <c r="CB475" s="69"/>
      <c r="CC475" s="69"/>
      <c r="CD475" s="69"/>
      <c r="CE475" s="69"/>
      <c r="CF475" s="69"/>
    </row>
    <row r="476">
      <c r="A476" s="69"/>
      <c r="B476" s="71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69"/>
      <c r="BE476" s="69"/>
      <c r="BF476" s="69"/>
      <c r="BG476" s="69"/>
      <c r="BH476" s="69"/>
      <c r="BI476" s="69"/>
      <c r="BJ476" s="69"/>
      <c r="BK476" s="69"/>
      <c r="BL476" s="69"/>
      <c r="BM476" s="69"/>
      <c r="BN476" s="69"/>
      <c r="BO476" s="69"/>
      <c r="BP476" s="69"/>
      <c r="BQ476" s="69"/>
      <c r="BR476" s="69"/>
      <c r="BS476" s="69"/>
      <c r="BT476" s="69"/>
      <c r="BU476" s="69"/>
      <c r="BV476" s="69"/>
      <c r="BW476" s="69"/>
      <c r="BX476" s="69"/>
      <c r="BY476" s="69"/>
      <c r="BZ476" s="69"/>
      <c r="CA476" s="69"/>
      <c r="CB476" s="69"/>
      <c r="CC476" s="69"/>
      <c r="CD476" s="69"/>
      <c r="CE476" s="69"/>
      <c r="CF476" s="69"/>
    </row>
    <row r="477">
      <c r="A477" s="69"/>
      <c r="B477" s="71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69"/>
      <c r="BE477" s="69"/>
      <c r="BF477" s="69"/>
      <c r="BG477" s="69"/>
      <c r="BH477" s="69"/>
      <c r="BI477" s="69"/>
      <c r="BJ477" s="69"/>
      <c r="BK477" s="69"/>
      <c r="BL477" s="69"/>
      <c r="BM477" s="69"/>
      <c r="BN477" s="69"/>
      <c r="BO477" s="69"/>
      <c r="BP477" s="69"/>
      <c r="BQ477" s="69"/>
      <c r="BR477" s="69"/>
      <c r="BS477" s="69"/>
      <c r="BT477" s="69"/>
      <c r="BU477" s="69"/>
      <c r="BV477" s="69"/>
      <c r="BW477" s="69"/>
      <c r="BX477" s="69"/>
      <c r="BY477" s="69"/>
      <c r="BZ477" s="69"/>
      <c r="CA477" s="69"/>
      <c r="CB477" s="69"/>
      <c r="CC477" s="69"/>
      <c r="CD477" s="69"/>
      <c r="CE477" s="69"/>
      <c r="CF477" s="69"/>
    </row>
    <row r="478">
      <c r="A478" s="69"/>
      <c r="B478" s="71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69"/>
      <c r="BE478" s="69"/>
      <c r="BF478" s="69"/>
      <c r="BG478" s="69"/>
      <c r="BH478" s="69"/>
      <c r="BI478" s="69"/>
      <c r="BJ478" s="69"/>
      <c r="BK478" s="69"/>
      <c r="BL478" s="69"/>
      <c r="BM478" s="69"/>
      <c r="BN478" s="69"/>
      <c r="BO478" s="69"/>
      <c r="BP478" s="69"/>
      <c r="BQ478" s="69"/>
      <c r="BR478" s="69"/>
      <c r="BS478" s="69"/>
      <c r="BT478" s="69"/>
      <c r="BU478" s="69"/>
      <c r="BV478" s="69"/>
      <c r="BW478" s="69"/>
      <c r="BX478" s="69"/>
      <c r="BY478" s="69"/>
      <c r="BZ478" s="69"/>
      <c r="CA478" s="69"/>
      <c r="CB478" s="69"/>
      <c r="CC478" s="69"/>
      <c r="CD478" s="69"/>
      <c r="CE478" s="69"/>
      <c r="CF478" s="69"/>
    </row>
    <row r="479">
      <c r="A479" s="69"/>
      <c r="B479" s="71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69"/>
      <c r="BE479" s="69"/>
      <c r="BF479" s="69"/>
      <c r="BG479" s="69"/>
      <c r="BH479" s="69"/>
      <c r="BI479" s="69"/>
      <c r="BJ479" s="69"/>
      <c r="BK479" s="69"/>
      <c r="BL479" s="69"/>
      <c r="BM479" s="69"/>
      <c r="BN479" s="69"/>
      <c r="BO479" s="69"/>
      <c r="BP479" s="69"/>
      <c r="BQ479" s="69"/>
      <c r="BR479" s="69"/>
      <c r="BS479" s="69"/>
      <c r="BT479" s="69"/>
      <c r="BU479" s="69"/>
      <c r="BV479" s="69"/>
      <c r="BW479" s="69"/>
      <c r="BX479" s="69"/>
      <c r="BY479" s="69"/>
      <c r="BZ479" s="69"/>
      <c r="CA479" s="69"/>
      <c r="CB479" s="69"/>
      <c r="CC479" s="69"/>
      <c r="CD479" s="69"/>
      <c r="CE479" s="69"/>
      <c r="CF479" s="69"/>
    </row>
    <row r="480">
      <c r="A480" s="69"/>
      <c r="B480" s="71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69"/>
      <c r="BE480" s="69"/>
      <c r="BF480" s="69"/>
      <c r="BG480" s="69"/>
      <c r="BH480" s="69"/>
      <c r="BI480" s="69"/>
      <c r="BJ480" s="69"/>
      <c r="BK480" s="69"/>
      <c r="BL480" s="69"/>
      <c r="BM480" s="69"/>
      <c r="BN480" s="69"/>
      <c r="BO480" s="69"/>
      <c r="BP480" s="69"/>
      <c r="BQ480" s="69"/>
      <c r="BR480" s="69"/>
      <c r="BS480" s="69"/>
      <c r="BT480" s="69"/>
      <c r="BU480" s="69"/>
      <c r="BV480" s="69"/>
      <c r="BW480" s="69"/>
      <c r="BX480" s="69"/>
      <c r="BY480" s="69"/>
      <c r="BZ480" s="69"/>
      <c r="CA480" s="69"/>
      <c r="CB480" s="69"/>
      <c r="CC480" s="69"/>
      <c r="CD480" s="69"/>
      <c r="CE480" s="69"/>
      <c r="CF480" s="69"/>
    </row>
    <row r="481">
      <c r="A481" s="69"/>
      <c r="B481" s="71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69"/>
      <c r="BE481" s="69"/>
      <c r="BF481" s="69"/>
      <c r="BG481" s="69"/>
      <c r="BH481" s="69"/>
      <c r="BI481" s="69"/>
      <c r="BJ481" s="69"/>
      <c r="BK481" s="69"/>
      <c r="BL481" s="69"/>
      <c r="BM481" s="69"/>
      <c r="BN481" s="69"/>
      <c r="BO481" s="69"/>
      <c r="BP481" s="69"/>
      <c r="BQ481" s="69"/>
      <c r="BR481" s="69"/>
      <c r="BS481" s="69"/>
      <c r="BT481" s="69"/>
      <c r="BU481" s="69"/>
      <c r="BV481" s="69"/>
      <c r="BW481" s="69"/>
      <c r="BX481" s="69"/>
      <c r="BY481" s="69"/>
      <c r="BZ481" s="69"/>
      <c r="CA481" s="69"/>
      <c r="CB481" s="69"/>
      <c r="CC481" s="69"/>
      <c r="CD481" s="69"/>
      <c r="CE481" s="69"/>
      <c r="CF481" s="69"/>
    </row>
    <row r="482">
      <c r="A482" s="69"/>
      <c r="B482" s="71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69"/>
      <c r="BE482" s="69"/>
      <c r="BF482" s="69"/>
      <c r="BG482" s="69"/>
      <c r="BH482" s="69"/>
      <c r="BI482" s="69"/>
      <c r="BJ482" s="69"/>
      <c r="BK482" s="69"/>
      <c r="BL482" s="69"/>
      <c r="BM482" s="69"/>
      <c r="BN482" s="69"/>
      <c r="BO482" s="69"/>
      <c r="BP482" s="69"/>
      <c r="BQ482" s="69"/>
      <c r="BR482" s="69"/>
      <c r="BS482" s="69"/>
      <c r="BT482" s="69"/>
      <c r="BU482" s="69"/>
      <c r="BV482" s="69"/>
      <c r="BW482" s="69"/>
      <c r="BX482" s="69"/>
      <c r="BY482" s="69"/>
      <c r="BZ482" s="69"/>
      <c r="CA482" s="69"/>
      <c r="CB482" s="69"/>
      <c r="CC482" s="69"/>
      <c r="CD482" s="69"/>
      <c r="CE482" s="69"/>
      <c r="CF482" s="69"/>
    </row>
    <row r="483">
      <c r="A483" s="69"/>
      <c r="B483" s="71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69"/>
      <c r="BE483" s="69"/>
      <c r="BF483" s="69"/>
      <c r="BG483" s="69"/>
      <c r="BH483" s="69"/>
      <c r="BI483" s="69"/>
      <c r="BJ483" s="69"/>
      <c r="BK483" s="69"/>
      <c r="BL483" s="69"/>
      <c r="BM483" s="69"/>
      <c r="BN483" s="69"/>
      <c r="BO483" s="69"/>
      <c r="BP483" s="69"/>
      <c r="BQ483" s="69"/>
      <c r="BR483" s="69"/>
      <c r="BS483" s="69"/>
      <c r="BT483" s="69"/>
      <c r="BU483" s="69"/>
      <c r="BV483" s="69"/>
      <c r="BW483" s="69"/>
      <c r="BX483" s="69"/>
      <c r="BY483" s="69"/>
      <c r="BZ483" s="69"/>
      <c r="CA483" s="69"/>
      <c r="CB483" s="69"/>
      <c r="CC483" s="69"/>
      <c r="CD483" s="69"/>
      <c r="CE483" s="69"/>
      <c r="CF483" s="69"/>
    </row>
    <row r="484">
      <c r="A484" s="69"/>
      <c r="B484" s="71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69"/>
      <c r="BE484" s="69"/>
      <c r="BF484" s="69"/>
      <c r="BG484" s="69"/>
      <c r="BH484" s="69"/>
      <c r="BI484" s="69"/>
      <c r="BJ484" s="69"/>
      <c r="BK484" s="69"/>
      <c r="BL484" s="69"/>
      <c r="BM484" s="69"/>
      <c r="BN484" s="69"/>
      <c r="BO484" s="69"/>
      <c r="BP484" s="69"/>
      <c r="BQ484" s="69"/>
      <c r="BR484" s="69"/>
      <c r="BS484" s="69"/>
      <c r="BT484" s="69"/>
      <c r="BU484" s="69"/>
      <c r="BV484" s="69"/>
      <c r="BW484" s="69"/>
      <c r="BX484" s="69"/>
      <c r="BY484" s="69"/>
      <c r="BZ484" s="69"/>
      <c r="CA484" s="69"/>
      <c r="CB484" s="69"/>
      <c r="CC484" s="69"/>
      <c r="CD484" s="69"/>
      <c r="CE484" s="69"/>
      <c r="CF484" s="69"/>
    </row>
    <row r="485">
      <c r="A485" s="69"/>
      <c r="B485" s="71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69"/>
      <c r="BE485" s="69"/>
      <c r="BF485" s="69"/>
      <c r="BG485" s="69"/>
      <c r="BH485" s="69"/>
      <c r="BI485" s="69"/>
      <c r="BJ485" s="69"/>
      <c r="BK485" s="69"/>
      <c r="BL485" s="69"/>
      <c r="BM485" s="69"/>
      <c r="BN485" s="69"/>
      <c r="BO485" s="69"/>
      <c r="BP485" s="69"/>
      <c r="BQ485" s="69"/>
      <c r="BR485" s="69"/>
      <c r="BS485" s="69"/>
      <c r="BT485" s="69"/>
      <c r="BU485" s="69"/>
      <c r="BV485" s="69"/>
      <c r="BW485" s="69"/>
      <c r="BX485" s="69"/>
      <c r="BY485" s="69"/>
      <c r="BZ485" s="69"/>
      <c r="CA485" s="69"/>
      <c r="CB485" s="69"/>
      <c r="CC485" s="69"/>
      <c r="CD485" s="69"/>
      <c r="CE485" s="69"/>
      <c r="CF485" s="69"/>
    </row>
    <row r="486">
      <c r="A486" s="69"/>
      <c r="B486" s="71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69"/>
      <c r="BE486" s="69"/>
      <c r="BF486" s="69"/>
      <c r="BG486" s="69"/>
      <c r="BH486" s="69"/>
      <c r="BI486" s="69"/>
      <c r="BJ486" s="69"/>
      <c r="BK486" s="69"/>
      <c r="BL486" s="69"/>
      <c r="BM486" s="69"/>
      <c r="BN486" s="69"/>
      <c r="BO486" s="69"/>
      <c r="BP486" s="69"/>
      <c r="BQ486" s="69"/>
      <c r="BR486" s="69"/>
      <c r="BS486" s="69"/>
      <c r="BT486" s="69"/>
      <c r="BU486" s="69"/>
      <c r="BV486" s="69"/>
      <c r="BW486" s="69"/>
      <c r="BX486" s="69"/>
      <c r="BY486" s="69"/>
      <c r="BZ486" s="69"/>
      <c r="CA486" s="69"/>
      <c r="CB486" s="69"/>
      <c r="CC486" s="69"/>
      <c r="CD486" s="69"/>
      <c r="CE486" s="69"/>
      <c r="CF486" s="69"/>
    </row>
    <row r="487">
      <c r="A487" s="69"/>
      <c r="B487" s="71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69"/>
      <c r="BE487" s="69"/>
      <c r="BF487" s="69"/>
      <c r="BG487" s="69"/>
      <c r="BH487" s="69"/>
      <c r="BI487" s="69"/>
      <c r="BJ487" s="69"/>
      <c r="BK487" s="69"/>
      <c r="BL487" s="69"/>
      <c r="BM487" s="69"/>
      <c r="BN487" s="69"/>
      <c r="BO487" s="69"/>
      <c r="BP487" s="69"/>
      <c r="BQ487" s="69"/>
      <c r="BR487" s="69"/>
      <c r="BS487" s="69"/>
      <c r="BT487" s="69"/>
      <c r="BU487" s="69"/>
      <c r="BV487" s="69"/>
      <c r="BW487" s="69"/>
      <c r="BX487" s="69"/>
      <c r="BY487" s="69"/>
      <c r="BZ487" s="69"/>
      <c r="CA487" s="69"/>
      <c r="CB487" s="69"/>
      <c r="CC487" s="69"/>
      <c r="CD487" s="69"/>
      <c r="CE487" s="69"/>
      <c r="CF487" s="69"/>
    </row>
    <row r="488">
      <c r="A488" s="69"/>
      <c r="B488" s="71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69"/>
      <c r="BE488" s="69"/>
      <c r="BF488" s="69"/>
      <c r="BG488" s="69"/>
      <c r="BH488" s="69"/>
      <c r="BI488" s="69"/>
      <c r="BJ488" s="69"/>
      <c r="BK488" s="69"/>
      <c r="BL488" s="69"/>
      <c r="BM488" s="69"/>
      <c r="BN488" s="69"/>
      <c r="BO488" s="69"/>
      <c r="BP488" s="69"/>
      <c r="BQ488" s="69"/>
      <c r="BR488" s="69"/>
      <c r="BS488" s="69"/>
      <c r="BT488" s="69"/>
      <c r="BU488" s="69"/>
      <c r="BV488" s="69"/>
      <c r="BW488" s="69"/>
      <c r="BX488" s="69"/>
      <c r="BY488" s="69"/>
      <c r="BZ488" s="69"/>
      <c r="CA488" s="69"/>
      <c r="CB488" s="69"/>
      <c r="CC488" s="69"/>
      <c r="CD488" s="69"/>
      <c r="CE488" s="69"/>
      <c r="CF488" s="69"/>
    </row>
    <row r="489">
      <c r="A489" s="69"/>
      <c r="B489" s="71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69"/>
      <c r="BE489" s="69"/>
      <c r="BF489" s="69"/>
      <c r="BG489" s="69"/>
      <c r="BH489" s="69"/>
      <c r="BI489" s="69"/>
      <c r="BJ489" s="69"/>
      <c r="BK489" s="69"/>
      <c r="BL489" s="69"/>
      <c r="BM489" s="69"/>
      <c r="BN489" s="69"/>
      <c r="BO489" s="69"/>
      <c r="BP489" s="69"/>
      <c r="BQ489" s="69"/>
      <c r="BR489" s="69"/>
      <c r="BS489" s="69"/>
      <c r="BT489" s="69"/>
      <c r="BU489" s="69"/>
      <c r="BV489" s="69"/>
      <c r="BW489" s="69"/>
      <c r="BX489" s="69"/>
      <c r="BY489" s="69"/>
      <c r="BZ489" s="69"/>
      <c r="CA489" s="69"/>
      <c r="CB489" s="69"/>
      <c r="CC489" s="69"/>
      <c r="CD489" s="69"/>
      <c r="CE489" s="69"/>
      <c r="CF489" s="69"/>
    </row>
    <row r="490">
      <c r="A490" s="69"/>
      <c r="B490" s="71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69"/>
      <c r="BE490" s="69"/>
      <c r="BF490" s="69"/>
      <c r="BG490" s="69"/>
      <c r="BH490" s="69"/>
      <c r="BI490" s="69"/>
      <c r="BJ490" s="69"/>
      <c r="BK490" s="69"/>
      <c r="BL490" s="69"/>
      <c r="BM490" s="69"/>
      <c r="BN490" s="69"/>
      <c r="BO490" s="69"/>
      <c r="BP490" s="69"/>
      <c r="BQ490" s="69"/>
      <c r="BR490" s="69"/>
      <c r="BS490" s="69"/>
      <c r="BT490" s="69"/>
      <c r="BU490" s="69"/>
      <c r="BV490" s="69"/>
      <c r="BW490" s="69"/>
      <c r="BX490" s="69"/>
      <c r="BY490" s="69"/>
      <c r="BZ490" s="69"/>
      <c r="CA490" s="69"/>
      <c r="CB490" s="69"/>
      <c r="CC490" s="69"/>
      <c r="CD490" s="69"/>
      <c r="CE490" s="69"/>
      <c r="CF490" s="69"/>
    </row>
    <row r="491">
      <c r="A491" s="69"/>
      <c r="B491" s="71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69"/>
      <c r="BE491" s="69"/>
      <c r="BF491" s="69"/>
      <c r="BG491" s="69"/>
      <c r="BH491" s="69"/>
      <c r="BI491" s="69"/>
      <c r="BJ491" s="69"/>
      <c r="BK491" s="69"/>
      <c r="BL491" s="69"/>
      <c r="BM491" s="69"/>
      <c r="BN491" s="69"/>
      <c r="BO491" s="69"/>
      <c r="BP491" s="69"/>
      <c r="BQ491" s="69"/>
      <c r="BR491" s="69"/>
      <c r="BS491" s="69"/>
      <c r="BT491" s="69"/>
      <c r="BU491" s="69"/>
      <c r="BV491" s="69"/>
      <c r="BW491" s="69"/>
      <c r="BX491" s="69"/>
      <c r="BY491" s="69"/>
      <c r="BZ491" s="69"/>
      <c r="CA491" s="69"/>
      <c r="CB491" s="69"/>
      <c r="CC491" s="69"/>
      <c r="CD491" s="69"/>
      <c r="CE491" s="69"/>
      <c r="CF491" s="69"/>
    </row>
    <row r="492">
      <c r="A492" s="69"/>
      <c r="B492" s="71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69"/>
      <c r="BE492" s="69"/>
      <c r="BF492" s="69"/>
      <c r="BG492" s="69"/>
      <c r="BH492" s="69"/>
      <c r="BI492" s="69"/>
      <c r="BJ492" s="69"/>
      <c r="BK492" s="69"/>
      <c r="BL492" s="69"/>
      <c r="BM492" s="69"/>
      <c r="BN492" s="69"/>
      <c r="BO492" s="69"/>
      <c r="BP492" s="69"/>
      <c r="BQ492" s="69"/>
      <c r="BR492" s="69"/>
      <c r="BS492" s="69"/>
      <c r="BT492" s="69"/>
      <c r="BU492" s="69"/>
      <c r="BV492" s="69"/>
      <c r="BW492" s="69"/>
      <c r="BX492" s="69"/>
      <c r="BY492" s="69"/>
      <c r="BZ492" s="69"/>
      <c r="CA492" s="69"/>
      <c r="CB492" s="69"/>
      <c r="CC492" s="69"/>
      <c r="CD492" s="69"/>
      <c r="CE492" s="69"/>
      <c r="CF492" s="69"/>
    </row>
    <row r="493">
      <c r="A493" s="69"/>
      <c r="B493" s="71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69"/>
      <c r="BE493" s="69"/>
      <c r="BF493" s="69"/>
      <c r="BG493" s="69"/>
      <c r="BH493" s="69"/>
      <c r="BI493" s="69"/>
      <c r="BJ493" s="69"/>
      <c r="BK493" s="69"/>
      <c r="BL493" s="69"/>
      <c r="BM493" s="69"/>
      <c r="BN493" s="69"/>
      <c r="BO493" s="69"/>
      <c r="BP493" s="69"/>
      <c r="BQ493" s="69"/>
      <c r="BR493" s="69"/>
      <c r="BS493" s="69"/>
      <c r="BT493" s="69"/>
      <c r="BU493" s="69"/>
      <c r="BV493" s="69"/>
      <c r="BW493" s="69"/>
      <c r="BX493" s="69"/>
      <c r="BY493" s="69"/>
      <c r="BZ493" s="69"/>
      <c r="CA493" s="69"/>
      <c r="CB493" s="69"/>
      <c r="CC493" s="69"/>
      <c r="CD493" s="69"/>
      <c r="CE493" s="69"/>
      <c r="CF493" s="69"/>
    </row>
    <row r="494">
      <c r="A494" s="69"/>
      <c r="B494" s="71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69"/>
      <c r="BE494" s="69"/>
      <c r="BF494" s="69"/>
      <c r="BG494" s="69"/>
      <c r="BH494" s="69"/>
      <c r="BI494" s="69"/>
      <c r="BJ494" s="69"/>
      <c r="BK494" s="69"/>
      <c r="BL494" s="69"/>
      <c r="BM494" s="69"/>
      <c r="BN494" s="69"/>
      <c r="BO494" s="69"/>
      <c r="BP494" s="69"/>
      <c r="BQ494" s="69"/>
      <c r="BR494" s="69"/>
      <c r="BS494" s="69"/>
      <c r="BT494" s="69"/>
      <c r="BU494" s="69"/>
      <c r="BV494" s="69"/>
      <c r="BW494" s="69"/>
      <c r="BX494" s="69"/>
      <c r="BY494" s="69"/>
      <c r="BZ494" s="69"/>
      <c r="CA494" s="69"/>
      <c r="CB494" s="69"/>
      <c r="CC494" s="69"/>
      <c r="CD494" s="69"/>
      <c r="CE494" s="69"/>
      <c r="CF494" s="69"/>
    </row>
    <row r="495">
      <c r="A495" s="69"/>
      <c r="B495" s="71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69"/>
      <c r="BE495" s="69"/>
      <c r="BF495" s="69"/>
      <c r="BG495" s="69"/>
      <c r="BH495" s="69"/>
      <c r="BI495" s="69"/>
      <c r="BJ495" s="69"/>
      <c r="BK495" s="69"/>
      <c r="BL495" s="69"/>
      <c r="BM495" s="69"/>
      <c r="BN495" s="69"/>
      <c r="BO495" s="69"/>
      <c r="BP495" s="69"/>
      <c r="BQ495" s="69"/>
      <c r="BR495" s="69"/>
      <c r="BS495" s="69"/>
      <c r="BT495" s="69"/>
      <c r="BU495" s="69"/>
      <c r="BV495" s="69"/>
      <c r="BW495" s="69"/>
      <c r="BX495" s="69"/>
      <c r="BY495" s="69"/>
      <c r="BZ495" s="69"/>
      <c r="CA495" s="69"/>
      <c r="CB495" s="69"/>
      <c r="CC495" s="69"/>
      <c r="CD495" s="69"/>
      <c r="CE495" s="69"/>
      <c r="CF495" s="69"/>
    </row>
    <row r="496">
      <c r="A496" s="69"/>
      <c r="B496" s="71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69"/>
      <c r="BE496" s="69"/>
      <c r="BF496" s="69"/>
      <c r="BG496" s="69"/>
      <c r="BH496" s="69"/>
      <c r="BI496" s="69"/>
      <c r="BJ496" s="69"/>
      <c r="BK496" s="69"/>
      <c r="BL496" s="69"/>
      <c r="BM496" s="69"/>
      <c r="BN496" s="69"/>
      <c r="BO496" s="69"/>
      <c r="BP496" s="69"/>
      <c r="BQ496" s="69"/>
      <c r="BR496" s="69"/>
      <c r="BS496" s="69"/>
      <c r="BT496" s="69"/>
      <c r="BU496" s="69"/>
      <c r="BV496" s="69"/>
      <c r="BW496" s="69"/>
      <c r="BX496" s="69"/>
      <c r="BY496" s="69"/>
      <c r="BZ496" s="69"/>
      <c r="CA496" s="69"/>
      <c r="CB496" s="69"/>
      <c r="CC496" s="69"/>
      <c r="CD496" s="69"/>
      <c r="CE496" s="69"/>
      <c r="CF496" s="69"/>
    </row>
    <row r="497">
      <c r="A497" s="69"/>
      <c r="B497" s="71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69"/>
      <c r="BE497" s="69"/>
      <c r="BF497" s="69"/>
      <c r="BG497" s="69"/>
      <c r="BH497" s="69"/>
      <c r="BI497" s="69"/>
      <c r="BJ497" s="69"/>
      <c r="BK497" s="69"/>
      <c r="BL497" s="69"/>
      <c r="BM497" s="69"/>
      <c r="BN497" s="69"/>
      <c r="BO497" s="69"/>
      <c r="BP497" s="69"/>
      <c r="BQ497" s="69"/>
      <c r="BR497" s="69"/>
      <c r="BS497" s="69"/>
      <c r="BT497" s="69"/>
      <c r="BU497" s="69"/>
      <c r="BV497" s="69"/>
      <c r="BW497" s="69"/>
      <c r="BX497" s="69"/>
      <c r="BY497" s="69"/>
      <c r="BZ497" s="69"/>
      <c r="CA497" s="69"/>
      <c r="CB497" s="69"/>
      <c r="CC497" s="69"/>
      <c r="CD497" s="69"/>
      <c r="CE497" s="69"/>
      <c r="CF497" s="69"/>
    </row>
    <row r="498">
      <c r="A498" s="69"/>
      <c r="B498" s="71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69"/>
      <c r="BE498" s="69"/>
      <c r="BF498" s="69"/>
      <c r="BG498" s="69"/>
      <c r="BH498" s="69"/>
      <c r="BI498" s="69"/>
      <c r="BJ498" s="69"/>
      <c r="BK498" s="69"/>
      <c r="BL498" s="69"/>
      <c r="BM498" s="69"/>
      <c r="BN498" s="69"/>
      <c r="BO498" s="69"/>
      <c r="BP498" s="69"/>
      <c r="BQ498" s="69"/>
      <c r="BR498" s="69"/>
      <c r="BS498" s="69"/>
      <c r="BT498" s="69"/>
      <c r="BU498" s="69"/>
      <c r="BV498" s="69"/>
      <c r="BW498" s="69"/>
      <c r="BX498" s="69"/>
      <c r="BY498" s="69"/>
      <c r="BZ498" s="69"/>
      <c r="CA498" s="69"/>
      <c r="CB498" s="69"/>
      <c r="CC498" s="69"/>
      <c r="CD498" s="69"/>
      <c r="CE498" s="69"/>
      <c r="CF498" s="69"/>
    </row>
    <row r="499">
      <c r="A499" s="69"/>
      <c r="B499" s="71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69"/>
      <c r="BE499" s="69"/>
      <c r="BF499" s="69"/>
      <c r="BG499" s="69"/>
      <c r="BH499" s="69"/>
      <c r="BI499" s="69"/>
      <c r="BJ499" s="69"/>
      <c r="BK499" s="69"/>
      <c r="BL499" s="69"/>
      <c r="BM499" s="69"/>
      <c r="BN499" s="69"/>
      <c r="BO499" s="69"/>
      <c r="BP499" s="69"/>
      <c r="BQ499" s="69"/>
      <c r="BR499" s="69"/>
      <c r="BS499" s="69"/>
      <c r="BT499" s="69"/>
      <c r="BU499" s="69"/>
      <c r="BV499" s="69"/>
      <c r="BW499" s="69"/>
      <c r="BX499" s="69"/>
      <c r="BY499" s="69"/>
      <c r="BZ499" s="69"/>
      <c r="CA499" s="69"/>
      <c r="CB499" s="69"/>
      <c r="CC499" s="69"/>
      <c r="CD499" s="69"/>
      <c r="CE499" s="69"/>
      <c r="CF499" s="69"/>
    </row>
    <row r="500">
      <c r="A500" s="69"/>
      <c r="B500" s="71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69"/>
      <c r="BE500" s="69"/>
      <c r="BF500" s="69"/>
      <c r="BG500" s="69"/>
      <c r="BH500" s="69"/>
      <c r="BI500" s="69"/>
      <c r="BJ500" s="69"/>
      <c r="BK500" s="69"/>
      <c r="BL500" s="69"/>
      <c r="BM500" s="69"/>
      <c r="BN500" s="69"/>
      <c r="BO500" s="69"/>
      <c r="BP500" s="69"/>
      <c r="BQ500" s="69"/>
      <c r="BR500" s="69"/>
      <c r="BS500" s="69"/>
      <c r="BT500" s="69"/>
      <c r="BU500" s="69"/>
      <c r="BV500" s="69"/>
      <c r="BW500" s="69"/>
      <c r="BX500" s="69"/>
      <c r="BY500" s="69"/>
      <c r="BZ500" s="69"/>
      <c r="CA500" s="69"/>
      <c r="CB500" s="69"/>
      <c r="CC500" s="69"/>
      <c r="CD500" s="69"/>
      <c r="CE500" s="69"/>
      <c r="CF500" s="69"/>
    </row>
    <row r="501">
      <c r="A501" s="69"/>
      <c r="B501" s="71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69"/>
      <c r="BE501" s="69"/>
      <c r="BF501" s="69"/>
      <c r="BG501" s="69"/>
      <c r="BH501" s="69"/>
      <c r="BI501" s="69"/>
      <c r="BJ501" s="69"/>
      <c r="BK501" s="69"/>
      <c r="BL501" s="69"/>
      <c r="BM501" s="69"/>
      <c r="BN501" s="69"/>
      <c r="BO501" s="69"/>
      <c r="BP501" s="69"/>
      <c r="BQ501" s="69"/>
      <c r="BR501" s="69"/>
      <c r="BS501" s="69"/>
      <c r="BT501" s="69"/>
      <c r="BU501" s="69"/>
      <c r="BV501" s="69"/>
      <c r="BW501" s="69"/>
      <c r="BX501" s="69"/>
      <c r="BY501" s="69"/>
      <c r="BZ501" s="69"/>
      <c r="CA501" s="69"/>
      <c r="CB501" s="69"/>
      <c r="CC501" s="69"/>
      <c r="CD501" s="69"/>
      <c r="CE501" s="69"/>
      <c r="CF501" s="69"/>
    </row>
    <row r="502">
      <c r="A502" s="69"/>
      <c r="B502" s="71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69"/>
      <c r="BE502" s="69"/>
      <c r="BF502" s="69"/>
      <c r="BG502" s="69"/>
      <c r="BH502" s="69"/>
      <c r="BI502" s="69"/>
      <c r="BJ502" s="69"/>
      <c r="BK502" s="69"/>
      <c r="BL502" s="69"/>
      <c r="BM502" s="69"/>
      <c r="BN502" s="69"/>
      <c r="BO502" s="69"/>
      <c r="BP502" s="69"/>
      <c r="BQ502" s="69"/>
      <c r="BR502" s="69"/>
      <c r="BS502" s="69"/>
      <c r="BT502" s="69"/>
      <c r="BU502" s="69"/>
      <c r="BV502" s="69"/>
      <c r="BW502" s="69"/>
      <c r="BX502" s="69"/>
      <c r="BY502" s="69"/>
      <c r="BZ502" s="69"/>
      <c r="CA502" s="69"/>
      <c r="CB502" s="69"/>
      <c r="CC502" s="69"/>
      <c r="CD502" s="69"/>
      <c r="CE502" s="69"/>
      <c r="CF502" s="69"/>
    </row>
    <row r="503">
      <c r="A503" s="69"/>
      <c r="B503" s="71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69"/>
      <c r="BE503" s="69"/>
      <c r="BF503" s="69"/>
      <c r="BG503" s="69"/>
      <c r="BH503" s="69"/>
      <c r="BI503" s="69"/>
      <c r="BJ503" s="69"/>
      <c r="BK503" s="69"/>
      <c r="BL503" s="69"/>
      <c r="BM503" s="69"/>
      <c r="BN503" s="69"/>
      <c r="BO503" s="69"/>
      <c r="BP503" s="69"/>
      <c r="BQ503" s="69"/>
      <c r="BR503" s="69"/>
      <c r="BS503" s="69"/>
      <c r="BT503" s="69"/>
      <c r="BU503" s="69"/>
      <c r="BV503" s="69"/>
      <c r="BW503" s="69"/>
      <c r="BX503" s="69"/>
      <c r="BY503" s="69"/>
      <c r="BZ503" s="69"/>
      <c r="CA503" s="69"/>
      <c r="CB503" s="69"/>
      <c r="CC503" s="69"/>
      <c r="CD503" s="69"/>
      <c r="CE503" s="69"/>
      <c r="CF503" s="69"/>
    </row>
    <row r="504">
      <c r="A504" s="69"/>
      <c r="B504" s="71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69"/>
      <c r="BE504" s="69"/>
      <c r="BF504" s="69"/>
      <c r="BG504" s="69"/>
      <c r="BH504" s="69"/>
      <c r="BI504" s="69"/>
      <c r="BJ504" s="69"/>
      <c r="BK504" s="69"/>
      <c r="BL504" s="69"/>
      <c r="BM504" s="69"/>
      <c r="BN504" s="69"/>
      <c r="BO504" s="69"/>
      <c r="BP504" s="69"/>
      <c r="BQ504" s="69"/>
      <c r="BR504" s="69"/>
      <c r="BS504" s="69"/>
      <c r="BT504" s="69"/>
      <c r="BU504" s="69"/>
      <c r="BV504" s="69"/>
      <c r="BW504" s="69"/>
      <c r="BX504" s="69"/>
      <c r="BY504" s="69"/>
      <c r="BZ504" s="69"/>
      <c r="CA504" s="69"/>
      <c r="CB504" s="69"/>
      <c r="CC504" s="69"/>
      <c r="CD504" s="69"/>
      <c r="CE504" s="69"/>
      <c r="CF504" s="69"/>
    </row>
    <row r="505">
      <c r="A505" s="69"/>
      <c r="B505" s="71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69"/>
      <c r="BE505" s="69"/>
      <c r="BF505" s="69"/>
      <c r="BG505" s="69"/>
      <c r="BH505" s="69"/>
      <c r="BI505" s="69"/>
      <c r="BJ505" s="69"/>
      <c r="BK505" s="69"/>
      <c r="BL505" s="69"/>
      <c r="BM505" s="69"/>
      <c r="BN505" s="69"/>
      <c r="BO505" s="69"/>
      <c r="BP505" s="69"/>
      <c r="BQ505" s="69"/>
      <c r="BR505" s="69"/>
      <c r="BS505" s="69"/>
      <c r="BT505" s="69"/>
      <c r="BU505" s="69"/>
      <c r="BV505" s="69"/>
      <c r="BW505" s="69"/>
      <c r="BX505" s="69"/>
      <c r="BY505" s="69"/>
      <c r="BZ505" s="69"/>
      <c r="CA505" s="69"/>
      <c r="CB505" s="69"/>
      <c r="CC505" s="69"/>
      <c r="CD505" s="69"/>
      <c r="CE505" s="69"/>
      <c r="CF505" s="69"/>
    </row>
    <row r="506">
      <c r="A506" s="69"/>
      <c r="B506" s="71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69"/>
      <c r="BE506" s="69"/>
      <c r="BF506" s="69"/>
      <c r="BG506" s="69"/>
      <c r="BH506" s="69"/>
      <c r="BI506" s="69"/>
      <c r="BJ506" s="69"/>
      <c r="BK506" s="69"/>
      <c r="BL506" s="69"/>
      <c r="BM506" s="69"/>
      <c r="BN506" s="69"/>
      <c r="BO506" s="69"/>
      <c r="BP506" s="69"/>
      <c r="BQ506" s="69"/>
      <c r="BR506" s="69"/>
      <c r="BS506" s="69"/>
      <c r="BT506" s="69"/>
      <c r="BU506" s="69"/>
      <c r="BV506" s="69"/>
      <c r="BW506" s="69"/>
      <c r="BX506" s="69"/>
      <c r="BY506" s="69"/>
      <c r="BZ506" s="69"/>
      <c r="CA506" s="69"/>
      <c r="CB506" s="69"/>
      <c r="CC506" s="69"/>
      <c r="CD506" s="69"/>
      <c r="CE506" s="69"/>
      <c r="CF506" s="69"/>
    </row>
    <row r="507">
      <c r="A507" s="69"/>
      <c r="B507" s="71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69"/>
      <c r="BE507" s="69"/>
      <c r="BF507" s="69"/>
      <c r="BG507" s="69"/>
      <c r="BH507" s="69"/>
      <c r="BI507" s="69"/>
      <c r="BJ507" s="69"/>
      <c r="BK507" s="69"/>
      <c r="BL507" s="69"/>
      <c r="BM507" s="69"/>
      <c r="BN507" s="69"/>
      <c r="BO507" s="69"/>
      <c r="BP507" s="69"/>
      <c r="BQ507" s="69"/>
      <c r="BR507" s="69"/>
      <c r="BS507" s="69"/>
      <c r="BT507" s="69"/>
      <c r="BU507" s="69"/>
      <c r="BV507" s="69"/>
      <c r="BW507" s="69"/>
      <c r="BX507" s="69"/>
      <c r="BY507" s="69"/>
      <c r="BZ507" s="69"/>
      <c r="CA507" s="69"/>
      <c r="CB507" s="69"/>
      <c r="CC507" s="69"/>
      <c r="CD507" s="69"/>
      <c r="CE507" s="69"/>
      <c r="CF507" s="69"/>
    </row>
    <row r="508">
      <c r="A508" s="69"/>
      <c r="B508" s="71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69"/>
      <c r="BE508" s="69"/>
      <c r="BF508" s="69"/>
      <c r="BG508" s="69"/>
      <c r="BH508" s="69"/>
      <c r="BI508" s="69"/>
      <c r="BJ508" s="69"/>
      <c r="BK508" s="69"/>
      <c r="BL508" s="69"/>
      <c r="BM508" s="69"/>
      <c r="BN508" s="69"/>
      <c r="BO508" s="69"/>
      <c r="BP508" s="69"/>
      <c r="BQ508" s="69"/>
      <c r="BR508" s="69"/>
      <c r="BS508" s="69"/>
      <c r="BT508" s="69"/>
      <c r="BU508" s="69"/>
      <c r="BV508" s="69"/>
      <c r="BW508" s="69"/>
      <c r="BX508" s="69"/>
      <c r="BY508" s="69"/>
      <c r="BZ508" s="69"/>
      <c r="CA508" s="69"/>
      <c r="CB508" s="69"/>
      <c r="CC508" s="69"/>
      <c r="CD508" s="69"/>
      <c r="CE508" s="69"/>
      <c r="CF508" s="69"/>
    </row>
    <row r="509">
      <c r="A509" s="69"/>
      <c r="B509" s="71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69"/>
      <c r="BE509" s="69"/>
      <c r="BF509" s="69"/>
      <c r="BG509" s="69"/>
      <c r="BH509" s="69"/>
      <c r="BI509" s="69"/>
      <c r="BJ509" s="69"/>
      <c r="BK509" s="69"/>
      <c r="BL509" s="69"/>
      <c r="BM509" s="69"/>
      <c r="BN509" s="69"/>
      <c r="BO509" s="69"/>
      <c r="BP509" s="69"/>
      <c r="BQ509" s="69"/>
      <c r="BR509" s="69"/>
      <c r="BS509" s="69"/>
      <c r="BT509" s="69"/>
      <c r="BU509" s="69"/>
      <c r="BV509" s="69"/>
      <c r="BW509" s="69"/>
      <c r="BX509" s="69"/>
      <c r="BY509" s="69"/>
      <c r="BZ509" s="69"/>
      <c r="CA509" s="69"/>
      <c r="CB509" s="69"/>
      <c r="CC509" s="69"/>
      <c r="CD509" s="69"/>
      <c r="CE509" s="69"/>
      <c r="CF509" s="69"/>
    </row>
    <row r="510">
      <c r="A510" s="69"/>
      <c r="B510" s="71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69"/>
      <c r="BE510" s="69"/>
      <c r="BF510" s="69"/>
      <c r="BG510" s="69"/>
      <c r="BH510" s="69"/>
      <c r="BI510" s="69"/>
      <c r="BJ510" s="69"/>
      <c r="BK510" s="69"/>
      <c r="BL510" s="69"/>
      <c r="BM510" s="69"/>
      <c r="BN510" s="69"/>
      <c r="BO510" s="69"/>
      <c r="BP510" s="69"/>
      <c r="BQ510" s="69"/>
      <c r="BR510" s="69"/>
      <c r="BS510" s="69"/>
      <c r="BT510" s="69"/>
      <c r="BU510" s="69"/>
      <c r="BV510" s="69"/>
      <c r="BW510" s="69"/>
      <c r="BX510" s="69"/>
      <c r="BY510" s="69"/>
      <c r="BZ510" s="69"/>
      <c r="CA510" s="69"/>
      <c r="CB510" s="69"/>
      <c r="CC510" s="69"/>
      <c r="CD510" s="69"/>
      <c r="CE510" s="69"/>
      <c r="CF510" s="69"/>
    </row>
    <row r="511">
      <c r="A511" s="69"/>
      <c r="B511" s="71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69"/>
      <c r="BE511" s="69"/>
      <c r="BF511" s="69"/>
      <c r="BG511" s="69"/>
      <c r="BH511" s="69"/>
      <c r="BI511" s="69"/>
      <c r="BJ511" s="69"/>
      <c r="BK511" s="69"/>
      <c r="BL511" s="69"/>
      <c r="BM511" s="69"/>
      <c r="BN511" s="69"/>
      <c r="BO511" s="69"/>
      <c r="BP511" s="69"/>
      <c r="BQ511" s="69"/>
      <c r="BR511" s="69"/>
      <c r="BS511" s="69"/>
      <c r="BT511" s="69"/>
      <c r="BU511" s="69"/>
      <c r="BV511" s="69"/>
      <c r="BW511" s="69"/>
      <c r="BX511" s="69"/>
      <c r="BY511" s="69"/>
      <c r="BZ511" s="69"/>
      <c r="CA511" s="69"/>
      <c r="CB511" s="69"/>
      <c r="CC511" s="69"/>
      <c r="CD511" s="69"/>
      <c r="CE511" s="69"/>
      <c r="CF511" s="69"/>
    </row>
    <row r="512">
      <c r="A512" s="69"/>
      <c r="B512" s="71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69"/>
      <c r="BE512" s="69"/>
      <c r="BF512" s="69"/>
      <c r="BG512" s="69"/>
      <c r="BH512" s="69"/>
      <c r="BI512" s="69"/>
      <c r="BJ512" s="69"/>
      <c r="BK512" s="69"/>
      <c r="BL512" s="69"/>
      <c r="BM512" s="69"/>
      <c r="BN512" s="69"/>
      <c r="BO512" s="69"/>
      <c r="BP512" s="69"/>
      <c r="BQ512" s="69"/>
      <c r="BR512" s="69"/>
      <c r="BS512" s="69"/>
      <c r="BT512" s="69"/>
      <c r="BU512" s="69"/>
      <c r="BV512" s="69"/>
      <c r="BW512" s="69"/>
      <c r="BX512" s="69"/>
      <c r="BY512" s="69"/>
      <c r="BZ512" s="69"/>
      <c r="CA512" s="69"/>
      <c r="CB512" s="69"/>
      <c r="CC512" s="69"/>
      <c r="CD512" s="69"/>
      <c r="CE512" s="69"/>
      <c r="CF512" s="69"/>
    </row>
    <row r="513">
      <c r="A513" s="69"/>
      <c r="B513" s="71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69"/>
      <c r="BE513" s="69"/>
      <c r="BF513" s="69"/>
      <c r="BG513" s="69"/>
      <c r="BH513" s="69"/>
      <c r="BI513" s="69"/>
      <c r="BJ513" s="69"/>
      <c r="BK513" s="69"/>
      <c r="BL513" s="69"/>
      <c r="BM513" s="69"/>
      <c r="BN513" s="69"/>
      <c r="BO513" s="69"/>
      <c r="BP513" s="69"/>
      <c r="BQ513" s="69"/>
      <c r="BR513" s="69"/>
      <c r="BS513" s="69"/>
      <c r="BT513" s="69"/>
      <c r="BU513" s="69"/>
      <c r="BV513" s="69"/>
      <c r="BW513" s="69"/>
      <c r="BX513" s="69"/>
      <c r="BY513" s="69"/>
      <c r="BZ513" s="69"/>
      <c r="CA513" s="69"/>
      <c r="CB513" s="69"/>
      <c r="CC513" s="69"/>
      <c r="CD513" s="69"/>
      <c r="CE513" s="69"/>
      <c r="CF513" s="69"/>
    </row>
    <row r="514">
      <c r="A514" s="69"/>
      <c r="B514" s="71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69"/>
      <c r="BE514" s="69"/>
      <c r="BF514" s="69"/>
      <c r="BG514" s="69"/>
      <c r="BH514" s="69"/>
      <c r="BI514" s="69"/>
      <c r="BJ514" s="69"/>
      <c r="BK514" s="69"/>
      <c r="BL514" s="69"/>
      <c r="BM514" s="69"/>
      <c r="BN514" s="69"/>
      <c r="BO514" s="69"/>
      <c r="BP514" s="69"/>
      <c r="BQ514" s="69"/>
      <c r="BR514" s="69"/>
      <c r="BS514" s="69"/>
      <c r="BT514" s="69"/>
      <c r="BU514" s="69"/>
      <c r="BV514" s="69"/>
      <c r="BW514" s="69"/>
      <c r="BX514" s="69"/>
      <c r="BY514" s="69"/>
      <c r="BZ514" s="69"/>
      <c r="CA514" s="69"/>
      <c r="CB514" s="69"/>
      <c r="CC514" s="69"/>
      <c r="CD514" s="69"/>
      <c r="CE514" s="69"/>
      <c r="CF514" s="69"/>
    </row>
    <row r="515">
      <c r="A515" s="69"/>
      <c r="B515" s="71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69"/>
      <c r="BE515" s="69"/>
      <c r="BF515" s="69"/>
      <c r="BG515" s="69"/>
      <c r="BH515" s="69"/>
      <c r="BI515" s="69"/>
      <c r="BJ515" s="69"/>
      <c r="BK515" s="69"/>
      <c r="BL515" s="69"/>
      <c r="BM515" s="69"/>
      <c r="BN515" s="69"/>
      <c r="BO515" s="69"/>
      <c r="BP515" s="69"/>
      <c r="BQ515" s="69"/>
      <c r="BR515" s="69"/>
      <c r="BS515" s="69"/>
      <c r="BT515" s="69"/>
      <c r="BU515" s="69"/>
      <c r="BV515" s="69"/>
      <c r="BW515" s="69"/>
      <c r="BX515" s="69"/>
      <c r="BY515" s="69"/>
      <c r="BZ515" s="69"/>
      <c r="CA515" s="69"/>
      <c r="CB515" s="69"/>
      <c r="CC515" s="69"/>
      <c r="CD515" s="69"/>
      <c r="CE515" s="69"/>
      <c r="CF515" s="69"/>
    </row>
    <row r="516">
      <c r="A516" s="69"/>
      <c r="B516" s="71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69"/>
      <c r="BE516" s="69"/>
      <c r="BF516" s="69"/>
      <c r="BG516" s="69"/>
      <c r="BH516" s="69"/>
      <c r="BI516" s="69"/>
      <c r="BJ516" s="69"/>
      <c r="BK516" s="69"/>
      <c r="BL516" s="69"/>
      <c r="BM516" s="69"/>
      <c r="BN516" s="69"/>
      <c r="BO516" s="69"/>
      <c r="BP516" s="69"/>
      <c r="BQ516" s="69"/>
      <c r="BR516" s="69"/>
      <c r="BS516" s="69"/>
      <c r="BT516" s="69"/>
      <c r="BU516" s="69"/>
      <c r="BV516" s="69"/>
      <c r="BW516" s="69"/>
      <c r="BX516" s="69"/>
      <c r="BY516" s="69"/>
      <c r="BZ516" s="69"/>
      <c r="CA516" s="69"/>
      <c r="CB516" s="69"/>
      <c r="CC516" s="69"/>
      <c r="CD516" s="69"/>
      <c r="CE516" s="69"/>
      <c r="CF516" s="69"/>
    </row>
    <row r="517">
      <c r="A517" s="69"/>
      <c r="B517" s="71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69"/>
      <c r="BE517" s="69"/>
      <c r="BF517" s="69"/>
      <c r="BG517" s="69"/>
      <c r="BH517" s="69"/>
      <c r="BI517" s="69"/>
      <c r="BJ517" s="69"/>
      <c r="BK517" s="69"/>
      <c r="BL517" s="69"/>
      <c r="BM517" s="69"/>
      <c r="BN517" s="69"/>
      <c r="BO517" s="69"/>
      <c r="BP517" s="69"/>
      <c r="BQ517" s="69"/>
      <c r="BR517" s="69"/>
      <c r="BS517" s="69"/>
      <c r="BT517" s="69"/>
      <c r="BU517" s="69"/>
      <c r="BV517" s="69"/>
      <c r="BW517" s="69"/>
      <c r="BX517" s="69"/>
      <c r="BY517" s="69"/>
      <c r="BZ517" s="69"/>
      <c r="CA517" s="69"/>
      <c r="CB517" s="69"/>
      <c r="CC517" s="69"/>
      <c r="CD517" s="69"/>
      <c r="CE517" s="69"/>
      <c r="CF517" s="69"/>
    </row>
    <row r="518">
      <c r="A518" s="69"/>
      <c r="B518" s="71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69"/>
      <c r="BE518" s="69"/>
      <c r="BF518" s="69"/>
      <c r="BG518" s="69"/>
      <c r="BH518" s="69"/>
      <c r="BI518" s="69"/>
      <c r="BJ518" s="69"/>
      <c r="BK518" s="69"/>
      <c r="BL518" s="69"/>
      <c r="BM518" s="69"/>
      <c r="BN518" s="69"/>
      <c r="BO518" s="69"/>
      <c r="BP518" s="69"/>
      <c r="BQ518" s="69"/>
      <c r="BR518" s="69"/>
      <c r="BS518" s="69"/>
      <c r="BT518" s="69"/>
      <c r="BU518" s="69"/>
      <c r="BV518" s="69"/>
      <c r="BW518" s="69"/>
      <c r="BX518" s="69"/>
      <c r="BY518" s="69"/>
      <c r="BZ518" s="69"/>
      <c r="CA518" s="69"/>
      <c r="CB518" s="69"/>
      <c r="CC518" s="69"/>
      <c r="CD518" s="69"/>
      <c r="CE518" s="69"/>
      <c r="CF518" s="69"/>
    </row>
    <row r="519">
      <c r="A519" s="69"/>
      <c r="B519" s="71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69"/>
      <c r="BE519" s="69"/>
      <c r="BF519" s="69"/>
      <c r="BG519" s="69"/>
      <c r="BH519" s="69"/>
      <c r="BI519" s="69"/>
      <c r="BJ519" s="69"/>
      <c r="BK519" s="69"/>
      <c r="BL519" s="69"/>
      <c r="BM519" s="69"/>
      <c r="BN519" s="69"/>
      <c r="BO519" s="69"/>
      <c r="BP519" s="69"/>
      <c r="BQ519" s="69"/>
      <c r="BR519" s="69"/>
      <c r="BS519" s="69"/>
      <c r="BT519" s="69"/>
      <c r="BU519" s="69"/>
      <c r="BV519" s="69"/>
      <c r="BW519" s="69"/>
      <c r="BX519" s="69"/>
      <c r="BY519" s="69"/>
      <c r="BZ519" s="69"/>
      <c r="CA519" s="69"/>
      <c r="CB519" s="69"/>
      <c r="CC519" s="69"/>
      <c r="CD519" s="69"/>
      <c r="CE519" s="69"/>
      <c r="CF519" s="69"/>
    </row>
    <row r="520">
      <c r="A520" s="69"/>
      <c r="B520" s="71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69"/>
      <c r="BE520" s="69"/>
      <c r="BF520" s="69"/>
      <c r="BG520" s="69"/>
      <c r="BH520" s="69"/>
      <c r="BI520" s="69"/>
      <c r="BJ520" s="69"/>
      <c r="BK520" s="69"/>
      <c r="BL520" s="69"/>
      <c r="BM520" s="69"/>
      <c r="BN520" s="69"/>
      <c r="BO520" s="69"/>
      <c r="BP520" s="69"/>
      <c r="BQ520" s="69"/>
      <c r="BR520" s="69"/>
      <c r="BS520" s="69"/>
      <c r="BT520" s="69"/>
      <c r="BU520" s="69"/>
      <c r="BV520" s="69"/>
      <c r="BW520" s="69"/>
      <c r="BX520" s="69"/>
      <c r="BY520" s="69"/>
      <c r="BZ520" s="69"/>
      <c r="CA520" s="69"/>
      <c r="CB520" s="69"/>
      <c r="CC520" s="69"/>
      <c r="CD520" s="69"/>
      <c r="CE520" s="69"/>
      <c r="CF520" s="69"/>
    </row>
    <row r="521">
      <c r="A521" s="69"/>
      <c r="B521" s="71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69"/>
      <c r="BE521" s="69"/>
      <c r="BF521" s="69"/>
      <c r="BG521" s="69"/>
      <c r="BH521" s="69"/>
      <c r="BI521" s="69"/>
      <c r="BJ521" s="69"/>
      <c r="BK521" s="69"/>
      <c r="BL521" s="69"/>
      <c r="BM521" s="69"/>
      <c r="BN521" s="69"/>
      <c r="BO521" s="69"/>
      <c r="BP521" s="69"/>
      <c r="BQ521" s="69"/>
      <c r="BR521" s="69"/>
      <c r="BS521" s="69"/>
      <c r="BT521" s="69"/>
      <c r="BU521" s="69"/>
      <c r="BV521" s="69"/>
      <c r="BW521" s="69"/>
      <c r="BX521" s="69"/>
      <c r="BY521" s="69"/>
      <c r="BZ521" s="69"/>
      <c r="CA521" s="69"/>
      <c r="CB521" s="69"/>
      <c r="CC521" s="69"/>
      <c r="CD521" s="69"/>
      <c r="CE521" s="69"/>
      <c r="CF521" s="69"/>
    </row>
    <row r="522">
      <c r="A522" s="69"/>
      <c r="B522" s="71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69"/>
      <c r="BE522" s="69"/>
      <c r="BF522" s="69"/>
      <c r="BG522" s="69"/>
      <c r="BH522" s="69"/>
      <c r="BI522" s="69"/>
      <c r="BJ522" s="69"/>
      <c r="BK522" s="69"/>
      <c r="BL522" s="69"/>
      <c r="BM522" s="69"/>
      <c r="BN522" s="69"/>
      <c r="BO522" s="69"/>
      <c r="BP522" s="69"/>
      <c r="BQ522" s="69"/>
      <c r="BR522" s="69"/>
      <c r="BS522" s="69"/>
      <c r="BT522" s="69"/>
      <c r="BU522" s="69"/>
      <c r="BV522" s="69"/>
      <c r="BW522" s="69"/>
      <c r="BX522" s="69"/>
      <c r="BY522" s="69"/>
      <c r="BZ522" s="69"/>
      <c r="CA522" s="69"/>
      <c r="CB522" s="69"/>
      <c r="CC522" s="69"/>
      <c r="CD522" s="69"/>
      <c r="CE522" s="69"/>
      <c r="CF522" s="69"/>
    </row>
    <row r="523">
      <c r="A523" s="69"/>
      <c r="B523" s="71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69"/>
      <c r="BE523" s="69"/>
      <c r="BF523" s="69"/>
      <c r="BG523" s="69"/>
      <c r="BH523" s="69"/>
      <c r="BI523" s="69"/>
      <c r="BJ523" s="69"/>
      <c r="BK523" s="69"/>
      <c r="BL523" s="69"/>
      <c r="BM523" s="69"/>
      <c r="BN523" s="69"/>
      <c r="BO523" s="69"/>
      <c r="BP523" s="69"/>
      <c r="BQ523" s="69"/>
      <c r="BR523" s="69"/>
      <c r="BS523" s="69"/>
      <c r="BT523" s="69"/>
      <c r="BU523" s="69"/>
      <c r="BV523" s="69"/>
      <c r="BW523" s="69"/>
      <c r="BX523" s="69"/>
      <c r="BY523" s="69"/>
      <c r="BZ523" s="69"/>
      <c r="CA523" s="69"/>
      <c r="CB523" s="69"/>
      <c r="CC523" s="69"/>
      <c r="CD523" s="69"/>
      <c r="CE523" s="69"/>
      <c r="CF523" s="69"/>
    </row>
    <row r="524">
      <c r="A524" s="69"/>
      <c r="B524" s="71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69"/>
      <c r="BE524" s="69"/>
      <c r="BF524" s="69"/>
      <c r="BG524" s="69"/>
      <c r="BH524" s="69"/>
      <c r="BI524" s="69"/>
      <c r="BJ524" s="69"/>
      <c r="BK524" s="69"/>
      <c r="BL524" s="69"/>
      <c r="BM524" s="69"/>
      <c r="BN524" s="69"/>
      <c r="BO524" s="69"/>
      <c r="BP524" s="69"/>
      <c r="BQ524" s="69"/>
      <c r="BR524" s="69"/>
      <c r="BS524" s="69"/>
      <c r="BT524" s="69"/>
      <c r="BU524" s="69"/>
      <c r="BV524" s="69"/>
      <c r="BW524" s="69"/>
      <c r="BX524" s="69"/>
      <c r="BY524" s="69"/>
      <c r="BZ524" s="69"/>
      <c r="CA524" s="69"/>
      <c r="CB524" s="69"/>
      <c r="CC524" s="69"/>
      <c r="CD524" s="69"/>
      <c r="CE524" s="69"/>
      <c r="CF524" s="69"/>
    </row>
    <row r="525">
      <c r="A525" s="69"/>
      <c r="B525" s="71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69"/>
      <c r="BE525" s="69"/>
      <c r="BF525" s="69"/>
      <c r="BG525" s="69"/>
      <c r="BH525" s="69"/>
      <c r="BI525" s="69"/>
      <c r="BJ525" s="69"/>
      <c r="BK525" s="69"/>
      <c r="BL525" s="69"/>
      <c r="BM525" s="69"/>
      <c r="BN525" s="69"/>
      <c r="BO525" s="69"/>
      <c r="BP525" s="69"/>
      <c r="BQ525" s="69"/>
      <c r="BR525" s="69"/>
      <c r="BS525" s="69"/>
      <c r="BT525" s="69"/>
      <c r="BU525" s="69"/>
      <c r="BV525" s="69"/>
      <c r="BW525" s="69"/>
      <c r="BX525" s="69"/>
      <c r="BY525" s="69"/>
      <c r="BZ525" s="69"/>
      <c r="CA525" s="69"/>
      <c r="CB525" s="69"/>
      <c r="CC525" s="69"/>
      <c r="CD525" s="69"/>
      <c r="CE525" s="69"/>
      <c r="CF525" s="69"/>
    </row>
    <row r="526">
      <c r="A526" s="69"/>
      <c r="B526" s="71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69"/>
      <c r="BE526" s="69"/>
      <c r="BF526" s="69"/>
      <c r="BG526" s="69"/>
      <c r="BH526" s="69"/>
      <c r="BI526" s="69"/>
      <c r="BJ526" s="69"/>
      <c r="BK526" s="69"/>
      <c r="BL526" s="69"/>
      <c r="BM526" s="69"/>
      <c r="BN526" s="69"/>
      <c r="BO526" s="69"/>
      <c r="BP526" s="69"/>
      <c r="BQ526" s="69"/>
      <c r="BR526" s="69"/>
      <c r="BS526" s="69"/>
      <c r="BT526" s="69"/>
      <c r="BU526" s="69"/>
      <c r="BV526" s="69"/>
      <c r="BW526" s="69"/>
      <c r="BX526" s="69"/>
      <c r="BY526" s="69"/>
      <c r="BZ526" s="69"/>
      <c r="CA526" s="69"/>
      <c r="CB526" s="69"/>
      <c r="CC526" s="69"/>
      <c r="CD526" s="69"/>
      <c r="CE526" s="69"/>
      <c r="CF526" s="69"/>
    </row>
    <row r="527">
      <c r="A527" s="69"/>
      <c r="B527" s="71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69"/>
      <c r="BE527" s="69"/>
      <c r="BF527" s="69"/>
      <c r="BG527" s="69"/>
      <c r="BH527" s="69"/>
      <c r="BI527" s="69"/>
      <c r="BJ527" s="69"/>
      <c r="BK527" s="69"/>
      <c r="BL527" s="69"/>
      <c r="BM527" s="69"/>
      <c r="BN527" s="69"/>
      <c r="BO527" s="69"/>
      <c r="BP527" s="69"/>
      <c r="BQ527" s="69"/>
      <c r="BR527" s="69"/>
      <c r="BS527" s="69"/>
      <c r="BT527" s="69"/>
      <c r="BU527" s="69"/>
      <c r="BV527" s="69"/>
      <c r="BW527" s="69"/>
      <c r="BX527" s="69"/>
      <c r="BY527" s="69"/>
      <c r="BZ527" s="69"/>
      <c r="CA527" s="69"/>
      <c r="CB527" s="69"/>
      <c r="CC527" s="69"/>
      <c r="CD527" s="69"/>
      <c r="CE527" s="69"/>
      <c r="CF527" s="69"/>
    </row>
    <row r="528">
      <c r="A528" s="69"/>
      <c r="B528" s="71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69"/>
      <c r="BE528" s="69"/>
      <c r="BF528" s="69"/>
      <c r="BG528" s="69"/>
      <c r="BH528" s="69"/>
      <c r="BI528" s="69"/>
      <c r="BJ528" s="69"/>
      <c r="BK528" s="69"/>
      <c r="BL528" s="69"/>
      <c r="BM528" s="69"/>
      <c r="BN528" s="69"/>
      <c r="BO528" s="69"/>
      <c r="BP528" s="69"/>
      <c r="BQ528" s="69"/>
      <c r="BR528" s="69"/>
      <c r="BS528" s="69"/>
      <c r="BT528" s="69"/>
      <c r="BU528" s="69"/>
      <c r="BV528" s="69"/>
      <c r="BW528" s="69"/>
      <c r="BX528" s="69"/>
      <c r="BY528" s="69"/>
      <c r="BZ528" s="69"/>
      <c r="CA528" s="69"/>
      <c r="CB528" s="69"/>
      <c r="CC528" s="69"/>
      <c r="CD528" s="69"/>
      <c r="CE528" s="69"/>
      <c r="CF528" s="69"/>
    </row>
    <row r="529">
      <c r="A529" s="69"/>
      <c r="B529" s="71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69"/>
      <c r="BE529" s="69"/>
      <c r="BF529" s="69"/>
      <c r="BG529" s="69"/>
      <c r="BH529" s="69"/>
      <c r="BI529" s="69"/>
      <c r="BJ529" s="69"/>
      <c r="BK529" s="69"/>
      <c r="BL529" s="69"/>
      <c r="BM529" s="69"/>
      <c r="BN529" s="69"/>
      <c r="BO529" s="69"/>
      <c r="BP529" s="69"/>
      <c r="BQ529" s="69"/>
      <c r="BR529" s="69"/>
      <c r="BS529" s="69"/>
      <c r="BT529" s="69"/>
      <c r="BU529" s="69"/>
      <c r="BV529" s="69"/>
      <c r="BW529" s="69"/>
      <c r="BX529" s="69"/>
      <c r="BY529" s="69"/>
      <c r="BZ529" s="69"/>
      <c r="CA529" s="69"/>
      <c r="CB529" s="69"/>
      <c r="CC529" s="69"/>
      <c r="CD529" s="69"/>
      <c r="CE529" s="69"/>
      <c r="CF529" s="69"/>
    </row>
    <row r="530">
      <c r="A530" s="69"/>
      <c r="B530" s="71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69"/>
      <c r="BE530" s="69"/>
      <c r="BF530" s="69"/>
      <c r="BG530" s="69"/>
      <c r="BH530" s="69"/>
      <c r="BI530" s="69"/>
      <c r="BJ530" s="69"/>
      <c r="BK530" s="69"/>
      <c r="BL530" s="69"/>
      <c r="BM530" s="69"/>
      <c r="BN530" s="69"/>
      <c r="BO530" s="69"/>
      <c r="BP530" s="69"/>
      <c r="BQ530" s="69"/>
      <c r="BR530" s="69"/>
      <c r="BS530" s="69"/>
      <c r="BT530" s="69"/>
      <c r="BU530" s="69"/>
      <c r="BV530" s="69"/>
      <c r="BW530" s="69"/>
      <c r="BX530" s="69"/>
      <c r="BY530" s="69"/>
      <c r="BZ530" s="69"/>
      <c r="CA530" s="69"/>
      <c r="CB530" s="69"/>
      <c r="CC530" s="69"/>
      <c r="CD530" s="69"/>
      <c r="CE530" s="69"/>
      <c r="CF530" s="69"/>
    </row>
    <row r="531">
      <c r="A531" s="69"/>
      <c r="B531" s="71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69"/>
      <c r="BE531" s="69"/>
      <c r="BF531" s="69"/>
      <c r="BG531" s="69"/>
      <c r="BH531" s="69"/>
      <c r="BI531" s="69"/>
      <c r="BJ531" s="69"/>
      <c r="BK531" s="69"/>
      <c r="BL531" s="69"/>
      <c r="BM531" s="69"/>
      <c r="BN531" s="69"/>
      <c r="BO531" s="69"/>
      <c r="BP531" s="69"/>
      <c r="BQ531" s="69"/>
      <c r="BR531" s="69"/>
      <c r="BS531" s="69"/>
      <c r="BT531" s="69"/>
      <c r="BU531" s="69"/>
      <c r="BV531" s="69"/>
      <c r="BW531" s="69"/>
      <c r="BX531" s="69"/>
      <c r="BY531" s="69"/>
      <c r="BZ531" s="69"/>
      <c r="CA531" s="69"/>
      <c r="CB531" s="69"/>
      <c r="CC531" s="69"/>
      <c r="CD531" s="69"/>
      <c r="CE531" s="69"/>
      <c r="CF531" s="69"/>
    </row>
    <row r="532">
      <c r="A532" s="69"/>
      <c r="B532" s="71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69"/>
      <c r="BE532" s="69"/>
      <c r="BF532" s="69"/>
      <c r="BG532" s="69"/>
      <c r="BH532" s="69"/>
      <c r="BI532" s="69"/>
      <c r="BJ532" s="69"/>
      <c r="BK532" s="69"/>
      <c r="BL532" s="69"/>
      <c r="BM532" s="69"/>
      <c r="BN532" s="69"/>
      <c r="BO532" s="69"/>
      <c r="BP532" s="69"/>
      <c r="BQ532" s="69"/>
      <c r="BR532" s="69"/>
      <c r="BS532" s="69"/>
      <c r="BT532" s="69"/>
      <c r="BU532" s="69"/>
      <c r="BV532" s="69"/>
      <c r="BW532" s="69"/>
      <c r="BX532" s="69"/>
      <c r="BY532" s="69"/>
      <c r="BZ532" s="69"/>
      <c r="CA532" s="69"/>
      <c r="CB532" s="69"/>
      <c r="CC532" s="69"/>
      <c r="CD532" s="69"/>
      <c r="CE532" s="69"/>
      <c r="CF532" s="69"/>
    </row>
    <row r="533">
      <c r="A533" s="69"/>
      <c r="B533" s="71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69"/>
      <c r="BE533" s="69"/>
      <c r="BF533" s="69"/>
      <c r="BG533" s="69"/>
      <c r="BH533" s="69"/>
      <c r="BI533" s="69"/>
      <c r="BJ533" s="69"/>
      <c r="BK533" s="69"/>
      <c r="BL533" s="69"/>
      <c r="BM533" s="69"/>
      <c r="BN533" s="69"/>
      <c r="BO533" s="69"/>
      <c r="BP533" s="69"/>
      <c r="BQ533" s="69"/>
      <c r="BR533" s="69"/>
      <c r="BS533" s="69"/>
      <c r="BT533" s="69"/>
      <c r="BU533" s="69"/>
      <c r="BV533" s="69"/>
      <c r="BW533" s="69"/>
      <c r="BX533" s="69"/>
      <c r="BY533" s="69"/>
      <c r="BZ533" s="69"/>
      <c r="CA533" s="69"/>
      <c r="CB533" s="69"/>
      <c r="CC533" s="69"/>
      <c r="CD533" s="69"/>
      <c r="CE533" s="69"/>
      <c r="CF533" s="69"/>
    </row>
    <row r="534">
      <c r="A534" s="69"/>
      <c r="B534" s="71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69"/>
      <c r="BE534" s="69"/>
      <c r="BF534" s="69"/>
      <c r="BG534" s="69"/>
      <c r="BH534" s="69"/>
      <c r="BI534" s="69"/>
      <c r="BJ534" s="69"/>
      <c r="BK534" s="69"/>
      <c r="BL534" s="69"/>
      <c r="BM534" s="69"/>
      <c r="BN534" s="69"/>
      <c r="BO534" s="69"/>
      <c r="BP534" s="69"/>
      <c r="BQ534" s="69"/>
      <c r="BR534" s="69"/>
      <c r="BS534" s="69"/>
      <c r="BT534" s="69"/>
      <c r="BU534" s="69"/>
      <c r="BV534" s="69"/>
      <c r="BW534" s="69"/>
      <c r="BX534" s="69"/>
      <c r="BY534" s="69"/>
      <c r="BZ534" s="69"/>
      <c r="CA534" s="69"/>
      <c r="CB534" s="69"/>
      <c r="CC534" s="69"/>
      <c r="CD534" s="69"/>
      <c r="CE534" s="69"/>
      <c r="CF534" s="69"/>
    </row>
    <row r="535">
      <c r="A535" s="69"/>
      <c r="B535" s="71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69"/>
      <c r="BE535" s="69"/>
      <c r="BF535" s="69"/>
      <c r="BG535" s="69"/>
      <c r="BH535" s="69"/>
      <c r="BI535" s="69"/>
      <c r="BJ535" s="69"/>
      <c r="BK535" s="69"/>
      <c r="BL535" s="69"/>
      <c r="BM535" s="69"/>
      <c r="BN535" s="69"/>
      <c r="BO535" s="69"/>
      <c r="BP535" s="69"/>
      <c r="BQ535" s="69"/>
      <c r="BR535" s="69"/>
      <c r="BS535" s="69"/>
      <c r="BT535" s="69"/>
      <c r="BU535" s="69"/>
      <c r="BV535" s="69"/>
      <c r="BW535" s="69"/>
      <c r="BX535" s="69"/>
      <c r="BY535" s="69"/>
      <c r="BZ535" s="69"/>
      <c r="CA535" s="69"/>
      <c r="CB535" s="69"/>
      <c r="CC535" s="69"/>
      <c r="CD535" s="69"/>
      <c r="CE535" s="69"/>
      <c r="CF535" s="69"/>
    </row>
    <row r="536">
      <c r="A536" s="69"/>
      <c r="B536" s="71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69"/>
      <c r="BE536" s="69"/>
      <c r="BF536" s="69"/>
      <c r="BG536" s="69"/>
      <c r="BH536" s="69"/>
      <c r="BI536" s="69"/>
      <c r="BJ536" s="69"/>
      <c r="BK536" s="69"/>
      <c r="BL536" s="69"/>
      <c r="BM536" s="69"/>
      <c r="BN536" s="69"/>
      <c r="BO536" s="69"/>
      <c r="BP536" s="69"/>
      <c r="BQ536" s="69"/>
      <c r="BR536" s="69"/>
      <c r="BS536" s="69"/>
      <c r="BT536" s="69"/>
      <c r="BU536" s="69"/>
      <c r="BV536" s="69"/>
      <c r="BW536" s="69"/>
      <c r="BX536" s="69"/>
      <c r="BY536" s="69"/>
      <c r="BZ536" s="69"/>
      <c r="CA536" s="69"/>
      <c r="CB536" s="69"/>
      <c r="CC536" s="69"/>
      <c r="CD536" s="69"/>
      <c r="CE536" s="69"/>
      <c r="CF536" s="69"/>
    </row>
    <row r="537">
      <c r="A537" s="69"/>
      <c r="B537" s="71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69"/>
      <c r="BE537" s="69"/>
      <c r="BF537" s="69"/>
      <c r="BG537" s="69"/>
      <c r="BH537" s="69"/>
      <c r="BI537" s="69"/>
      <c r="BJ537" s="69"/>
      <c r="BK537" s="69"/>
      <c r="BL537" s="69"/>
      <c r="BM537" s="69"/>
      <c r="BN537" s="69"/>
      <c r="BO537" s="69"/>
      <c r="BP537" s="69"/>
      <c r="BQ537" s="69"/>
      <c r="BR537" s="69"/>
      <c r="BS537" s="69"/>
      <c r="BT537" s="69"/>
      <c r="BU537" s="69"/>
      <c r="BV537" s="69"/>
      <c r="BW537" s="69"/>
      <c r="BX537" s="69"/>
      <c r="BY537" s="69"/>
      <c r="BZ537" s="69"/>
      <c r="CA537" s="69"/>
      <c r="CB537" s="69"/>
      <c r="CC537" s="69"/>
      <c r="CD537" s="69"/>
      <c r="CE537" s="69"/>
      <c r="CF537" s="69"/>
    </row>
    <row r="538">
      <c r="A538" s="69"/>
      <c r="B538" s="71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69"/>
      <c r="BE538" s="69"/>
      <c r="BF538" s="69"/>
      <c r="BG538" s="69"/>
      <c r="BH538" s="69"/>
      <c r="BI538" s="69"/>
      <c r="BJ538" s="69"/>
      <c r="BK538" s="69"/>
      <c r="BL538" s="69"/>
      <c r="BM538" s="69"/>
      <c r="BN538" s="69"/>
      <c r="BO538" s="69"/>
      <c r="BP538" s="69"/>
      <c r="BQ538" s="69"/>
      <c r="BR538" s="69"/>
      <c r="BS538" s="69"/>
      <c r="BT538" s="69"/>
      <c r="BU538" s="69"/>
      <c r="BV538" s="69"/>
      <c r="BW538" s="69"/>
      <c r="BX538" s="69"/>
      <c r="BY538" s="69"/>
      <c r="BZ538" s="69"/>
      <c r="CA538" s="69"/>
      <c r="CB538" s="69"/>
      <c r="CC538" s="69"/>
      <c r="CD538" s="69"/>
      <c r="CE538" s="69"/>
      <c r="CF538" s="69"/>
    </row>
    <row r="539">
      <c r="A539" s="69"/>
      <c r="B539" s="71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69"/>
      <c r="BE539" s="69"/>
      <c r="BF539" s="69"/>
      <c r="BG539" s="69"/>
      <c r="BH539" s="69"/>
      <c r="BI539" s="69"/>
      <c r="BJ539" s="69"/>
      <c r="BK539" s="69"/>
      <c r="BL539" s="69"/>
      <c r="BM539" s="69"/>
      <c r="BN539" s="69"/>
      <c r="BO539" s="69"/>
      <c r="BP539" s="69"/>
      <c r="BQ539" s="69"/>
      <c r="BR539" s="69"/>
      <c r="BS539" s="69"/>
      <c r="BT539" s="69"/>
      <c r="BU539" s="69"/>
      <c r="BV539" s="69"/>
      <c r="BW539" s="69"/>
      <c r="BX539" s="69"/>
      <c r="BY539" s="69"/>
      <c r="BZ539" s="69"/>
      <c r="CA539" s="69"/>
      <c r="CB539" s="69"/>
      <c r="CC539" s="69"/>
      <c r="CD539" s="69"/>
      <c r="CE539" s="69"/>
      <c r="CF539" s="69"/>
    </row>
    <row r="540">
      <c r="A540" s="69"/>
      <c r="B540" s="71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69"/>
      <c r="BE540" s="69"/>
      <c r="BF540" s="69"/>
      <c r="BG540" s="69"/>
      <c r="BH540" s="69"/>
      <c r="BI540" s="69"/>
      <c r="BJ540" s="69"/>
      <c r="BK540" s="69"/>
      <c r="BL540" s="69"/>
      <c r="BM540" s="69"/>
      <c r="BN540" s="69"/>
      <c r="BO540" s="69"/>
      <c r="BP540" s="69"/>
      <c r="BQ540" s="69"/>
      <c r="BR540" s="69"/>
      <c r="BS540" s="69"/>
      <c r="BT540" s="69"/>
      <c r="BU540" s="69"/>
      <c r="BV540" s="69"/>
      <c r="BW540" s="69"/>
      <c r="BX540" s="69"/>
      <c r="BY540" s="69"/>
      <c r="BZ540" s="69"/>
      <c r="CA540" s="69"/>
      <c r="CB540" s="69"/>
      <c r="CC540" s="69"/>
      <c r="CD540" s="69"/>
      <c r="CE540" s="69"/>
      <c r="CF540" s="69"/>
    </row>
    <row r="541">
      <c r="A541" s="69"/>
      <c r="B541" s="71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69"/>
      <c r="BE541" s="69"/>
      <c r="BF541" s="69"/>
      <c r="BG541" s="69"/>
      <c r="BH541" s="69"/>
      <c r="BI541" s="69"/>
      <c r="BJ541" s="69"/>
      <c r="BK541" s="69"/>
      <c r="BL541" s="69"/>
      <c r="BM541" s="69"/>
      <c r="BN541" s="69"/>
      <c r="BO541" s="69"/>
      <c r="BP541" s="69"/>
      <c r="BQ541" s="69"/>
      <c r="BR541" s="69"/>
      <c r="BS541" s="69"/>
      <c r="BT541" s="69"/>
      <c r="BU541" s="69"/>
      <c r="BV541" s="69"/>
      <c r="BW541" s="69"/>
      <c r="BX541" s="69"/>
      <c r="BY541" s="69"/>
      <c r="BZ541" s="69"/>
      <c r="CA541" s="69"/>
      <c r="CB541" s="69"/>
      <c r="CC541" s="69"/>
      <c r="CD541" s="69"/>
      <c r="CE541" s="69"/>
      <c r="CF541" s="69"/>
    </row>
    <row r="542">
      <c r="A542" s="69"/>
      <c r="B542" s="71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69"/>
      <c r="BE542" s="69"/>
      <c r="BF542" s="69"/>
      <c r="BG542" s="69"/>
      <c r="BH542" s="69"/>
      <c r="BI542" s="69"/>
      <c r="BJ542" s="69"/>
      <c r="BK542" s="69"/>
      <c r="BL542" s="69"/>
      <c r="BM542" s="69"/>
      <c r="BN542" s="69"/>
      <c r="BO542" s="69"/>
      <c r="BP542" s="69"/>
      <c r="BQ542" s="69"/>
      <c r="BR542" s="69"/>
      <c r="BS542" s="69"/>
      <c r="BT542" s="69"/>
      <c r="BU542" s="69"/>
      <c r="BV542" s="69"/>
      <c r="BW542" s="69"/>
      <c r="BX542" s="69"/>
      <c r="BY542" s="69"/>
      <c r="BZ542" s="69"/>
      <c r="CA542" s="69"/>
      <c r="CB542" s="69"/>
      <c r="CC542" s="69"/>
      <c r="CD542" s="69"/>
      <c r="CE542" s="69"/>
      <c r="CF542" s="69"/>
    </row>
    <row r="543">
      <c r="A543" s="69"/>
      <c r="B543" s="71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69"/>
      <c r="BE543" s="69"/>
      <c r="BF543" s="69"/>
      <c r="BG543" s="69"/>
      <c r="BH543" s="69"/>
      <c r="BI543" s="69"/>
      <c r="BJ543" s="69"/>
      <c r="BK543" s="69"/>
      <c r="BL543" s="69"/>
      <c r="BM543" s="69"/>
      <c r="BN543" s="69"/>
      <c r="BO543" s="69"/>
      <c r="BP543" s="69"/>
      <c r="BQ543" s="69"/>
      <c r="BR543" s="69"/>
      <c r="BS543" s="69"/>
      <c r="BT543" s="69"/>
      <c r="BU543" s="69"/>
      <c r="BV543" s="69"/>
      <c r="BW543" s="69"/>
      <c r="BX543" s="69"/>
      <c r="BY543" s="69"/>
      <c r="BZ543" s="69"/>
      <c r="CA543" s="69"/>
      <c r="CB543" s="69"/>
      <c r="CC543" s="69"/>
      <c r="CD543" s="69"/>
      <c r="CE543" s="69"/>
      <c r="CF543" s="69"/>
    </row>
    <row r="544">
      <c r="A544" s="69"/>
      <c r="B544" s="71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69"/>
      <c r="BE544" s="69"/>
      <c r="BF544" s="69"/>
      <c r="BG544" s="69"/>
      <c r="BH544" s="69"/>
      <c r="BI544" s="69"/>
      <c r="BJ544" s="69"/>
      <c r="BK544" s="69"/>
      <c r="BL544" s="69"/>
      <c r="BM544" s="69"/>
      <c r="BN544" s="69"/>
      <c r="BO544" s="69"/>
      <c r="BP544" s="69"/>
      <c r="BQ544" s="69"/>
      <c r="BR544" s="69"/>
      <c r="BS544" s="69"/>
      <c r="BT544" s="69"/>
      <c r="BU544" s="69"/>
      <c r="BV544" s="69"/>
      <c r="BW544" s="69"/>
      <c r="BX544" s="69"/>
      <c r="BY544" s="69"/>
      <c r="BZ544" s="69"/>
      <c r="CA544" s="69"/>
      <c r="CB544" s="69"/>
      <c r="CC544" s="69"/>
      <c r="CD544" s="69"/>
      <c r="CE544" s="69"/>
      <c r="CF544" s="69"/>
    </row>
    <row r="545">
      <c r="A545" s="69"/>
      <c r="B545" s="71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69"/>
      <c r="BE545" s="69"/>
      <c r="BF545" s="69"/>
      <c r="BG545" s="69"/>
      <c r="BH545" s="69"/>
      <c r="BI545" s="69"/>
      <c r="BJ545" s="69"/>
      <c r="BK545" s="69"/>
      <c r="BL545" s="69"/>
      <c r="BM545" s="69"/>
      <c r="BN545" s="69"/>
      <c r="BO545" s="69"/>
      <c r="BP545" s="69"/>
      <c r="BQ545" s="69"/>
      <c r="BR545" s="69"/>
      <c r="BS545" s="69"/>
      <c r="BT545" s="69"/>
      <c r="BU545" s="69"/>
      <c r="BV545" s="69"/>
      <c r="BW545" s="69"/>
      <c r="BX545" s="69"/>
      <c r="BY545" s="69"/>
      <c r="BZ545" s="69"/>
      <c r="CA545" s="69"/>
      <c r="CB545" s="69"/>
      <c r="CC545" s="69"/>
      <c r="CD545" s="69"/>
      <c r="CE545" s="69"/>
      <c r="CF545" s="69"/>
    </row>
    <row r="546">
      <c r="A546" s="69"/>
      <c r="B546" s="71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69"/>
      <c r="BE546" s="69"/>
      <c r="BF546" s="69"/>
      <c r="BG546" s="69"/>
      <c r="BH546" s="69"/>
      <c r="BI546" s="69"/>
      <c r="BJ546" s="69"/>
      <c r="BK546" s="69"/>
      <c r="BL546" s="69"/>
      <c r="BM546" s="69"/>
      <c r="BN546" s="69"/>
      <c r="BO546" s="69"/>
      <c r="BP546" s="69"/>
      <c r="BQ546" s="69"/>
      <c r="BR546" s="69"/>
      <c r="BS546" s="69"/>
      <c r="BT546" s="69"/>
      <c r="BU546" s="69"/>
      <c r="BV546" s="69"/>
      <c r="BW546" s="69"/>
      <c r="BX546" s="69"/>
      <c r="BY546" s="69"/>
      <c r="BZ546" s="69"/>
      <c r="CA546" s="69"/>
      <c r="CB546" s="69"/>
      <c r="CC546" s="69"/>
      <c r="CD546" s="69"/>
      <c r="CE546" s="69"/>
      <c r="CF546" s="69"/>
    </row>
    <row r="547">
      <c r="A547" s="69"/>
      <c r="B547" s="71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69"/>
      <c r="BE547" s="69"/>
      <c r="BF547" s="69"/>
      <c r="BG547" s="69"/>
      <c r="BH547" s="69"/>
      <c r="BI547" s="69"/>
      <c r="BJ547" s="69"/>
      <c r="BK547" s="69"/>
      <c r="BL547" s="69"/>
      <c r="BM547" s="69"/>
      <c r="BN547" s="69"/>
      <c r="BO547" s="69"/>
      <c r="BP547" s="69"/>
      <c r="BQ547" s="69"/>
      <c r="BR547" s="69"/>
      <c r="BS547" s="69"/>
      <c r="BT547" s="69"/>
      <c r="BU547" s="69"/>
      <c r="BV547" s="69"/>
      <c r="BW547" s="69"/>
      <c r="BX547" s="69"/>
      <c r="BY547" s="69"/>
      <c r="BZ547" s="69"/>
      <c r="CA547" s="69"/>
      <c r="CB547" s="69"/>
      <c r="CC547" s="69"/>
      <c r="CD547" s="69"/>
      <c r="CE547" s="69"/>
      <c r="CF547" s="69"/>
    </row>
    <row r="548">
      <c r="A548" s="69"/>
      <c r="B548" s="71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69"/>
      <c r="BE548" s="69"/>
      <c r="BF548" s="69"/>
      <c r="BG548" s="69"/>
      <c r="BH548" s="69"/>
      <c r="BI548" s="69"/>
      <c r="BJ548" s="69"/>
      <c r="BK548" s="69"/>
      <c r="BL548" s="69"/>
      <c r="BM548" s="69"/>
      <c r="BN548" s="69"/>
      <c r="BO548" s="69"/>
      <c r="BP548" s="69"/>
      <c r="BQ548" s="69"/>
      <c r="BR548" s="69"/>
      <c r="BS548" s="69"/>
      <c r="BT548" s="69"/>
      <c r="BU548" s="69"/>
      <c r="BV548" s="69"/>
      <c r="BW548" s="69"/>
      <c r="BX548" s="69"/>
      <c r="BY548" s="69"/>
      <c r="BZ548" s="69"/>
      <c r="CA548" s="69"/>
      <c r="CB548" s="69"/>
      <c r="CC548" s="69"/>
      <c r="CD548" s="69"/>
      <c r="CE548" s="69"/>
      <c r="CF548" s="69"/>
    </row>
    <row r="549">
      <c r="A549" s="69"/>
      <c r="B549" s="71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69"/>
      <c r="BE549" s="69"/>
      <c r="BF549" s="69"/>
      <c r="BG549" s="69"/>
      <c r="BH549" s="69"/>
      <c r="BI549" s="69"/>
      <c r="BJ549" s="69"/>
      <c r="BK549" s="69"/>
      <c r="BL549" s="69"/>
      <c r="BM549" s="69"/>
      <c r="BN549" s="69"/>
      <c r="BO549" s="69"/>
      <c r="BP549" s="69"/>
      <c r="BQ549" s="69"/>
      <c r="BR549" s="69"/>
      <c r="BS549" s="69"/>
      <c r="BT549" s="69"/>
      <c r="BU549" s="69"/>
      <c r="BV549" s="69"/>
      <c r="BW549" s="69"/>
      <c r="BX549" s="69"/>
      <c r="BY549" s="69"/>
      <c r="BZ549" s="69"/>
      <c r="CA549" s="69"/>
      <c r="CB549" s="69"/>
      <c r="CC549" s="69"/>
      <c r="CD549" s="69"/>
      <c r="CE549" s="69"/>
      <c r="CF549" s="69"/>
    </row>
    <row r="550">
      <c r="A550" s="69"/>
      <c r="B550" s="71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69"/>
      <c r="BE550" s="69"/>
      <c r="BF550" s="69"/>
      <c r="BG550" s="69"/>
      <c r="BH550" s="69"/>
      <c r="BI550" s="69"/>
      <c r="BJ550" s="69"/>
      <c r="BK550" s="69"/>
      <c r="BL550" s="69"/>
      <c r="BM550" s="69"/>
      <c r="BN550" s="69"/>
      <c r="BO550" s="69"/>
      <c r="BP550" s="69"/>
      <c r="BQ550" s="69"/>
      <c r="BR550" s="69"/>
      <c r="BS550" s="69"/>
      <c r="BT550" s="69"/>
      <c r="BU550" s="69"/>
      <c r="BV550" s="69"/>
      <c r="BW550" s="69"/>
      <c r="BX550" s="69"/>
      <c r="BY550" s="69"/>
      <c r="BZ550" s="69"/>
      <c r="CA550" s="69"/>
      <c r="CB550" s="69"/>
      <c r="CC550" s="69"/>
      <c r="CD550" s="69"/>
      <c r="CE550" s="69"/>
      <c r="CF550" s="69"/>
    </row>
    <row r="551">
      <c r="A551" s="69"/>
      <c r="B551" s="71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69"/>
      <c r="BE551" s="69"/>
      <c r="BF551" s="69"/>
      <c r="BG551" s="69"/>
      <c r="BH551" s="69"/>
      <c r="BI551" s="69"/>
      <c r="BJ551" s="69"/>
      <c r="BK551" s="69"/>
      <c r="BL551" s="69"/>
      <c r="BM551" s="69"/>
      <c r="BN551" s="69"/>
      <c r="BO551" s="69"/>
      <c r="BP551" s="69"/>
      <c r="BQ551" s="69"/>
      <c r="BR551" s="69"/>
      <c r="BS551" s="69"/>
      <c r="BT551" s="69"/>
      <c r="BU551" s="69"/>
      <c r="BV551" s="69"/>
      <c r="BW551" s="69"/>
      <c r="BX551" s="69"/>
      <c r="BY551" s="69"/>
      <c r="BZ551" s="69"/>
      <c r="CA551" s="69"/>
      <c r="CB551" s="69"/>
      <c r="CC551" s="69"/>
      <c r="CD551" s="69"/>
      <c r="CE551" s="69"/>
      <c r="CF551" s="69"/>
    </row>
    <row r="552">
      <c r="A552" s="69"/>
      <c r="B552" s="71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69"/>
      <c r="BE552" s="69"/>
      <c r="BF552" s="69"/>
      <c r="BG552" s="69"/>
      <c r="BH552" s="69"/>
      <c r="BI552" s="69"/>
      <c r="BJ552" s="69"/>
      <c r="BK552" s="69"/>
      <c r="BL552" s="69"/>
      <c r="BM552" s="69"/>
      <c r="BN552" s="69"/>
      <c r="BO552" s="69"/>
      <c r="BP552" s="69"/>
      <c r="BQ552" s="69"/>
      <c r="BR552" s="69"/>
      <c r="BS552" s="69"/>
      <c r="BT552" s="69"/>
      <c r="BU552" s="69"/>
      <c r="BV552" s="69"/>
      <c r="BW552" s="69"/>
      <c r="BX552" s="69"/>
      <c r="BY552" s="69"/>
      <c r="BZ552" s="69"/>
      <c r="CA552" s="69"/>
      <c r="CB552" s="69"/>
      <c r="CC552" s="69"/>
      <c r="CD552" s="69"/>
      <c r="CE552" s="69"/>
      <c r="CF552" s="69"/>
    </row>
    <row r="553">
      <c r="A553" s="69"/>
      <c r="B553" s="71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69"/>
      <c r="BE553" s="69"/>
      <c r="BF553" s="69"/>
      <c r="BG553" s="69"/>
      <c r="BH553" s="69"/>
      <c r="BI553" s="69"/>
      <c r="BJ553" s="69"/>
      <c r="BK553" s="69"/>
      <c r="BL553" s="69"/>
      <c r="BM553" s="69"/>
      <c r="BN553" s="69"/>
      <c r="BO553" s="69"/>
      <c r="BP553" s="69"/>
      <c r="BQ553" s="69"/>
      <c r="BR553" s="69"/>
      <c r="BS553" s="69"/>
      <c r="BT553" s="69"/>
      <c r="BU553" s="69"/>
      <c r="BV553" s="69"/>
      <c r="BW553" s="69"/>
      <c r="BX553" s="69"/>
      <c r="BY553" s="69"/>
      <c r="BZ553" s="69"/>
      <c r="CA553" s="69"/>
      <c r="CB553" s="69"/>
      <c r="CC553" s="69"/>
      <c r="CD553" s="69"/>
      <c r="CE553" s="69"/>
      <c r="CF553" s="69"/>
    </row>
    <row r="554">
      <c r="A554" s="69"/>
      <c r="B554" s="71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69"/>
      <c r="BE554" s="69"/>
      <c r="BF554" s="69"/>
      <c r="BG554" s="69"/>
      <c r="BH554" s="69"/>
      <c r="BI554" s="69"/>
      <c r="BJ554" s="69"/>
      <c r="BK554" s="69"/>
      <c r="BL554" s="69"/>
      <c r="BM554" s="69"/>
      <c r="BN554" s="69"/>
      <c r="BO554" s="69"/>
      <c r="BP554" s="69"/>
      <c r="BQ554" s="69"/>
      <c r="BR554" s="69"/>
      <c r="BS554" s="69"/>
      <c r="BT554" s="69"/>
      <c r="BU554" s="69"/>
      <c r="BV554" s="69"/>
      <c r="BW554" s="69"/>
      <c r="BX554" s="69"/>
      <c r="BY554" s="69"/>
      <c r="BZ554" s="69"/>
      <c r="CA554" s="69"/>
      <c r="CB554" s="69"/>
      <c r="CC554" s="69"/>
      <c r="CD554" s="69"/>
      <c r="CE554" s="69"/>
      <c r="CF554" s="69"/>
    </row>
    <row r="555">
      <c r="A555" s="69"/>
      <c r="B555" s="71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69"/>
      <c r="BE555" s="69"/>
      <c r="BF555" s="69"/>
      <c r="BG555" s="69"/>
      <c r="BH555" s="69"/>
      <c r="BI555" s="69"/>
      <c r="BJ555" s="69"/>
      <c r="BK555" s="69"/>
      <c r="BL555" s="69"/>
      <c r="BM555" s="69"/>
      <c r="BN555" s="69"/>
      <c r="BO555" s="69"/>
      <c r="BP555" s="69"/>
      <c r="BQ555" s="69"/>
      <c r="BR555" s="69"/>
      <c r="BS555" s="69"/>
      <c r="BT555" s="69"/>
      <c r="BU555" s="69"/>
      <c r="BV555" s="69"/>
      <c r="BW555" s="69"/>
      <c r="BX555" s="69"/>
      <c r="BY555" s="69"/>
      <c r="BZ555" s="69"/>
      <c r="CA555" s="69"/>
      <c r="CB555" s="69"/>
      <c r="CC555" s="69"/>
      <c r="CD555" s="69"/>
      <c r="CE555" s="69"/>
      <c r="CF555" s="69"/>
    </row>
    <row r="556">
      <c r="A556" s="69"/>
      <c r="B556" s="71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69"/>
      <c r="BE556" s="69"/>
      <c r="BF556" s="69"/>
      <c r="BG556" s="69"/>
      <c r="BH556" s="69"/>
      <c r="BI556" s="69"/>
      <c r="BJ556" s="69"/>
      <c r="BK556" s="69"/>
      <c r="BL556" s="69"/>
      <c r="BM556" s="69"/>
      <c r="BN556" s="69"/>
      <c r="BO556" s="69"/>
      <c r="BP556" s="69"/>
      <c r="BQ556" s="69"/>
      <c r="BR556" s="69"/>
      <c r="BS556" s="69"/>
      <c r="BT556" s="69"/>
      <c r="BU556" s="69"/>
      <c r="BV556" s="69"/>
      <c r="BW556" s="69"/>
      <c r="BX556" s="69"/>
      <c r="BY556" s="69"/>
      <c r="BZ556" s="69"/>
      <c r="CA556" s="69"/>
      <c r="CB556" s="69"/>
      <c r="CC556" s="69"/>
      <c r="CD556" s="69"/>
      <c r="CE556" s="69"/>
      <c r="CF556" s="69"/>
    </row>
    <row r="557">
      <c r="A557" s="69"/>
      <c r="B557" s="71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69"/>
      <c r="BE557" s="69"/>
      <c r="BF557" s="69"/>
      <c r="BG557" s="69"/>
      <c r="BH557" s="69"/>
      <c r="BI557" s="69"/>
      <c r="BJ557" s="69"/>
      <c r="BK557" s="69"/>
      <c r="BL557" s="69"/>
      <c r="BM557" s="69"/>
      <c r="BN557" s="69"/>
      <c r="BO557" s="69"/>
      <c r="BP557" s="69"/>
      <c r="BQ557" s="69"/>
      <c r="BR557" s="69"/>
      <c r="BS557" s="69"/>
      <c r="BT557" s="69"/>
      <c r="BU557" s="69"/>
      <c r="BV557" s="69"/>
      <c r="BW557" s="69"/>
      <c r="BX557" s="69"/>
      <c r="BY557" s="69"/>
      <c r="BZ557" s="69"/>
      <c r="CA557" s="69"/>
      <c r="CB557" s="69"/>
      <c r="CC557" s="69"/>
      <c r="CD557" s="69"/>
      <c r="CE557" s="69"/>
      <c r="CF557" s="69"/>
    </row>
    <row r="558">
      <c r="A558" s="69"/>
      <c r="B558" s="71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69"/>
      <c r="BE558" s="69"/>
      <c r="BF558" s="69"/>
      <c r="BG558" s="69"/>
      <c r="BH558" s="69"/>
      <c r="BI558" s="69"/>
      <c r="BJ558" s="69"/>
      <c r="BK558" s="69"/>
      <c r="BL558" s="69"/>
      <c r="BM558" s="69"/>
      <c r="BN558" s="69"/>
      <c r="BO558" s="69"/>
      <c r="BP558" s="69"/>
      <c r="BQ558" s="69"/>
      <c r="BR558" s="69"/>
      <c r="BS558" s="69"/>
      <c r="BT558" s="69"/>
      <c r="BU558" s="69"/>
      <c r="BV558" s="69"/>
      <c r="BW558" s="69"/>
      <c r="BX558" s="69"/>
      <c r="BY558" s="69"/>
      <c r="BZ558" s="69"/>
      <c r="CA558" s="69"/>
      <c r="CB558" s="69"/>
      <c r="CC558" s="69"/>
      <c r="CD558" s="69"/>
      <c r="CE558" s="69"/>
      <c r="CF558" s="69"/>
    </row>
    <row r="559">
      <c r="A559" s="69"/>
      <c r="B559" s="71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69"/>
      <c r="BE559" s="69"/>
      <c r="BF559" s="69"/>
      <c r="BG559" s="69"/>
      <c r="BH559" s="69"/>
      <c r="BI559" s="69"/>
      <c r="BJ559" s="69"/>
      <c r="BK559" s="69"/>
      <c r="BL559" s="69"/>
      <c r="BM559" s="69"/>
      <c r="BN559" s="69"/>
      <c r="BO559" s="69"/>
      <c r="BP559" s="69"/>
      <c r="BQ559" s="69"/>
      <c r="BR559" s="69"/>
      <c r="BS559" s="69"/>
      <c r="BT559" s="69"/>
      <c r="BU559" s="69"/>
      <c r="BV559" s="69"/>
      <c r="BW559" s="69"/>
      <c r="BX559" s="69"/>
      <c r="BY559" s="69"/>
      <c r="BZ559" s="69"/>
      <c r="CA559" s="69"/>
      <c r="CB559" s="69"/>
      <c r="CC559" s="69"/>
      <c r="CD559" s="69"/>
      <c r="CE559" s="69"/>
      <c r="CF559" s="69"/>
    </row>
    <row r="560">
      <c r="A560" s="69"/>
      <c r="B560" s="71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69"/>
      <c r="BE560" s="69"/>
      <c r="BF560" s="69"/>
      <c r="BG560" s="69"/>
      <c r="BH560" s="69"/>
      <c r="BI560" s="69"/>
      <c r="BJ560" s="69"/>
      <c r="BK560" s="69"/>
      <c r="BL560" s="69"/>
      <c r="BM560" s="69"/>
      <c r="BN560" s="69"/>
      <c r="BO560" s="69"/>
      <c r="BP560" s="69"/>
      <c r="BQ560" s="69"/>
      <c r="BR560" s="69"/>
      <c r="BS560" s="69"/>
      <c r="BT560" s="69"/>
      <c r="BU560" s="69"/>
      <c r="BV560" s="69"/>
      <c r="BW560" s="69"/>
      <c r="BX560" s="69"/>
      <c r="BY560" s="69"/>
      <c r="BZ560" s="69"/>
      <c r="CA560" s="69"/>
      <c r="CB560" s="69"/>
      <c r="CC560" s="69"/>
      <c r="CD560" s="69"/>
      <c r="CE560" s="69"/>
      <c r="CF560" s="69"/>
    </row>
    <row r="561">
      <c r="A561" s="69"/>
      <c r="B561" s="71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69"/>
      <c r="BE561" s="69"/>
      <c r="BF561" s="69"/>
      <c r="BG561" s="69"/>
      <c r="BH561" s="69"/>
      <c r="BI561" s="69"/>
      <c r="BJ561" s="69"/>
      <c r="BK561" s="69"/>
      <c r="BL561" s="69"/>
      <c r="BM561" s="69"/>
      <c r="BN561" s="69"/>
      <c r="BO561" s="69"/>
      <c r="BP561" s="69"/>
      <c r="BQ561" s="69"/>
      <c r="BR561" s="69"/>
      <c r="BS561" s="69"/>
      <c r="BT561" s="69"/>
      <c r="BU561" s="69"/>
      <c r="BV561" s="69"/>
      <c r="BW561" s="69"/>
      <c r="BX561" s="69"/>
      <c r="BY561" s="69"/>
      <c r="BZ561" s="69"/>
      <c r="CA561" s="69"/>
      <c r="CB561" s="69"/>
      <c r="CC561" s="69"/>
      <c r="CD561" s="69"/>
      <c r="CE561" s="69"/>
      <c r="CF561" s="69"/>
    </row>
    <row r="562">
      <c r="A562" s="69"/>
      <c r="B562" s="71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69"/>
      <c r="BE562" s="69"/>
      <c r="BF562" s="69"/>
      <c r="BG562" s="69"/>
      <c r="BH562" s="69"/>
      <c r="BI562" s="69"/>
      <c r="BJ562" s="69"/>
      <c r="BK562" s="69"/>
      <c r="BL562" s="69"/>
      <c r="BM562" s="69"/>
      <c r="BN562" s="69"/>
      <c r="BO562" s="69"/>
      <c r="BP562" s="69"/>
      <c r="BQ562" s="69"/>
      <c r="BR562" s="69"/>
      <c r="BS562" s="69"/>
      <c r="BT562" s="69"/>
      <c r="BU562" s="69"/>
      <c r="BV562" s="69"/>
      <c r="BW562" s="69"/>
      <c r="BX562" s="69"/>
      <c r="BY562" s="69"/>
      <c r="BZ562" s="69"/>
      <c r="CA562" s="69"/>
      <c r="CB562" s="69"/>
      <c r="CC562" s="69"/>
      <c r="CD562" s="69"/>
      <c r="CE562" s="69"/>
      <c r="CF562" s="69"/>
    </row>
    <row r="563">
      <c r="A563" s="69"/>
      <c r="B563" s="71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69"/>
      <c r="BE563" s="69"/>
      <c r="BF563" s="69"/>
      <c r="BG563" s="69"/>
      <c r="BH563" s="69"/>
      <c r="BI563" s="69"/>
      <c r="BJ563" s="69"/>
      <c r="BK563" s="69"/>
      <c r="BL563" s="69"/>
      <c r="BM563" s="69"/>
      <c r="BN563" s="69"/>
      <c r="BO563" s="69"/>
      <c r="BP563" s="69"/>
      <c r="BQ563" s="69"/>
      <c r="BR563" s="69"/>
      <c r="BS563" s="69"/>
      <c r="BT563" s="69"/>
      <c r="BU563" s="69"/>
      <c r="BV563" s="69"/>
      <c r="BW563" s="69"/>
      <c r="BX563" s="69"/>
      <c r="BY563" s="69"/>
      <c r="BZ563" s="69"/>
      <c r="CA563" s="69"/>
      <c r="CB563" s="69"/>
      <c r="CC563" s="69"/>
      <c r="CD563" s="69"/>
      <c r="CE563" s="69"/>
      <c r="CF563" s="69"/>
    </row>
    <row r="564">
      <c r="A564" s="69"/>
      <c r="B564" s="71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69"/>
      <c r="BE564" s="69"/>
      <c r="BF564" s="69"/>
      <c r="BG564" s="69"/>
      <c r="BH564" s="69"/>
      <c r="BI564" s="69"/>
      <c r="BJ564" s="69"/>
      <c r="BK564" s="69"/>
      <c r="BL564" s="69"/>
      <c r="BM564" s="69"/>
      <c r="BN564" s="69"/>
      <c r="BO564" s="69"/>
      <c r="BP564" s="69"/>
      <c r="BQ564" s="69"/>
      <c r="BR564" s="69"/>
      <c r="BS564" s="69"/>
      <c r="BT564" s="69"/>
      <c r="BU564" s="69"/>
      <c r="BV564" s="69"/>
      <c r="BW564" s="69"/>
      <c r="BX564" s="69"/>
      <c r="BY564" s="69"/>
      <c r="BZ564" s="69"/>
      <c r="CA564" s="69"/>
      <c r="CB564" s="69"/>
      <c r="CC564" s="69"/>
      <c r="CD564" s="69"/>
      <c r="CE564" s="69"/>
      <c r="CF564" s="69"/>
    </row>
    <row r="565">
      <c r="A565" s="69"/>
      <c r="B565" s="71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69"/>
      <c r="BE565" s="69"/>
      <c r="BF565" s="69"/>
      <c r="BG565" s="69"/>
      <c r="BH565" s="69"/>
      <c r="BI565" s="69"/>
      <c r="BJ565" s="69"/>
      <c r="BK565" s="69"/>
      <c r="BL565" s="69"/>
      <c r="BM565" s="69"/>
      <c r="BN565" s="69"/>
      <c r="BO565" s="69"/>
      <c r="BP565" s="69"/>
      <c r="BQ565" s="69"/>
      <c r="BR565" s="69"/>
      <c r="BS565" s="69"/>
      <c r="BT565" s="69"/>
      <c r="BU565" s="69"/>
      <c r="BV565" s="69"/>
      <c r="BW565" s="69"/>
      <c r="BX565" s="69"/>
      <c r="BY565" s="69"/>
      <c r="BZ565" s="69"/>
      <c r="CA565" s="69"/>
      <c r="CB565" s="69"/>
      <c r="CC565" s="69"/>
      <c r="CD565" s="69"/>
      <c r="CE565" s="69"/>
      <c r="CF565" s="69"/>
    </row>
    <row r="566">
      <c r="A566" s="69"/>
      <c r="B566" s="71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69"/>
      <c r="BE566" s="69"/>
      <c r="BF566" s="69"/>
      <c r="BG566" s="69"/>
      <c r="BH566" s="69"/>
      <c r="BI566" s="69"/>
      <c r="BJ566" s="69"/>
      <c r="BK566" s="69"/>
      <c r="BL566" s="69"/>
      <c r="BM566" s="69"/>
      <c r="BN566" s="69"/>
      <c r="BO566" s="69"/>
      <c r="BP566" s="69"/>
      <c r="BQ566" s="69"/>
      <c r="BR566" s="69"/>
      <c r="BS566" s="69"/>
      <c r="BT566" s="69"/>
      <c r="BU566" s="69"/>
      <c r="BV566" s="69"/>
      <c r="BW566" s="69"/>
      <c r="BX566" s="69"/>
      <c r="BY566" s="69"/>
      <c r="BZ566" s="69"/>
      <c r="CA566" s="69"/>
      <c r="CB566" s="69"/>
      <c r="CC566" s="69"/>
      <c r="CD566" s="69"/>
      <c r="CE566" s="69"/>
      <c r="CF566" s="69"/>
    </row>
    <row r="567">
      <c r="A567" s="69"/>
      <c r="B567" s="71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69"/>
      <c r="BE567" s="69"/>
      <c r="BF567" s="69"/>
      <c r="BG567" s="69"/>
      <c r="BH567" s="69"/>
      <c r="BI567" s="69"/>
      <c r="BJ567" s="69"/>
      <c r="BK567" s="69"/>
      <c r="BL567" s="69"/>
      <c r="BM567" s="69"/>
      <c r="BN567" s="69"/>
      <c r="BO567" s="69"/>
      <c r="BP567" s="69"/>
      <c r="BQ567" s="69"/>
      <c r="BR567" s="69"/>
      <c r="BS567" s="69"/>
      <c r="BT567" s="69"/>
      <c r="BU567" s="69"/>
      <c r="BV567" s="69"/>
      <c r="BW567" s="69"/>
      <c r="BX567" s="69"/>
      <c r="BY567" s="69"/>
      <c r="BZ567" s="69"/>
      <c r="CA567" s="69"/>
      <c r="CB567" s="69"/>
      <c r="CC567" s="69"/>
      <c r="CD567" s="69"/>
      <c r="CE567" s="69"/>
      <c r="CF567" s="69"/>
    </row>
    <row r="568">
      <c r="A568" s="69"/>
      <c r="B568" s="71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69"/>
      <c r="BE568" s="69"/>
      <c r="BF568" s="69"/>
      <c r="BG568" s="69"/>
      <c r="BH568" s="69"/>
      <c r="BI568" s="69"/>
      <c r="BJ568" s="69"/>
      <c r="BK568" s="69"/>
      <c r="BL568" s="69"/>
      <c r="BM568" s="69"/>
      <c r="BN568" s="69"/>
      <c r="BO568" s="69"/>
      <c r="BP568" s="69"/>
      <c r="BQ568" s="69"/>
      <c r="BR568" s="69"/>
      <c r="BS568" s="69"/>
      <c r="BT568" s="69"/>
      <c r="BU568" s="69"/>
      <c r="BV568" s="69"/>
      <c r="BW568" s="69"/>
      <c r="BX568" s="69"/>
      <c r="BY568" s="69"/>
      <c r="BZ568" s="69"/>
      <c r="CA568" s="69"/>
      <c r="CB568" s="69"/>
      <c r="CC568" s="69"/>
      <c r="CD568" s="69"/>
      <c r="CE568" s="69"/>
      <c r="CF568" s="69"/>
    </row>
    <row r="569">
      <c r="A569" s="69"/>
      <c r="B569" s="71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69"/>
      <c r="BE569" s="69"/>
      <c r="BF569" s="69"/>
      <c r="BG569" s="69"/>
      <c r="BH569" s="69"/>
      <c r="BI569" s="69"/>
      <c r="BJ569" s="69"/>
      <c r="BK569" s="69"/>
      <c r="BL569" s="69"/>
      <c r="BM569" s="69"/>
      <c r="BN569" s="69"/>
      <c r="BO569" s="69"/>
      <c r="BP569" s="69"/>
      <c r="BQ569" s="69"/>
      <c r="BR569" s="69"/>
      <c r="BS569" s="69"/>
      <c r="BT569" s="69"/>
      <c r="BU569" s="69"/>
      <c r="BV569" s="69"/>
      <c r="BW569" s="69"/>
      <c r="BX569" s="69"/>
      <c r="BY569" s="69"/>
      <c r="BZ569" s="69"/>
      <c r="CA569" s="69"/>
      <c r="CB569" s="69"/>
      <c r="CC569" s="69"/>
      <c r="CD569" s="69"/>
      <c r="CE569" s="69"/>
      <c r="CF569" s="69"/>
    </row>
    <row r="570">
      <c r="A570" s="69"/>
      <c r="B570" s="71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69"/>
      <c r="BE570" s="69"/>
      <c r="BF570" s="69"/>
      <c r="BG570" s="69"/>
      <c r="BH570" s="69"/>
      <c r="BI570" s="69"/>
      <c r="BJ570" s="69"/>
      <c r="BK570" s="69"/>
      <c r="BL570" s="69"/>
      <c r="BM570" s="69"/>
      <c r="BN570" s="69"/>
      <c r="BO570" s="69"/>
      <c r="BP570" s="69"/>
      <c r="BQ570" s="69"/>
      <c r="BR570" s="69"/>
      <c r="BS570" s="69"/>
      <c r="BT570" s="69"/>
      <c r="BU570" s="69"/>
      <c r="BV570" s="69"/>
      <c r="BW570" s="69"/>
      <c r="BX570" s="69"/>
      <c r="BY570" s="69"/>
      <c r="BZ570" s="69"/>
      <c r="CA570" s="69"/>
      <c r="CB570" s="69"/>
      <c r="CC570" s="69"/>
      <c r="CD570" s="69"/>
      <c r="CE570" s="69"/>
      <c r="CF570" s="69"/>
    </row>
    <row r="571">
      <c r="A571" s="69"/>
      <c r="B571" s="71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69"/>
      <c r="BE571" s="69"/>
      <c r="BF571" s="69"/>
      <c r="BG571" s="69"/>
      <c r="BH571" s="69"/>
      <c r="BI571" s="69"/>
      <c r="BJ571" s="69"/>
      <c r="BK571" s="69"/>
      <c r="BL571" s="69"/>
      <c r="BM571" s="69"/>
      <c r="BN571" s="69"/>
      <c r="BO571" s="69"/>
      <c r="BP571" s="69"/>
      <c r="BQ571" s="69"/>
      <c r="BR571" s="69"/>
      <c r="BS571" s="69"/>
      <c r="BT571" s="69"/>
      <c r="BU571" s="69"/>
      <c r="BV571" s="69"/>
      <c r="BW571" s="69"/>
      <c r="BX571" s="69"/>
      <c r="BY571" s="69"/>
      <c r="BZ571" s="69"/>
      <c r="CA571" s="69"/>
      <c r="CB571" s="69"/>
      <c r="CC571" s="69"/>
      <c r="CD571" s="69"/>
      <c r="CE571" s="69"/>
      <c r="CF571" s="69"/>
    </row>
    <row r="572">
      <c r="A572" s="69"/>
      <c r="B572" s="71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69"/>
      <c r="BE572" s="69"/>
      <c r="BF572" s="69"/>
      <c r="BG572" s="69"/>
      <c r="BH572" s="69"/>
      <c r="BI572" s="69"/>
      <c r="BJ572" s="69"/>
      <c r="BK572" s="69"/>
      <c r="BL572" s="69"/>
      <c r="BM572" s="69"/>
      <c r="BN572" s="69"/>
      <c r="BO572" s="69"/>
      <c r="BP572" s="69"/>
      <c r="BQ572" s="69"/>
      <c r="BR572" s="69"/>
      <c r="BS572" s="69"/>
      <c r="BT572" s="69"/>
      <c r="BU572" s="69"/>
      <c r="BV572" s="69"/>
      <c r="BW572" s="69"/>
      <c r="BX572" s="69"/>
      <c r="BY572" s="69"/>
      <c r="BZ572" s="69"/>
      <c r="CA572" s="69"/>
      <c r="CB572" s="69"/>
      <c r="CC572" s="69"/>
      <c r="CD572" s="69"/>
      <c r="CE572" s="69"/>
      <c r="CF572" s="69"/>
    </row>
    <row r="573">
      <c r="A573" s="69"/>
      <c r="B573" s="71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69"/>
      <c r="BE573" s="69"/>
      <c r="BF573" s="69"/>
      <c r="BG573" s="69"/>
      <c r="BH573" s="69"/>
      <c r="BI573" s="69"/>
      <c r="BJ573" s="69"/>
      <c r="BK573" s="69"/>
      <c r="BL573" s="69"/>
      <c r="BM573" s="69"/>
      <c r="BN573" s="69"/>
      <c r="BO573" s="69"/>
      <c r="BP573" s="69"/>
      <c r="BQ573" s="69"/>
      <c r="BR573" s="69"/>
      <c r="BS573" s="69"/>
      <c r="BT573" s="69"/>
      <c r="BU573" s="69"/>
      <c r="BV573" s="69"/>
      <c r="BW573" s="69"/>
      <c r="BX573" s="69"/>
      <c r="BY573" s="69"/>
      <c r="BZ573" s="69"/>
      <c r="CA573" s="69"/>
      <c r="CB573" s="69"/>
      <c r="CC573" s="69"/>
      <c r="CD573" s="69"/>
      <c r="CE573" s="69"/>
      <c r="CF573" s="69"/>
    </row>
    <row r="574">
      <c r="A574" s="69"/>
      <c r="B574" s="71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69"/>
      <c r="BE574" s="69"/>
      <c r="BF574" s="69"/>
      <c r="BG574" s="69"/>
      <c r="BH574" s="69"/>
      <c r="BI574" s="69"/>
      <c r="BJ574" s="69"/>
      <c r="BK574" s="69"/>
      <c r="BL574" s="69"/>
      <c r="BM574" s="69"/>
      <c r="BN574" s="69"/>
      <c r="BO574" s="69"/>
      <c r="BP574" s="69"/>
      <c r="BQ574" s="69"/>
      <c r="BR574" s="69"/>
      <c r="BS574" s="69"/>
      <c r="BT574" s="69"/>
      <c r="BU574" s="69"/>
      <c r="BV574" s="69"/>
      <c r="BW574" s="69"/>
      <c r="BX574" s="69"/>
      <c r="BY574" s="69"/>
      <c r="BZ574" s="69"/>
      <c r="CA574" s="69"/>
      <c r="CB574" s="69"/>
      <c r="CC574" s="69"/>
      <c r="CD574" s="69"/>
      <c r="CE574" s="69"/>
      <c r="CF574" s="69"/>
    </row>
    <row r="575">
      <c r="A575" s="69"/>
      <c r="B575" s="71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69"/>
      <c r="BE575" s="69"/>
      <c r="BF575" s="69"/>
      <c r="BG575" s="69"/>
      <c r="BH575" s="69"/>
      <c r="BI575" s="69"/>
      <c r="BJ575" s="69"/>
      <c r="BK575" s="69"/>
      <c r="BL575" s="69"/>
      <c r="BM575" s="69"/>
      <c r="BN575" s="69"/>
      <c r="BO575" s="69"/>
      <c r="BP575" s="69"/>
      <c r="BQ575" s="69"/>
      <c r="BR575" s="69"/>
      <c r="BS575" s="69"/>
      <c r="BT575" s="69"/>
      <c r="BU575" s="69"/>
      <c r="BV575" s="69"/>
      <c r="BW575" s="69"/>
      <c r="BX575" s="69"/>
      <c r="BY575" s="69"/>
      <c r="BZ575" s="69"/>
      <c r="CA575" s="69"/>
      <c r="CB575" s="69"/>
      <c r="CC575" s="69"/>
      <c r="CD575" s="69"/>
      <c r="CE575" s="69"/>
      <c r="CF575" s="69"/>
    </row>
    <row r="576">
      <c r="A576" s="69"/>
      <c r="B576" s="71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69"/>
      <c r="BE576" s="69"/>
      <c r="BF576" s="69"/>
      <c r="BG576" s="69"/>
      <c r="BH576" s="69"/>
      <c r="BI576" s="69"/>
      <c r="BJ576" s="69"/>
      <c r="BK576" s="69"/>
      <c r="BL576" s="69"/>
      <c r="BM576" s="69"/>
      <c r="BN576" s="69"/>
      <c r="BO576" s="69"/>
      <c r="BP576" s="69"/>
      <c r="BQ576" s="69"/>
      <c r="BR576" s="69"/>
      <c r="BS576" s="69"/>
      <c r="BT576" s="69"/>
      <c r="BU576" s="69"/>
      <c r="BV576" s="69"/>
      <c r="BW576" s="69"/>
      <c r="BX576" s="69"/>
      <c r="BY576" s="69"/>
      <c r="BZ576" s="69"/>
      <c r="CA576" s="69"/>
      <c r="CB576" s="69"/>
      <c r="CC576" s="69"/>
      <c r="CD576" s="69"/>
      <c r="CE576" s="69"/>
      <c r="CF576" s="69"/>
    </row>
    <row r="577">
      <c r="A577" s="69"/>
      <c r="B577" s="71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69"/>
      <c r="BE577" s="69"/>
      <c r="BF577" s="69"/>
      <c r="BG577" s="69"/>
      <c r="BH577" s="69"/>
      <c r="BI577" s="69"/>
      <c r="BJ577" s="69"/>
      <c r="BK577" s="69"/>
      <c r="BL577" s="69"/>
      <c r="BM577" s="69"/>
      <c r="BN577" s="69"/>
      <c r="BO577" s="69"/>
      <c r="BP577" s="69"/>
      <c r="BQ577" s="69"/>
      <c r="BR577" s="69"/>
      <c r="BS577" s="69"/>
      <c r="BT577" s="69"/>
      <c r="BU577" s="69"/>
      <c r="BV577" s="69"/>
      <c r="BW577" s="69"/>
      <c r="BX577" s="69"/>
      <c r="BY577" s="69"/>
      <c r="BZ577" s="69"/>
      <c r="CA577" s="69"/>
      <c r="CB577" s="69"/>
      <c r="CC577" s="69"/>
      <c r="CD577" s="69"/>
      <c r="CE577" s="69"/>
      <c r="CF577" s="69"/>
    </row>
    <row r="578">
      <c r="A578" s="69"/>
      <c r="B578" s="71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69"/>
      <c r="BE578" s="69"/>
      <c r="BF578" s="69"/>
      <c r="BG578" s="69"/>
      <c r="BH578" s="69"/>
      <c r="BI578" s="69"/>
      <c r="BJ578" s="69"/>
      <c r="BK578" s="69"/>
      <c r="BL578" s="69"/>
      <c r="BM578" s="69"/>
      <c r="BN578" s="69"/>
      <c r="BO578" s="69"/>
      <c r="BP578" s="69"/>
      <c r="BQ578" s="69"/>
      <c r="BR578" s="69"/>
      <c r="BS578" s="69"/>
      <c r="BT578" s="69"/>
      <c r="BU578" s="69"/>
      <c r="BV578" s="69"/>
      <c r="BW578" s="69"/>
      <c r="BX578" s="69"/>
      <c r="BY578" s="69"/>
      <c r="BZ578" s="69"/>
      <c r="CA578" s="69"/>
      <c r="CB578" s="69"/>
      <c r="CC578" s="69"/>
      <c r="CD578" s="69"/>
      <c r="CE578" s="69"/>
      <c r="CF578" s="69"/>
    </row>
    <row r="579">
      <c r="A579" s="69"/>
      <c r="B579" s="71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69"/>
      <c r="BE579" s="69"/>
      <c r="BF579" s="69"/>
      <c r="BG579" s="69"/>
      <c r="BH579" s="69"/>
      <c r="BI579" s="69"/>
      <c r="BJ579" s="69"/>
      <c r="BK579" s="69"/>
      <c r="BL579" s="69"/>
      <c r="BM579" s="69"/>
      <c r="BN579" s="69"/>
      <c r="BO579" s="69"/>
      <c r="BP579" s="69"/>
      <c r="BQ579" s="69"/>
      <c r="BR579" s="69"/>
      <c r="BS579" s="69"/>
      <c r="BT579" s="69"/>
      <c r="BU579" s="69"/>
      <c r="BV579" s="69"/>
      <c r="BW579" s="69"/>
      <c r="BX579" s="69"/>
      <c r="BY579" s="69"/>
      <c r="BZ579" s="69"/>
      <c r="CA579" s="69"/>
      <c r="CB579" s="69"/>
      <c r="CC579" s="69"/>
      <c r="CD579" s="69"/>
      <c r="CE579" s="69"/>
      <c r="CF579" s="69"/>
    </row>
    <row r="580">
      <c r="A580" s="69"/>
      <c r="B580" s="71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69"/>
      <c r="BE580" s="69"/>
      <c r="BF580" s="69"/>
      <c r="BG580" s="69"/>
      <c r="BH580" s="69"/>
      <c r="BI580" s="69"/>
      <c r="BJ580" s="69"/>
      <c r="BK580" s="69"/>
      <c r="BL580" s="69"/>
      <c r="BM580" s="69"/>
      <c r="BN580" s="69"/>
      <c r="BO580" s="69"/>
      <c r="BP580" s="69"/>
      <c r="BQ580" s="69"/>
      <c r="BR580" s="69"/>
      <c r="BS580" s="69"/>
      <c r="BT580" s="69"/>
      <c r="BU580" s="69"/>
      <c r="BV580" s="69"/>
      <c r="BW580" s="69"/>
      <c r="BX580" s="69"/>
      <c r="BY580" s="69"/>
      <c r="BZ580" s="69"/>
      <c r="CA580" s="69"/>
      <c r="CB580" s="69"/>
      <c r="CC580" s="69"/>
      <c r="CD580" s="69"/>
      <c r="CE580" s="69"/>
      <c r="CF580" s="69"/>
    </row>
    <row r="581">
      <c r="A581" s="69"/>
      <c r="B581" s="71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69"/>
      <c r="BE581" s="69"/>
      <c r="BF581" s="69"/>
      <c r="BG581" s="69"/>
      <c r="BH581" s="69"/>
      <c r="BI581" s="69"/>
      <c r="BJ581" s="69"/>
      <c r="BK581" s="69"/>
      <c r="BL581" s="69"/>
      <c r="BM581" s="69"/>
      <c r="BN581" s="69"/>
      <c r="BO581" s="69"/>
      <c r="BP581" s="69"/>
      <c r="BQ581" s="69"/>
      <c r="BR581" s="69"/>
      <c r="BS581" s="69"/>
      <c r="BT581" s="69"/>
      <c r="BU581" s="69"/>
      <c r="BV581" s="69"/>
      <c r="BW581" s="69"/>
      <c r="BX581" s="69"/>
      <c r="BY581" s="69"/>
      <c r="BZ581" s="69"/>
      <c r="CA581" s="69"/>
      <c r="CB581" s="69"/>
      <c r="CC581" s="69"/>
      <c r="CD581" s="69"/>
      <c r="CE581" s="69"/>
      <c r="CF581" s="69"/>
    </row>
    <row r="582">
      <c r="A582" s="69"/>
      <c r="B582" s="71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69"/>
      <c r="BE582" s="69"/>
      <c r="BF582" s="69"/>
      <c r="BG582" s="69"/>
      <c r="BH582" s="69"/>
      <c r="BI582" s="69"/>
      <c r="BJ582" s="69"/>
      <c r="BK582" s="69"/>
      <c r="BL582" s="69"/>
      <c r="BM582" s="69"/>
      <c r="BN582" s="69"/>
      <c r="BO582" s="69"/>
      <c r="BP582" s="69"/>
      <c r="BQ582" s="69"/>
      <c r="BR582" s="69"/>
      <c r="BS582" s="69"/>
      <c r="BT582" s="69"/>
      <c r="BU582" s="69"/>
      <c r="BV582" s="69"/>
      <c r="BW582" s="69"/>
      <c r="BX582" s="69"/>
      <c r="BY582" s="69"/>
      <c r="BZ582" s="69"/>
      <c r="CA582" s="69"/>
      <c r="CB582" s="69"/>
      <c r="CC582" s="69"/>
      <c r="CD582" s="69"/>
      <c r="CE582" s="69"/>
      <c r="CF582" s="69"/>
    </row>
    <row r="583">
      <c r="A583" s="69"/>
      <c r="B583" s="71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69"/>
      <c r="BE583" s="69"/>
      <c r="BF583" s="69"/>
      <c r="BG583" s="69"/>
      <c r="BH583" s="69"/>
      <c r="BI583" s="69"/>
      <c r="BJ583" s="69"/>
      <c r="BK583" s="69"/>
      <c r="BL583" s="69"/>
      <c r="BM583" s="69"/>
      <c r="BN583" s="69"/>
      <c r="BO583" s="69"/>
      <c r="BP583" s="69"/>
      <c r="BQ583" s="69"/>
      <c r="BR583" s="69"/>
      <c r="BS583" s="69"/>
      <c r="BT583" s="69"/>
      <c r="BU583" s="69"/>
      <c r="BV583" s="69"/>
      <c r="BW583" s="69"/>
      <c r="BX583" s="69"/>
      <c r="BY583" s="69"/>
      <c r="BZ583" s="69"/>
      <c r="CA583" s="69"/>
      <c r="CB583" s="69"/>
      <c r="CC583" s="69"/>
      <c r="CD583" s="69"/>
      <c r="CE583" s="69"/>
      <c r="CF583" s="69"/>
    </row>
    <row r="584">
      <c r="A584" s="69"/>
      <c r="B584" s="71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69"/>
      <c r="BE584" s="69"/>
      <c r="BF584" s="69"/>
      <c r="BG584" s="69"/>
      <c r="BH584" s="69"/>
      <c r="BI584" s="69"/>
      <c r="BJ584" s="69"/>
      <c r="BK584" s="69"/>
      <c r="BL584" s="69"/>
      <c r="BM584" s="69"/>
      <c r="BN584" s="69"/>
      <c r="BO584" s="69"/>
      <c r="BP584" s="69"/>
      <c r="BQ584" s="69"/>
      <c r="BR584" s="69"/>
      <c r="BS584" s="69"/>
      <c r="BT584" s="69"/>
      <c r="BU584" s="69"/>
      <c r="BV584" s="69"/>
      <c r="BW584" s="69"/>
      <c r="BX584" s="69"/>
      <c r="BY584" s="69"/>
      <c r="BZ584" s="69"/>
      <c r="CA584" s="69"/>
      <c r="CB584" s="69"/>
      <c r="CC584" s="69"/>
      <c r="CD584" s="69"/>
      <c r="CE584" s="69"/>
      <c r="CF584" s="69"/>
    </row>
    <row r="585">
      <c r="A585" s="69"/>
      <c r="B585" s="71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69"/>
      <c r="BE585" s="69"/>
      <c r="BF585" s="69"/>
      <c r="BG585" s="69"/>
      <c r="BH585" s="69"/>
      <c r="BI585" s="69"/>
      <c r="BJ585" s="69"/>
      <c r="BK585" s="69"/>
      <c r="BL585" s="69"/>
      <c r="BM585" s="69"/>
      <c r="BN585" s="69"/>
      <c r="BO585" s="69"/>
      <c r="BP585" s="69"/>
      <c r="BQ585" s="69"/>
      <c r="BR585" s="69"/>
      <c r="BS585" s="69"/>
      <c r="BT585" s="69"/>
      <c r="BU585" s="69"/>
      <c r="BV585" s="69"/>
      <c r="BW585" s="69"/>
      <c r="BX585" s="69"/>
      <c r="BY585" s="69"/>
      <c r="BZ585" s="69"/>
      <c r="CA585" s="69"/>
      <c r="CB585" s="69"/>
      <c r="CC585" s="69"/>
      <c r="CD585" s="69"/>
      <c r="CE585" s="69"/>
      <c r="CF585" s="69"/>
    </row>
    <row r="586">
      <c r="A586" s="69"/>
      <c r="B586" s="71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69"/>
      <c r="BE586" s="69"/>
      <c r="BF586" s="69"/>
      <c r="BG586" s="69"/>
      <c r="BH586" s="69"/>
      <c r="BI586" s="69"/>
      <c r="BJ586" s="69"/>
      <c r="BK586" s="69"/>
      <c r="BL586" s="69"/>
      <c r="BM586" s="69"/>
      <c r="BN586" s="69"/>
      <c r="BO586" s="69"/>
      <c r="BP586" s="69"/>
      <c r="BQ586" s="69"/>
      <c r="BR586" s="69"/>
      <c r="BS586" s="69"/>
      <c r="BT586" s="69"/>
      <c r="BU586" s="69"/>
      <c r="BV586" s="69"/>
      <c r="BW586" s="69"/>
      <c r="BX586" s="69"/>
      <c r="BY586" s="69"/>
      <c r="BZ586" s="69"/>
      <c r="CA586" s="69"/>
      <c r="CB586" s="69"/>
      <c r="CC586" s="69"/>
      <c r="CD586" s="69"/>
      <c r="CE586" s="69"/>
      <c r="CF586" s="69"/>
    </row>
    <row r="587">
      <c r="A587" s="69"/>
      <c r="B587" s="71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69"/>
      <c r="BE587" s="69"/>
      <c r="BF587" s="69"/>
      <c r="BG587" s="69"/>
      <c r="BH587" s="69"/>
      <c r="BI587" s="69"/>
      <c r="BJ587" s="69"/>
      <c r="BK587" s="69"/>
      <c r="BL587" s="69"/>
      <c r="BM587" s="69"/>
      <c r="BN587" s="69"/>
      <c r="BO587" s="69"/>
      <c r="BP587" s="69"/>
      <c r="BQ587" s="69"/>
      <c r="BR587" s="69"/>
      <c r="BS587" s="69"/>
      <c r="BT587" s="69"/>
      <c r="BU587" s="69"/>
      <c r="BV587" s="69"/>
      <c r="BW587" s="69"/>
      <c r="BX587" s="69"/>
      <c r="BY587" s="69"/>
      <c r="BZ587" s="69"/>
      <c r="CA587" s="69"/>
      <c r="CB587" s="69"/>
      <c r="CC587" s="69"/>
      <c r="CD587" s="69"/>
      <c r="CE587" s="69"/>
      <c r="CF587" s="69"/>
    </row>
    <row r="588">
      <c r="A588" s="69"/>
      <c r="B588" s="71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69"/>
      <c r="BE588" s="69"/>
      <c r="BF588" s="69"/>
      <c r="BG588" s="69"/>
      <c r="BH588" s="69"/>
      <c r="BI588" s="69"/>
      <c r="BJ588" s="69"/>
      <c r="BK588" s="69"/>
      <c r="BL588" s="69"/>
      <c r="BM588" s="69"/>
      <c r="BN588" s="69"/>
      <c r="BO588" s="69"/>
      <c r="BP588" s="69"/>
      <c r="BQ588" s="69"/>
      <c r="BR588" s="69"/>
      <c r="BS588" s="69"/>
      <c r="BT588" s="69"/>
      <c r="BU588" s="69"/>
      <c r="BV588" s="69"/>
      <c r="BW588" s="69"/>
      <c r="BX588" s="69"/>
      <c r="BY588" s="69"/>
      <c r="BZ588" s="69"/>
      <c r="CA588" s="69"/>
      <c r="CB588" s="69"/>
      <c r="CC588" s="69"/>
      <c r="CD588" s="69"/>
      <c r="CE588" s="69"/>
      <c r="CF588" s="69"/>
    </row>
    <row r="589">
      <c r="A589" s="69"/>
      <c r="B589" s="71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69"/>
      <c r="BE589" s="69"/>
      <c r="BF589" s="69"/>
      <c r="BG589" s="69"/>
      <c r="BH589" s="69"/>
      <c r="BI589" s="69"/>
      <c r="BJ589" s="69"/>
      <c r="BK589" s="69"/>
      <c r="BL589" s="69"/>
      <c r="BM589" s="69"/>
      <c r="BN589" s="69"/>
      <c r="BO589" s="69"/>
      <c r="BP589" s="69"/>
      <c r="BQ589" s="69"/>
      <c r="BR589" s="69"/>
      <c r="BS589" s="69"/>
      <c r="BT589" s="69"/>
      <c r="BU589" s="69"/>
      <c r="BV589" s="69"/>
      <c r="BW589" s="69"/>
      <c r="BX589" s="69"/>
      <c r="BY589" s="69"/>
      <c r="BZ589" s="69"/>
      <c r="CA589" s="69"/>
      <c r="CB589" s="69"/>
      <c r="CC589" s="69"/>
      <c r="CD589" s="69"/>
      <c r="CE589" s="69"/>
      <c r="CF589" s="69"/>
    </row>
    <row r="590">
      <c r="A590" s="69"/>
      <c r="B590" s="71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69"/>
      <c r="BE590" s="69"/>
      <c r="BF590" s="69"/>
      <c r="BG590" s="69"/>
      <c r="BH590" s="69"/>
      <c r="BI590" s="69"/>
      <c r="BJ590" s="69"/>
      <c r="BK590" s="69"/>
      <c r="BL590" s="69"/>
      <c r="BM590" s="69"/>
      <c r="BN590" s="69"/>
      <c r="BO590" s="69"/>
      <c r="BP590" s="69"/>
      <c r="BQ590" s="69"/>
      <c r="BR590" s="69"/>
      <c r="BS590" s="69"/>
      <c r="BT590" s="69"/>
      <c r="BU590" s="69"/>
      <c r="BV590" s="69"/>
      <c r="BW590" s="69"/>
      <c r="BX590" s="69"/>
      <c r="BY590" s="69"/>
      <c r="BZ590" s="69"/>
      <c r="CA590" s="69"/>
      <c r="CB590" s="69"/>
      <c r="CC590" s="69"/>
      <c r="CD590" s="69"/>
      <c r="CE590" s="69"/>
      <c r="CF590" s="69"/>
    </row>
    <row r="591">
      <c r="A591" s="69"/>
      <c r="B591" s="71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69"/>
      <c r="BE591" s="69"/>
      <c r="BF591" s="69"/>
      <c r="BG591" s="69"/>
      <c r="BH591" s="69"/>
      <c r="BI591" s="69"/>
      <c r="BJ591" s="69"/>
      <c r="BK591" s="69"/>
      <c r="BL591" s="69"/>
      <c r="BM591" s="69"/>
      <c r="BN591" s="69"/>
      <c r="BO591" s="69"/>
      <c r="BP591" s="69"/>
      <c r="BQ591" s="69"/>
      <c r="BR591" s="69"/>
      <c r="BS591" s="69"/>
      <c r="BT591" s="69"/>
      <c r="BU591" s="69"/>
      <c r="BV591" s="69"/>
      <c r="BW591" s="69"/>
      <c r="BX591" s="69"/>
      <c r="BY591" s="69"/>
      <c r="BZ591" s="69"/>
      <c r="CA591" s="69"/>
      <c r="CB591" s="69"/>
      <c r="CC591" s="69"/>
      <c r="CD591" s="69"/>
      <c r="CE591" s="69"/>
      <c r="CF591" s="69"/>
    </row>
    <row r="592">
      <c r="A592" s="69"/>
      <c r="B592" s="71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69"/>
      <c r="BE592" s="69"/>
      <c r="BF592" s="69"/>
      <c r="BG592" s="69"/>
      <c r="BH592" s="69"/>
      <c r="BI592" s="69"/>
      <c r="BJ592" s="69"/>
      <c r="BK592" s="69"/>
      <c r="BL592" s="69"/>
      <c r="BM592" s="69"/>
      <c r="BN592" s="69"/>
      <c r="BO592" s="69"/>
      <c r="BP592" s="69"/>
      <c r="BQ592" s="69"/>
      <c r="BR592" s="69"/>
      <c r="BS592" s="69"/>
      <c r="BT592" s="69"/>
      <c r="BU592" s="69"/>
      <c r="BV592" s="69"/>
      <c r="BW592" s="69"/>
      <c r="BX592" s="69"/>
      <c r="BY592" s="69"/>
      <c r="BZ592" s="69"/>
      <c r="CA592" s="69"/>
      <c r="CB592" s="69"/>
      <c r="CC592" s="69"/>
      <c r="CD592" s="69"/>
      <c r="CE592" s="69"/>
      <c r="CF592" s="69"/>
    </row>
    <row r="593">
      <c r="A593" s="69"/>
      <c r="B593" s="71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69"/>
      <c r="BE593" s="69"/>
      <c r="BF593" s="69"/>
      <c r="BG593" s="69"/>
      <c r="BH593" s="69"/>
      <c r="BI593" s="69"/>
      <c r="BJ593" s="69"/>
      <c r="BK593" s="69"/>
      <c r="BL593" s="69"/>
      <c r="BM593" s="69"/>
      <c r="BN593" s="69"/>
      <c r="BO593" s="69"/>
      <c r="BP593" s="69"/>
      <c r="BQ593" s="69"/>
      <c r="BR593" s="69"/>
      <c r="BS593" s="69"/>
      <c r="BT593" s="69"/>
      <c r="BU593" s="69"/>
      <c r="BV593" s="69"/>
      <c r="BW593" s="69"/>
      <c r="BX593" s="69"/>
      <c r="BY593" s="69"/>
      <c r="BZ593" s="69"/>
      <c r="CA593" s="69"/>
      <c r="CB593" s="69"/>
      <c r="CC593" s="69"/>
      <c r="CD593" s="69"/>
      <c r="CE593" s="69"/>
      <c r="CF593" s="69"/>
    </row>
    <row r="594">
      <c r="A594" s="69"/>
      <c r="B594" s="71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69"/>
      <c r="BE594" s="69"/>
      <c r="BF594" s="69"/>
      <c r="BG594" s="69"/>
      <c r="BH594" s="69"/>
      <c r="BI594" s="69"/>
      <c r="BJ594" s="69"/>
      <c r="BK594" s="69"/>
      <c r="BL594" s="69"/>
      <c r="BM594" s="69"/>
      <c r="BN594" s="69"/>
      <c r="BO594" s="69"/>
      <c r="BP594" s="69"/>
      <c r="BQ594" s="69"/>
      <c r="BR594" s="69"/>
      <c r="BS594" s="69"/>
      <c r="BT594" s="69"/>
      <c r="BU594" s="69"/>
      <c r="BV594" s="69"/>
      <c r="BW594" s="69"/>
      <c r="BX594" s="69"/>
      <c r="BY594" s="69"/>
      <c r="BZ594" s="69"/>
      <c r="CA594" s="69"/>
      <c r="CB594" s="69"/>
      <c r="CC594" s="69"/>
      <c r="CD594" s="69"/>
      <c r="CE594" s="69"/>
      <c r="CF594" s="69"/>
    </row>
    <row r="595">
      <c r="A595" s="69"/>
      <c r="B595" s="71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69"/>
      <c r="BE595" s="69"/>
      <c r="BF595" s="69"/>
      <c r="BG595" s="69"/>
      <c r="BH595" s="69"/>
      <c r="BI595" s="69"/>
      <c r="BJ595" s="69"/>
      <c r="BK595" s="69"/>
      <c r="BL595" s="69"/>
      <c r="BM595" s="69"/>
      <c r="BN595" s="69"/>
      <c r="BO595" s="69"/>
      <c r="BP595" s="69"/>
      <c r="BQ595" s="69"/>
      <c r="BR595" s="69"/>
      <c r="BS595" s="69"/>
      <c r="BT595" s="69"/>
      <c r="BU595" s="69"/>
      <c r="BV595" s="69"/>
      <c r="BW595" s="69"/>
      <c r="BX595" s="69"/>
      <c r="BY595" s="69"/>
      <c r="BZ595" s="69"/>
      <c r="CA595" s="69"/>
      <c r="CB595" s="69"/>
      <c r="CC595" s="69"/>
      <c r="CD595" s="69"/>
      <c r="CE595" s="69"/>
      <c r="CF595" s="69"/>
    </row>
    <row r="596">
      <c r="A596" s="69"/>
      <c r="B596" s="71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69"/>
      <c r="BE596" s="69"/>
      <c r="BF596" s="69"/>
      <c r="BG596" s="69"/>
      <c r="BH596" s="69"/>
      <c r="BI596" s="69"/>
      <c r="BJ596" s="69"/>
      <c r="BK596" s="69"/>
      <c r="BL596" s="69"/>
      <c r="BM596" s="69"/>
      <c r="BN596" s="69"/>
      <c r="BO596" s="69"/>
      <c r="BP596" s="69"/>
      <c r="BQ596" s="69"/>
      <c r="BR596" s="69"/>
      <c r="BS596" s="69"/>
      <c r="BT596" s="69"/>
      <c r="BU596" s="69"/>
      <c r="BV596" s="69"/>
      <c r="BW596" s="69"/>
      <c r="BX596" s="69"/>
      <c r="BY596" s="69"/>
      <c r="BZ596" s="69"/>
      <c r="CA596" s="69"/>
      <c r="CB596" s="69"/>
      <c r="CC596" s="69"/>
      <c r="CD596" s="69"/>
      <c r="CE596" s="69"/>
      <c r="CF596" s="69"/>
    </row>
    <row r="597">
      <c r="A597" s="69"/>
      <c r="B597" s="71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69"/>
      <c r="BE597" s="69"/>
      <c r="BF597" s="69"/>
      <c r="BG597" s="69"/>
      <c r="BH597" s="69"/>
      <c r="BI597" s="69"/>
      <c r="BJ597" s="69"/>
      <c r="BK597" s="69"/>
      <c r="BL597" s="69"/>
      <c r="BM597" s="69"/>
      <c r="BN597" s="69"/>
      <c r="BO597" s="69"/>
      <c r="BP597" s="69"/>
      <c r="BQ597" s="69"/>
      <c r="BR597" s="69"/>
      <c r="BS597" s="69"/>
      <c r="BT597" s="69"/>
      <c r="BU597" s="69"/>
      <c r="BV597" s="69"/>
      <c r="BW597" s="69"/>
      <c r="BX597" s="69"/>
      <c r="BY597" s="69"/>
      <c r="BZ597" s="69"/>
      <c r="CA597" s="69"/>
      <c r="CB597" s="69"/>
      <c r="CC597" s="69"/>
      <c r="CD597" s="69"/>
      <c r="CE597" s="69"/>
      <c r="CF597" s="69"/>
    </row>
    <row r="598">
      <c r="A598" s="69"/>
      <c r="B598" s="71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69"/>
      <c r="BE598" s="69"/>
      <c r="BF598" s="69"/>
      <c r="BG598" s="69"/>
      <c r="BH598" s="69"/>
      <c r="BI598" s="69"/>
      <c r="BJ598" s="69"/>
      <c r="BK598" s="69"/>
      <c r="BL598" s="69"/>
      <c r="BM598" s="69"/>
      <c r="BN598" s="69"/>
      <c r="BO598" s="69"/>
      <c r="BP598" s="69"/>
      <c r="BQ598" s="69"/>
      <c r="BR598" s="69"/>
      <c r="BS598" s="69"/>
      <c r="BT598" s="69"/>
      <c r="BU598" s="69"/>
      <c r="BV598" s="69"/>
      <c r="BW598" s="69"/>
      <c r="BX598" s="69"/>
      <c r="BY598" s="69"/>
      <c r="BZ598" s="69"/>
      <c r="CA598" s="69"/>
      <c r="CB598" s="69"/>
      <c r="CC598" s="69"/>
      <c r="CD598" s="69"/>
      <c r="CE598" s="69"/>
      <c r="CF598" s="69"/>
    </row>
    <row r="599">
      <c r="A599" s="69"/>
      <c r="B599" s="71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69"/>
      <c r="BE599" s="69"/>
      <c r="BF599" s="69"/>
      <c r="BG599" s="69"/>
      <c r="BH599" s="69"/>
      <c r="BI599" s="69"/>
      <c r="BJ599" s="69"/>
      <c r="BK599" s="69"/>
      <c r="BL599" s="69"/>
      <c r="BM599" s="69"/>
      <c r="BN599" s="69"/>
      <c r="BO599" s="69"/>
      <c r="BP599" s="69"/>
      <c r="BQ599" s="69"/>
      <c r="BR599" s="69"/>
      <c r="BS599" s="69"/>
      <c r="BT599" s="69"/>
      <c r="BU599" s="69"/>
      <c r="BV599" s="69"/>
      <c r="BW599" s="69"/>
      <c r="BX599" s="69"/>
      <c r="BY599" s="69"/>
      <c r="BZ599" s="69"/>
      <c r="CA599" s="69"/>
      <c r="CB599" s="69"/>
      <c r="CC599" s="69"/>
      <c r="CD599" s="69"/>
      <c r="CE599" s="69"/>
      <c r="CF599" s="69"/>
    </row>
    <row r="600">
      <c r="A600" s="69"/>
      <c r="B600" s="71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69"/>
      <c r="BE600" s="69"/>
      <c r="BF600" s="69"/>
      <c r="BG600" s="69"/>
      <c r="BH600" s="69"/>
      <c r="BI600" s="69"/>
      <c r="BJ600" s="69"/>
      <c r="BK600" s="69"/>
      <c r="BL600" s="69"/>
      <c r="BM600" s="69"/>
      <c r="BN600" s="69"/>
      <c r="BO600" s="69"/>
      <c r="BP600" s="69"/>
      <c r="BQ600" s="69"/>
      <c r="BR600" s="69"/>
      <c r="BS600" s="69"/>
      <c r="BT600" s="69"/>
      <c r="BU600" s="69"/>
      <c r="BV600" s="69"/>
      <c r="BW600" s="69"/>
      <c r="BX600" s="69"/>
      <c r="BY600" s="69"/>
      <c r="BZ600" s="69"/>
      <c r="CA600" s="69"/>
      <c r="CB600" s="69"/>
      <c r="CC600" s="69"/>
      <c r="CD600" s="69"/>
      <c r="CE600" s="69"/>
      <c r="CF600" s="69"/>
    </row>
    <row r="601">
      <c r="A601" s="69"/>
      <c r="B601" s="71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69"/>
      <c r="BE601" s="69"/>
      <c r="BF601" s="69"/>
      <c r="BG601" s="69"/>
      <c r="BH601" s="69"/>
      <c r="BI601" s="69"/>
      <c r="BJ601" s="69"/>
      <c r="BK601" s="69"/>
      <c r="BL601" s="69"/>
      <c r="BM601" s="69"/>
      <c r="BN601" s="69"/>
      <c r="BO601" s="69"/>
      <c r="BP601" s="69"/>
      <c r="BQ601" s="69"/>
      <c r="BR601" s="69"/>
      <c r="BS601" s="69"/>
      <c r="BT601" s="69"/>
      <c r="BU601" s="69"/>
      <c r="BV601" s="69"/>
      <c r="BW601" s="69"/>
      <c r="BX601" s="69"/>
      <c r="BY601" s="69"/>
      <c r="BZ601" s="69"/>
      <c r="CA601" s="69"/>
      <c r="CB601" s="69"/>
      <c r="CC601" s="69"/>
      <c r="CD601" s="69"/>
      <c r="CE601" s="69"/>
      <c r="CF601" s="69"/>
    </row>
    <row r="602">
      <c r="A602" s="69"/>
      <c r="B602" s="71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69"/>
      <c r="BE602" s="69"/>
      <c r="BF602" s="69"/>
      <c r="BG602" s="69"/>
      <c r="BH602" s="69"/>
      <c r="BI602" s="69"/>
      <c r="BJ602" s="69"/>
      <c r="BK602" s="69"/>
      <c r="BL602" s="69"/>
      <c r="BM602" s="69"/>
      <c r="BN602" s="69"/>
      <c r="BO602" s="69"/>
      <c r="BP602" s="69"/>
      <c r="BQ602" s="69"/>
      <c r="BR602" s="69"/>
      <c r="BS602" s="69"/>
      <c r="BT602" s="69"/>
      <c r="BU602" s="69"/>
      <c r="BV602" s="69"/>
      <c r="BW602" s="69"/>
      <c r="BX602" s="69"/>
      <c r="BY602" s="69"/>
      <c r="BZ602" s="69"/>
      <c r="CA602" s="69"/>
      <c r="CB602" s="69"/>
      <c r="CC602" s="69"/>
      <c r="CD602" s="69"/>
      <c r="CE602" s="69"/>
      <c r="CF602" s="69"/>
    </row>
    <row r="603">
      <c r="A603" s="69"/>
      <c r="B603" s="71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69"/>
      <c r="BE603" s="69"/>
      <c r="BF603" s="69"/>
      <c r="BG603" s="69"/>
      <c r="BH603" s="69"/>
      <c r="BI603" s="69"/>
      <c r="BJ603" s="69"/>
      <c r="BK603" s="69"/>
      <c r="BL603" s="69"/>
      <c r="BM603" s="69"/>
      <c r="BN603" s="69"/>
      <c r="BO603" s="69"/>
      <c r="BP603" s="69"/>
      <c r="BQ603" s="69"/>
      <c r="BR603" s="69"/>
      <c r="BS603" s="69"/>
      <c r="BT603" s="69"/>
      <c r="BU603" s="69"/>
      <c r="BV603" s="69"/>
      <c r="BW603" s="69"/>
      <c r="BX603" s="69"/>
      <c r="BY603" s="69"/>
      <c r="BZ603" s="69"/>
      <c r="CA603" s="69"/>
      <c r="CB603" s="69"/>
      <c r="CC603" s="69"/>
      <c r="CD603" s="69"/>
      <c r="CE603" s="69"/>
      <c r="CF603" s="69"/>
    </row>
    <row r="604">
      <c r="A604" s="69"/>
      <c r="B604" s="71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69"/>
      <c r="BE604" s="69"/>
      <c r="BF604" s="69"/>
      <c r="BG604" s="69"/>
      <c r="BH604" s="69"/>
      <c r="BI604" s="69"/>
      <c r="BJ604" s="69"/>
      <c r="BK604" s="69"/>
      <c r="BL604" s="69"/>
      <c r="BM604" s="69"/>
      <c r="BN604" s="69"/>
      <c r="BO604" s="69"/>
      <c r="BP604" s="69"/>
      <c r="BQ604" s="69"/>
      <c r="BR604" s="69"/>
      <c r="BS604" s="69"/>
      <c r="BT604" s="69"/>
      <c r="BU604" s="69"/>
      <c r="BV604" s="69"/>
      <c r="BW604" s="69"/>
      <c r="BX604" s="69"/>
      <c r="BY604" s="69"/>
      <c r="BZ604" s="69"/>
      <c r="CA604" s="69"/>
      <c r="CB604" s="69"/>
      <c r="CC604" s="69"/>
      <c r="CD604" s="69"/>
      <c r="CE604" s="69"/>
      <c r="CF604" s="69"/>
    </row>
    <row r="605">
      <c r="A605" s="69"/>
      <c r="B605" s="71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69"/>
      <c r="BE605" s="69"/>
      <c r="BF605" s="69"/>
      <c r="BG605" s="69"/>
      <c r="BH605" s="69"/>
      <c r="BI605" s="69"/>
      <c r="BJ605" s="69"/>
      <c r="BK605" s="69"/>
      <c r="BL605" s="69"/>
      <c r="BM605" s="69"/>
      <c r="BN605" s="69"/>
      <c r="BO605" s="69"/>
      <c r="BP605" s="69"/>
      <c r="BQ605" s="69"/>
      <c r="BR605" s="69"/>
      <c r="BS605" s="69"/>
      <c r="BT605" s="69"/>
      <c r="BU605" s="69"/>
      <c r="BV605" s="69"/>
      <c r="BW605" s="69"/>
      <c r="BX605" s="69"/>
      <c r="BY605" s="69"/>
      <c r="BZ605" s="69"/>
      <c r="CA605" s="69"/>
      <c r="CB605" s="69"/>
      <c r="CC605" s="69"/>
      <c r="CD605" s="69"/>
      <c r="CE605" s="69"/>
      <c r="CF605" s="69"/>
    </row>
    <row r="606">
      <c r="A606" s="69"/>
      <c r="B606" s="71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69"/>
      <c r="BE606" s="69"/>
      <c r="BF606" s="69"/>
      <c r="BG606" s="69"/>
      <c r="BH606" s="69"/>
      <c r="BI606" s="69"/>
      <c r="BJ606" s="69"/>
      <c r="BK606" s="69"/>
      <c r="BL606" s="69"/>
      <c r="BM606" s="69"/>
      <c r="BN606" s="69"/>
      <c r="BO606" s="69"/>
      <c r="BP606" s="69"/>
      <c r="BQ606" s="69"/>
      <c r="BR606" s="69"/>
      <c r="BS606" s="69"/>
      <c r="BT606" s="69"/>
      <c r="BU606" s="69"/>
      <c r="BV606" s="69"/>
      <c r="BW606" s="69"/>
      <c r="BX606" s="69"/>
      <c r="BY606" s="69"/>
      <c r="BZ606" s="69"/>
      <c r="CA606" s="69"/>
      <c r="CB606" s="69"/>
      <c r="CC606" s="69"/>
      <c r="CD606" s="69"/>
      <c r="CE606" s="69"/>
      <c r="CF606" s="69"/>
    </row>
    <row r="607">
      <c r="A607" s="69"/>
      <c r="B607" s="71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69"/>
      <c r="BE607" s="69"/>
      <c r="BF607" s="69"/>
      <c r="BG607" s="69"/>
      <c r="BH607" s="69"/>
      <c r="BI607" s="69"/>
      <c r="BJ607" s="69"/>
      <c r="BK607" s="69"/>
      <c r="BL607" s="69"/>
      <c r="BM607" s="69"/>
      <c r="BN607" s="69"/>
      <c r="BO607" s="69"/>
      <c r="BP607" s="69"/>
      <c r="BQ607" s="69"/>
      <c r="BR607" s="69"/>
      <c r="BS607" s="69"/>
      <c r="BT607" s="69"/>
      <c r="BU607" s="69"/>
      <c r="BV607" s="69"/>
      <c r="BW607" s="69"/>
      <c r="BX607" s="69"/>
      <c r="BY607" s="69"/>
      <c r="BZ607" s="69"/>
      <c r="CA607" s="69"/>
      <c r="CB607" s="69"/>
      <c r="CC607" s="69"/>
      <c r="CD607" s="69"/>
      <c r="CE607" s="69"/>
      <c r="CF607" s="69"/>
    </row>
    <row r="608">
      <c r="A608" s="69"/>
      <c r="B608" s="71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69"/>
      <c r="BE608" s="69"/>
      <c r="BF608" s="69"/>
      <c r="BG608" s="69"/>
      <c r="BH608" s="69"/>
      <c r="BI608" s="69"/>
      <c r="BJ608" s="69"/>
      <c r="BK608" s="69"/>
      <c r="BL608" s="69"/>
      <c r="BM608" s="69"/>
      <c r="BN608" s="69"/>
      <c r="BO608" s="69"/>
      <c r="BP608" s="69"/>
      <c r="BQ608" s="69"/>
      <c r="BR608" s="69"/>
      <c r="BS608" s="69"/>
      <c r="BT608" s="69"/>
      <c r="BU608" s="69"/>
      <c r="BV608" s="69"/>
      <c r="BW608" s="69"/>
      <c r="BX608" s="69"/>
      <c r="BY608" s="69"/>
      <c r="BZ608" s="69"/>
      <c r="CA608" s="69"/>
      <c r="CB608" s="69"/>
      <c r="CC608" s="69"/>
      <c r="CD608" s="69"/>
      <c r="CE608" s="69"/>
      <c r="CF608" s="69"/>
    </row>
    <row r="609">
      <c r="A609" s="69"/>
      <c r="B609" s="71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69"/>
      <c r="BE609" s="69"/>
      <c r="BF609" s="69"/>
      <c r="BG609" s="69"/>
      <c r="BH609" s="69"/>
      <c r="BI609" s="69"/>
      <c r="BJ609" s="69"/>
      <c r="BK609" s="69"/>
      <c r="BL609" s="69"/>
      <c r="BM609" s="69"/>
      <c r="BN609" s="69"/>
      <c r="BO609" s="69"/>
      <c r="BP609" s="69"/>
      <c r="BQ609" s="69"/>
      <c r="BR609" s="69"/>
      <c r="BS609" s="69"/>
      <c r="BT609" s="69"/>
      <c r="BU609" s="69"/>
      <c r="BV609" s="69"/>
      <c r="BW609" s="69"/>
      <c r="BX609" s="69"/>
      <c r="BY609" s="69"/>
      <c r="BZ609" s="69"/>
      <c r="CA609" s="69"/>
      <c r="CB609" s="69"/>
      <c r="CC609" s="69"/>
      <c r="CD609" s="69"/>
      <c r="CE609" s="69"/>
      <c r="CF609" s="69"/>
    </row>
    <row r="610">
      <c r="A610" s="69"/>
      <c r="B610" s="71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69"/>
      <c r="BE610" s="69"/>
      <c r="BF610" s="69"/>
      <c r="BG610" s="69"/>
      <c r="BH610" s="69"/>
      <c r="BI610" s="69"/>
      <c r="BJ610" s="69"/>
      <c r="BK610" s="69"/>
      <c r="BL610" s="69"/>
      <c r="BM610" s="69"/>
      <c r="BN610" s="69"/>
      <c r="BO610" s="69"/>
      <c r="BP610" s="69"/>
      <c r="BQ610" s="69"/>
      <c r="BR610" s="69"/>
      <c r="BS610" s="69"/>
      <c r="BT610" s="69"/>
      <c r="BU610" s="69"/>
      <c r="BV610" s="69"/>
      <c r="BW610" s="69"/>
      <c r="BX610" s="69"/>
      <c r="BY610" s="69"/>
      <c r="BZ610" s="69"/>
      <c r="CA610" s="69"/>
      <c r="CB610" s="69"/>
      <c r="CC610" s="69"/>
      <c r="CD610" s="69"/>
      <c r="CE610" s="69"/>
      <c r="CF610" s="69"/>
    </row>
    <row r="611">
      <c r="A611" s="69"/>
      <c r="B611" s="71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69"/>
      <c r="BE611" s="69"/>
      <c r="BF611" s="69"/>
      <c r="BG611" s="69"/>
      <c r="BH611" s="69"/>
      <c r="BI611" s="69"/>
      <c r="BJ611" s="69"/>
      <c r="BK611" s="69"/>
      <c r="BL611" s="69"/>
      <c r="BM611" s="69"/>
      <c r="BN611" s="69"/>
      <c r="BO611" s="69"/>
      <c r="BP611" s="69"/>
      <c r="BQ611" s="69"/>
      <c r="BR611" s="69"/>
      <c r="BS611" s="69"/>
      <c r="BT611" s="69"/>
      <c r="BU611" s="69"/>
      <c r="BV611" s="69"/>
      <c r="BW611" s="69"/>
      <c r="BX611" s="69"/>
      <c r="BY611" s="69"/>
      <c r="BZ611" s="69"/>
      <c r="CA611" s="69"/>
      <c r="CB611" s="69"/>
      <c r="CC611" s="69"/>
      <c r="CD611" s="69"/>
      <c r="CE611" s="69"/>
      <c r="CF611" s="69"/>
    </row>
    <row r="612">
      <c r="A612" s="69"/>
      <c r="B612" s="71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69"/>
      <c r="BE612" s="69"/>
      <c r="BF612" s="69"/>
      <c r="BG612" s="69"/>
      <c r="BH612" s="69"/>
      <c r="BI612" s="69"/>
      <c r="BJ612" s="69"/>
      <c r="BK612" s="69"/>
      <c r="BL612" s="69"/>
      <c r="BM612" s="69"/>
      <c r="BN612" s="69"/>
      <c r="BO612" s="69"/>
      <c r="BP612" s="69"/>
      <c r="BQ612" s="69"/>
      <c r="BR612" s="69"/>
      <c r="BS612" s="69"/>
      <c r="BT612" s="69"/>
      <c r="BU612" s="69"/>
      <c r="BV612" s="69"/>
      <c r="BW612" s="69"/>
      <c r="BX612" s="69"/>
      <c r="BY612" s="69"/>
      <c r="BZ612" s="69"/>
      <c r="CA612" s="69"/>
      <c r="CB612" s="69"/>
      <c r="CC612" s="69"/>
      <c r="CD612" s="69"/>
      <c r="CE612" s="69"/>
      <c r="CF612" s="69"/>
    </row>
    <row r="613">
      <c r="A613" s="69"/>
      <c r="B613" s="71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69"/>
      <c r="BE613" s="69"/>
      <c r="BF613" s="69"/>
      <c r="BG613" s="69"/>
      <c r="BH613" s="69"/>
      <c r="BI613" s="69"/>
      <c r="BJ613" s="69"/>
      <c r="BK613" s="69"/>
      <c r="BL613" s="69"/>
      <c r="BM613" s="69"/>
      <c r="BN613" s="69"/>
      <c r="BO613" s="69"/>
      <c r="BP613" s="69"/>
      <c r="BQ613" s="69"/>
      <c r="BR613" s="69"/>
      <c r="BS613" s="69"/>
      <c r="BT613" s="69"/>
      <c r="BU613" s="69"/>
      <c r="BV613" s="69"/>
      <c r="BW613" s="69"/>
      <c r="BX613" s="69"/>
      <c r="BY613" s="69"/>
      <c r="BZ613" s="69"/>
      <c r="CA613" s="69"/>
      <c r="CB613" s="69"/>
      <c r="CC613" s="69"/>
      <c r="CD613" s="69"/>
      <c r="CE613" s="69"/>
      <c r="CF613" s="69"/>
    </row>
    <row r="614">
      <c r="A614" s="69"/>
      <c r="B614" s="71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69"/>
      <c r="BE614" s="69"/>
      <c r="BF614" s="69"/>
      <c r="BG614" s="69"/>
      <c r="BH614" s="69"/>
      <c r="BI614" s="69"/>
      <c r="BJ614" s="69"/>
      <c r="BK614" s="69"/>
      <c r="BL614" s="69"/>
      <c r="BM614" s="69"/>
      <c r="BN614" s="69"/>
      <c r="BO614" s="69"/>
      <c r="BP614" s="69"/>
      <c r="BQ614" s="69"/>
      <c r="BR614" s="69"/>
      <c r="BS614" s="69"/>
      <c r="BT614" s="69"/>
      <c r="BU614" s="69"/>
      <c r="BV614" s="69"/>
      <c r="BW614" s="69"/>
      <c r="BX614" s="69"/>
      <c r="BY614" s="69"/>
      <c r="BZ614" s="69"/>
      <c r="CA614" s="69"/>
      <c r="CB614" s="69"/>
      <c r="CC614" s="69"/>
      <c r="CD614" s="69"/>
      <c r="CE614" s="69"/>
      <c r="CF614" s="69"/>
    </row>
    <row r="615">
      <c r="A615" s="69"/>
      <c r="B615" s="71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69"/>
      <c r="BE615" s="69"/>
      <c r="BF615" s="69"/>
      <c r="BG615" s="69"/>
      <c r="BH615" s="69"/>
      <c r="BI615" s="69"/>
      <c r="BJ615" s="69"/>
      <c r="BK615" s="69"/>
      <c r="BL615" s="69"/>
      <c r="BM615" s="69"/>
      <c r="BN615" s="69"/>
      <c r="BO615" s="69"/>
      <c r="BP615" s="69"/>
      <c r="BQ615" s="69"/>
      <c r="BR615" s="69"/>
      <c r="BS615" s="69"/>
      <c r="BT615" s="69"/>
      <c r="BU615" s="69"/>
      <c r="BV615" s="69"/>
      <c r="BW615" s="69"/>
      <c r="BX615" s="69"/>
      <c r="BY615" s="69"/>
      <c r="BZ615" s="69"/>
      <c r="CA615" s="69"/>
      <c r="CB615" s="69"/>
      <c r="CC615" s="69"/>
      <c r="CD615" s="69"/>
      <c r="CE615" s="69"/>
      <c r="CF615" s="69"/>
    </row>
    <row r="616">
      <c r="A616" s="69"/>
      <c r="B616" s="71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69"/>
      <c r="BE616" s="69"/>
      <c r="BF616" s="69"/>
      <c r="BG616" s="69"/>
      <c r="BH616" s="69"/>
      <c r="BI616" s="69"/>
      <c r="BJ616" s="69"/>
      <c r="BK616" s="69"/>
      <c r="BL616" s="69"/>
      <c r="BM616" s="69"/>
      <c r="BN616" s="69"/>
      <c r="BO616" s="69"/>
      <c r="BP616" s="69"/>
      <c r="BQ616" s="69"/>
      <c r="BR616" s="69"/>
      <c r="BS616" s="69"/>
      <c r="BT616" s="69"/>
      <c r="BU616" s="69"/>
      <c r="BV616" s="69"/>
      <c r="BW616" s="69"/>
      <c r="BX616" s="69"/>
      <c r="BY616" s="69"/>
      <c r="BZ616" s="69"/>
      <c r="CA616" s="69"/>
      <c r="CB616" s="69"/>
      <c r="CC616" s="69"/>
      <c r="CD616" s="69"/>
      <c r="CE616" s="69"/>
      <c r="CF616" s="69"/>
    </row>
    <row r="617">
      <c r="A617" s="69"/>
      <c r="B617" s="71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69"/>
      <c r="BE617" s="69"/>
      <c r="BF617" s="69"/>
      <c r="BG617" s="69"/>
      <c r="BH617" s="69"/>
      <c r="BI617" s="69"/>
      <c r="BJ617" s="69"/>
      <c r="BK617" s="69"/>
      <c r="BL617" s="69"/>
      <c r="BM617" s="69"/>
      <c r="BN617" s="69"/>
      <c r="BO617" s="69"/>
      <c r="BP617" s="69"/>
      <c r="BQ617" s="69"/>
      <c r="BR617" s="69"/>
      <c r="BS617" s="69"/>
      <c r="BT617" s="69"/>
      <c r="BU617" s="69"/>
      <c r="BV617" s="69"/>
      <c r="BW617" s="69"/>
      <c r="BX617" s="69"/>
      <c r="BY617" s="69"/>
      <c r="BZ617" s="69"/>
      <c r="CA617" s="69"/>
      <c r="CB617" s="69"/>
      <c r="CC617" s="69"/>
      <c r="CD617" s="69"/>
      <c r="CE617" s="69"/>
      <c r="CF617" s="69"/>
    </row>
    <row r="618">
      <c r="A618" s="69"/>
      <c r="B618" s="71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69"/>
      <c r="BE618" s="69"/>
      <c r="BF618" s="69"/>
      <c r="BG618" s="69"/>
      <c r="BH618" s="69"/>
      <c r="BI618" s="69"/>
      <c r="BJ618" s="69"/>
      <c r="BK618" s="69"/>
      <c r="BL618" s="69"/>
      <c r="BM618" s="69"/>
      <c r="BN618" s="69"/>
      <c r="BO618" s="69"/>
      <c r="BP618" s="69"/>
      <c r="BQ618" s="69"/>
      <c r="BR618" s="69"/>
      <c r="BS618" s="69"/>
      <c r="BT618" s="69"/>
      <c r="BU618" s="69"/>
      <c r="BV618" s="69"/>
      <c r="BW618" s="69"/>
      <c r="BX618" s="69"/>
      <c r="BY618" s="69"/>
      <c r="BZ618" s="69"/>
      <c r="CA618" s="69"/>
      <c r="CB618" s="69"/>
      <c r="CC618" s="69"/>
      <c r="CD618" s="69"/>
      <c r="CE618" s="69"/>
      <c r="CF618" s="69"/>
    </row>
    <row r="619">
      <c r="A619" s="69"/>
      <c r="B619" s="71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69"/>
      <c r="BE619" s="69"/>
      <c r="BF619" s="69"/>
      <c r="BG619" s="69"/>
      <c r="BH619" s="69"/>
      <c r="BI619" s="69"/>
      <c r="BJ619" s="69"/>
      <c r="BK619" s="69"/>
      <c r="BL619" s="69"/>
      <c r="BM619" s="69"/>
      <c r="BN619" s="69"/>
      <c r="BO619" s="69"/>
      <c r="BP619" s="69"/>
      <c r="BQ619" s="69"/>
      <c r="BR619" s="69"/>
      <c r="BS619" s="69"/>
      <c r="BT619" s="69"/>
      <c r="BU619" s="69"/>
      <c r="BV619" s="69"/>
      <c r="BW619" s="69"/>
      <c r="BX619" s="69"/>
      <c r="BY619" s="69"/>
      <c r="BZ619" s="69"/>
      <c r="CA619" s="69"/>
      <c r="CB619" s="69"/>
      <c r="CC619" s="69"/>
      <c r="CD619" s="69"/>
      <c r="CE619" s="69"/>
      <c r="CF619" s="69"/>
    </row>
    <row r="620">
      <c r="A620" s="69"/>
      <c r="B620" s="71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69"/>
      <c r="BE620" s="69"/>
      <c r="BF620" s="69"/>
      <c r="BG620" s="69"/>
      <c r="BH620" s="69"/>
      <c r="BI620" s="69"/>
      <c r="BJ620" s="69"/>
      <c r="BK620" s="69"/>
      <c r="BL620" s="69"/>
      <c r="BM620" s="69"/>
      <c r="BN620" s="69"/>
      <c r="BO620" s="69"/>
      <c r="BP620" s="69"/>
      <c r="BQ620" s="69"/>
      <c r="BR620" s="69"/>
      <c r="BS620" s="69"/>
      <c r="BT620" s="69"/>
      <c r="BU620" s="69"/>
      <c r="BV620" s="69"/>
      <c r="BW620" s="69"/>
      <c r="BX620" s="69"/>
      <c r="BY620" s="69"/>
      <c r="BZ620" s="69"/>
      <c r="CA620" s="69"/>
      <c r="CB620" s="69"/>
      <c r="CC620" s="69"/>
      <c r="CD620" s="69"/>
      <c r="CE620" s="69"/>
      <c r="CF620" s="69"/>
    </row>
    <row r="621">
      <c r="A621" s="69"/>
      <c r="B621" s="71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69"/>
      <c r="BE621" s="69"/>
      <c r="BF621" s="69"/>
      <c r="BG621" s="69"/>
      <c r="BH621" s="69"/>
      <c r="BI621" s="69"/>
      <c r="BJ621" s="69"/>
      <c r="BK621" s="69"/>
      <c r="BL621" s="69"/>
      <c r="BM621" s="69"/>
      <c r="BN621" s="69"/>
      <c r="BO621" s="69"/>
      <c r="BP621" s="69"/>
      <c r="BQ621" s="69"/>
      <c r="BR621" s="69"/>
      <c r="BS621" s="69"/>
      <c r="BT621" s="69"/>
      <c r="BU621" s="69"/>
      <c r="BV621" s="69"/>
      <c r="BW621" s="69"/>
      <c r="BX621" s="69"/>
      <c r="BY621" s="69"/>
      <c r="BZ621" s="69"/>
      <c r="CA621" s="69"/>
      <c r="CB621" s="69"/>
      <c r="CC621" s="69"/>
      <c r="CD621" s="69"/>
      <c r="CE621" s="69"/>
      <c r="CF621" s="69"/>
    </row>
    <row r="622">
      <c r="A622" s="69"/>
      <c r="B622" s="71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69"/>
      <c r="BE622" s="69"/>
      <c r="BF622" s="69"/>
      <c r="BG622" s="69"/>
      <c r="BH622" s="69"/>
      <c r="BI622" s="69"/>
      <c r="BJ622" s="69"/>
      <c r="BK622" s="69"/>
      <c r="BL622" s="69"/>
      <c r="BM622" s="69"/>
      <c r="BN622" s="69"/>
      <c r="BO622" s="69"/>
      <c r="BP622" s="69"/>
      <c r="BQ622" s="69"/>
      <c r="BR622" s="69"/>
      <c r="BS622" s="69"/>
      <c r="BT622" s="69"/>
      <c r="BU622" s="69"/>
      <c r="BV622" s="69"/>
      <c r="BW622" s="69"/>
      <c r="BX622" s="69"/>
      <c r="BY622" s="69"/>
      <c r="BZ622" s="69"/>
      <c r="CA622" s="69"/>
      <c r="CB622" s="69"/>
      <c r="CC622" s="69"/>
      <c r="CD622" s="69"/>
      <c r="CE622" s="69"/>
      <c r="CF622" s="69"/>
    </row>
    <row r="623">
      <c r="A623" s="69"/>
      <c r="B623" s="71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69"/>
      <c r="BE623" s="69"/>
      <c r="BF623" s="69"/>
      <c r="BG623" s="69"/>
      <c r="BH623" s="69"/>
      <c r="BI623" s="69"/>
      <c r="BJ623" s="69"/>
      <c r="BK623" s="69"/>
      <c r="BL623" s="69"/>
      <c r="BM623" s="69"/>
      <c r="BN623" s="69"/>
      <c r="BO623" s="69"/>
      <c r="BP623" s="69"/>
      <c r="BQ623" s="69"/>
      <c r="BR623" s="69"/>
      <c r="BS623" s="69"/>
      <c r="BT623" s="69"/>
      <c r="BU623" s="69"/>
      <c r="BV623" s="69"/>
      <c r="BW623" s="69"/>
      <c r="BX623" s="69"/>
      <c r="BY623" s="69"/>
      <c r="BZ623" s="69"/>
      <c r="CA623" s="69"/>
      <c r="CB623" s="69"/>
      <c r="CC623" s="69"/>
      <c r="CD623" s="69"/>
      <c r="CE623" s="69"/>
      <c r="CF623" s="69"/>
    </row>
    <row r="624">
      <c r="A624" s="69"/>
      <c r="B624" s="71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69"/>
      <c r="BE624" s="69"/>
      <c r="BF624" s="69"/>
      <c r="BG624" s="69"/>
      <c r="BH624" s="69"/>
      <c r="BI624" s="69"/>
      <c r="BJ624" s="69"/>
      <c r="BK624" s="69"/>
      <c r="BL624" s="69"/>
      <c r="BM624" s="69"/>
      <c r="BN624" s="69"/>
      <c r="BO624" s="69"/>
      <c r="BP624" s="69"/>
      <c r="BQ624" s="69"/>
      <c r="BR624" s="69"/>
      <c r="BS624" s="69"/>
      <c r="BT624" s="69"/>
      <c r="BU624" s="69"/>
      <c r="BV624" s="69"/>
      <c r="BW624" s="69"/>
      <c r="BX624" s="69"/>
      <c r="BY624" s="69"/>
      <c r="BZ624" s="69"/>
      <c r="CA624" s="69"/>
      <c r="CB624" s="69"/>
      <c r="CC624" s="69"/>
      <c r="CD624" s="69"/>
      <c r="CE624" s="69"/>
      <c r="CF624" s="69"/>
    </row>
    <row r="625">
      <c r="A625" s="69"/>
      <c r="B625" s="71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69"/>
      <c r="BE625" s="69"/>
      <c r="BF625" s="69"/>
      <c r="BG625" s="69"/>
      <c r="BH625" s="69"/>
      <c r="BI625" s="69"/>
      <c r="BJ625" s="69"/>
      <c r="BK625" s="69"/>
      <c r="BL625" s="69"/>
      <c r="BM625" s="69"/>
      <c r="BN625" s="69"/>
      <c r="BO625" s="69"/>
      <c r="BP625" s="69"/>
      <c r="BQ625" s="69"/>
      <c r="BR625" s="69"/>
      <c r="BS625" s="69"/>
      <c r="BT625" s="69"/>
      <c r="BU625" s="69"/>
      <c r="BV625" s="69"/>
      <c r="BW625" s="69"/>
      <c r="BX625" s="69"/>
      <c r="BY625" s="69"/>
      <c r="BZ625" s="69"/>
      <c r="CA625" s="69"/>
      <c r="CB625" s="69"/>
      <c r="CC625" s="69"/>
      <c r="CD625" s="69"/>
      <c r="CE625" s="69"/>
      <c r="CF625" s="69"/>
    </row>
    <row r="626">
      <c r="A626" s="69"/>
      <c r="B626" s="71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69"/>
      <c r="BE626" s="69"/>
      <c r="BF626" s="69"/>
      <c r="BG626" s="69"/>
      <c r="BH626" s="69"/>
      <c r="BI626" s="69"/>
      <c r="BJ626" s="69"/>
      <c r="BK626" s="69"/>
      <c r="BL626" s="69"/>
      <c r="BM626" s="69"/>
      <c r="BN626" s="69"/>
      <c r="BO626" s="69"/>
      <c r="BP626" s="69"/>
      <c r="BQ626" s="69"/>
      <c r="BR626" s="69"/>
      <c r="BS626" s="69"/>
      <c r="BT626" s="69"/>
      <c r="BU626" s="69"/>
      <c r="BV626" s="69"/>
      <c r="BW626" s="69"/>
      <c r="BX626" s="69"/>
      <c r="BY626" s="69"/>
      <c r="BZ626" s="69"/>
      <c r="CA626" s="69"/>
      <c r="CB626" s="69"/>
      <c r="CC626" s="69"/>
      <c r="CD626" s="69"/>
      <c r="CE626" s="69"/>
      <c r="CF626" s="69"/>
    </row>
    <row r="627">
      <c r="A627" s="69"/>
      <c r="B627" s="71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69"/>
      <c r="BE627" s="69"/>
      <c r="BF627" s="69"/>
      <c r="BG627" s="69"/>
      <c r="BH627" s="69"/>
      <c r="BI627" s="69"/>
      <c r="BJ627" s="69"/>
      <c r="BK627" s="69"/>
      <c r="BL627" s="69"/>
      <c r="BM627" s="69"/>
      <c r="BN627" s="69"/>
      <c r="BO627" s="69"/>
      <c r="BP627" s="69"/>
      <c r="BQ627" s="69"/>
      <c r="BR627" s="69"/>
      <c r="BS627" s="69"/>
      <c r="BT627" s="69"/>
      <c r="BU627" s="69"/>
      <c r="BV627" s="69"/>
      <c r="BW627" s="69"/>
      <c r="BX627" s="69"/>
      <c r="BY627" s="69"/>
      <c r="BZ627" s="69"/>
      <c r="CA627" s="69"/>
      <c r="CB627" s="69"/>
      <c r="CC627" s="69"/>
      <c r="CD627" s="69"/>
      <c r="CE627" s="69"/>
      <c r="CF627" s="69"/>
    </row>
    <row r="628">
      <c r="A628" s="69"/>
      <c r="B628" s="71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69"/>
      <c r="BE628" s="69"/>
      <c r="BF628" s="69"/>
      <c r="BG628" s="69"/>
      <c r="BH628" s="69"/>
      <c r="BI628" s="69"/>
      <c r="BJ628" s="69"/>
      <c r="BK628" s="69"/>
      <c r="BL628" s="69"/>
      <c r="BM628" s="69"/>
      <c r="BN628" s="69"/>
      <c r="BO628" s="69"/>
      <c r="BP628" s="69"/>
      <c r="BQ628" s="69"/>
      <c r="BR628" s="69"/>
      <c r="BS628" s="69"/>
      <c r="BT628" s="69"/>
      <c r="BU628" s="69"/>
      <c r="BV628" s="69"/>
      <c r="BW628" s="69"/>
      <c r="BX628" s="69"/>
      <c r="BY628" s="69"/>
      <c r="BZ628" s="69"/>
      <c r="CA628" s="69"/>
      <c r="CB628" s="69"/>
      <c r="CC628" s="69"/>
      <c r="CD628" s="69"/>
      <c r="CE628" s="69"/>
      <c r="CF628" s="69"/>
    </row>
    <row r="629">
      <c r="A629" s="69"/>
      <c r="B629" s="71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69"/>
      <c r="BE629" s="69"/>
      <c r="BF629" s="69"/>
      <c r="BG629" s="69"/>
      <c r="BH629" s="69"/>
      <c r="BI629" s="69"/>
      <c r="BJ629" s="69"/>
      <c r="BK629" s="69"/>
      <c r="BL629" s="69"/>
      <c r="BM629" s="69"/>
      <c r="BN629" s="69"/>
      <c r="BO629" s="69"/>
      <c r="BP629" s="69"/>
      <c r="BQ629" s="69"/>
      <c r="BR629" s="69"/>
      <c r="BS629" s="69"/>
      <c r="BT629" s="69"/>
      <c r="BU629" s="69"/>
      <c r="BV629" s="69"/>
      <c r="BW629" s="69"/>
      <c r="BX629" s="69"/>
      <c r="BY629" s="69"/>
      <c r="BZ629" s="69"/>
      <c r="CA629" s="69"/>
      <c r="CB629" s="69"/>
      <c r="CC629" s="69"/>
      <c r="CD629" s="69"/>
      <c r="CE629" s="69"/>
      <c r="CF629" s="69"/>
    </row>
    <row r="630">
      <c r="A630" s="69"/>
      <c r="B630" s="71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69"/>
      <c r="BE630" s="69"/>
      <c r="BF630" s="69"/>
      <c r="BG630" s="69"/>
      <c r="BH630" s="69"/>
      <c r="BI630" s="69"/>
      <c r="BJ630" s="69"/>
      <c r="BK630" s="69"/>
      <c r="BL630" s="69"/>
      <c r="BM630" s="69"/>
      <c r="BN630" s="69"/>
      <c r="BO630" s="69"/>
      <c r="BP630" s="69"/>
      <c r="BQ630" s="69"/>
      <c r="BR630" s="69"/>
      <c r="BS630" s="69"/>
      <c r="BT630" s="69"/>
      <c r="BU630" s="69"/>
      <c r="BV630" s="69"/>
      <c r="BW630" s="69"/>
      <c r="BX630" s="69"/>
      <c r="BY630" s="69"/>
      <c r="BZ630" s="69"/>
      <c r="CA630" s="69"/>
      <c r="CB630" s="69"/>
      <c r="CC630" s="69"/>
      <c r="CD630" s="69"/>
      <c r="CE630" s="69"/>
      <c r="CF630" s="69"/>
    </row>
    <row r="631">
      <c r="A631" s="69"/>
      <c r="B631" s="71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69"/>
      <c r="BE631" s="69"/>
      <c r="BF631" s="69"/>
      <c r="BG631" s="69"/>
      <c r="BH631" s="69"/>
      <c r="BI631" s="69"/>
      <c r="BJ631" s="69"/>
      <c r="BK631" s="69"/>
      <c r="BL631" s="69"/>
      <c r="BM631" s="69"/>
      <c r="BN631" s="69"/>
      <c r="BO631" s="69"/>
      <c r="BP631" s="69"/>
      <c r="BQ631" s="69"/>
      <c r="BR631" s="69"/>
      <c r="BS631" s="69"/>
      <c r="BT631" s="69"/>
      <c r="BU631" s="69"/>
      <c r="BV631" s="69"/>
      <c r="BW631" s="69"/>
      <c r="BX631" s="69"/>
      <c r="BY631" s="69"/>
      <c r="BZ631" s="69"/>
      <c r="CA631" s="69"/>
      <c r="CB631" s="69"/>
      <c r="CC631" s="69"/>
      <c r="CD631" s="69"/>
      <c r="CE631" s="69"/>
      <c r="CF631" s="69"/>
    </row>
    <row r="632">
      <c r="A632" s="69"/>
      <c r="B632" s="71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69"/>
      <c r="BE632" s="69"/>
      <c r="BF632" s="69"/>
      <c r="BG632" s="69"/>
      <c r="BH632" s="69"/>
      <c r="BI632" s="69"/>
      <c r="BJ632" s="69"/>
      <c r="BK632" s="69"/>
      <c r="BL632" s="69"/>
      <c r="BM632" s="69"/>
      <c r="BN632" s="69"/>
      <c r="BO632" s="69"/>
      <c r="BP632" s="69"/>
      <c r="BQ632" s="69"/>
      <c r="BR632" s="69"/>
      <c r="BS632" s="69"/>
      <c r="BT632" s="69"/>
      <c r="BU632" s="69"/>
      <c r="BV632" s="69"/>
      <c r="BW632" s="69"/>
      <c r="BX632" s="69"/>
      <c r="BY632" s="69"/>
      <c r="BZ632" s="69"/>
      <c r="CA632" s="69"/>
      <c r="CB632" s="69"/>
      <c r="CC632" s="69"/>
      <c r="CD632" s="69"/>
      <c r="CE632" s="69"/>
      <c r="CF632" s="69"/>
    </row>
    <row r="633">
      <c r="A633" s="69"/>
      <c r="B633" s="71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69"/>
      <c r="BE633" s="69"/>
      <c r="BF633" s="69"/>
      <c r="BG633" s="69"/>
      <c r="BH633" s="69"/>
      <c r="BI633" s="69"/>
      <c r="BJ633" s="69"/>
      <c r="BK633" s="69"/>
      <c r="BL633" s="69"/>
      <c r="BM633" s="69"/>
      <c r="BN633" s="69"/>
      <c r="BO633" s="69"/>
      <c r="BP633" s="69"/>
      <c r="BQ633" s="69"/>
      <c r="BR633" s="69"/>
      <c r="BS633" s="69"/>
      <c r="BT633" s="69"/>
      <c r="BU633" s="69"/>
      <c r="BV633" s="69"/>
      <c r="BW633" s="69"/>
      <c r="BX633" s="69"/>
      <c r="BY633" s="69"/>
      <c r="BZ633" s="69"/>
      <c r="CA633" s="69"/>
      <c r="CB633" s="69"/>
      <c r="CC633" s="69"/>
      <c r="CD633" s="69"/>
      <c r="CE633" s="69"/>
      <c r="CF633" s="69"/>
    </row>
    <row r="634">
      <c r="A634" s="69"/>
      <c r="B634" s="71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69"/>
      <c r="BE634" s="69"/>
      <c r="BF634" s="69"/>
      <c r="BG634" s="69"/>
      <c r="BH634" s="69"/>
      <c r="BI634" s="69"/>
      <c r="BJ634" s="69"/>
      <c r="BK634" s="69"/>
      <c r="BL634" s="69"/>
      <c r="BM634" s="69"/>
      <c r="BN634" s="69"/>
      <c r="BO634" s="69"/>
      <c r="BP634" s="69"/>
      <c r="BQ634" s="69"/>
      <c r="BR634" s="69"/>
      <c r="BS634" s="69"/>
      <c r="BT634" s="69"/>
      <c r="BU634" s="69"/>
      <c r="BV634" s="69"/>
      <c r="BW634" s="69"/>
      <c r="BX634" s="69"/>
      <c r="BY634" s="69"/>
      <c r="BZ634" s="69"/>
      <c r="CA634" s="69"/>
      <c r="CB634" s="69"/>
      <c r="CC634" s="69"/>
      <c r="CD634" s="69"/>
      <c r="CE634" s="69"/>
      <c r="CF634" s="69"/>
    </row>
    <row r="635">
      <c r="A635" s="69"/>
      <c r="B635" s="71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69"/>
      <c r="BE635" s="69"/>
      <c r="BF635" s="69"/>
      <c r="BG635" s="69"/>
      <c r="BH635" s="69"/>
      <c r="BI635" s="69"/>
      <c r="BJ635" s="69"/>
      <c r="BK635" s="69"/>
      <c r="BL635" s="69"/>
      <c r="BM635" s="69"/>
      <c r="BN635" s="69"/>
      <c r="BO635" s="69"/>
      <c r="BP635" s="69"/>
      <c r="BQ635" s="69"/>
      <c r="BR635" s="69"/>
      <c r="BS635" s="69"/>
      <c r="BT635" s="69"/>
      <c r="BU635" s="69"/>
      <c r="BV635" s="69"/>
      <c r="BW635" s="69"/>
      <c r="BX635" s="69"/>
      <c r="BY635" s="69"/>
      <c r="BZ635" s="69"/>
      <c r="CA635" s="69"/>
      <c r="CB635" s="69"/>
      <c r="CC635" s="69"/>
      <c r="CD635" s="69"/>
      <c r="CE635" s="69"/>
      <c r="CF635" s="69"/>
    </row>
    <row r="636">
      <c r="A636" s="69"/>
      <c r="B636" s="71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69"/>
      <c r="BE636" s="69"/>
      <c r="BF636" s="69"/>
      <c r="BG636" s="69"/>
      <c r="BH636" s="69"/>
      <c r="BI636" s="69"/>
      <c r="BJ636" s="69"/>
      <c r="BK636" s="69"/>
      <c r="BL636" s="69"/>
      <c r="BM636" s="69"/>
      <c r="BN636" s="69"/>
      <c r="BO636" s="69"/>
      <c r="BP636" s="69"/>
      <c r="BQ636" s="69"/>
      <c r="BR636" s="69"/>
      <c r="BS636" s="69"/>
      <c r="BT636" s="69"/>
      <c r="BU636" s="69"/>
      <c r="BV636" s="69"/>
      <c r="BW636" s="69"/>
      <c r="BX636" s="69"/>
      <c r="BY636" s="69"/>
      <c r="BZ636" s="69"/>
      <c r="CA636" s="69"/>
      <c r="CB636" s="69"/>
      <c r="CC636" s="69"/>
      <c r="CD636" s="69"/>
      <c r="CE636" s="69"/>
      <c r="CF636" s="69"/>
    </row>
    <row r="637">
      <c r="A637" s="69"/>
      <c r="B637" s="71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69"/>
      <c r="BE637" s="69"/>
      <c r="BF637" s="69"/>
      <c r="BG637" s="69"/>
      <c r="BH637" s="69"/>
      <c r="BI637" s="69"/>
      <c r="BJ637" s="69"/>
      <c r="BK637" s="69"/>
      <c r="BL637" s="69"/>
      <c r="BM637" s="69"/>
      <c r="BN637" s="69"/>
      <c r="BO637" s="69"/>
      <c r="BP637" s="69"/>
      <c r="BQ637" s="69"/>
      <c r="BR637" s="69"/>
      <c r="BS637" s="69"/>
      <c r="BT637" s="69"/>
      <c r="BU637" s="69"/>
      <c r="BV637" s="69"/>
      <c r="BW637" s="69"/>
      <c r="BX637" s="69"/>
      <c r="BY637" s="69"/>
      <c r="BZ637" s="69"/>
      <c r="CA637" s="69"/>
      <c r="CB637" s="69"/>
      <c r="CC637" s="69"/>
      <c r="CD637" s="69"/>
      <c r="CE637" s="69"/>
      <c r="CF637" s="69"/>
    </row>
    <row r="638">
      <c r="A638" s="69"/>
      <c r="B638" s="71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69"/>
      <c r="BE638" s="69"/>
      <c r="BF638" s="69"/>
      <c r="BG638" s="69"/>
      <c r="BH638" s="69"/>
      <c r="BI638" s="69"/>
      <c r="BJ638" s="69"/>
      <c r="BK638" s="69"/>
      <c r="BL638" s="69"/>
      <c r="BM638" s="69"/>
      <c r="BN638" s="69"/>
      <c r="BO638" s="69"/>
      <c r="BP638" s="69"/>
      <c r="BQ638" s="69"/>
      <c r="BR638" s="69"/>
      <c r="BS638" s="69"/>
      <c r="BT638" s="69"/>
      <c r="BU638" s="69"/>
      <c r="BV638" s="69"/>
      <c r="BW638" s="69"/>
      <c r="BX638" s="69"/>
      <c r="BY638" s="69"/>
      <c r="BZ638" s="69"/>
      <c r="CA638" s="69"/>
      <c r="CB638" s="69"/>
      <c r="CC638" s="69"/>
      <c r="CD638" s="69"/>
      <c r="CE638" s="69"/>
      <c r="CF638" s="69"/>
    </row>
    <row r="639">
      <c r="A639" s="69"/>
      <c r="B639" s="71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69"/>
      <c r="BE639" s="69"/>
      <c r="BF639" s="69"/>
      <c r="BG639" s="69"/>
      <c r="BH639" s="69"/>
      <c r="BI639" s="69"/>
      <c r="BJ639" s="69"/>
      <c r="BK639" s="69"/>
      <c r="BL639" s="69"/>
      <c r="BM639" s="69"/>
      <c r="BN639" s="69"/>
      <c r="BO639" s="69"/>
      <c r="BP639" s="69"/>
      <c r="BQ639" s="69"/>
      <c r="BR639" s="69"/>
      <c r="BS639" s="69"/>
      <c r="BT639" s="69"/>
      <c r="BU639" s="69"/>
      <c r="BV639" s="69"/>
      <c r="BW639" s="69"/>
      <c r="BX639" s="69"/>
      <c r="BY639" s="69"/>
      <c r="BZ639" s="69"/>
      <c r="CA639" s="69"/>
      <c r="CB639" s="69"/>
      <c r="CC639" s="69"/>
      <c r="CD639" s="69"/>
      <c r="CE639" s="69"/>
      <c r="CF639" s="69"/>
    </row>
    <row r="640">
      <c r="A640" s="69"/>
      <c r="B640" s="71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69"/>
      <c r="BE640" s="69"/>
      <c r="BF640" s="69"/>
      <c r="BG640" s="69"/>
      <c r="BH640" s="69"/>
      <c r="BI640" s="69"/>
      <c r="BJ640" s="69"/>
      <c r="BK640" s="69"/>
      <c r="BL640" s="69"/>
      <c r="BM640" s="69"/>
      <c r="BN640" s="69"/>
      <c r="BO640" s="69"/>
      <c r="BP640" s="69"/>
      <c r="BQ640" s="69"/>
      <c r="BR640" s="69"/>
      <c r="BS640" s="69"/>
      <c r="BT640" s="69"/>
      <c r="BU640" s="69"/>
      <c r="BV640" s="69"/>
      <c r="BW640" s="69"/>
      <c r="BX640" s="69"/>
      <c r="BY640" s="69"/>
      <c r="BZ640" s="69"/>
      <c r="CA640" s="69"/>
      <c r="CB640" s="69"/>
      <c r="CC640" s="69"/>
      <c r="CD640" s="69"/>
      <c r="CE640" s="69"/>
      <c r="CF640" s="69"/>
    </row>
    <row r="641">
      <c r="A641" s="69"/>
      <c r="B641" s="71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69"/>
      <c r="BE641" s="69"/>
      <c r="BF641" s="69"/>
      <c r="BG641" s="69"/>
      <c r="BH641" s="69"/>
      <c r="BI641" s="69"/>
      <c r="BJ641" s="69"/>
      <c r="BK641" s="69"/>
      <c r="BL641" s="69"/>
      <c r="BM641" s="69"/>
      <c r="BN641" s="69"/>
      <c r="BO641" s="69"/>
      <c r="BP641" s="69"/>
      <c r="BQ641" s="69"/>
      <c r="BR641" s="69"/>
      <c r="BS641" s="69"/>
      <c r="BT641" s="69"/>
      <c r="BU641" s="69"/>
      <c r="BV641" s="69"/>
      <c r="BW641" s="69"/>
      <c r="BX641" s="69"/>
      <c r="BY641" s="69"/>
      <c r="BZ641" s="69"/>
      <c r="CA641" s="69"/>
      <c r="CB641" s="69"/>
      <c r="CC641" s="69"/>
      <c r="CD641" s="69"/>
      <c r="CE641" s="69"/>
      <c r="CF641" s="69"/>
    </row>
    <row r="642">
      <c r="A642" s="69"/>
      <c r="B642" s="71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69"/>
      <c r="BE642" s="69"/>
      <c r="BF642" s="69"/>
      <c r="BG642" s="69"/>
      <c r="BH642" s="69"/>
      <c r="BI642" s="69"/>
      <c r="BJ642" s="69"/>
      <c r="BK642" s="69"/>
      <c r="BL642" s="69"/>
      <c r="BM642" s="69"/>
      <c r="BN642" s="69"/>
      <c r="BO642" s="69"/>
      <c r="BP642" s="69"/>
      <c r="BQ642" s="69"/>
      <c r="BR642" s="69"/>
      <c r="BS642" s="69"/>
      <c r="BT642" s="69"/>
      <c r="BU642" s="69"/>
      <c r="BV642" s="69"/>
      <c r="BW642" s="69"/>
      <c r="BX642" s="69"/>
      <c r="BY642" s="69"/>
      <c r="BZ642" s="69"/>
      <c r="CA642" s="69"/>
      <c r="CB642" s="69"/>
      <c r="CC642" s="69"/>
      <c r="CD642" s="69"/>
      <c r="CE642" s="69"/>
      <c r="CF642" s="69"/>
    </row>
    <row r="643">
      <c r="A643" s="69"/>
      <c r="B643" s="71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69"/>
      <c r="BE643" s="69"/>
      <c r="BF643" s="69"/>
      <c r="BG643" s="69"/>
      <c r="BH643" s="69"/>
      <c r="BI643" s="69"/>
      <c r="BJ643" s="69"/>
      <c r="BK643" s="69"/>
      <c r="BL643" s="69"/>
      <c r="BM643" s="69"/>
      <c r="BN643" s="69"/>
      <c r="BO643" s="69"/>
      <c r="BP643" s="69"/>
      <c r="BQ643" s="69"/>
      <c r="BR643" s="69"/>
      <c r="BS643" s="69"/>
      <c r="BT643" s="69"/>
      <c r="BU643" s="69"/>
      <c r="BV643" s="69"/>
      <c r="BW643" s="69"/>
      <c r="BX643" s="69"/>
      <c r="BY643" s="69"/>
      <c r="BZ643" s="69"/>
      <c r="CA643" s="69"/>
      <c r="CB643" s="69"/>
      <c r="CC643" s="69"/>
      <c r="CD643" s="69"/>
      <c r="CE643" s="69"/>
      <c r="CF643" s="69"/>
    </row>
    <row r="644">
      <c r="A644" s="69"/>
      <c r="B644" s="71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69"/>
      <c r="BE644" s="69"/>
      <c r="BF644" s="69"/>
      <c r="BG644" s="69"/>
      <c r="BH644" s="69"/>
      <c r="BI644" s="69"/>
      <c r="BJ644" s="69"/>
      <c r="BK644" s="69"/>
      <c r="BL644" s="69"/>
      <c r="BM644" s="69"/>
      <c r="BN644" s="69"/>
      <c r="BO644" s="69"/>
      <c r="BP644" s="69"/>
      <c r="BQ644" s="69"/>
      <c r="BR644" s="69"/>
      <c r="BS644" s="69"/>
      <c r="BT644" s="69"/>
      <c r="BU644" s="69"/>
      <c r="BV644" s="69"/>
      <c r="BW644" s="69"/>
      <c r="BX644" s="69"/>
      <c r="BY644" s="69"/>
      <c r="BZ644" s="69"/>
      <c r="CA644" s="69"/>
      <c r="CB644" s="69"/>
      <c r="CC644" s="69"/>
      <c r="CD644" s="69"/>
      <c r="CE644" s="69"/>
      <c r="CF644" s="69"/>
    </row>
    <row r="645">
      <c r="A645" s="69"/>
      <c r="B645" s="71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69"/>
      <c r="BE645" s="69"/>
      <c r="BF645" s="69"/>
      <c r="BG645" s="69"/>
      <c r="BH645" s="69"/>
      <c r="BI645" s="69"/>
      <c r="BJ645" s="69"/>
      <c r="BK645" s="69"/>
      <c r="BL645" s="69"/>
      <c r="BM645" s="69"/>
      <c r="BN645" s="69"/>
      <c r="BO645" s="69"/>
      <c r="BP645" s="69"/>
      <c r="BQ645" s="69"/>
      <c r="BR645" s="69"/>
      <c r="BS645" s="69"/>
      <c r="BT645" s="69"/>
      <c r="BU645" s="69"/>
      <c r="BV645" s="69"/>
      <c r="BW645" s="69"/>
      <c r="BX645" s="69"/>
      <c r="BY645" s="69"/>
      <c r="BZ645" s="69"/>
      <c r="CA645" s="69"/>
      <c r="CB645" s="69"/>
      <c r="CC645" s="69"/>
      <c r="CD645" s="69"/>
      <c r="CE645" s="69"/>
      <c r="CF645" s="69"/>
    </row>
    <row r="646">
      <c r="A646" s="69"/>
      <c r="B646" s="71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69"/>
      <c r="BE646" s="69"/>
      <c r="BF646" s="69"/>
      <c r="BG646" s="69"/>
      <c r="BH646" s="69"/>
      <c r="BI646" s="69"/>
      <c r="BJ646" s="69"/>
      <c r="BK646" s="69"/>
      <c r="BL646" s="69"/>
      <c r="BM646" s="69"/>
      <c r="BN646" s="69"/>
      <c r="BO646" s="69"/>
      <c r="BP646" s="69"/>
      <c r="BQ646" s="69"/>
      <c r="BR646" s="69"/>
      <c r="BS646" s="69"/>
      <c r="BT646" s="69"/>
      <c r="BU646" s="69"/>
      <c r="BV646" s="69"/>
      <c r="BW646" s="69"/>
      <c r="BX646" s="69"/>
      <c r="BY646" s="69"/>
      <c r="BZ646" s="69"/>
      <c r="CA646" s="69"/>
      <c r="CB646" s="69"/>
      <c r="CC646" s="69"/>
      <c r="CD646" s="69"/>
      <c r="CE646" s="69"/>
      <c r="CF646" s="69"/>
    </row>
    <row r="647">
      <c r="A647" s="69"/>
      <c r="B647" s="71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69"/>
      <c r="BE647" s="69"/>
      <c r="BF647" s="69"/>
      <c r="BG647" s="69"/>
      <c r="BH647" s="69"/>
      <c r="BI647" s="69"/>
      <c r="BJ647" s="69"/>
      <c r="BK647" s="69"/>
      <c r="BL647" s="69"/>
      <c r="BM647" s="69"/>
      <c r="BN647" s="69"/>
      <c r="BO647" s="69"/>
      <c r="BP647" s="69"/>
      <c r="BQ647" s="69"/>
      <c r="BR647" s="69"/>
      <c r="BS647" s="69"/>
      <c r="BT647" s="69"/>
      <c r="BU647" s="69"/>
      <c r="BV647" s="69"/>
      <c r="BW647" s="69"/>
      <c r="BX647" s="69"/>
      <c r="BY647" s="69"/>
      <c r="BZ647" s="69"/>
      <c r="CA647" s="69"/>
      <c r="CB647" s="69"/>
      <c r="CC647" s="69"/>
      <c r="CD647" s="69"/>
      <c r="CE647" s="69"/>
      <c r="CF647" s="69"/>
    </row>
    <row r="648">
      <c r="A648" s="69"/>
      <c r="B648" s="71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69"/>
      <c r="BE648" s="69"/>
      <c r="BF648" s="69"/>
      <c r="BG648" s="69"/>
      <c r="BH648" s="69"/>
      <c r="BI648" s="69"/>
      <c r="BJ648" s="69"/>
      <c r="BK648" s="69"/>
      <c r="BL648" s="69"/>
      <c r="BM648" s="69"/>
      <c r="BN648" s="69"/>
      <c r="BO648" s="69"/>
      <c r="BP648" s="69"/>
      <c r="BQ648" s="69"/>
      <c r="BR648" s="69"/>
      <c r="BS648" s="69"/>
      <c r="BT648" s="69"/>
      <c r="BU648" s="69"/>
      <c r="BV648" s="69"/>
      <c r="BW648" s="69"/>
      <c r="BX648" s="69"/>
      <c r="BY648" s="69"/>
      <c r="BZ648" s="69"/>
      <c r="CA648" s="69"/>
      <c r="CB648" s="69"/>
      <c r="CC648" s="69"/>
      <c r="CD648" s="69"/>
      <c r="CE648" s="69"/>
      <c r="CF648" s="69"/>
    </row>
    <row r="649">
      <c r="A649" s="69"/>
      <c r="B649" s="71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69"/>
      <c r="BE649" s="69"/>
      <c r="BF649" s="69"/>
      <c r="BG649" s="69"/>
      <c r="BH649" s="69"/>
      <c r="BI649" s="69"/>
      <c r="BJ649" s="69"/>
      <c r="BK649" s="69"/>
      <c r="BL649" s="69"/>
      <c r="BM649" s="69"/>
      <c r="BN649" s="69"/>
      <c r="BO649" s="69"/>
      <c r="BP649" s="69"/>
      <c r="BQ649" s="69"/>
      <c r="BR649" s="69"/>
      <c r="BS649" s="69"/>
      <c r="BT649" s="69"/>
      <c r="BU649" s="69"/>
      <c r="BV649" s="69"/>
      <c r="BW649" s="69"/>
      <c r="BX649" s="69"/>
      <c r="BY649" s="69"/>
      <c r="BZ649" s="69"/>
      <c r="CA649" s="69"/>
      <c r="CB649" s="69"/>
      <c r="CC649" s="69"/>
      <c r="CD649" s="69"/>
      <c r="CE649" s="69"/>
      <c r="CF649" s="69"/>
    </row>
    <row r="650">
      <c r="A650" s="69"/>
      <c r="B650" s="71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69"/>
      <c r="BE650" s="69"/>
      <c r="BF650" s="69"/>
      <c r="BG650" s="69"/>
      <c r="BH650" s="69"/>
      <c r="BI650" s="69"/>
      <c r="BJ650" s="69"/>
      <c r="BK650" s="69"/>
      <c r="BL650" s="69"/>
      <c r="BM650" s="69"/>
      <c r="BN650" s="69"/>
      <c r="BO650" s="69"/>
      <c r="BP650" s="69"/>
      <c r="BQ650" s="69"/>
      <c r="BR650" s="69"/>
      <c r="BS650" s="69"/>
      <c r="BT650" s="69"/>
      <c r="BU650" s="69"/>
      <c r="BV650" s="69"/>
      <c r="BW650" s="69"/>
      <c r="BX650" s="69"/>
      <c r="BY650" s="69"/>
      <c r="BZ650" s="69"/>
      <c r="CA650" s="69"/>
      <c r="CB650" s="69"/>
      <c r="CC650" s="69"/>
      <c r="CD650" s="69"/>
      <c r="CE650" s="69"/>
      <c r="CF650" s="69"/>
    </row>
    <row r="651">
      <c r="A651" s="69"/>
      <c r="B651" s="71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69"/>
      <c r="BE651" s="69"/>
      <c r="BF651" s="69"/>
      <c r="BG651" s="69"/>
      <c r="BH651" s="69"/>
      <c r="BI651" s="69"/>
      <c r="BJ651" s="69"/>
      <c r="BK651" s="69"/>
      <c r="BL651" s="69"/>
      <c r="BM651" s="69"/>
      <c r="BN651" s="69"/>
      <c r="BO651" s="69"/>
      <c r="BP651" s="69"/>
      <c r="BQ651" s="69"/>
      <c r="BR651" s="69"/>
      <c r="BS651" s="69"/>
      <c r="BT651" s="69"/>
      <c r="BU651" s="69"/>
      <c r="BV651" s="69"/>
      <c r="BW651" s="69"/>
      <c r="BX651" s="69"/>
      <c r="BY651" s="69"/>
      <c r="BZ651" s="69"/>
      <c r="CA651" s="69"/>
      <c r="CB651" s="69"/>
      <c r="CC651" s="69"/>
      <c r="CD651" s="69"/>
      <c r="CE651" s="69"/>
      <c r="CF651" s="69"/>
    </row>
    <row r="652">
      <c r="A652" s="69"/>
      <c r="B652" s="71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69"/>
      <c r="BE652" s="69"/>
      <c r="BF652" s="69"/>
      <c r="BG652" s="69"/>
      <c r="BH652" s="69"/>
      <c r="BI652" s="69"/>
      <c r="BJ652" s="69"/>
      <c r="BK652" s="69"/>
      <c r="BL652" s="69"/>
      <c r="BM652" s="69"/>
      <c r="BN652" s="69"/>
      <c r="BO652" s="69"/>
      <c r="BP652" s="69"/>
      <c r="BQ652" s="69"/>
      <c r="BR652" s="69"/>
      <c r="BS652" s="69"/>
      <c r="BT652" s="69"/>
      <c r="BU652" s="69"/>
      <c r="BV652" s="69"/>
      <c r="BW652" s="69"/>
      <c r="BX652" s="69"/>
      <c r="BY652" s="69"/>
      <c r="BZ652" s="69"/>
      <c r="CA652" s="69"/>
      <c r="CB652" s="69"/>
      <c r="CC652" s="69"/>
      <c r="CD652" s="69"/>
      <c r="CE652" s="69"/>
      <c r="CF652" s="69"/>
    </row>
    <row r="653">
      <c r="A653" s="69"/>
      <c r="B653" s="71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69"/>
      <c r="BE653" s="69"/>
      <c r="BF653" s="69"/>
      <c r="BG653" s="69"/>
      <c r="BH653" s="69"/>
      <c r="BI653" s="69"/>
      <c r="BJ653" s="69"/>
      <c r="BK653" s="69"/>
      <c r="BL653" s="69"/>
      <c r="BM653" s="69"/>
      <c r="BN653" s="69"/>
      <c r="BO653" s="69"/>
      <c r="BP653" s="69"/>
      <c r="BQ653" s="69"/>
      <c r="BR653" s="69"/>
      <c r="BS653" s="69"/>
      <c r="BT653" s="69"/>
      <c r="BU653" s="69"/>
      <c r="BV653" s="69"/>
      <c r="BW653" s="69"/>
      <c r="BX653" s="69"/>
      <c r="BY653" s="69"/>
      <c r="BZ653" s="69"/>
      <c r="CA653" s="69"/>
      <c r="CB653" s="69"/>
      <c r="CC653" s="69"/>
      <c r="CD653" s="69"/>
      <c r="CE653" s="69"/>
      <c r="CF653" s="69"/>
    </row>
    <row r="654">
      <c r="A654" s="69"/>
      <c r="B654" s="71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69"/>
      <c r="BE654" s="69"/>
      <c r="BF654" s="69"/>
      <c r="BG654" s="69"/>
      <c r="BH654" s="69"/>
      <c r="BI654" s="69"/>
      <c r="BJ654" s="69"/>
      <c r="BK654" s="69"/>
      <c r="BL654" s="69"/>
      <c r="BM654" s="69"/>
      <c r="BN654" s="69"/>
      <c r="BO654" s="69"/>
      <c r="BP654" s="69"/>
      <c r="BQ654" s="69"/>
      <c r="BR654" s="69"/>
      <c r="BS654" s="69"/>
      <c r="BT654" s="69"/>
      <c r="BU654" s="69"/>
      <c r="BV654" s="69"/>
      <c r="BW654" s="69"/>
      <c r="BX654" s="69"/>
      <c r="BY654" s="69"/>
      <c r="BZ654" s="69"/>
      <c r="CA654" s="69"/>
      <c r="CB654" s="69"/>
      <c r="CC654" s="69"/>
      <c r="CD654" s="69"/>
      <c r="CE654" s="69"/>
      <c r="CF654" s="69"/>
    </row>
    <row r="655">
      <c r="A655" s="69"/>
      <c r="B655" s="71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69"/>
      <c r="BE655" s="69"/>
      <c r="BF655" s="69"/>
      <c r="BG655" s="69"/>
      <c r="BH655" s="69"/>
      <c r="BI655" s="69"/>
      <c r="BJ655" s="69"/>
      <c r="BK655" s="69"/>
      <c r="BL655" s="69"/>
      <c r="BM655" s="69"/>
      <c r="BN655" s="69"/>
      <c r="BO655" s="69"/>
      <c r="BP655" s="69"/>
      <c r="BQ655" s="69"/>
      <c r="BR655" s="69"/>
      <c r="BS655" s="69"/>
      <c r="BT655" s="69"/>
      <c r="BU655" s="69"/>
      <c r="BV655" s="69"/>
      <c r="BW655" s="69"/>
      <c r="BX655" s="69"/>
      <c r="BY655" s="69"/>
      <c r="BZ655" s="69"/>
      <c r="CA655" s="69"/>
      <c r="CB655" s="69"/>
      <c r="CC655" s="69"/>
      <c r="CD655" s="69"/>
      <c r="CE655" s="69"/>
      <c r="CF655" s="69"/>
    </row>
    <row r="656">
      <c r="A656" s="69"/>
      <c r="B656" s="71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69"/>
      <c r="BE656" s="69"/>
      <c r="BF656" s="69"/>
      <c r="BG656" s="69"/>
      <c r="BH656" s="69"/>
      <c r="BI656" s="69"/>
      <c r="BJ656" s="69"/>
      <c r="BK656" s="69"/>
      <c r="BL656" s="69"/>
      <c r="BM656" s="69"/>
      <c r="BN656" s="69"/>
      <c r="BO656" s="69"/>
      <c r="BP656" s="69"/>
      <c r="BQ656" s="69"/>
      <c r="BR656" s="69"/>
      <c r="BS656" s="69"/>
      <c r="BT656" s="69"/>
      <c r="BU656" s="69"/>
      <c r="BV656" s="69"/>
      <c r="BW656" s="69"/>
      <c r="BX656" s="69"/>
      <c r="BY656" s="69"/>
      <c r="BZ656" s="69"/>
      <c r="CA656" s="69"/>
      <c r="CB656" s="69"/>
      <c r="CC656" s="69"/>
      <c r="CD656" s="69"/>
      <c r="CE656" s="69"/>
      <c r="CF656" s="69"/>
    </row>
    <row r="657">
      <c r="A657" s="69"/>
      <c r="B657" s="71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69"/>
      <c r="BE657" s="69"/>
      <c r="BF657" s="69"/>
      <c r="BG657" s="69"/>
      <c r="BH657" s="69"/>
      <c r="BI657" s="69"/>
      <c r="BJ657" s="69"/>
      <c r="BK657" s="69"/>
      <c r="BL657" s="69"/>
      <c r="BM657" s="69"/>
      <c r="BN657" s="69"/>
      <c r="BO657" s="69"/>
      <c r="BP657" s="69"/>
      <c r="BQ657" s="69"/>
      <c r="BR657" s="69"/>
      <c r="BS657" s="69"/>
      <c r="BT657" s="69"/>
      <c r="BU657" s="69"/>
      <c r="BV657" s="69"/>
      <c r="BW657" s="69"/>
      <c r="BX657" s="69"/>
      <c r="BY657" s="69"/>
      <c r="BZ657" s="69"/>
      <c r="CA657" s="69"/>
      <c r="CB657" s="69"/>
      <c r="CC657" s="69"/>
      <c r="CD657" s="69"/>
      <c r="CE657" s="69"/>
      <c r="CF657" s="69"/>
    </row>
    <row r="658">
      <c r="A658" s="69"/>
      <c r="B658" s="71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69"/>
      <c r="BE658" s="69"/>
      <c r="BF658" s="69"/>
      <c r="BG658" s="69"/>
      <c r="BH658" s="69"/>
      <c r="BI658" s="69"/>
      <c r="BJ658" s="69"/>
      <c r="BK658" s="69"/>
      <c r="BL658" s="69"/>
      <c r="BM658" s="69"/>
      <c r="BN658" s="69"/>
      <c r="BO658" s="69"/>
      <c r="BP658" s="69"/>
      <c r="BQ658" s="69"/>
      <c r="BR658" s="69"/>
      <c r="BS658" s="69"/>
      <c r="BT658" s="69"/>
      <c r="BU658" s="69"/>
      <c r="BV658" s="69"/>
      <c r="BW658" s="69"/>
      <c r="BX658" s="69"/>
      <c r="BY658" s="69"/>
      <c r="BZ658" s="69"/>
      <c r="CA658" s="69"/>
      <c r="CB658" s="69"/>
      <c r="CC658" s="69"/>
      <c r="CD658" s="69"/>
      <c r="CE658" s="69"/>
      <c r="CF658" s="69"/>
    </row>
    <row r="659">
      <c r="A659" s="69"/>
      <c r="B659" s="71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69"/>
      <c r="BE659" s="69"/>
      <c r="BF659" s="69"/>
      <c r="BG659" s="69"/>
      <c r="BH659" s="69"/>
      <c r="BI659" s="69"/>
      <c r="BJ659" s="69"/>
      <c r="BK659" s="69"/>
      <c r="BL659" s="69"/>
      <c r="BM659" s="69"/>
      <c r="BN659" s="69"/>
      <c r="BO659" s="69"/>
      <c r="BP659" s="69"/>
      <c r="BQ659" s="69"/>
      <c r="BR659" s="69"/>
      <c r="BS659" s="69"/>
      <c r="BT659" s="69"/>
      <c r="BU659" s="69"/>
      <c r="BV659" s="69"/>
      <c r="BW659" s="69"/>
      <c r="BX659" s="69"/>
      <c r="BY659" s="69"/>
      <c r="BZ659" s="69"/>
      <c r="CA659" s="69"/>
      <c r="CB659" s="69"/>
      <c r="CC659" s="69"/>
      <c r="CD659" s="69"/>
      <c r="CE659" s="69"/>
      <c r="CF659" s="69"/>
    </row>
    <row r="660">
      <c r="A660" s="69"/>
      <c r="B660" s="71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69"/>
      <c r="BE660" s="69"/>
      <c r="BF660" s="69"/>
      <c r="BG660" s="69"/>
      <c r="BH660" s="69"/>
      <c r="BI660" s="69"/>
      <c r="BJ660" s="69"/>
      <c r="BK660" s="69"/>
      <c r="BL660" s="69"/>
      <c r="BM660" s="69"/>
      <c r="BN660" s="69"/>
      <c r="BO660" s="69"/>
      <c r="BP660" s="69"/>
      <c r="BQ660" s="69"/>
      <c r="BR660" s="69"/>
      <c r="BS660" s="69"/>
      <c r="BT660" s="69"/>
      <c r="BU660" s="69"/>
      <c r="BV660" s="69"/>
      <c r="BW660" s="69"/>
      <c r="BX660" s="69"/>
      <c r="BY660" s="69"/>
      <c r="BZ660" s="69"/>
      <c r="CA660" s="69"/>
      <c r="CB660" s="69"/>
      <c r="CC660" s="69"/>
      <c r="CD660" s="69"/>
      <c r="CE660" s="69"/>
      <c r="CF660" s="69"/>
    </row>
    <row r="661">
      <c r="A661" s="69"/>
      <c r="B661" s="71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69"/>
      <c r="BE661" s="69"/>
      <c r="BF661" s="69"/>
      <c r="BG661" s="69"/>
      <c r="BH661" s="69"/>
      <c r="BI661" s="69"/>
      <c r="BJ661" s="69"/>
      <c r="BK661" s="69"/>
      <c r="BL661" s="69"/>
      <c r="BM661" s="69"/>
      <c r="BN661" s="69"/>
      <c r="BO661" s="69"/>
      <c r="BP661" s="69"/>
      <c r="BQ661" s="69"/>
      <c r="BR661" s="69"/>
      <c r="BS661" s="69"/>
      <c r="BT661" s="69"/>
      <c r="BU661" s="69"/>
      <c r="BV661" s="69"/>
      <c r="BW661" s="69"/>
      <c r="BX661" s="69"/>
      <c r="BY661" s="69"/>
      <c r="BZ661" s="69"/>
      <c r="CA661" s="69"/>
      <c r="CB661" s="69"/>
      <c r="CC661" s="69"/>
      <c r="CD661" s="69"/>
      <c r="CE661" s="69"/>
      <c r="CF661" s="69"/>
    </row>
    <row r="662">
      <c r="A662" s="69"/>
      <c r="B662" s="71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69"/>
      <c r="BE662" s="69"/>
      <c r="BF662" s="69"/>
      <c r="BG662" s="69"/>
      <c r="BH662" s="69"/>
      <c r="BI662" s="69"/>
      <c r="BJ662" s="69"/>
      <c r="BK662" s="69"/>
      <c r="BL662" s="69"/>
      <c r="BM662" s="69"/>
      <c r="BN662" s="69"/>
      <c r="BO662" s="69"/>
      <c r="BP662" s="69"/>
      <c r="BQ662" s="69"/>
      <c r="BR662" s="69"/>
      <c r="BS662" s="69"/>
      <c r="BT662" s="69"/>
      <c r="BU662" s="69"/>
      <c r="BV662" s="69"/>
      <c r="BW662" s="69"/>
      <c r="BX662" s="69"/>
      <c r="BY662" s="69"/>
      <c r="BZ662" s="69"/>
      <c r="CA662" s="69"/>
      <c r="CB662" s="69"/>
      <c r="CC662" s="69"/>
      <c r="CD662" s="69"/>
      <c r="CE662" s="69"/>
      <c r="CF662" s="69"/>
    </row>
    <row r="663">
      <c r="A663" s="69"/>
      <c r="B663" s="71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69"/>
      <c r="BE663" s="69"/>
      <c r="BF663" s="69"/>
      <c r="BG663" s="69"/>
      <c r="BH663" s="69"/>
      <c r="BI663" s="69"/>
      <c r="BJ663" s="69"/>
      <c r="BK663" s="69"/>
      <c r="BL663" s="69"/>
      <c r="BM663" s="69"/>
      <c r="BN663" s="69"/>
      <c r="BO663" s="69"/>
      <c r="BP663" s="69"/>
      <c r="BQ663" s="69"/>
      <c r="BR663" s="69"/>
      <c r="BS663" s="69"/>
      <c r="BT663" s="69"/>
      <c r="BU663" s="69"/>
      <c r="BV663" s="69"/>
      <c r="BW663" s="69"/>
      <c r="BX663" s="69"/>
      <c r="BY663" s="69"/>
      <c r="BZ663" s="69"/>
      <c r="CA663" s="69"/>
      <c r="CB663" s="69"/>
      <c r="CC663" s="69"/>
      <c r="CD663" s="69"/>
      <c r="CE663" s="69"/>
      <c r="CF663" s="69"/>
    </row>
    <row r="664">
      <c r="A664" s="69"/>
      <c r="B664" s="71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69"/>
      <c r="BE664" s="69"/>
      <c r="BF664" s="69"/>
      <c r="BG664" s="69"/>
      <c r="BH664" s="69"/>
      <c r="BI664" s="69"/>
      <c r="BJ664" s="69"/>
      <c r="BK664" s="69"/>
      <c r="BL664" s="69"/>
      <c r="BM664" s="69"/>
      <c r="BN664" s="69"/>
      <c r="BO664" s="69"/>
      <c r="BP664" s="69"/>
      <c r="BQ664" s="69"/>
      <c r="BR664" s="69"/>
      <c r="BS664" s="69"/>
      <c r="BT664" s="69"/>
      <c r="BU664" s="69"/>
      <c r="BV664" s="69"/>
      <c r="BW664" s="69"/>
      <c r="BX664" s="69"/>
      <c r="BY664" s="69"/>
      <c r="BZ664" s="69"/>
      <c r="CA664" s="69"/>
      <c r="CB664" s="69"/>
      <c r="CC664" s="69"/>
      <c r="CD664" s="69"/>
      <c r="CE664" s="69"/>
      <c r="CF664" s="69"/>
    </row>
    <row r="665">
      <c r="A665" s="69"/>
      <c r="B665" s="71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69"/>
      <c r="BE665" s="69"/>
      <c r="BF665" s="69"/>
      <c r="BG665" s="69"/>
      <c r="BH665" s="69"/>
      <c r="BI665" s="69"/>
      <c r="BJ665" s="69"/>
      <c r="BK665" s="69"/>
      <c r="BL665" s="69"/>
      <c r="BM665" s="69"/>
      <c r="BN665" s="69"/>
      <c r="BO665" s="69"/>
      <c r="BP665" s="69"/>
      <c r="BQ665" s="69"/>
      <c r="BR665" s="69"/>
      <c r="BS665" s="69"/>
      <c r="BT665" s="69"/>
      <c r="BU665" s="69"/>
      <c r="BV665" s="69"/>
      <c r="BW665" s="69"/>
      <c r="BX665" s="69"/>
      <c r="BY665" s="69"/>
      <c r="BZ665" s="69"/>
      <c r="CA665" s="69"/>
      <c r="CB665" s="69"/>
      <c r="CC665" s="69"/>
      <c r="CD665" s="69"/>
      <c r="CE665" s="69"/>
      <c r="CF665" s="69"/>
    </row>
    <row r="666">
      <c r="A666" s="69"/>
      <c r="B666" s="71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69"/>
      <c r="BE666" s="69"/>
      <c r="BF666" s="69"/>
      <c r="BG666" s="69"/>
      <c r="BH666" s="69"/>
      <c r="BI666" s="69"/>
      <c r="BJ666" s="69"/>
      <c r="BK666" s="69"/>
      <c r="BL666" s="69"/>
      <c r="BM666" s="69"/>
      <c r="BN666" s="69"/>
      <c r="BO666" s="69"/>
      <c r="BP666" s="69"/>
      <c r="BQ666" s="69"/>
      <c r="BR666" s="69"/>
      <c r="BS666" s="69"/>
      <c r="BT666" s="69"/>
      <c r="BU666" s="69"/>
      <c r="BV666" s="69"/>
      <c r="BW666" s="69"/>
      <c r="BX666" s="69"/>
      <c r="BY666" s="69"/>
      <c r="BZ666" s="69"/>
      <c r="CA666" s="69"/>
      <c r="CB666" s="69"/>
      <c r="CC666" s="69"/>
      <c r="CD666" s="69"/>
      <c r="CE666" s="69"/>
      <c r="CF666" s="69"/>
    </row>
    <row r="667">
      <c r="A667" s="69"/>
      <c r="B667" s="71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69"/>
      <c r="BE667" s="69"/>
      <c r="BF667" s="69"/>
      <c r="BG667" s="69"/>
      <c r="BH667" s="69"/>
      <c r="BI667" s="69"/>
      <c r="BJ667" s="69"/>
      <c r="BK667" s="69"/>
      <c r="BL667" s="69"/>
      <c r="BM667" s="69"/>
      <c r="BN667" s="69"/>
      <c r="BO667" s="69"/>
      <c r="BP667" s="69"/>
      <c r="BQ667" s="69"/>
      <c r="BR667" s="69"/>
      <c r="BS667" s="69"/>
      <c r="BT667" s="69"/>
      <c r="BU667" s="69"/>
      <c r="BV667" s="69"/>
      <c r="BW667" s="69"/>
      <c r="BX667" s="69"/>
      <c r="BY667" s="69"/>
      <c r="BZ667" s="69"/>
      <c r="CA667" s="69"/>
      <c r="CB667" s="69"/>
      <c r="CC667" s="69"/>
      <c r="CD667" s="69"/>
      <c r="CE667" s="69"/>
      <c r="CF667" s="69"/>
    </row>
    <row r="668">
      <c r="A668" s="69"/>
      <c r="B668" s="71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69"/>
      <c r="BE668" s="69"/>
      <c r="BF668" s="69"/>
      <c r="BG668" s="69"/>
      <c r="BH668" s="69"/>
      <c r="BI668" s="69"/>
      <c r="BJ668" s="69"/>
      <c r="BK668" s="69"/>
      <c r="BL668" s="69"/>
      <c r="BM668" s="69"/>
      <c r="BN668" s="69"/>
      <c r="BO668" s="69"/>
      <c r="BP668" s="69"/>
      <c r="BQ668" s="69"/>
      <c r="BR668" s="69"/>
      <c r="BS668" s="69"/>
      <c r="BT668" s="69"/>
      <c r="BU668" s="69"/>
      <c r="BV668" s="69"/>
      <c r="BW668" s="69"/>
      <c r="BX668" s="69"/>
      <c r="BY668" s="69"/>
      <c r="BZ668" s="69"/>
      <c r="CA668" s="69"/>
      <c r="CB668" s="69"/>
      <c r="CC668" s="69"/>
      <c r="CD668" s="69"/>
      <c r="CE668" s="69"/>
      <c r="CF668" s="69"/>
    </row>
    <row r="669">
      <c r="A669" s="69"/>
      <c r="B669" s="71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69"/>
      <c r="BE669" s="69"/>
      <c r="BF669" s="69"/>
      <c r="BG669" s="69"/>
      <c r="BH669" s="69"/>
      <c r="BI669" s="69"/>
      <c r="BJ669" s="69"/>
      <c r="BK669" s="69"/>
      <c r="BL669" s="69"/>
      <c r="BM669" s="69"/>
      <c r="BN669" s="69"/>
      <c r="BO669" s="69"/>
      <c r="BP669" s="69"/>
      <c r="BQ669" s="69"/>
      <c r="BR669" s="69"/>
      <c r="BS669" s="69"/>
      <c r="BT669" s="69"/>
      <c r="BU669" s="69"/>
      <c r="BV669" s="69"/>
      <c r="BW669" s="69"/>
      <c r="BX669" s="69"/>
      <c r="BY669" s="69"/>
      <c r="BZ669" s="69"/>
      <c r="CA669" s="69"/>
      <c r="CB669" s="69"/>
      <c r="CC669" s="69"/>
      <c r="CD669" s="69"/>
      <c r="CE669" s="69"/>
      <c r="CF669" s="69"/>
    </row>
    <row r="670">
      <c r="A670" s="69"/>
      <c r="B670" s="71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69"/>
      <c r="BE670" s="69"/>
      <c r="BF670" s="69"/>
      <c r="BG670" s="69"/>
      <c r="BH670" s="69"/>
      <c r="BI670" s="69"/>
      <c r="BJ670" s="69"/>
      <c r="BK670" s="69"/>
      <c r="BL670" s="69"/>
      <c r="BM670" s="69"/>
      <c r="BN670" s="69"/>
      <c r="BO670" s="69"/>
      <c r="BP670" s="69"/>
      <c r="BQ670" s="69"/>
      <c r="BR670" s="69"/>
      <c r="BS670" s="69"/>
      <c r="BT670" s="69"/>
      <c r="BU670" s="69"/>
      <c r="BV670" s="69"/>
      <c r="BW670" s="69"/>
      <c r="BX670" s="69"/>
      <c r="BY670" s="69"/>
      <c r="BZ670" s="69"/>
      <c r="CA670" s="69"/>
      <c r="CB670" s="69"/>
      <c r="CC670" s="69"/>
      <c r="CD670" s="69"/>
      <c r="CE670" s="69"/>
      <c r="CF670" s="69"/>
    </row>
    <row r="671">
      <c r="A671" s="69"/>
      <c r="B671" s="71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69"/>
      <c r="BE671" s="69"/>
      <c r="BF671" s="69"/>
      <c r="BG671" s="69"/>
      <c r="BH671" s="69"/>
      <c r="BI671" s="69"/>
      <c r="BJ671" s="69"/>
      <c r="BK671" s="69"/>
      <c r="BL671" s="69"/>
      <c r="BM671" s="69"/>
      <c r="BN671" s="69"/>
      <c r="BO671" s="69"/>
      <c r="BP671" s="69"/>
      <c r="BQ671" s="69"/>
      <c r="BR671" s="69"/>
      <c r="BS671" s="69"/>
      <c r="BT671" s="69"/>
      <c r="BU671" s="69"/>
      <c r="BV671" s="69"/>
      <c r="BW671" s="69"/>
      <c r="BX671" s="69"/>
      <c r="BY671" s="69"/>
      <c r="BZ671" s="69"/>
      <c r="CA671" s="69"/>
      <c r="CB671" s="69"/>
      <c r="CC671" s="69"/>
      <c r="CD671" s="69"/>
      <c r="CE671" s="69"/>
      <c r="CF671" s="69"/>
    </row>
    <row r="672">
      <c r="A672" s="69"/>
      <c r="B672" s="71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69"/>
      <c r="BE672" s="69"/>
      <c r="BF672" s="69"/>
      <c r="BG672" s="69"/>
      <c r="BH672" s="69"/>
      <c r="BI672" s="69"/>
      <c r="BJ672" s="69"/>
      <c r="BK672" s="69"/>
      <c r="BL672" s="69"/>
      <c r="BM672" s="69"/>
      <c r="BN672" s="69"/>
      <c r="BO672" s="69"/>
      <c r="BP672" s="69"/>
      <c r="BQ672" s="69"/>
      <c r="BR672" s="69"/>
      <c r="BS672" s="69"/>
      <c r="BT672" s="69"/>
      <c r="BU672" s="69"/>
      <c r="BV672" s="69"/>
      <c r="BW672" s="69"/>
      <c r="BX672" s="69"/>
      <c r="BY672" s="69"/>
      <c r="BZ672" s="69"/>
      <c r="CA672" s="69"/>
      <c r="CB672" s="69"/>
      <c r="CC672" s="69"/>
      <c r="CD672" s="69"/>
      <c r="CE672" s="69"/>
      <c r="CF672" s="69"/>
    </row>
    <row r="673">
      <c r="A673" s="69"/>
      <c r="B673" s="71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69"/>
      <c r="BE673" s="69"/>
      <c r="BF673" s="69"/>
      <c r="BG673" s="69"/>
      <c r="BH673" s="69"/>
      <c r="BI673" s="69"/>
      <c r="BJ673" s="69"/>
      <c r="BK673" s="69"/>
      <c r="BL673" s="69"/>
      <c r="BM673" s="69"/>
      <c r="BN673" s="69"/>
      <c r="BO673" s="69"/>
      <c r="BP673" s="69"/>
      <c r="BQ673" s="69"/>
      <c r="BR673" s="69"/>
      <c r="BS673" s="69"/>
      <c r="BT673" s="69"/>
      <c r="BU673" s="69"/>
      <c r="BV673" s="69"/>
      <c r="BW673" s="69"/>
      <c r="BX673" s="69"/>
      <c r="BY673" s="69"/>
      <c r="BZ673" s="69"/>
      <c r="CA673" s="69"/>
      <c r="CB673" s="69"/>
      <c r="CC673" s="69"/>
      <c r="CD673" s="69"/>
      <c r="CE673" s="69"/>
      <c r="CF673" s="69"/>
    </row>
    <row r="674">
      <c r="A674" s="69"/>
      <c r="B674" s="71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69"/>
      <c r="BE674" s="69"/>
      <c r="BF674" s="69"/>
      <c r="BG674" s="69"/>
      <c r="BH674" s="69"/>
      <c r="BI674" s="69"/>
      <c r="BJ674" s="69"/>
      <c r="BK674" s="69"/>
      <c r="BL674" s="69"/>
      <c r="BM674" s="69"/>
      <c r="BN674" s="69"/>
      <c r="BO674" s="69"/>
      <c r="BP674" s="69"/>
      <c r="BQ674" s="69"/>
      <c r="BR674" s="69"/>
      <c r="BS674" s="69"/>
      <c r="BT674" s="69"/>
      <c r="BU674" s="69"/>
      <c r="BV674" s="69"/>
      <c r="BW674" s="69"/>
      <c r="BX674" s="69"/>
      <c r="BY674" s="69"/>
      <c r="BZ674" s="69"/>
      <c r="CA674" s="69"/>
      <c r="CB674" s="69"/>
      <c r="CC674" s="69"/>
      <c r="CD674" s="69"/>
      <c r="CE674" s="69"/>
      <c r="CF674" s="69"/>
    </row>
    <row r="675">
      <c r="A675" s="69"/>
      <c r="B675" s="71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69"/>
      <c r="BE675" s="69"/>
      <c r="BF675" s="69"/>
      <c r="BG675" s="69"/>
      <c r="BH675" s="69"/>
      <c r="BI675" s="69"/>
      <c r="BJ675" s="69"/>
      <c r="BK675" s="69"/>
      <c r="BL675" s="69"/>
      <c r="BM675" s="69"/>
      <c r="BN675" s="69"/>
      <c r="BO675" s="69"/>
      <c r="BP675" s="69"/>
      <c r="BQ675" s="69"/>
      <c r="BR675" s="69"/>
      <c r="BS675" s="69"/>
      <c r="BT675" s="69"/>
      <c r="BU675" s="69"/>
      <c r="BV675" s="69"/>
      <c r="BW675" s="69"/>
      <c r="BX675" s="69"/>
      <c r="BY675" s="69"/>
      <c r="BZ675" s="69"/>
      <c r="CA675" s="69"/>
      <c r="CB675" s="69"/>
      <c r="CC675" s="69"/>
      <c r="CD675" s="69"/>
      <c r="CE675" s="69"/>
      <c r="CF675" s="69"/>
    </row>
    <row r="676">
      <c r="A676" s="69"/>
      <c r="B676" s="71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69"/>
      <c r="BE676" s="69"/>
      <c r="BF676" s="69"/>
      <c r="BG676" s="69"/>
      <c r="BH676" s="69"/>
      <c r="BI676" s="69"/>
      <c r="BJ676" s="69"/>
      <c r="BK676" s="69"/>
      <c r="BL676" s="69"/>
      <c r="BM676" s="69"/>
      <c r="BN676" s="69"/>
      <c r="BO676" s="69"/>
      <c r="BP676" s="69"/>
      <c r="BQ676" s="69"/>
      <c r="BR676" s="69"/>
      <c r="BS676" s="69"/>
      <c r="BT676" s="69"/>
      <c r="BU676" s="69"/>
      <c r="BV676" s="69"/>
      <c r="BW676" s="69"/>
      <c r="BX676" s="69"/>
      <c r="BY676" s="69"/>
      <c r="BZ676" s="69"/>
      <c r="CA676" s="69"/>
      <c r="CB676" s="69"/>
      <c r="CC676" s="69"/>
      <c r="CD676" s="69"/>
      <c r="CE676" s="69"/>
      <c r="CF676" s="69"/>
    </row>
    <row r="677">
      <c r="A677" s="69"/>
      <c r="B677" s="71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69"/>
      <c r="BE677" s="69"/>
      <c r="BF677" s="69"/>
      <c r="BG677" s="69"/>
      <c r="BH677" s="69"/>
      <c r="BI677" s="69"/>
      <c r="BJ677" s="69"/>
      <c r="BK677" s="69"/>
      <c r="BL677" s="69"/>
      <c r="BM677" s="69"/>
      <c r="BN677" s="69"/>
      <c r="BO677" s="69"/>
      <c r="BP677" s="69"/>
      <c r="BQ677" s="69"/>
      <c r="BR677" s="69"/>
      <c r="BS677" s="69"/>
      <c r="BT677" s="69"/>
      <c r="BU677" s="69"/>
      <c r="BV677" s="69"/>
      <c r="BW677" s="69"/>
      <c r="BX677" s="69"/>
      <c r="BY677" s="69"/>
      <c r="BZ677" s="69"/>
      <c r="CA677" s="69"/>
      <c r="CB677" s="69"/>
      <c r="CC677" s="69"/>
      <c r="CD677" s="69"/>
      <c r="CE677" s="69"/>
      <c r="CF677" s="69"/>
    </row>
    <row r="678">
      <c r="A678" s="69"/>
      <c r="B678" s="71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69"/>
      <c r="BE678" s="69"/>
      <c r="BF678" s="69"/>
      <c r="BG678" s="69"/>
      <c r="BH678" s="69"/>
      <c r="BI678" s="69"/>
      <c r="BJ678" s="69"/>
      <c r="BK678" s="69"/>
      <c r="BL678" s="69"/>
      <c r="BM678" s="69"/>
      <c r="BN678" s="69"/>
      <c r="BO678" s="69"/>
      <c r="BP678" s="69"/>
      <c r="BQ678" s="69"/>
      <c r="BR678" s="69"/>
      <c r="BS678" s="69"/>
      <c r="BT678" s="69"/>
      <c r="BU678" s="69"/>
      <c r="BV678" s="69"/>
      <c r="BW678" s="69"/>
      <c r="BX678" s="69"/>
      <c r="BY678" s="69"/>
      <c r="BZ678" s="69"/>
      <c r="CA678" s="69"/>
      <c r="CB678" s="69"/>
      <c r="CC678" s="69"/>
      <c r="CD678" s="69"/>
      <c r="CE678" s="69"/>
      <c r="CF678" s="69"/>
    </row>
    <row r="679">
      <c r="A679" s="69"/>
      <c r="B679" s="71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69"/>
      <c r="BE679" s="69"/>
      <c r="BF679" s="69"/>
      <c r="BG679" s="69"/>
      <c r="BH679" s="69"/>
      <c r="BI679" s="69"/>
      <c r="BJ679" s="69"/>
      <c r="BK679" s="69"/>
      <c r="BL679" s="69"/>
      <c r="BM679" s="69"/>
      <c r="BN679" s="69"/>
      <c r="BO679" s="69"/>
      <c r="BP679" s="69"/>
      <c r="BQ679" s="69"/>
      <c r="BR679" s="69"/>
      <c r="BS679" s="69"/>
      <c r="BT679" s="69"/>
      <c r="BU679" s="69"/>
      <c r="BV679" s="69"/>
      <c r="BW679" s="69"/>
      <c r="BX679" s="69"/>
      <c r="BY679" s="69"/>
      <c r="BZ679" s="69"/>
      <c r="CA679" s="69"/>
      <c r="CB679" s="69"/>
      <c r="CC679" s="69"/>
      <c r="CD679" s="69"/>
      <c r="CE679" s="69"/>
      <c r="CF679" s="69"/>
    </row>
    <row r="680">
      <c r="A680" s="69"/>
      <c r="B680" s="71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69"/>
      <c r="BE680" s="69"/>
      <c r="BF680" s="69"/>
      <c r="BG680" s="69"/>
      <c r="BH680" s="69"/>
      <c r="BI680" s="69"/>
      <c r="BJ680" s="69"/>
      <c r="BK680" s="69"/>
      <c r="BL680" s="69"/>
      <c r="BM680" s="69"/>
      <c r="BN680" s="69"/>
      <c r="BO680" s="69"/>
      <c r="BP680" s="69"/>
      <c r="BQ680" s="69"/>
      <c r="BR680" s="69"/>
      <c r="BS680" s="69"/>
      <c r="BT680" s="69"/>
      <c r="BU680" s="69"/>
      <c r="BV680" s="69"/>
      <c r="BW680" s="69"/>
      <c r="BX680" s="69"/>
      <c r="BY680" s="69"/>
      <c r="BZ680" s="69"/>
      <c r="CA680" s="69"/>
      <c r="CB680" s="69"/>
      <c r="CC680" s="69"/>
      <c r="CD680" s="69"/>
      <c r="CE680" s="69"/>
      <c r="CF680" s="69"/>
    </row>
    <row r="681">
      <c r="A681" s="69"/>
      <c r="B681" s="71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69"/>
      <c r="BE681" s="69"/>
      <c r="BF681" s="69"/>
      <c r="BG681" s="69"/>
      <c r="BH681" s="69"/>
      <c r="BI681" s="69"/>
      <c r="BJ681" s="69"/>
      <c r="BK681" s="69"/>
      <c r="BL681" s="69"/>
      <c r="BM681" s="69"/>
      <c r="BN681" s="69"/>
      <c r="BO681" s="69"/>
      <c r="BP681" s="69"/>
      <c r="BQ681" s="69"/>
      <c r="BR681" s="69"/>
      <c r="BS681" s="69"/>
      <c r="BT681" s="69"/>
      <c r="BU681" s="69"/>
      <c r="BV681" s="69"/>
      <c r="BW681" s="69"/>
      <c r="BX681" s="69"/>
      <c r="BY681" s="69"/>
      <c r="BZ681" s="69"/>
      <c r="CA681" s="69"/>
      <c r="CB681" s="69"/>
      <c r="CC681" s="69"/>
      <c r="CD681" s="69"/>
      <c r="CE681" s="69"/>
      <c r="CF681" s="69"/>
    </row>
    <row r="682">
      <c r="A682" s="69"/>
      <c r="B682" s="71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69"/>
      <c r="BE682" s="69"/>
      <c r="BF682" s="69"/>
      <c r="BG682" s="69"/>
      <c r="BH682" s="69"/>
      <c r="BI682" s="69"/>
      <c r="BJ682" s="69"/>
      <c r="BK682" s="69"/>
      <c r="BL682" s="69"/>
      <c r="BM682" s="69"/>
      <c r="BN682" s="69"/>
      <c r="BO682" s="69"/>
      <c r="BP682" s="69"/>
      <c r="BQ682" s="69"/>
      <c r="BR682" s="69"/>
      <c r="BS682" s="69"/>
      <c r="BT682" s="69"/>
      <c r="BU682" s="69"/>
      <c r="BV682" s="69"/>
      <c r="BW682" s="69"/>
      <c r="BX682" s="69"/>
      <c r="BY682" s="69"/>
      <c r="BZ682" s="69"/>
      <c r="CA682" s="69"/>
      <c r="CB682" s="69"/>
      <c r="CC682" s="69"/>
      <c r="CD682" s="69"/>
      <c r="CE682" s="69"/>
      <c r="CF682" s="69"/>
    </row>
    <row r="683">
      <c r="A683" s="69"/>
      <c r="B683" s="71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69"/>
      <c r="BE683" s="69"/>
      <c r="BF683" s="69"/>
      <c r="BG683" s="69"/>
      <c r="BH683" s="69"/>
      <c r="BI683" s="69"/>
      <c r="BJ683" s="69"/>
      <c r="BK683" s="69"/>
      <c r="BL683" s="69"/>
      <c r="BM683" s="69"/>
      <c r="BN683" s="69"/>
      <c r="BO683" s="69"/>
      <c r="BP683" s="69"/>
      <c r="BQ683" s="69"/>
      <c r="BR683" s="69"/>
      <c r="BS683" s="69"/>
      <c r="BT683" s="69"/>
      <c r="BU683" s="69"/>
      <c r="BV683" s="69"/>
      <c r="BW683" s="69"/>
      <c r="BX683" s="69"/>
      <c r="BY683" s="69"/>
      <c r="BZ683" s="69"/>
      <c r="CA683" s="69"/>
      <c r="CB683" s="69"/>
      <c r="CC683" s="69"/>
      <c r="CD683" s="69"/>
      <c r="CE683" s="69"/>
      <c r="CF683" s="69"/>
    </row>
    <row r="684">
      <c r="A684" s="69"/>
      <c r="B684" s="71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69"/>
      <c r="BE684" s="69"/>
      <c r="BF684" s="69"/>
      <c r="BG684" s="69"/>
      <c r="BH684" s="69"/>
      <c r="BI684" s="69"/>
      <c r="BJ684" s="69"/>
      <c r="BK684" s="69"/>
      <c r="BL684" s="69"/>
      <c r="BM684" s="69"/>
      <c r="BN684" s="69"/>
      <c r="BO684" s="69"/>
      <c r="BP684" s="69"/>
      <c r="BQ684" s="69"/>
      <c r="BR684" s="69"/>
      <c r="BS684" s="69"/>
      <c r="BT684" s="69"/>
      <c r="BU684" s="69"/>
      <c r="BV684" s="69"/>
      <c r="BW684" s="69"/>
      <c r="BX684" s="69"/>
      <c r="BY684" s="69"/>
      <c r="BZ684" s="69"/>
      <c r="CA684" s="69"/>
      <c r="CB684" s="69"/>
      <c r="CC684" s="69"/>
      <c r="CD684" s="69"/>
      <c r="CE684" s="69"/>
      <c r="CF684" s="69"/>
    </row>
    <row r="685">
      <c r="A685" s="69"/>
      <c r="B685" s="71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69"/>
      <c r="BE685" s="69"/>
      <c r="BF685" s="69"/>
      <c r="BG685" s="69"/>
      <c r="BH685" s="69"/>
      <c r="BI685" s="69"/>
      <c r="BJ685" s="69"/>
      <c r="BK685" s="69"/>
      <c r="BL685" s="69"/>
      <c r="BM685" s="69"/>
      <c r="BN685" s="69"/>
      <c r="BO685" s="69"/>
      <c r="BP685" s="69"/>
      <c r="BQ685" s="69"/>
      <c r="BR685" s="69"/>
      <c r="BS685" s="69"/>
      <c r="BT685" s="69"/>
      <c r="BU685" s="69"/>
      <c r="BV685" s="69"/>
      <c r="BW685" s="69"/>
      <c r="BX685" s="69"/>
      <c r="BY685" s="69"/>
      <c r="BZ685" s="69"/>
      <c r="CA685" s="69"/>
      <c r="CB685" s="69"/>
      <c r="CC685" s="69"/>
      <c r="CD685" s="69"/>
      <c r="CE685" s="69"/>
      <c r="CF685" s="69"/>
    </row>
    <row r="686">
      <c r="A686" s="69"/>
      <c r="B686" s="71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69"/>
      <c r="BE686" s="69"/>
      <c r="BF686" s="69"/>
      <c r="BG686" s="69"/>
      <c r="BH686" s="69"/>
      <c r="BI686" s="69"/>
      <c r="BJ686" s="69"/>
      <c r="BK686" s="69"/>
      <c r="BL686" s="69"/>
      <c r="BM686" s="69"/>
      <c r="BN686" s="69"/>
      <c r="BO686" s="69"/>
      <c r="BP686" s="69"/>
      <c r="BQ686" s="69"/>
      <c r="BR686" s="69"/>
      <c r="BS686" s="69"/>
      <c r="BT686" s="69"/>
      <c r="BU686" s="69"/>
      <c r="BV686" s="69"/>
      <c r="BW686" s="69"/>
      <c r="BX686" s="69"/>
      <c r="BY686" s="69"/>
      <c r="BZ686" s="69"/>
      <c r="CA686" s="69"/>
      <c r="CB686" s="69"/>
      <c r="CC686" s="69"/>
      <c r="CD686" s="69"/>
      <c r="CE686" s="69"/>
      <c r="CF686" s="69"/>
    </row>
    <row r="687">
      <c r="A687" s="69"/>
      <c r="B687" s="71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69"/>
      <c r="BE687" s="69"/>
      <c r="BF687" s="69"/>
      <c r="BG687" s="69"/>
      <c r="BH687" s="69"/>
      <c r="BI687" s="69"/>
      <c r="BJ687" s="69"/>
      <c r="BK687" s="69"/>
      <c r="BL687" s="69"/>
      <c r="BM687" s="69"/>
      <c r="BN687" s="69"/>
      <c r="BO687" s="69"/>
      <c r="BP687" s="69"/>
      <c r="BQ687" s="69"/>
      <c r="BR687" s="69"/>
      <c r="BS687" s="69"/>
      <c r="BT687" s="69"/>
      <c r="BU687" s="69"/>
      <c r="BV687" s="69"/>
      <c r="BW687" s="69"/>
      <c r="BX687" s="69"/>
      <c r="BY687" s="69"/>
      <c r="BZ687" s="69"/>
      <c r="CA687" s="69"/>
      <c r="CB687" s="69"/>
      <c r="CC687" s="69"/>
      <c r="CD687" s="69"/>
      <c r="CE687" s="69"/>
      <c r="CF687" s="69"/>
    </row>
    <row r="688">
      <c r="A688" s="69"/>
      <c r="B688" s="71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69"/>
      <c r="BE688" s="69"/>
      <c r="BF688" s="69"/>
      <c r="BG688" s="69"/>
      <c r="BH688" s="69"/>
      <c r="BI688" s="69"/>
      <c r="BJ688" s="69"/>
      <c r="BK688" s="69"/>
      <c r="BL688" s="69"/>
      <c r="BM688" s="69"/>
      <c r="BN688" s="69"/>
      <c r="BO688" s="69"/>
      <c r="BP688" s="69"/>
      <c r="BQ688" s="69"/>
      <c r="BR688" s="69"/>
      <c r="BS688" s="69"/>
      <c r="BT688" s="69"/>
      <c r="BU688" s="69"/>
      <c r="BV688" s="69"/>
      <c r="BW688" s="69"/>
      <c r="BX688" s="69"/>
      <c r="BY688" s="69"/>
      <c r="BZ688" s="69"/>
      <c r="CA688" s="69"/>
      <c r="CB688" s="69"/>
      <c r="CC688" s="69"/>
      <c r="CD688" s="69"/>
      <c r="CE688" s="69"/>
      <c r="CF688" s="69"/>
    </row>
    <row r="689">
      <c r="A689" s="69"/>
      <c r="B689" s="71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69"/>
      <c r="BE689" s="69"/>
      <c r="BF689" s="69"/>
      <c r="BG689" s="69"/>
      <c r="BH689" s="69"/>
      <c r="BI689" s="69"/>
      <c r="BJ689" s="69"/>
      <c r="BK689" s="69"/>
      <c r="BL689" s="69"/>
      <c r="BM689" s="69"/>
      <c r="BN689" s="69"/>
      <c r="BO689" s="69"/>
      <c r="BP689" s="69"/>
      <c r="BQ689" s="69"/>
      <c r="BR689" s="69"/>
      <c r="BS689" s="69"/>
      <c r="BT689" s="69"/>
      <c r="BU689" s="69"/>
      <c r="BV689" s="69"/>
      <c r="BW689" s="69"/>
      <c r="BX689" s="69"/>
      <c r="BY689" s="69"/>
      <c r="BZ689" s="69"/>
      <c r="CA689" s="69"/>
      <c r="CB689" s="69"/>
      <c r="CC689" s="69"/>
      <c r="CD689" s="69"/>
      <c r="CE689" s="69"/>
      <c r="CF689" s="69"/>
    </row>
    <row r="690">
      <c r="A690" s="69"/>
      <c r="B690" s="71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69"/>
      <c r="BE690" s="69"/>
      <c r="BF690" s="69"/>
      <c r="BG690" s="69"/>
      <c r="BH690" s="69"/>
      <c r="BI690" s="69"/>
      <c r="BJ690" s="69"/>
      <c r="BK690" s="69"/>
      <c r="BL690" s="69"/>
      <c r="BM690" s="69"/>
      <c r="BN690" s="69"/>
      <c r="BO690" s="69"/>
      <c r="BP690" s="69"/>
      <c r="BQ690" s="69"/>
      <c r="BR690" s="69"/>
      <c r="BS690" s="69"/>
      <c r="BT690" s="69"/>
      <c r="BU690" s="69"/>
      <c r="BV690" s="69"/>
      <c r="BW690" s="69"/>
      <c r="BX690" s="69"/>
      <c r="BY690" s="69"/>
      <c r="BZ690" s="69"/>
      <c r="CA690" s="69"/>
      <c r="CB690" s="69"/>
      <c r="CC690" s="69"/>
      <c r="CD690" s="69"/>
      <c r="CE690" s="69"/>
      <c r="CF690" s="69"/>
    </row>
    <row r="691">
      <c r="A691" s="69"/>
      <c r="B691" s="71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69"/>
      <c r="BE691" s="69"/>
      <c r="BF691" s="69"/>
      <c r="BG691" s="69"/>
      <c r="BH691" s="69"/>
      <c r="BI691" s="69"/>
      <c r="BJ691" s="69"/>
      <c r="BK691" s="69"/>
      <c r="BL691" s="69"/>
      <c r="BM691" s="69"/>
      <c r="BN691" s="69"/>
      <c r="BO691" s="69"/>
      <c r="BP691" s="69"/>
      <c r="BQ691" s="69"/>
      <c r="BR691" s="69"/>
      <c r="BS691" s="69"/>
      <c r="BT691" s="69"/>
      <c r="BU691" s="69"/>
      <c r="BV691" s="69"/>
      <c r="BW691" s="69"/>
      <c r="BX691" s="69"/>
      <c r="BY691" s="69"/>
      <c r="BZ691" s="69"/>
      <c r="CA691" s="69"/>
      <c r="CB691" s="69"/>
      <c r="CC691" s="69"/>
      <c r="CD691" s="69"/>
      <c r="CE691" s="69"/>
      <c r="CF691" s="69"/>
    </row>
    <row r="692">
      <c r="A692" s="69"/>
      <c r="B692" s="71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69"/>
      <c r="BE692" s="69"/>
      <c r="BF692" s="69"/>
      <c r="BG692" s="69"/>
      <c r="BH692" s="69"/>
      <c r="BI692" s="69"/>
      <c r="BJ692" s="69"/>
      <c r="BK692" s="69"/>
      <c r="BL692" s="69"/>
      <c r="BM692" s="69"/>
      <c r="BN692" s="69"/>
      <c r="BO692" s="69"/>
      <c r="BP692" s="69"/>
      <c r="BQ692" s="69"/>
      <c r="BR692" s="69"/>
      <c r="BS692" s="69"/>
      <c r="BT692" s="69"/>
      <c r="BU692" s="69"/>
      <c r="BV692" s="69"/>
      <c r="BW692" s="69"/>
      <c r="BX692" s="69"/>
      <c r="BY692" s="69"/>
      <c r="BZ692" s="69"/>
      <c r="CA692" s="69"/>
      <c r="CB692" s="69"/>
      <c r="CC692" s="69"/>
      <c r="CD692" s="69"/>
      <c r="CE692" s="69"/>
      <c r="CF692" s="69"/>
    </row>
    <row r="693">
      <c r="A693" s="69"/>
      <c r="B693" s="71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69"/>
      <c r="BE693" s="69"/>
      <c r="BF693" s="69"/>
      <c r="BG693" s="69"/>
      <c r="BH693" s="69"/>
      <c r="BI693" s="69"/>
      <c r="BJ693" s="69"/>
      <c r="BK693" s="69"/>
      <c r="BL693" s="69"/>
      <c r="BM693" s="69"/>
      <c r="BN693" s="69"/>
      <c r="BO693" s="69"/>
      <c r="BP693" s="69"/>
      <c r="BQ693" s="69"/>
      <c r="BR693" s="69"/>
      <c r="BS693" s="69"/>
      <c r="BT693" s="69"/>
      <c r="BU693" s="69"/>
      <c r="BV693" s="69"/>
      <c r="BW693" s="69"/>
      <c r="BX693" s="69"/>
      <c r="BY693" s="69"/>
      <c r="BZ693" s="69"/>
      <c r="CA693" s="69"/>
      <c r="CB693" s="69"/>
      <c r="CC693" s="69"/>
      <c r="CD693" s="69"/>
      <c r="CE693" s="69"/>
      <c r="CF693" s="69"/>
    </row>
    <row r="694">
      <c r="A694" s="69"/>
      <c r="B694" s="71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69"/>
      <c r="BE694" s="69"/>
      <c r="BF694" s="69"/>
      <c r="BG694" s="69"/>
      <c r="BH694" s="69"/>
      <c r="BI694" s="69"/>
      <c r="BJ694" s="69"/>
      <c r="BK694" s="69"/>
      <c r="BL694" s="69"/>
      <c r="BM694" s="69"/>
      <c r="BN694" s="69"/>
      <c r="BO694" s="69"/>
      <c r="BP694" s="69"/>
      <c r="BQ694" s="69"/>
      <c r="BR694" s="69"/>
      <c r="BS694" s="69"/>
      <c r="BT694" s="69"/>
      <c r="BU694" s="69"/>
      <c r="BV694" s="69"/>
      <c r="BW694" s="69"/>
      <c r="BX694" s="69"/>
      <c r="BY694" s="69"/>
      <c r="BZ694" s="69"/>
      <c r="CA694" s="69"/>
      <c r="CB694" s="69"/>
      <c r="CC694" s="69"/>
      <c r="CD694" s="69"/>
      <c r="CE694" s="69"/>
      <c r="CF694" s="69"/>
    </row>
    <row r="695">
      <c r="A695" s="69"/>
      <c r="B695" s="71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69"/>
      <c r="BE695" s="69"/>
      <c r="BF695" s="69"/>
      <c r="BG695" s="69"/>
      <c r="BH695" s="69"/>
      <c r="BI695" s="69"/>
      <c r="BJ695" s="69"/>
      <c r="BK695" s="69"/>
      <c r="BL695" s="69"/>
      <c r="BM695" s="69"/>
      <c r="BN695" s="69"/>
      <c r="BO695" s="69"/>
      <c r="BP695" s="69"/>
      <c r="BQ695" s="69"/>
      <c r="BR695" s="69"/>
      <c r="BS695" s="69"/>
      <c r="BT695" s="69"/>
      <c r="BU695" s="69"/>
      <c r="BV695" s="69"/>
      <c r="BW695" s="69"/>
      <c r="BX695" s="69"/>
      <c r="BY695" s="69"/>
      <c r="BZ695" s="69"/>
      <c r="CA695" s="69"/>
      <c r="CB695" s="69"/>
      <c r="CC695" s="69"/>
      <c r="CD695" s="69"/>
      <c r="CE695" s="69"/>
      <c r="CF695" s="69"/>
    </row>
    <row r="696">
      <c r="A696" s="69"/>
      <c r="B696" s="71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69"/>
      <c r="BE696" s="69"/>
      <c r="BF696" s="69"/>
      <c r="BG696" s="69"/>
      <c r="BH696" s="69"/>
      <c r="BI696" s="69"/>
      <c r="BJ696" s="69"/>
      <c r="BK696" s="69"/>
      <c r="BL696" s="69"/>
      <c r="BM696" s="69"/>
      <c r="BN696" s="69"/>
      <c r="BO696" s="69"/>
      <c r="BP696" s="69"/>
      <c r="BQ696" s="69"/>
      <c r="BR696" s="69"/>
      <c r="BS696" s="69"/>
      <c r="BT696" s="69"/>
      <c r="BU696" s="69"/>
      <c r="BV696" s="69"/>
      <c r="BW696" s="69"/>
      <c r="BX696" s="69"/>
      <c r="BY696" s="69"/>
      <c r="BZ696" s="69"/>
      <c r="CA696" s="69"/>
      <c r="CB696" s="69"/>
      <c r="CC696" s="69"/>
      <c r="CD696" s="69"/>
      <c r="CE696" s="69"/>
      <c r="CF696" s="69"/>
    </row>
    <row r="697">
      <c r="A697" s="69"/>
      <c r="B697" s="71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69"/>
      <c r="BE697" s="69"/>
      <c r="BF697" s="69"/>
      <c r="BG697" s="69"/>
      <c r="BH697" s="69"/>
      <c r="BI697" s="69"/>
      <c r="BJ697" s="69"/>
      <c r="BK697" s="69"/>
      <c r="BL697" s="69"/>
      <c r="BM697" s="69"/>
      <c r="BN697" s="69"/>
      <c r="BO697" s="69"/>
      <c r="BP697" s="69"/>
      <c r="BQ697" s="69"/>
      <c r="BR697" s="69"/>
      <c r="BS697" s="69"/>
      <c r="BT697" s="69"/>
      <c r="BU697" s="69"/>
      <c r="BV697" s="69"/>
      <c r="BW697" s="69"/>
      <c r="BX697" s="69"/>
      <c r="BY697" s="69"/>
      <c r="BZ697" s="69"/>
      <c r="CA697" s="69"/>
      <c r="CB697" s="69"/>
      <c r="CC697" s="69"/>
      <c r="CD697" s="69"/>
      <c r="CE697" s="69"/>
      <c r="CF697" s="69"/>
    </row>
    <row r="698">
      <c r="A698" s="69"/>
      <c r="B698" s="71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69"/>
      <c r="BE698" s="69"/>
      <c r="BF698" s="69"/>
      <c r="BG698" s="69"/>
      <c r="BH698" s="69"/>
      <c r="BI698" s="69"/>
      <c r="BJ698" s="69"/>
      <c r="BK698" s="69"/>
      <c r="BL698" s="69"/>
      <c r="BM698" s="69"/>
      <c r="BN698" s="69"/>
      <c r="BO698" s="69"/>
      <c r="BP698" s="69"/>
      <c r="BQ698" s="69"/>
      <c r="BR698" s="69"/>
      <c r="BS698" s="69"/>
      <c r="BT698" s="69"/>
      <c r="BU698" s="69"/>
      <c r="BV698" s="69"/>
      <c r="BW698" s="69"/>
      <c r="BX698" s="69"/>
      <c r="BY698" s="69"/>
      <c r="BZ698" s="69"/>
      <c r="CA698" s="69"/>
      <c r="CB698" s="69"/>
      <c r="CC698" s="69"/>
      <c r="CD698" s="69"/>
      <c r="CE698" s="69"/>
      <c r="CF698" s="69"/>
    </row>
    <row r="699">
      <c r="A699" s="69"/>
      <c r="B699" s="71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69"/>
      <c r="BE699" s="69"/>
      <c r="BF699" s="69"/>
      <c r="BG699" s="69"/>
      <c r="BH699" s="69"/>
      <c r="BI699" s="69"/>
      <c r="BJ699" s="69"/>
      <c r="BK699" s="69"/>
      <c r="BL699" s="69"/>
      <c r="BM699" s="69"/>
      <c r="BN699" s="69"/>
      <c r="BO699" s="69"/>
      <c r="BP699" s="69"/>
      <c r="BQ699" s="69"/>
      <c r="BR699" s="69"/>
      <c r="BS699" s="69"/>
      <c r="BT699" s="69"/>
      <c r="BU699" s="69"/>
      <c r="BV699" s="69"/>
      <c r="BW699" s="69"/>
      <c r="BX699" s="69"/>
      <c r="BY699" s="69"/>
      <c r="BZ699" s="69"/>
      <c r="CA699" s="69"/>
      <c r="CB699" s="69"/>
      <c r="CC699" s="69"/>
      <c r="CD699" s="69"/>
      <c r="CE699" s="69"/>
      <c r="CF699" s="69"/>
    </row>
    <row r="700">
      <c r="A700" s="69"/>
      <c r="B700" s="71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69"/>
      <c r="BE700" s="69"/>
      <c r="BF700" s="69"/>
      <c r="BG700" s="69"/>
      <c r="BH700" s="69"/>
      <c r="BI700" s="69"/>
      <c r="BJ700" s="69"/>
      <c r="BK700" s="69"/>
      <c r="BL700" s="69"/>
      <c r="BM700" s="69"/>
      <c r="BN700" s="69"/>
      <c r="BO700" s="69"/>
      <c r="BP700" s="69"/>
      <c r="BQ700" s="69"/>
      <c r="BR700" s="69"/>
      <c r="BS700" s="69"/>
      <c r="BT700" s="69"/>
      <c r="BU700" s="69"/>
      <c r="BV700" s="69"/>
      <c r="BW700" s="69"/>
      <c r="BX700" s="69"/>
      <c r="BY700" s="69"/>
      <c r="BZ700" s="69"/>
      <c r="CA700" s="69"/>
      <c r="CB700" s="69"/>
      <c r="CC700" s="69"/>
      <c r="CD700" s="69"/>
      <c r="CE700" s="69"/>
      <c r="CF700" s="69"/>
    </row>
    <row r="701">
      <c r="A701" s="69"/>
      <c r="B701" s="71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69"/>
      <c r="BE701" s="69"/>
      <c r="BF701" s="69"/>
      <c r="BG701" s="69"/>
      <c r="BH701" s="69"/>
      <c r="BI701" s="69"/>
      <c r="BJ701" s="69"/>
      <c r="BK701" s="69"/>
      <c r="BL701" s="69"/>
      <c r="BM701" s="69"/>
      <c r="BN701" s="69"/>
      <c r="BO701" s="69"/>
      <c r="BP701" s="69"/>
      <c r="BQ701" s="69"/>
      <c r="BR701" s="69"/>
      <c r="BS701" s="69"/>
      <c r="BT701" s="69"/>
      <c r="BU701" s="69"/>
      <c r="BV701" s="69"/>
      <c r="BW701" s="69"/>
      <c r="BX701" s="69"/>
      <c r="BY701" s="69"/>
      <c r="BZ701" s="69"/>
      <c r="CA701" s="69"/>
      <c r="CB701" s="69"/>
      <c r="CC701" s="69"/>
      <c r="CD701" s="69"/>
      <c r="CE701" s="69"/>
      <c r="CF701" s="69"/>
    </row>
    <row r="702">
      <c r="A702" s="69"/>
      <c r="B702" s="71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69"/>
      <c r="BE702" s="69"/>
      <c r="BF702" s="69"/>
      <c r="BG702" s="69"/>
      <c r="BH702" s="69"/>
      <c r="BI702" s="69"/>
      <c r="BJ702" s="69"/>
      <c r="BK702" s="69"/>
      <c r="BL702" s="69"/>
      <c r="BM702" s="69"/>
      <c r="BN702" s="69"/>
      <c r="BO702" s="69"/>
      <c r="BP702" s="69"/>
      <c r="BQ702" s="69"/>
      <c r="BR702" s="69"/>
      <c r="BS702" s="69"/>
      <c r="BT702" s="69"/>
      <c r="BU702" s="69"/>
      <c r="BV702" s="69"/>
      <c r="BW702" s="69"/>
      <c r="BX702" s="69"/>
      <c r="BY702" s="69"/>
      <c r="BZ702" s="69"/>
      <c r="CA702" s="69"/>
      <c r="CB702" s="69"/>
      <c r="CC702" s="69"/>
      <c r="CD702" s="69"/>
      <c r="CE702" s="69"/>
      <c r="CF702" s="69"/>
    </row>
    <row r="703">
      <c r="A703" s="69"/>
      <c r="B703" s="71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69"/>
      <c r="BE703" s="69"/>
      <c r="BF703" s="69"/>
      <c r="BG703" s="69"/>
      <c r="BH703" s="69"/>
      <c r="BI703" s="69"/>
      <c r="BJ703" s="69"/>
      <c r="BK703" s="69"/>
      <c r="BL703" s="69"/>
      <c r="BM703" s="69"/>
      <c r="BN703" s="69"/>
      <c r="BO703" s="69"/>
      <c r="BP703" s="69"/>
      <c r="BQ703" s="69"/>
      <c r="BR703" s="69"/>
      <c r="BS703" s="69"/>
      <c r="BT703" s="69"/>
      <c r="BU703" s="69"/>
      <c r="BV703" s="69"/>
      <c r="BW703" s="69"/>
      <c r="BX703" s="69"/>
      <c r="BY703" s="69"/>
      <c r="BZ703" s="69"/>
      <c r="CA703" s="69"/>
      <c r="CB703" s="69"/>
      <c r="CC703" s="69"/>
      <c r="CD703" s="69"/>
      <c r="CE703" s="69"/>
      <c r="CF703" s="69"/>
    </row>
    <row r="704">
      <c r="A704" s="69"/>
      <c r="B704" s="71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69"/>
      <c r="BE704" s="69"/>
      <c r="BF704" s="69"/>
      <c r="BG704" s="69"/>
      <c r="BH704" s="69"/>
      <c r="BI704" s="69"/>
      <c r="BJ704" s="69"/>
      <c r="BK704" s="69"/>
      <c r="BL704" s="69"/>
      <c r="BM704" s="69"/>
      <c r="BN704" s="69"/>
      <c r="BO704" s="69"/>
      <c r="BP704" s="69"/>
      <c r="BQ704" s="69"/>
      <c r="BR704" s="69"/>
      <c r="BS704" s="69"/>
      <c r="BT704" s="69"/>
      <c r="BU704" s="69"/>
      <c r="BV704" s="69"/>
      <c r="BW704" s="69"/>
      <c r="BX704" s="69"/>
      <c r="BY704" s="69"/>
      <c r="BZ704" s="69"/>
      <c r="CA704" s="69"/>
      <c r="CB704" s="69"/>
      <c r="CC704" s="69"/>
      <c r="CD704" s="69"/>
      <c r="CE704" s="69"/>
      <c r="CF704" s="69"/>
    </row>
    <row r="705">
      <c r="A705" s="69"/>
      <c r="B705" s="71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69"/>
      <c r="BE705" s="69"/>
      <c r="BF705" s="69"/>
      <c r="BG705" s="69"/>
      <c r="BH705" s="69"/>
      <c r="BI705" s="69"/>
      <c r="BJ705" s="69"/>
      <c r="BK705" s="69"/>
      <c r="BL705" s="69"/>
      <c r="BM705" s="69"/>
      <c r="BN705" s="69"/>
      <c r="BO705" s="69"/>
      <c r="BP705" s="69"/>
      <c r="BQ705" s="69"/>
      <c r="BR705" s="69"/>
      <c r="BS705" s="69"/>
      <c r="BT705" s="69"/>
      <c r="BU705" s="69"/>
      <c r="BV705" s="69"/>
      <c r="BW705" s="69"/>
      <c r="BX705" s="69"/>
      <c r="BY705" s="69"/>
      <c r="BZ705" s="69"/>
      <c r="CA705" s="69"/>
      <c r="CB705" s="69"/>
      <c r="CC705" s="69"/>
      <c r="CD705" s="69"/>
      <c r="CE705" s="69"/>
      <c r="CF705" s="69"/>
    </row>
    <row r="706">
      <c r="A706" s="69"/>
      <c r="B706" s="71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69"/>
      <c r="BE706" s="69"/>
      <c r="BF706" s="69"/>
      <c r="BG706" s="69"/>
      <c r="BH706" s="69"/>
      <c r="BI706" s="69"/>
      <c r="BJ706" s="69"/>
      <c r="BK706" s="69"/>
      <c r="BL706" s="69"/>
      <c r="BM706" s="69"/>
      <c r="BN706" s="69"/>
      <c r="BO706" s="69"/>
      <c r="BP706" s="69"/>
      <c r="BQ706" s="69"/>
      <c r="BR706" s="69"/>
      <c r="BS706" s="69"/>
      <c r="BT706" s="69"/>
      <c r="BU706" s="69"/>
      <c r="BV706" s="69"/>
      <c r="BW706" s="69"/>
      <c r="BX706" s="69"/>
      <c r="BY706" s="69"/>
      <c r="BZ706" s="69"/>
      <c r="CA706" s="69"/>
      <c r="CB706" s="69"/>
      <c r="CC706" s="69"/>
      <c r="CD706" s="69"/>
      <c r="CE706" s="69"/>
      <c r="CF706" s="69"/>
    </row>
    <row r="707">
      <c r="A707" s="69"/>
      <c r="B707" s="71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69"/>
      <c r="BE707" s="69"/>
      <c r="BF707" s="69"/>
      <c r="BG707" s="69"/>
      <c r="BH707" s="69"/>
      <c r="BI707" s="69"/>
      <c r="BJ707" s="69"/>
      <c r="BK707" s="69"/>
      <c r="BL707" s="69"/>
      <c r="BM707" s="69"/>
      <c r="BN707" s="69"/>
      <c r="BO707" s="69"/>
      <c r="BP707" s="69"/>
      <c r="BQ707" s="69"/>
      <c r="BR707" s="69"/>
      <c r="BS707" s="69"/>
      <c r="BT707" s="69"/>
      <c r="BU707" s="69"/>
      <c r="BV707" s="69"/>
      <c r="BW707" s="69"/>
      <c r="BX707" s="69"/>
      <c r="BY707" s="69"/>
      <c r="BZ707" s="69"/>
      <c r="CA707" s="69"/>
      <c r="CB707" s="69"/>
      <c r="CC707" s="69"/>
      <c r="CD707" s="69"/>
      <c r="CE707" s="69"/>
      <c r="CF707" s="69"/>
    </row>
    <row r="708">
      <c r="A708" s="69"/>
      <c r="B708" s="71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69"/>
      <c r="BE708" s="69"/>
      <c r="BF708" s="69"/>
      <c r="BG708" s="69"/>
      <c r="BH708" s="69"/>
      <c r="BI708" s="69"/>
      <c r="BJ708" s="69"/>
      <c r="BK708" s="69"/>
      <c r="BL708" s="69"/>
      <c r="BM708" s="69"/>
      <c r="BN708" s="69"/>
      <c r="BO708" s="69"/>
      <c r="BP708" s="69"/>
      <c r="BQ708" s="69"/>
      <c r="BR708" s="69"/>
      <c r="BS708" s="69"/>
      <c r="BT708" s="69"/>
      <c r="BU708" s="69"/>
      <c r="BV708" s="69"/>
      <c r="BW708" s="69"/>
      <c r="BX708" s="69"/>
      <c r="BY708" s="69"/>
      <c r="BZ708" s="69"/>
      <c r="CA708" s="69"/>
      <c r="CB708" s="69"/>
      <c r="CC708" s="69"/>
      <c r="CD708" s="69"/>
      <c r="CE708" s="69"/>
      <c r="CF708" s="69"/>
    </row>
    <row r="709">
      <c r="A709" s="69"/>
      <c r="B709" s="71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69"/>
      <c r="BE709" s="69"/>
      <c r="BF709" s="69"/>
      <c r="BG709" s="69"/>
      <c r="BH709" s="69"/>
      <c r="BI709" s="69"/>
      <c r="BJ709" s="69"/>
      <c r="BK709" s="69"/>
      <c r="BL709" s="69"/>
      <c r="BM709" s="69"/>
      <c r="BN709" s="69"/>
      <c r="BO709" s="69"/>
      <c r="BP709" s="69"/>
      <c r="BQ709" s="69"/>
      <c r="BR709" s="69"/>
      <c r="BS709" s="69"/>
      <c r="BT709" s="69"/>
      <c r="BU709" s="69"/>
      <c r="BV709" s="69"/>
      <c r="BW709" s="69"/>
      <c r="BX709" s="69"/>
      <c r="BY709" s="69"/>
      <c r="BZ709" s="69"/>
      <c r="CA709" s="69"/>
      <c r="CB709" s="69"/>
      <c r="CC709" s="69"/>
      <c r="CD709" s="69"/>
      <c r="CE709" s="69"/>
      <c r="CF709" s="69"/>
    </row>
    <row r="710">
      <c r="A710" s="69"/>
      <c r="B710" s="71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69"/>
      <c r="BE710" s="69"/>
      <c r="BF710" s="69"/>
      <c r="BG710" s="69"/>
      <c r="BH710" s="69"/>
      <c r="BI710" s="69"/>
      <c r="BJ710" s="69"/>
      <c r="BK710" s="69"/>
      <c r="BL710" s="69"/>
      <c r="BM710" s="69"/>
      <c r="BN710" s="69"/>
      <c r="BO710" s="69"/>
      <c r="BP710" s="69"/>
      <c r="BQ710" s="69"/>
      <c r="BR710" s="69"/>
      <c r="BS710" s="69"/>
      <c r="BT710" s="69"/>
      <c r="BU710" s="69"/>
      <c r="BV710" s="69"/>
      <c r="BW710" s="69"/>
      <c r="BX710" s="69"/>
      <c r="BY710" s="69"/>
      <c r="BZ710" s="69"/>
      <c r="CA710" s="69"/>
      <c r="CB710" s="69"/>
      <c r="CC710" s="69"/>
      <c r="CD710" s="69"/>
      <c r="CE710" s="69"/>
      <c r="CF710" s="69"/>
    </row>
    <row r="711">
      <c r="A711" s="69"/>
      <c r="B711" s="71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69"/>
      <c r="BE711" s="69"/>
      <c r="BF711" s="69"/>
      <c r="BG711" s="69"/>
      <c r="BH711" s="69"/>
      <c r="BI711" s="69"/>
      <c r="BJ711" s="69"/>
      <c r="BK711" s="69"/>
      <c r="BL711" s="69"/>
      <c r="BM711" s="69"/>
      <c r="BN711" s="69"/>
      <c r="BO711" s="69"/>
      <c r="BP711" s="69"/>
      <c r="BQ711" s="69"/>
      <c r="BR711" s="69"/>
      <c r="BS711" s="69"/>
      <c r="BT711" s="69"/>
      <c r="BU711" s="69"/>
      <c r="BV711" s="69"/>
      <c r="BW711" s="69"/>
      <c r="BX711" s="69"/>
      <c r="BY711" s="69"/>
      <c r="BZ711" s="69"/>
      <c r="CA711" s="69"/>
      <c r="CB711" s="69"/>
      <c r="CC711" s="69"/>
      <c r="CD711" s="69"/>
      <c r="CE711" s="69"/>
      <c r="CF711" s="69"/>
    </row>
    <row r="712">
      <c r="A712" s="69"/>
      <c r="B712" s="71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69"/>
      <c r="BE712" s="69"/>
      <c r="BF712" s="69"/>
      <c r="BG712" s="69"/>
      <c r="BH712" s="69"/>
      <c r="BI712" s="69"/>
      <c r="BJ712" s="69"/>
      <c r="BK712" s="69"/>
      <c r="BL712" s="69"/>
      <c r="BM712" s="69"/>
      <c r="BN712" s="69"/>
      <c r="BO712" s="69"/>
      <c r="BP712" s="69"/>
      <c r="BQ712" s="69"/>
      <c r="BR712" s="69"/>
      <c r="BS712" s="69"/>
      <c r="BT712" s="69"/>
      <c r="BU712" s="69"/>
      <c r="BV712" s="69"/>
      <c r="BW712" s="69"/>
      <c r="BX712" s="69"/>
      <c r="BY712" s="69"/>
      <c r="BZ712" s="69"/>
      <c r="CA712" s="69"/>
      <c r="CB712" s="69"/>
      <c r="CC712" s="69"/>
      <c r="CD712" s="69"/>
      <c r="CE712" s="69"/>
      <c r="CF712" s="69"/>
    </row>
    <row r="713">
      <c r="A713" s="69"/>
      <c r="B713" s="71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69"/>
      <c r="BE713" s="69"/>
      <c r="BF713" s="69"/>
      <c r="BG713" s="69"/>
      <c r="BH713" s="69"/>
      <c r="BI713" s="69"/>
      <c r="BJ713" s="69"/>
      <c r="BK713" s="69"/>
      <c r="BL713" s="69"/>
      <c r="BM713" s="69"/>
      <c r="BN713" s="69"/>
      <c r="BO713" s="69"/>
      <c r="BP713" s="69"/>
      <c r="BQ713" s="69"/>
      <c r="BR713" s="69"/>
      <c r="BS713" s="69"/>
      <c r="BT713" s="69"/>
      <c r="BU713" s="69"/>
      <c r="BV713" s="69"/>
      <c r="BW713" s="69"/>
      <c r="BX713" s="69"/>
      <c r="BY713" s="69"/>
      <c r="BZ713" s="69"/>
      <c r="CA713" s="69"/>
      <c r="CB713" s="69"/>
      <c r="CC713" s="69"/>
      <c r="CD713" s="69"/>
      <c r="CE713" s="69"/>
      <c r="CF713" s="69"/>
    </row>
    <row r="714">
      <c r="A714" s="69"/>
      <c r="B714" s="71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69"/>
      <c r="BE714" s="69"/>
      <c r="BF714" s="69"/>
      <c r="BG714" s="69"/>
      <c r="BH714" s="69"/>
      <c r="BI714" s="69"/>
      <c r="BJ714" s="69"/>
      <c r="BK714" s="69"/>
      <c r="BL714" s="69"/>
      <c r="BM714" s="69"/>
      <c r="BN714" s="69"/>
      <c r="BO714" s="69"/>
      <c r="BP714" s="69"/>
      <c r="BQ714" s="69"/>
      <c r="BR714" s="69"/>
      <c r="BS714" s="69"/>
      <c r="BT714" s="69"/>
      <c r="BU714" s="69"/>
      <c r="BV714" s="69"/>
      <c r="BW714" s="69"/>
      <c r="BX714" s="69"/>
      <c r="BY714" s="69"/>
      <c r="BZ714" s="69"/>
      <c r="CA714" s="69"/>
      <c r="CB714" s="69"/>
      <c r="CC714" s="69"/>
      <c r="CD714" s="69"/>
      <c r="CE714" s="69"/>
      <c r="CF714" s="69"/>
    </row>
    <row r="715">
      <c r="A715" s="69"/>
      <c r="B715" s="71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69"/>
      <c r="BE715" s="69"/>
      <c r="BF715" s="69"/>
      <c r="BG715" s="69"/>
      <c r="BH715" s="69"/>
      <c r="BI715" s="69"/>
      <c r="BJ715" s="69"/>
      <c r="BK715" s="69"/>
      <c r="BL715" s="69"/>
      <c r="BM715" s="69"/>
      <c r="BN715" s="69"/>
      <c r="BO715" s="69"/>
      <c r="BP715" s="69"/>
      <c r="BQ715" s="69"/>
      <c r="BR715" s="69"/>
      <c r="BS715" s="69"/>
      <c r="BT715" s="69"/>
      <c r="BU715" s="69"/>
      <c r="BV715" s="69"/>
      <c r="BW715" s="69"/>
      <c r="BX715" s="69"/>
      <c r="BY715" s="69"/>
      <c r="BZ715" s="69"/>
      <c r="CA715" s="69"/>
      <c r="CB715" s="69"/>
      <c r="CC715" s="69"/>
      <c r="CD715" s="69"/>
      <c r="CE715" s="69"/>
      <c r="CF715" s="69"/>
    </row>
    <row r="716">
      <c r="A716" s="69"/>
      <c r="B716" s="71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69"/>
      <c r="BE716" s="69"/>
      <c r="BF716" s="69"/>
      <c r="BG716" s="69"/>
      <c r="BH716" s="69"/>
      <c r="BI716" s="69"/>
      <c r="BJ716" s="69"/>
      <c r="BK716" s="69"/>
      <c r="BL716" s="69"/>
      <c r="BM716" s="69"/>
      <c r="BN716" s="69"/>
      <c r="BO716" s="69"/>
      <c r="BP716" s="69"/>
      <c r="BQ716" s="69"/>
      <c r="BR716" s="69"/>
      <c r="BS716" s="69"/>
      <c r="BT716" s="69"/>
      <c r="BU716" s="69"/>
      <c r="BV716" s="69"/>
      <c r="BW716" s="69"/>
      <c r="BX716" s="69"/>
      <c r="BY716" s="69"/>
      <c r="BZ716" s="69"/>
      <c r="CA716" s="69"/>
      <c r="CB716" s="69"/>
      <c r="CC716" s="69"/>
      <c r="CD716" s="69"/>
      <c r="CE716" s="69"/>
      <c r="CF716" s="69"/>
    </row>
    <row r="717">
      <c r="A717" s="69"/>
      <c r="B717" s="71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69"/>
      <c r="BE717" s="69"/>
      <c r="BF717" s="69"/>
      <c r="BG717" s="69"/>
      <c r="BH717" s="69"/>
      <c r="BI717" s="69"/>
      <c r="BJ717" s="69"/>
      <c r="BK717" s="69"/>
      <c r="BL717" s="69"/>
      <c r="BM717" s="69"/>
      <c r="BN717" s="69"/>
      <c r="BO717" s="69"/>
      <c r="BP717" s="69"/>
      <c r="BQ717" s="69"/>
      <c r="BR717" s="69"/>
      <c r="BS717" s="69"/>
      <c r="BT717" s="69"/>
      <c r="BU717" s="69"/>
      <c r="BV717" s="69"/>
      <c r="BW717" s="69"/>
      <c r="BX717" s="69"/>
      <c r="BY717" s="69"/>
      <c r="BZ717" s="69"/>
      <c r="CA717" s="69"/>
      <c r="CB717" s="69"/>
      <c r="CC717" s="69"/>
      <c r="CD717" s="69"/>
      <c r="CE717" s="69"/>
      <c r="CF717" s="69"/>
    </row>
    <row r="718">
      <c r="A718" s="69"/>
      <c r="B718" s="71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69"/>
      <c r="BE718" s="69"/>
      <c r="BF718" s="69"/>
      <c r="BG718" s="69"/>
      <c r="BH718" s="69"/>
      <c r="BI718" s="69"/>
      <c r="BJ718" s="69"/>
      <c r="BK718" s="69"/>
      <c r="BL718" s="69"/>
      <c r="BM718" s="69"/>
      <c r="BN718" s="69"/>
      <c r="BO718" s="69"/>
      <c r="BP718" s="69"/>
      <c r="BQ718" s="69"/>
      <c r="BR718" s="69"/>
      <c r="BS718" s="69"/>
      <c r="BT718" s="69"/>
      <c r="BU718" s="69"/>
      <c r="BV718" s="69"/>
      <c r="BW718" s="69"/>
      <c r="BX718" s="69"/>
      <c r="BY718" s="69"/>
      <c r="BZ718" s="69"/>
      <c r="CA718" s="69"/>
      <c r="CB718" s="69"/>
      <c r="CC718" s="69"/>
      <c r="CD718" s="69"/>
      <c r="CE718" s="69"/>
      <c r="CF718" s="69"/>
    </row>
    <row r="719">
      <c r="A719" s="69"/>
      <c r="B719" s="71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69"/>
      <c r="BE719" s="69"/>
      <c r="BF719" s="69"/>
      <c r="BG719" s="69"/>
      <c r="BH719" s="69"/>
      <c r="BI719" s="69"/>
      <c r="BJ719" s="69"/>
      <c r="BK719" s="69"/>
      <c r="BL719" s="69"/>
      <c r="BM719" s="69"/>
      <c r="BN719" s="69"/>
      <c r="BO719" s="69"/>
      <c r="BP719" s="69"/>
      <c r="BQ719" s="69"/>
      <c r="BR719" s="69"/>
      <c r="BS719" s="69"/>
      <c r="BT719" s="69"/>
      <c r="BU719" s="69"/>
      <c r="BV719" s="69"/>
      <c r="BW719" s="69"/>
      <c r="BX719" s="69"/>
      <c r="BY719" s="69"/>
      <c r="BZ719" s="69"/>
      <c r="CA719" s="69"/>
      <c r="CB719" s="69"/>
      <c r="CC719" s="69"/>
      <c r="CD719" s="69"/>
      <c r="CE719" s="69"/>
      <c r="CF719" s="69"/>
    </row>
    <row r="720">
      <c r="A720" s="69"/>
      <c r="B720" s="71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69"/>
      <c r="BE720" s="69"/>
      <c r="BF720" s="69"/>
      <c r="BG720" s="69"/>
      <c r="BH720" s="69"/>
      <c r="BI720" s="69"/>
      <c r="BJ720" s="69"/>
      <c r="BK720" s="69"/>
      <c r="BL720" s="69"/>
      <c r="BM720" s="69"/>
      <c r="BN720" s="69"/>
      <c r="BO720" s="69"/>
      <c r="BP720" s="69"/>
      <c r="BQ720" s="69"/>
      <c r="BR720" s="69"/>
      <c r="BS720" s="69"/>
      <c r="BT720" s="69"/>
      <c r="BU720" s="69"/>
      <c r="BV720" s="69"/>
      <c r="BW720" s="69"/>
      <c r="BX720" s="69"/>
      <c r="BY720" s="69"/>
      <c r="BZ720" s="69"/>
      <c r="CA720" s="69"/>
      <c r="CB720" s="69"/>
      <c r="CC720" s="69"/>
      <c r="CD720" s="69"/>
      <c r="CE720" s="69"/>
      <c r="CF720" s="69"/>
    </row>
    <row r="721">
      <c r="A721" s="69"/>
      <c r="B721" s="71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69"/>
      <c r="BE721" s="69"/>
      <c r="BF721" s="69"/>
      <c r="BG721" s="69"/>
      <c r="BH721" s="69"/>
      <c r="BI721" s="69"/>
      <c r="BJ721" s="69"/>
      <c r="BK721" s="69"/>
      <c r="BL721" s="69"/>
      <c r="BM721" s="69"/>
      <c r="BN721" s="69"/>
      <c r="BO721" s="69"/>
      <c r="BP721" s="69"/>
      <c r="BQ721" s="69"/>
      <c r="BR721" s="69"/>
      <c r="BS721" s="69"/>
      <c r="BT721" s="69"/>
      <c r="BU721" s="69"/>
      <c r="BV721" s="69"/>
      <c r="BW721" s="69"/>
      <c r="BX721" s="69"/>
      <c r="BY721" s="69"/>
      <c r="BZ721" s="69"/>
      <c r="CA721" s="69"/>
      <c r="CB721" s="69"/>
      <c r="CC721" s="69"/>
      <c r="CD721" s="69"/>
      <c r="CE721" s="69"/>
      <c r="CF721" s="69"/>
    </row>
    <row r="722">
      <c r="A722" s="69"/>
      <c r="B722" s="71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69"/>
      <c r="BE722" s="69"/>
      <c r="BF722" s="69"/>
      <c r="BG722" s="69"/>
      <c r="BH722" s="69"/>
      <c r="BI722" s="69"/>
      <c r="BJ722" s="69"/>
      <c r="BK722" s="69"/>
      <c r="BL722" s="69"/>
      <c r="BM722" s="69"/>
      <c r="BN722" s="69"/>
      <c r="BO722" s="69"/>
      <c r="BP722" s="69"/>
      <c r="BQ722" s="69"/>
      <c r="BR722" s="69"/>
      <c r="BS722" s="69"/>
      <c r="BT722" s="69"/>
      <c r="BU722" s="69"/>
      <c r="BV722" s="69"/>
      <c r="BW722" s="69"/>
      <c r="BX722" s="69"/>
      <c r="BY722" s="69"/>
      <c r="BZ722" s="69"/>
      <c r="CA722" s="69"/>
      <c r="CB722" s="69"/>
      <c r="CC722" s="69"/>
      <c r="CD722" s="69"/>
      <c r="CE722" s="69"/>
      <c r="CF722" s="69"/>
    </row>
    <row r="723">
      <c r="A723" s="69"/>
      <c r="B723" s="71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69"/>
      <c r="BE723" s="69"/>
      <c r="BF723" s="69"/>
      <c r="BG723" s="69"/>
      <c r="BH723" s="69"/>
      <c r="BI723" s="69"/>
      <c r="BJ723" s="69"/>
      <c r="BK723" s="69"/>
      <c r="BL723" s="69"/>
      <c r="BM723" s="69"/>
      <c r="BN723" s="69"/>
      <c r="BO723" s="69"/>
      <c r="BP723" s="69"/>
      <c r="BQ723" s="69"/>
      <c r="BR723" s="69"/>
      <c r="BS723" s="69"/>
      <c r="BT723" s="69"/>
      <c r="BU723" s="69"/>
      <c r="BV723" s="69"/>
      <c r="BW723" s="69"/>
      <c r="BX723" s="69"/>
      <c r="BY723" s="69"/>
      <c r="BZ723" s="69"/>
      <c r="CA723" s="69"/>
      <c r="CB723" s="69"/>
      <c r="CC723" s="69"/>
      <c r="CD723" s="69"/>
      <c r="CE723" s="69"/>
      <c r="CF723" s="69"/>
    </row>
    <row r="724">
      <c r="A724" s="69"/>
      <c r="B724" s="71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69"/>
      <c r="BE724" s="69"/>
      <c r="BF724" s="69"/>
      <c r="BG724" s="69"/>
      <c r="BH724" s="69"/>
      <c r="BI724" s="69"/>
      <c r="BJ724" s="69"/>
      <c r="BK724" s="69"/>
      <c r="BL724" s="69"/>
      <c r="BM724" s="69"/>
      <c r="BN724" s="69"/>
      <c r="BO724" s="69"/>
      <c r="BP724" s="69"/>
      <c r="BQ724" s="69"/>
      <c r="BR724" s="69"/>
      <c r="BS724" s="69"/>
      <c r="BT724" s="69"/>
      <c r="BU724" s="69"/>
      <c r="BV724" s="69"/>
      <c r="BW724" s="69"/>
      <c r="BX724" s="69"/>
      <c r="BY724" s="69"/>
      <c r="BZ724" s="69"/>
      <c r="CA724" s="69"/>
      <c r="CB724" s="69"/>
      <c r="CC724" s="69"/>
      <c r="CD724" s="69"/>
      <c r="CE724" s="69"/>
      <c r="CF724" s="69"/>
    </row>
    <row r="725">
      <c r="A725" s="69"/>
      <c r="B725" s="71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69"/>
      <c r="BE725" s="69"/>
      <c r="BF725" s="69"/>
      <c r="BG725" s="69"/>
      <c r="BH725" s="69"/>
      <c r="BI725" s="69"/>
      <c r="BJ725" s="69"/>
      <c r="BK725" s="69"/>
      <c r="BL725" s="69"/>
      <c r="BM725" s="69"/>
      <c r="BN725" s="69"/>
      <c r="BO725" s="69"/>
      <c r="BP725" s="69"/>
      <c r="BQ725" s="69"/>
      <c r="BR725" s="69"/>
      <c r="BS725" s="69"/>
      <c r="BT725" s="69"/>
      <c r="BU725" s="69"/>
      <c r="BV725" s="69"/>
      <c r="BW725" s="69"/>
      <c r="BX725" s="69"/>
      <c r="BY725" s="69"/>
      <c r="BZ725" s="69"/>
      <c r="CA725" s="69"/>
      <c r="CB725" s="69"/>
      <c r="CC725" s="69"/>
      <c r="CD725" s="69"/>
      <c r="CE725" s="69"/>
      <c r="CF725" s="69"/>
    </row>
    <row r="726">
      <c r="A726" s="69"/>
      <c r="B726" s="71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69"/>
      <c r="BE726" s="69"/>
      <c r="BF726" s="69"/>
      <c r="BG726" s="69"/>
      <c r="BH726" s="69"/>
      <c r="BI726" s="69"/>
      <c r="BJ726" s="69"/>
      <c r="BK726" s="69"/>
      <c r="BL726" s="69"/>
      <c r="BM726" s="69"/>
      <c r="BN726" s="69"/>
      <c r="BO726" s="69"/>
      <c r="BP726" s="69"/>
      <c r="BQ726" s="69"/>
      <c r="BR726" s="69"/>
      <c r="BS726" s="69"/>
      <c r="BT726" s="69"/>
      <c r="BU726" s="69"/>
      <c r="BV726" s="69"/>
      <c r="BW726" s="69"/>
      <c r="BX726" s="69"/>
      <c r="BY726" s="69"/>
      <c r="BZ726" s="69"/>
      <c r="CA726" s="69"/>
      <c r="CB726" s="69"/>
      <c r="CC726" s="69"/>
      <c r="CD726" s="69"/>
      <c r="CE726" s="69"/>
      <c r="CF726" s="69"/>
    </row>
    <row r="727">
      <c r="A727" s="69"/>
      <c r="B727" s="71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69"/>
      <c r="BE727" s="69"/>
      <c r="BF727" s="69"/>
      <c r="BG727" s="69"/>
      <c r="BH727" s="69"/>
      <c r="BI727" s="69"/>
      <c r="BJ727" s="69"/>
      <c r="BK727" s="69"/>
      <c r="BL727" s="69"/>
      <c r="BM727" s="69"/>
      <c r="BN727" s="69"/>
      <c r="BO727" s="69"/>
      <c r="BP727" s="69"/>
      <c r="BQ727" s="69"/>
      <c r="BR727" s="69"/>
      <c r="BS727" s="69"/>
      <c r="BT727" s="69"/>
      <c r="BU727" s="69"/>
      <c r="BV727" s="69"/>
      <c r="BW727" s="69"/>
      <c r="BX727" s="69"/>
      <c r="BY727" s="69"/>
      <c r="BZ727" s="69"/>
      <c r="CA727" s="69"/>
      <c r="CB727" s="69"/>
      <c r="CC727" s="69"/>
      <c r="CD727" s="69"/>
      <c r="CE727" s="69"/>
      <c r="CF727" s="69"/>
    </row>
    <row r="728">
      <c r="A728" s="69"/>
      <c r="B728" s="71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69"/>
      <c r="BE728" s="69"/>
      <c r="BF728" s="69"/>
      <c r="BG728" s="69"/>
      <c r="BH728" s="69"/>
      <c r="BI728" s="69"/>
      <c r="BJ728" s="69"/>
      <c r="BK728" s="69"/>
      <c r="BL728" s="69"/>
      <c r="BM728" s="69"/>
      <c r="BN728" s="69"/>
      <c r="BO728" s="69"/>
      <c r="BP728" s="69"/>
      <c r="BQ728" s="69"/>
      <c r="BR728" s="69"/>
      <c r="BS728" s="69"/>
      <c r="BT728" s="69"/>
      <c r="BU728" s="69"/>
      <c r="BV728" s="69"/>
      <c r="BW728" s="69"/>
      <c r="BX728" s="69"/>
      <c r="BY728" s="69"/>
      <c r="BZ728" s="69"/>
      <c r="CA728" s="69"/>
      <c r="CB728" s="69"/>
      <c r="CC728" s="69"/>
      <c r="CD728" s="69"/>
      <c r="CE728" s="69"/>
      <c r="CF728" s="69"/>
    </row>
    <row r="729">
      <c r="A729" s="69"/>
      <c r="B729" s="71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69"/>
      <c r="BE729" s="69"/>
      <c r="BF729" s="69"/>
      <c r="BG729" s="69"/>
      <c r="BH729" s="69"/>
      <c r="BI729" s="69"/>
      <c r="BJ729" s="69"/>
      <c r="BK729" s="69"/>
      <c r="BL729" s="69"/>
      <c r="BM729" s="69"/>
      <c r="BN729" s="69"/>
      <c r="BO729" s="69"/>
      <c r="BP729" s="69"/>
      <c r="BQ729" s="69"/>
      <c r="BR729" s="69"/>
      <c r="BS729" s="69"/>
      <c r="BT729" s="69"/>
      <c r="BU729" s="69"/>
      <c r="BV729" s="69"/>
      <c r="BW729" s="69"/>
      <c r="BX729" s="69"/>
      <c r="BY729" s="69"/>
      <c r="BZ729" s="69"/>
      <c r="CA729" s="69"/>
      <c r="CB729" s="69"/>
      <c r="CC729" s="69"/>
      <c r="CD729" s="69"/>
      <c r="CE729" s="69"/>
      <c r="CF729" s="69"/>
    </row>
    <row r="730">
      <c r="A730" s="69"/>
      <c r="B730" s="71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69"/>
      <c r="BE730" s="69"/>
      <c r="BF730" s="69"/>
      <c r="BG730" s="69"/>
      <c r="BH730" s="69"/>
      <c r="BI730" s="69"/>
      <c r="BJ730" s="69"/>
      <c r="BK730" s="69"/>
      <c r="BL730" s="69"/>
      <c r="BM730" s="69"/>
      <c r="BN730" s="69"/>
      <c r="BO730" s="69"/>
      <c r="BP730" s="69"/>
      <c r="BQ730" s="69"/>
      <c r="BR730" s="69"/>
      <c r="BS730" s="69"/>
      <c r="BT730" s="69"/>
      <c r="BU730" s="69"/>
      <c r="BV730" s="69"/>
      <c r="BW730" s="69"/>
      <c r="BX730" s="69"/>
      <c r="BY730" s="69"/>
      <c r="BZ730" s="69"/>
      <c r="CA730" s="69"/>
      <c r="CB730" s="69"/>
      <c r="CC730" s="69"/>
      <c r="CD730" s="69"/>
      <c r="CE730" s="69"/>
      <c r="CF730" s="69"/>
    </row>
    <row r="731">
      <c r="A731" s="69"/>
      <c r="B731" s="71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69"/>
      <c r="BE731" s="69"/>
      <c r="BF731" s="69"/>
      <c r="BG731" s="69"/>
      <c r="BH731" s="69"/>
      <c r="BI731" s="69"/>
      <c r="BJ731" s="69"/>
      <c r="BK731" s="69"/>
      <c r="BL731" s="69"/>
      <c r="BM731" s="69"/>
      <c r="BN731" s="69"/>
      <c r="BO731" s="69"/>
      <c r="BP731" s="69"/>
      <c r="BQ731" s="69"/>
      <c r="BR731" s="69"/>
      <c r="BS731" s="69"/>
      <c r="BT731" s="69"/>
      <c r="BU731" s="69"/>
      <c r="BV731" s="69"/>
      <c r="BW731" s="69"/>
      <c r="BX731" s="69"/>
      <c r="BY731" s="69"/>
      <c r="BZ731" s="69"/>
      <c r="CA731" s="69"/>
      <c r="CB731" s="69"/>
      <c r="CC731" s="69"/>
      <c r="CD731" s="69"/>
      <c r="CE731" s="69"/>
      <c r="CF731" s="69"/>
    </row>
    <row r="732">
      <c r="A732" s="69"/>
      <c r="B732" s="71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69"/>
      <c r="BE732" s="69"/>
      <c r="BF732" s="69"/>
      <c r="BG732" s="69"/>
      <c r="BH732" s="69"/>
      <c r="BI732" s="69"/>
      <c r="BJ732" s="69"/>
      <c r="BK732" s="69"/>
      <c r="BL732" s="69"/>
      <c r="BM732" s="69"/>
      <c r="BN732" s="69"/>
      <c r="BO732" s="69"/>
      <c r="BP732" s="69"/>
      <c r="BQ732" s="69"/>
      <c r="BR732" s="69"/>
      <c r="BS732" s="69"/>
      <c r="BT732" s="69"/>
      <c r="BU732" s="69"/>
      <c r="BV732" s="69"/>
      <c r="BW732" s="69"/>
      <c r="BX732" s="69"/>
      <c r="BY732" s="69"/>
      <c r="BZ732" s="69"/>
      <c r="CA732" s="69"/>
      <c r="CB732" s="69"/>
      <c r="CC732" s="69"/>
      <c r="CD732" s="69"/>
      <c r="CE732" s="69"/>
      <c r="CF732" s="69"/>
    </row>
    <row r="733">
      <c r="A733" s="69"/>
      <c r="B733" s="71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69"/>
      <c r="BE733" s="69"/>
      <c r="BF733" s="69"/>
      <c r="BG733" s="69"/>
      <c r="BH733" s="69"/>
      <c r="BI733" s="69"/>
      <c r="BJ733" s="69"/>
      <c r="BK733" s="69"/>
      <c r="BL733" s="69"/>
      <c r="BM733" s="69"/>
      <c r="BN733" s="69"/>
      <c r="BO733" s="69"/>
      <c r="BP733" s="69"/>
      <c r="BQ733" s="69"/>
      <c r="BR733" s="69"/>
      <c r="BS733" s="69"/>
      <c r="BT733" s="69"/>
      <c r="BU733" s="69"/>
      <c r="BV733" s="69"/>
      <c r="BW733" s="69"/>
      <c r="BX733" s="69"/>
      <c r="BY733" s="69"/>
      <c r="BZ733" s="69"/>
      <c r="CA733" s="69"/>
      <c r="CB733" s="69"/>
      <c r="CC733" s="69"/>
      <c r="CD733" s="69"/>
      <c r="CE733" s="69"/>
      <c r="CF733" s="69"/>
    </row>
    <row r="734">
      <c r="A734" s="69"/>
      <c r="B734" s="71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69"/>
      <c r="BE734" s="69"/>
      <c r="BF734" s="69"/>
      <c r="BG734" s="69"/>
      <c r="BH734" s="69"/>
      <c r="BI734" s="69"/>
      <c r="BJ734" s="69"/>
      <c r="BK734" s="69"/>
      <c r="BL734" s="69"/>
      <c r="BM734" s="69"/>
      <c r="BN734" s="69"/>
      <c r="BO734" s="69"/>
      <c r="BP734" s="69"/>
      <c r="BQ734" s="69"/>
      <c r="BR734" s="69"/>
      <c r="BS734" s="69"/>
      <c r="BT734" s="69"/>
      <c r="BU734" s="69"/>
      <c r="BV734" s="69"/>
      <c r="BW734" s="69"/>
      <c r="BX734" s="69"/>
      <c r="BY734" s="69"/>
      <c r="BZ734" s="69"/>
      <c r="CA734" s="69"/>
      <c r="CB734" s="69"/>
      <c r="CC734" s="69"/>
      <c r="CD734" s="69"/>
      <c r="CE734" s="69"/>
      <c r="CF734" s="69"/>
    </row>
    <row r="735">
      <c r="A735" s="69"/>
      <c r="B735" s="71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69"/>
      <c r="BE735" s="69"/>
      <c r="BF735" s="69"/>
      <c r="BG735" s="69"/>
      <c r="BH735" s="69"/>
      <c r="BI735" s="69"/>
      <c r="BJ735" s="69"/>
      <c r="BK735" s="69"/>
      <c r="BL735" s="69"/>
      <c r="BM735" s="69"/>
      <c r="BN735" s="69"/>
      <c r="BO735" s="69"/>
      <c r="BP735" s="69"/>
      <c r="BQ735" s="69"/>
      <c r="BR735" s="69"/>
      <c r="BS735" s="69"/>
      <c r="BT735" s="69"/>
      <c r="BU735" s="69"/>
      <c r="BV735" s="69"/>
      <c r="BW735" s="69"/>
      <c r="BX735" s="69"/>
      <c r="BY735" s="69"/>
      <c r="BZ735" s="69"/>
      <c r="CA735" s="69"/>
      <c r="CB735" s="69"/>
      <c r="CC735" s="69"/>
      <c r="CD735" s="69"/>
      <c r="CE735" s="69"/>
      <c r="CF735" s="69"/>
    </row>
    <row r="736">
      <c r="A736" s="69"/>
      <c r="B736" s="71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69"/>
      <c r="BE736" s="69"/>
      <c r="BF736" s="69"/>
      <c r="BG736" s="69"/>
      <c r="BH736" s="69"/>
      <c r="BI736" s="69"/>
      <c r="BJ736" s="69"/>
      <c r="BK736" s="69"/>
      <c r="BL736" s="69"/>
      <c r="BM736" s="69"/>
      <c r="BN736" s="69"/>
      <c r="BO736" s="69"/>
      <c r="BP736" s="69"/>
      <c r="BQ736" s="69"/>
      <c r="BR736" s="69"/>
      <c r="BS736" s="69"/>
      <c r="BT736" s="69"/>
      <c r="BU736" s="69"/>
      <c r="BV736" s="69"/>
      <c r="BW736" s="69"/>
      <c r="BX736" s="69"/>
      <c r="BY736" s="69"/>
      <c r="BZ736" s="69"/>
      <c r="CA736" s="69"/>
      <c r="CB736" s="69"/>
      <c r="CC736" s="69"/>
      <c r="CD736" s="69"/>
      <c r="CE736" s="69"/>
      <c r="CF736" s="69"/>
    </row>
    <row r="737">
      <c r="A737" s="69"/>
      <c r="B737" s="71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69"/>
      <c r="BE737" s="69"/>
      <c r="BF737" s="69"/>
      <c r="BG737" s="69"/>
      <c r="BH737" s="69"/>
      <c r="BI737" s="69"/>
      <c r="BJ737" s="69"/>
      <c r="BK737" s="69"/>
      <c r="BL737" s="69"/>
      <c r="BM737" s="69"/>
      <c r="BN737" s="69"/>
      <c r="BO737" s="69"/>
      <c r="BP737" s="69"/>
      <c r="BQ737" s="69"/>
      <c r="BR737" s="69"/>
      <c r="BS737" s="69"/>
      <c r="BT737" s="69"/>
      <c r="BU737" s="69"/>
      <c r="BV737" s="69"/>
      <c r="BW737" s="69"/>
      <c r="BX737" s="69"/>
      <c r="BY737" s="69"/>
      <c r="BZ737" s="69"/>
      <c r="CA737" s="69"/>
      <c r="CB737" s="69"/>
      <c r="CC737" s="69"/>
      <c r="CD737" s="69"/>
      <c r="CE737" s="69"/>
      <c r="CF737" s="69"/>
    </row>
    <row r="738">
      <c r="A738" s="69"/>
      <c r="B738" s="71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69"/>
      <c r="BE738" s="69"/>
      <c r="BF738" s="69"/>
      <c r="BG738" s="69"/>
      <c r="BH738" s="69"/>
      <c r="BI738" s="69"/>
      <c r="BJ738" s="69"/>
      <c r="BK738" s="69"/>
      <c r="BL738" s="69"/>
      <c r="BM738" s="69"/>
      <c r="BN738" s="69"/>
      <c r="BO738" s="69"/>
      <c r="BP738" s="69"/>
      <c r="BQ738" s="69"/>
      <c r="BR738" s="69"/>
      <c r="BS738" s="69"/>
      <c r="BT738" s="69"/>
      <c r="BU738" s="69"/>
      <c r="BV738" s="69"/>
      <c r="BW738" s="69"/>
      <c r="BX738" s="69"/>
      <c r="BY738" s="69"/>
      <c r="BZ738" s="69"/>
      <c r="CA738" s="69"/>
      <c r="CB738" s="69"/>
      <c r="CC738" s="69"/>
      <c r="CD738" s="69"/>
      <c r="CE738" s="69"/>
      <c r="CF738" s="69"/>
    </row>
    <row r="739">
      <c r="A739" s="69"/>
      <c r="B739" s="71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69"/>
      <c r="BE739" s="69"/>
      <c r="BF739" s="69"/>
      <c r="BG739" s="69"/>
      <c r="BH739" s="69"/>
      <c r="BI739" s="69"/>
      <c r="BJ739" s="69"/>
      <c r="BK739" s="69"/>
      <c r="BL739" s="69"/>
      <c r="BM739" s="69"/>
      <c r="BN739" s="69"/>
      <c r="BO739" s="69"/>
      <c r="BP739" s="69"/>
      <c r="BQ739" s="69"/>
      <c r="BR739" s="69"/>
      <c r="BS739" s="69"/>
      <c r="BT739" s="69"/>
      <c r="BU739" s="69"/>
      <c r="BV739" s="69"/>
      <c r="BW739" s="69"/>
      <c r="BX739" s="69"/>
      <c r="BY739" s="69"/>
      <c r="BZ739" s="69"/>
      <c r="CA739" s="69"/>
      <c r="CB739" s="69"/>
      <c r="CC739" s="69"/>
      <c r="CD739" s="69"/>
      <c r="CE739" s="69"/>
      <c r="CF739" s="69"/>
    </row>
    <row r="740">
      <c r="A740" s="69"/>
      <c r="B740" s="71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69"/>
      <c r="BE740" s="69"/>
      <c r="BF740" s="69"/>
      <c r="BG740" s="69"/>
      <c r="BH740" s="69"/>
      <c r="BI740" s="69"/>
      <c r="BJ740" s="69"/>
      <c r="BK740" s="69"/>
      <c r="BL740" s="69"/>
      <c r="BM740" s="69"/>
      <c r="BN740" s="69"/>
      <c r="BO740" s="69"/>
      <c r="BP740" s="69"/>
      <c r="BQ740" s="69"/>
      <c r="BR740" s="69"/>
      <c r="BS740" s="69"/>
      <c r="BT740" s="69"/>
      <c r="BU740" s="69"/>
      <c r="BV740" s="69"/>
      <c r="BW740" s="69"/>
      <c r="BX740" s="69"/>
      <c r="BY740" s="69"/>
      <c r="BZ740" s="69"/>
      <c r="CA740" s="69"/>
      <c r="CB740" s="69"/>
      <c r="CC740" s="69"/>
      <c r="CD740" s="69"/>
      <c r="CE740" s="69"/>
      <c r="CF740" s="69"/>
    </row>
    <row r="741">
      <c r="A741" s="69"/>
      <c r="B741" s="71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69"/>
      <c r="BE741" s="69"/>
      <c r="BF741" s="69"/>
      <c r="BG741" s="69"/>
      <c r="BH741" s="69"/>
      <c r="BI741" s="69"/>
      <c r="BJ741" s="69"/>
      <c r="BK741" s="69"/>
      <c r="BL741" s="69"/>
      <c r="BM741" s="69"/>
      <c r="BN741" s="69"/>
      <c r="BO741" s="69"/>
      <c r="BP741" s="69"/>
      <c r="BQ741" s="69"/>
      <c r="BR741" s="69"/>
      <c r="BS741" s="69"/>
      <c r="BT741" s="69"/>
      <c r="BU741" s="69"/>
      <c r="BV741" s="69"/>
      <c r="BW741" s="69"/>
      <c r="BX741" s="69"/>
      <c r="BY741" s="69"/>
      <c r="BZ741" s="69"/>
      <c r="CA741" s="69"/>
      <c r="CB741" s="69"/>
      <c r="CC741" s="69"/>
      <c r="CD741" s="69"/>
      <c r="CE741" s="69"/>
      <c r="CF741" s="69"/>
    </row>
    <row r="742">
      <c r="A742" s="69"/>
      <c r="B742" s="71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69"/>
      <c r="BE742" s="69"/>
      <c r="BF742" s="69"/>
      <c r="BG742" s="69"/>
      <c r="BH742" s="69"/>
      <c r="BI742" s="69"/>
      <c r="BJ742" s="69"/>
      <c r="BK742" s="69"/>
      <c r="BL742" s="69"/>
      <c r="BM742" s="69"/>
      <c r="BN742" s="69"/>
      <c r="BO742" s="69"/>
      <c r="BP742" s="69"/>
      <c r="BQ742" s="69"/>
      <c r="BR742" s="69"/>
      <c r="BS742" s="69"/>
      <c r="BT742" s="69"/>
      <c r="BU742" s="69"/>
      <c r="BV742" s="69"/>
      <c r="BW742" s="69"/>
      <c r="BX742" s="69"/>
      <c r="BY742" s="69"/>
      <c r="BZ742" s="69"/>
      <c r="CA742" s="69"/>
      <c r="CB742" s="69"/>
      <c r="CC742" s="69"/>
      <c r="CD742" s="69"/>
      <c r="CE742" s="69"/>
      <c r="CF742" s="69"/>
    </row>
    <row r="743">
      <c r="A743" s="69"/>
      <c r="B743" s="71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69"/>
      <c r="BE743" s="69"/>
      <c r="BF743" s="69"/>
      <c r="BG743" s="69"/>
      <c r="BH743" s="69"/>
      <c r="BI743" s="69"/>
      <c r="BJ743" s="69"/>
      <c r="BK743" s="69"/>
      <c r="BL743" s="69"/>
      <c r="BM743" s="69"/>
      <c r="BN743" s="69"/>
      <c r="BO743" s="69"/>
      <c r="BP743" s="69"/>
      <c r="BQ743" s="69"/>
      <c r="BR743" s="69"/>
      <c r="BS743" s="69"/>
      <c r="BT743" s="69"/>
      <c r="BU743" s="69"/>
      <c r="BV743" s="69"/>
      <c r="BW743" s="69"/>
      <c r="BX743" s="69"/>
      <c r="BY743" s="69"/>
      <c r="BZ743" s="69"/>
      <c r="CA743" s="69"/>
      <c r="CB743" s="69"/>
      <c r="CC743" s="69"/>
      <c r="CD743" s="69"/>
      <c r="CE743" s="69"/>
      <c r="CF743" s="69"/>
    </row>
    <row r="744">
      <c r="A744" s="69"/>
      <c r="B744" s="71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69"/>
      <c r="BE744" s="69"/>
      <c r="BF744" s="69"/>
      <c r="BG744" s="69"/>
      <c r="BH744" s="69"/>
      <c r="BI744" s="69"/>
      <c r="BJ744" s="69"/>
      <c r="BK744" s="69"/>
      <c r="BL744" s="69"/>
      <c r="BM744" s="69"/>
      <c r="BN744" s="69"/>
      <c r="BO744" s="69"/>
      <c r="BP744" s="69"/>
      <c r="BQ744" s="69"/>
      <c r="BR744" s="69"/>
      <c r="BS744" s="69"/>
      <c r="BT744" s="69"/>
      <c r="BU744" s="69"/>
      <c r="BV744" s="69"/>
      <c r="BW744" s="69"/>
      <c r="BX744" s="69"/>
      <c r="BY744" s="69"/>
      <c r="BZ744" s="69"/>
      <c r="CA744" s="69"/>
      <c r="CB744" s="69"/>
      <c r="CC744" s="69"/>
      <c r="CD744" s="69"/>
      <c r="CE744" s="69"/>
      <c r="CF744" s="69"/>
    </row>
    <row r="745">
      <c r="A745" s="69"/>
      <c r="B745" s="71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69"/>
      <c r="BE745" s="69"/>
      <c r="BF745" s="69"/>
      <c r="BG745" s="69"/>
      <c r="BH745" s="69"/>
      <c r="BI745" s="69"/>
      <c r="BJ745" s="69"/>
      <c r="BK745" s="69"/>
      <c r="BL745" s="69"/>
      <c r="BM745" s="69"/>
      <c r="BN745" s="69"/>
      <c r="BO745" s="69"/>
      <c r="BP745" s="69"/>
      <c r="BQ745" s="69"/>
      <c r="BR745" s="69"/>
      <c r="BS745" s="69"/>
      <c r="BT745" s="69"/>
      <c r="BU745" s="69"/>
      <c r="BV745" s="69"/>
      <c r="BW745" s="69"/>
      <c r="BX745" s="69"/>
      <c r="BY745" s="69"/>
      <c r="BZ745" s="69"/>
      <c r="CA745" s="69"/>
      <c r="CB745" s="69"/>
      <c r="CC745" s="69"/>
      <c r="CD745" s="69"/>
      <c r="CE745" s="69"/>
      <c r="CF745" s="69"/>
    </row>
    <row r="746">
      <c r="A746" s="69"/>
      <c r="B746" s="71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69"/>
      <c r="BE746" s="69"/>
      <c r="BF746" s="69"/>
      <c r="BG746" s="69"/>
      <c r="BH746" s="69"/>
      <c r="BI746" s="69"/>
      <c r="BJ746" s="69"/>
      <c r="BK746" s="69"/>
      <c r="BL746" s="69"/>
      <c r="BM746" s="69"/>
      <c r="BN746" s="69"/>
      <c r="BO746" s="69"/>
      <c r="BP746" s="69"/>
      <c r="BQ746" s="69"/>
      <c r="BR746" s="69"/>
      <c r="BS746" s="69"/>
      <c r="BT746" s="69"/>
      <c r="BU746" s="69"/>
      <c r="BV746" s="69"/>
      <c r="BW746" s="69"/>
      <c r="BX746" s="69"/>
      <c r="BY746" s="69"/>
      <c r="BZ746" s="69"/>
      <c r="CA746" s="69"/>
      <c r="CB746" s="69"/>
      <c r="CC746" s="69"/>
      <c r="CD746" s="69"/>
      <c r="CE746" s="69"/>
      <c r="CF746" s="69"/>
    </row>
    <row r="747">
      <c r="A747" s="69"/>
      <c r="B747" s="71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69"/>
      <c r="BE747" s="69"/>
      <c r="BF747" s="69"/>
      <c r="BG747" s="69"/>
      <c r="BH747" s="69"/>
      <c r="BI747" s="69"/>
      <c r="BJ747" s="69"/>
      <c r="BK747" s="69"/>
      <c r="BL747" s="69"/>
      <c r="BM747" s="69"/>
      <c r="BN747" s="69"/>
      <c r="BO747" s="69"/>
      <c r="BP747" s="69"/>
      <c r="BQ747" s="69"/>
      <c r="BR747" s="69"/>
      <c r="BS747" s="69"/>
      <c r="BT747" s="69"/>
      <c r="BU747" s="69"/>
      <c r="BV747" s="69"/>
      <c r="BW747" s="69"/>
      <c r="BX747" s="69"/>
      <c r="BY747" s="69"/>
      <c r="BZ747" s="69"/>
      <c r="CA747" s="69"/>
      <c r="CB747" s="69"/>
      <c r="CC747" s="69"/>
      <c r="CD747" s="69"/>
      <c r="CE747" s="69"/>
      <c r="CF747" s="69"/>
    </row>
    <row r="748">
      <c r="A748" s="69"/>
      <c r="B748" s="71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69"/>
      <c r="BE748" s="69"/>
      <c r="BF748" s="69"/>
      <c r="BG748" s="69"/>
      <c r="BH748" s="69"/>
      <c r="BI748" s="69"/>
      <c r="BJ748" s="69"/>
      <c r="BK748" s="69"/>
      <c r="BL748" s="69"/>
      <c r="BM748" s="69"/>
      <c r="BN748" s="69"/>
      <c r="BO748" s="69"/>
      <c r="BP748" s="69"/>
      <c r="BQ748" s="69"/>
      <c r="BR748" s="69"/>
      <c r="BS748" s="69"/>
      <c r="BT748" s="69"/>
      <c r="BU748" s="69"/>
      <c r="BV748" s="69"/>
      <c r="BW748" s="69"/>
      <c r="BX748" s="69"/>
      <c r="BY748" s="69"/>
      <c r="BZ748" s="69"/>
      <c r="CA748" s="69"/>
      <c r="CB748" s="69"/>
      <c r="CC748" s="69"/>
      <c r="CD748" s="69"/>
      <c r="CE748" s="69"/>
      <c r="CF748" s="69"/>
    </row>
    <row r="749">
      <c r="A749" s="69"/>
      <c r="B749" s="71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69"/>
      <c r="BE749" s="69"/>
      <c r="BF749" s="69"/>
      <c r="BG749" s="69"/>
      <c r="BH749" s="69"/>
      <c r="BI749" s="69"/>
      <c r="BJ749" s="69"/>
      <c r="BK749" s="69"/>
      <c r="BL749" s="69"/>
      <c r="BM749" s="69"/>
      <c r="BN749" s="69"/>
      <c r="BO749" s="69"/>
      <c r="BP749" s="69"/>
      <c r="BQ749" s="69"/>
      <c r="BR749" s="69"/>
      <c r="BS749" s="69"/>
      <c r="BT749" s="69"/>
      <c r="BU749" s="69"/>
      <c r="BV749" s="69"/>
      <c r="BW749" s="69"/>
      <c r="BX749" s="69"/>
      <c r="BY749" s="69"/>
      <c r="BZ749" s="69"/>
      <c r="CA749" s="69"/>
      <c r="CB749" s="69"/>
      <c r="CC749" s="69"/>
      <c r="CD749" s="69"/>
      <c r="CE749" s="69"/>
      <c r="CF749" s="69"/>
    </row>
    <row r="750">
      <c r="A750" s="69"/>
      <c r="B750" s="71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69"/>
      <c r="BE750" s="69"/>
      <c r="BF750" s="69"/>
      <c r="BG750" s="69"/>
      <c r="BH750" s="69"/>
      <c r="BI750" s="69"/>
      <c r="BJ750" s="69"/>
      <c r="BK750" s="69"/>
      <c r="BL750" s="69"/>
      <c r="BM750" s="69"/>
      <c r="BN750" s="69"/>
      <c r="BO750" s="69"/>
      <c r="BP750" s="69"/>
      <c r="BQ750" s="69"/>
      <c r="BR750" s="69"/>
      <c r="BS750" s="69"/>
      <c r="BT750" s="69"/>
      <c r="BU750" s="69"/>
      <c r="BV750" s="69"/>
      <c r="BW750" s="69"/>
      <c r="BX750" s="69"/>
      <c r="BY750" s="69"/>
      <c r="BZ750" s="69"/>
      <c r="CA750" s="69"/>
      <c r="CB750" s="69"/>
      <c r="CC750" s="69"/>
      <c r="CD750" s="69"/>
      <c r="CE750" s="69"/>
      <c r="CF750" s="69"/>
    </row>
    <row r="751">
      <c r="A751" s="69"/>
      <c r="B751" s="71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69"/>
      <c r="BE751" s="69"/>
      <c r="BF751" s="69"/>
      <c r="BG751" s="69"/>
      <c r="BH751" s="69"/>
      <c r="BI751" s="69"/>
      <c r="BJ751" s="69"/>
      <c r="BK751" s="69"/>
      <c r="BL751" s="69"/>
      <c r="BM751" s="69"/>
      <c r="BN751" s="69"/>
      <c r="BO751" s="69"/>
      <c r="BP751" s="69"/>
      <c r="BQ751" s="69"/>
      <c r="BR751" s="69"/>
      <c r="BS751" s="69"/>
      <c r="BT751" s="69"/>
      <c r="BU751" s="69"/>
      <c r="BV751" s="69"/>
      <c r="BW751" s="69"/>
      <c r="BX751" s="69"/>
      <c r="BY751" s="69"/>
      <c r="BZ751" s="69"/>
      <c r="CA751" s="69"/>
      <c r="CB751" s="69"/>
      <c r="CC751" s="69"/>
      <c r="CD751" s="69"/>
      <c r="CE751" s="69"/>
      <c r="CF751" s="69"/>
    </row>
    <row r="752">
      <c r="A752" s="69"/>
      <c r="B752" s="71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69"/>
      <c r="BE752" s="69"/>
      <c r="BF752" s="69"/>
      <c r="BG752" s="69"/>
      <c r="BH752" s="69"/>
      <c r="BI752" s="69"/>
      <c r="BJ752" s="69"/>
      <c r="BK752" s="69"/>
      <c r="BL752" s="69"/>
      <c r="BM752" s="69"/>
      <c r="BN752" s="69"/>
      <c r="BO752" s="69"/>
      <c r="BP752" s="69"/>
      <c r="BQ752" s="69"/>
      <c r="BR752" s="69"/>
      <c r="BS752" s="69"/>
      <c r="BT752" s="69"/>
      <c r="BU752" s="69"/>
      <c r="BV752" s="69"/>
      <c r="BW752" s="69"/>
      <c r="BX752" s="69"/>
      <c r="BY752" s="69"/>
      <c r="BZ752" s="69"/>
      <c r="CA752" s="69"/>
      <c r="CB752" s="69"/>
      <c r="CC752" s="69"/>
      <c r="CD752" s="69"/>
      <c r="CE752" s="69"/>
      <c r="CF752" s="69"/>
    </row>
    <row r="753">
      <c r="A753" s="69"/>
      <c r="B753" s="71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69"/>
      <c r="BE753" s="69"/>
      <c r="BF753" s="69"/>
      <c r="BG753" s="69"/>
      <c r="BH753" s="69"/>
      <c r="BI753" s="69"/>
      <c r="BJ753" s="69"/>
      <c r="BK753" s="69"/>
      <c r="BL753" s="69"/>
      <c r="BM753" s="69"/>
      <c r="BN753" s="69"/>
      <c r="BO753" s="69"/>
      <c r="BP753" s="69"/>
      <c r="BQ753" s="69"/>
      <c r="BR753" s="69"/>
      <c r="BS753" s="69"/>
      <c r="BT753" s="69"/>
      <c r="BU753" s="69"/>
      <c r="BV753" s="69"/>
      <c r="BW753" s="69"/>
      <c r="BX753" s="69"/>
      <c r="BY753" s="69"/>
      <c r="BZ753" s="69"/>
      <c r="CA753" s="69"/>
      <c r="CB753" s="69"/>
      <c r="CC753" s="69"/>
      <c r="CD753" s="69"/>
      <c r="CE753" s="69"/>
      <c r="CF753" s="69"/>
    </row>
    <row r="754">
      <c r="A754" s="69"/>
      <c r="B754" s="71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69"/>
      <c r="BE754" s="69"/>
      <c r="BF754" s="69"/>
      <c r="BG754" s="69"/>
      <c r="BH754" s="69"/>
      <c r="BI754" s="69"/>
      <c r="BJ754" s="69"/>
      <c r="BK754" s="69"/>
      <c r="BL754" s="69"/>
      <c r="BM754" s="69"/>
      <c r="BN754" s="69"/>
      <c r="BO754" s="69"/>
      <c r="BP754" s="69"/>
      <c r="BQ754" s="69"/>
      <c r="BR754" s="69"/>
      <c r="BS754" s="69"/>
      <c r="BT754" s="69"/>
      <c r="BU754" s="69"/>
      <c r="BV754" s="69"/>
      <c r="BW754" s="69"/>
      <c r="BX754" s="69"/>
      <c r="BY754" s="69"/>
      <c r="BZ754" s="69"/>
      <c r="CA754" s="69"/>
      <c r="CB754" s="69"/>
      <c r="CC754" s="69"/>
      <c r="CD754" s="69"/>
      <c r="CE754" s="69"/>
      <c r="CF754" s="69"/>
    </row>
    <row r="755">
      <c r="A755" s="69"/>
      <c r="B755" s="71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69"/>
      <c r="BE755" s="69"/>
      <c r="BF755" s="69"/>
      <c r="BG755" s="69"/>
      <c r="BH755" s="69"/>
      <c r="BI755" s="69"/>
      <c r="BJ755" s="69"/>
      <c r="BK755" s="69"/>
      <c r="BL755" s="69"/>
      <c r="BM755" s="69"/>
      <c r="BN755" s="69"/>
      <c r="BO755" s="69"/>
      <c r="BP755" s="69"/>
      <c r="BQ755" s="69"/>
      <c r="BR755" s="69"/>
      <c r="BS755" s="69"/>
      <c r="BT755" s="69"/>
      <c r="BU755" s="69"/>
      <c r="BV755" s="69"/>
      <c r="BW755" s="69"/>
      <c r="BX755" s="69"/>
      <c r="BY755" s="69"/>
      <c r="BZ755" s="69"/>
      <c r="CA755" s="69"/>
      <c r="CB755" s="69"/>
      <c r="CC755" s="69"/>
      <c r="CD755" s="69"/>
      <c r="CE755" s="69"/>
      <c r="CF755" s="69"/>
    </row>
    <row r="756">
      <c r="A756" s="69"/>
      <c r="B756" s="71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69"/>
      <c r="BE756" s="69"/>
      <c r="BF756" s="69"/>
      <c r="BG756" s="69"/>
      <c r="BH756" s="69"/>
      <c r="BI756" s="69"/>
      <c r="BJ756" s="69"/>
      <c r="BK756" s="69"/>
      <c r="BL756" s="69"/>
      <c r="BM756" s="69"/>
      <c r="BN756" s="69"/>
      <c r="BO756" s="69"/>
      <c r="BP756" s="69"/>
      <c r="BQ756" s="69"/>
      <c r="BR756" s="69"/>
      <c r="BS756" s="69"/>
      <c r="BT756" s="69"/>
      <c r="BU756" s="69"/>
      <c r="BV756" s="69"/>
      <c r="BW756" s="69"/>
      <c r="BX756" s="69"/>
      <c r="BY756" s="69"/>
      <c r="BZ756" s="69"/>
      <c r="CA756" s="69"/>
      <c r="CB756" s="69"/>
      <c r="CC756" s="69"/>
      <c r="CD756" s="69"/>
      <c r="CE756" s="69"/>
      <c r="CF756" s="69"/>
    </row>
    <row r="757">
      <c r="A757" s="69"/>
      <c r="B757" s="71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69"/>
      <c r="BE757" s="69"/>
      <c r="BF757" s="69"/>
      <c r="BG757" s="69"/>
      <c r="BH757" s="69"/>
      <c r="BI757" s="69"/>
      <c r="BJ757" s="69"/>
      <c r="BK757" s="69"/>
      <c r="BL757" s="69"/>
      <c r="BM757" s="69"/>
      <c r="BN757" s="69"/>
      <c r="BO757" s="69"/>
      <c r="BP757" s="69"/>
      <c r="BQ757" s="69"/>
      <c r="BR757" s="69"/>
      <c r="BS757" s="69"/>
      <c r="BT757" s="69"/>
      <c r="BU757" s="69"/>
      <c r="BV757" s="69"/>
      <c r="BW757" s="69"/>
      <c r="BX757" s="69"/>
      <c r="BY757" s="69"/>
      <c r="BZ757" s="69"/>
      <c r="CA757" s="69"/>
      <c r="CB757" s="69"/>
      <c r="CC757" s="69"/>
      <c r="CD757" s="69"/>
      <c r="CE757" s="69"/>
      <c r="CF757" s="69"/>
    </row>
    <row r="758">
      <c r="A758" s="69"/>
      <c r="B758" s="71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69"/>
      <c r="BE758" s="69"/>
      <c r="BF758" s="69"/>
      <c r="BG758" s="69"/>
      <c r="BH758" s="69"/>
      <c r="BI758" s="69"/>
      <c r="BJ758" s="69"/>
      <c r="BK758" s="69"/>
      <c r="BL758" s="69"/>
      <c r="BM758" s="69"/>
      <c r="BN758" s="69"/>
      <c r="BO758" s="69"/>
      <c r="BP758" s="69"/>
      <c r="BQ758" s="69"/>
      <c r="BR758" s="69"/>
      <c r="BS758" s="69"/>
      <c r="BT758" s="69"/>
      <c r="BU758" s="69"/>
      <c r="BV758" s="69"/>
      <c r="BW758" s="69"/>
      <c r="BX758" s="69"/>
      <c r="BY758" s="69"/>
      <c r="BZ758" s="69"/>
      <c r="CA758" s="69"/>
      <c r="CB758" s="69"/>
      <c r="CC758" s="69"/>
      <c r="CD758" s="69"/>
      <c r="CE758" s="69"/>
      <c r="CF758" s="69"/>
    </row>
    <row r="759">
      <c r="A759" s="69"/>
      <c r="B759" s="71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69"/>
      <c r="BE759" s="69"/>
      <c r="BF759" s="69"/>
      <c r="BG759" s="69"/>
      <c r="BH759" s="69"/>
      <c r="BI759" s="69"/>
      <c r="BJ759" s="69"/>
      <c r="BK759" s="69"/>
      <c r="BL759" s="69"/>
      <c r="BM759" s="69"/>
      <c r="BN759" s="69"/>
      <c r="BO759" s="69"/>
      <c r="BP759" s="69"/>
      <c r="BQ759" s="69"/>
      <c r="BR759" s="69"/>
      <c r="BS759" s="69"/>
      <c r="BT759" s="69"/>
      <c r="BU759" s="69"/>
      <c r="BV759" s="69"/>
      <c r="BW759" s="69"/>
      <c r="BX759" s="69"/>
      <c r="BY759" s="69"/>
      <c r="BZ759" s="69"/>
      <c r="CA759" s="69"/>
      <c r="CB759" s="69"/>
      <c r="CC759" s="69"/>
      <c r="CD759" s="69"/>
      <c r="CE759" s="69"/>
      <c r="CF759" s="69"/>
    </row>
    <row r="760">
      <c r="A760" s="69"/>
      <c r="B760" s="71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69"/>
      <c r="BE760" s="69"/>
      <c r="BF760" s="69"/>
      <c r="BG760" s="69"/>
      <c r="BH760" s="69"/>
      <c r="BI760" s="69"/>
      <c r="BJ760" s="69"/>
      <c r="BK760" s="69"/>
      <c r="BL760" s="69"/>
      <c r="BM760" s="69"/>
      <c r="BN760" s="69"/>
      <c r="BO760" s="69"/>
      <c r="BP760" s="69"/>
      <c r="BQ760" s="69"/>
      <c r="BR760" s="69"/>
      <c r="BS760" s="69"/>
      <c r="BT760" s="69"/>
      <c r="BU760" s="69"/>
      <c r="BV760" s="69"/>
      <c r="BW760" s="69"/>
      <c r="BX760" s="69"/>
      <c r="BY760" s="69"/>
      <c r="BZ760" s="69"/>
      <c r="CA760" s="69"/>
      <c r="CB760" s="69"/>
      <c r="CC760" s="69"/>
      <c r="CD760" s="69"/>
      <c r="CE760" s="69"/>
      <c r="CF760" s="69"/>
    </row>
    <row r="761">
      <c r="A761" s="69"/>
      <c r="B761" s="71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69"/>
      <c r="BE761" s="69"/>
      <c r="BF761" s="69"/>
      <c r="BG761" s="69"/>
      <c r="BH761" s="69"/>
      <c r="BI761" s="69"/>
      <c r="BJ761" s="69"/>
      <c r="BK761" s="69"/>
      <c r="BL761" s="69"/>
      <c r="BM761" s="69"/>
      <c r="BN761" s="69"/>
      <c r="BO761" s="69"/>
      <c r="BP761" s="69"/>
      <c r="BQ761" s="69"/>
      <c r="BR761" s="69"/>
      <c r="BS761" s="69"/>
      <c r="BT761" s="69"/>
      <c r="BU761" s="69"/>
      <c r="BV761" s="69"/>
      <c r="BW761" s="69"/>
      <c r="BX761" s="69"/>
      <c r="BY761" s="69"/>
      <c r="BZ761" s="69"/>
      <c r="CA761" s="69"/>
      <c r="CB761" s="69"/>
      <c r="CC761" s="69"/>
      <c r="CD761" s="69"/>
      <c r="CE761" s="69"/>
      <c r="CF761" s="69"/>
    </row>
    <row r="762">
      <c r="A762" s="69"/>
      <c r="B762" s="71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69"/>
      <c r="BE762" s="69"/>
      <c r="BF762" s="69"/>
      <c r="BG762" s="69"/>
      <c r="BH762" s="69"/>
      <c r="BI762" s="69"/>
      <c r="BJ762" s="69"/>
      <c r="BK762" s="69"/>
      <c r="BL762" s="69"/>
      <c r="BM762" s="69"/>
      <c r="BN762" s="69"/>
      <c r="BO762" s="69"/>
      <c r="BP762" s="69"/>
      <c r="BQ762" s="69"/>
      <c r="BR762" s="69"/>
      <c r="BS762" s="69"/>
      <c r="BT762" s="69"/>
      <c r="BU762" s="69"/>
      <c r="BV762" s="69"/>
      <c r="BW762" s="69"/>
      <c r="BX762" s="69"/>
      <c r="BY762" s="69"/>
      <c r="BZ762" s="69"/>
      <c r="CA762" s="69"/>
      <c r="CB762" s="69"/>
      <c r="CC762" s="69"/>
      <c r="CD762" s="69"/>
      <c r="CE762" s="69"/>
      <c r="CF762" s="69"/>
    </row>
    <row r="763">
      <c r="A763" s="69"/>
      <c r="B763" s="71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69"/>
      <c r="BE763" s="69"/>
      <c r="BF763" s="69"/>
      <c r="BG763" s="69"/>
      <c r="BH763" s="69"/>
      <c r="BI763" s="69"/>
      <c r="BJ763" s="69"/>
      <c r="BK763" s="69"/>
      <c r="BL763" s="69"/>
      <c r="BM763" s="69"/>
      <c r="BN763" s="69"/>
      <c r="BO763" s="69"/>
      <c r="BP763" s="69"/>
      <c r="BQ763" s="69"/>
      <c r="BR763" s="69"/>
      <c r="BS763" s="69"/>
      <c r="BT763" s="69"/>
      <c r="BU763" s="69"/>
      <c r="BV763" s="69"/>
      <c r="BW763" s="69"/>
      <c r="BX763" s="69"/>
      <c r="BY763" s="69"/>
      <c r="BZ763" s="69"/>
      <c r="CA763" s="69"/>
      <c r="CB763" s="69"/>
      <c r="CC763" s="69"/>
      <c r="CD763" s="69"/>
      <c r="CE763" s="69"/>
      <c r="CF763" s="69"/>
    </row>
    <row r="764">
      <c r="A764" s="69"/>
      <c r="B764" s="71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69"/>
      <c r="BE764" s="69"/>
      <c r="BF764" s="69"/>
      <c r="BG764" s="69"/>
      <c r="BH764" s="69"/>
      <c r="BI764" s="69"/>
      <c r="BJ764" s="69"/>
      <c r="BK764" s="69"/>
      <c r="BL764" s="69"/>
      <c r="BM764" s="69"/>
      <c r="BN764" s="69"/>
      <c r="BO764" s="69"/>
      <c r="BP764" s="69"/>
      <c r="BQ764" s="69"/>
      <c r="BR764" s="69"/>
      <c r="BS764" s="69"/>
      <c r="BT764" s="69"/>
      <c r="BU764" s="69"/>
      <c r="BV764" s="69"/>
      <c r="BW764" s="69"/>
      <c r="BX764" s="69"/>
      <c r="BY764" s="69"/>
      <c r="BZ764" s="69"/>
      <c r="CA764" s="69"/>
      <c r="CB764" s="69"/>
      <c r="CC764" s="69"/>
      <c r="CD764" s="69"/>
      <c r="CE764" s="69"/>
      <c r="CF764" s="69"/>
    </row>
    <row r="765">
      <c r="A765" s="69"/>
      <c r="B765" s="71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69"/>
      <c r="BE765" s="69"/>
      <c r="BF765" s="69"/>
      <c r="BG765" s="69"/>
      <c r="BH765" s="69"/>
      <c r="BI765" s="69"/>
      <c r="BJ765" s="69"/>
      <c r="BK765" s="69"/>
      <c r="BL765" s="69"/>
      <c r="BM765" s="69"/>
      <c r="BN765" s="69"/>
      <c r="BO765" s="69"/>
      <c r="BP765" s="69"/>
      <c r="BQ765" s="69"/>
      <c r="BR765" s="69"/>
      <c r="BS765" s="69"/>
      <c r="BT765" s="69"/>
      <c r="BU765" s="69"/>
      <c r="BV765" s="69"/>
      <c r="BW765" s="69"/>
      <c r="BX765" s="69"/>
      <c r="BY765" s="69"/>
      <c r="BZ765" s="69"/>
      <c r="CA765" s="69"/>
      <c r="CB765" s="69"/>
      <c r="CC765" s="69"/>
      <c r="CD765" s="69"/>
      <c r="CE765" s="69"/>
      <c r="CF765" s="69"/>
    </row>
    <row r="766">
      <c r="A766" s="69"/>
      <c r="B766" s="71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69"/>
      <c r="BE766" s="69"/>
      <c r="BF766" s="69"/>
      <c r="BG766" s="69"/>
      <c r="BH766" s="69"/>
      <c r="BI766" s="69"/>
      <c r="BJ766" s="69"/>
      <c r="BK766" s="69"/>
      <c r="BL766" s="69"/>
      <c r="BM766" s="69"/>
      <c r="BN766" s="69"/>
      <c r="BO766" s="69"/>
      <c r="BP766" s="69"/>
      <c r="BQ766" s="69"/>
      <c r="BR766" s="69"/>
      <c r="BS766" s="69"/>
      <c r="BT766" s="69"/>
      <c r="BU766" s="69"/>
      <c r="BV766" s="69"/>
      <c r="BW766" s="69"/>
      <c r="BX766" s="69"/>
      <c r="BY766" s="69"/>
      <c r="BZ766" s="69"/>
      <c r="CA766" s="69"/>
      <c r="CB766" s="69"/>
      <c r="CC766" s="69"/>
      <c r="CD766" s="69"/>
      <c r="CE766" s="69"/>
      <c r="CF766" s="69"/>
    </row>
    <row r="767">
      <c r="A767" s="69"/>
      <c r="B767" s="71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69"/>
      <c r="BE767" s="69"/>
      <c r="BF767" s="69"/>
      <c r="BG767" s="69"/>
      <c r="BH767" s="69"/>
      <c r="BI767" s="69"/>
      <c r="BJ767" s="69"/>
      <c r="BK767" s="69"/>
      <c r="BL767" s="69"/>
      <c r="BM767" s="69"/>
      <c r="BN767" s="69"/>
      <c r="BO767" s="69"/>
      <c r="BP767" s="69"/>
      <c r="BQ767" s="69"/>
      <c r="BR767" s="69"/>
      <c r="BS767" s="69"/>
      <c r="BT767" s="69"/>
      <c r="BU767" s="69"/>
      <c r="BV767" s="69"/>
      <c r="BW767" s="69"/>
      <c r="BX767" s="69"/>
      <c r="BY767" s="69"/>
      <c r="BZ767" s="69"/>
      <c r="CA767" s="69"/>
      <c r="CB767" s="69"/>
      <c r="CC767" s="69"/>
      <c r="CD767" s="69"/>
      <c r="CE767" s="69"/>
      <c r="CF767" s="69"/>
    </row>
    <row r="768">
      <c r="A768" s="69"/>
      <c r="B768" s="71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69"/>
      <c r="BE768" s="69"/>
      <c r="BF768" s="69"/>
      <c r="BG768" s="69"/>
      <c r="BH768" s="69"/>
      <c r="BI768" s="69"/>
      <c r="BJ768" s="69"/>
      <c r="BK768" s="69"/>
      <c r="BL768" s="69"/>
      <c r="BM768" s="69"/>
      <c r="BN768" s="69"/>
      <c r="BO768" s="69"/>
      <c r="BP768" s="69"/>
      <c r="BQ768" s="69"/>
      <c r="BR768" s="69"/>
      <c r="BS768" s="69"/>
      <c r="BT768" s="69"/>
      <c r="BU768" s="69"/>
      <c r="BV768" s="69"/>
      <c r="BW768" s="69"/>
      <c r="BX768" s="69"/>
      <c r="BY768" s="69"/>
      <c r="BZ768" s="69"/>
      <c r="CA768" s="69"/>
      <c r="CB768" s="69"/>
      <c r="CC768" s="69"/>
      <c r="CD768" s="69"/>
      <c r="CE768" s="69"/>
      <c r="CF768" s="69"/>
    </row>
    <row r="769">
      <c r="A769" s="69"/>
      <c r="B769" s="71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69"/>
      <c r="BE769" s="69"/>
      <c r="BF769" s="69"/>
      <c r="BG769" s="69"/>
      <c r="BH769" s="69"/>
      <c r="BI769" s="69"/>
      <c r="BJ769" s="69"/>
      <c r="BK769" s="69"/>
      <c r="BL769" s="69"/>
      <c r="BM769" s="69"/>
      <c r="BN769" s="69"/>
      <c r="BO769" s="69"/>
      <c r="BP769" s="69"/>
      <c r="BQ769" s="69"/>
      <c r="BR769" s="69"/>
      <c r="BS769" s="69"/>
      <c r="BT769" s="69"/>
      <c r="BU769" s="69"/>
      <c r="BV769" s="69"/>
      <c r="BW769" s="69"/>
      <c r="BX769" s="69"/>
      <c r="BY769" s="69"/>
      <c r="BZ769" s="69"/>
      <c r="CA769" s="69"/>
      <c r="CB769" s="69"/>
      <c r="CC769" s="69"/>
      <c r="CD769" s="69"/>
      <c r="CE769" s="69"/>
      <c r="CF769" s="69"/>
    </row>
    <row r="770">
      <c r="A770" s="69"/>
      <c r="B770" s="71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69"/>
      <c r="BE770" s="69"/>
      <c r="BF770" s="69"/>
      <c r="BG770" s="69"/>
      <c r="BH770" s="69"/>
      <c r="BI770" s="69"/>
      <c r="BJ770" s="69"/>
      <c r="BK770" s="69"/>
      <c r="BL770" s="69"/>
      <c r="BM770" s="69"/>
      <c r="BN770" s="69"/>
      <c r="BO770" s="69"/>
      <c r="BP770" s="69"/>
      <c r="BQ770" s="69"/>
      <c r="BR770" s="69"/>
      <c r="BS770" s="69"/>
      <c r="BT770" s="69"/>
      <c r="BU770" s="69"/>
      <c r="BV770" s="69"/>
      <c r="BW770" s="69"/>
      <c r="BX770" s="69"/>
      <c r="BY770" s="69"/>
      <c r="BZ770" s="69"/>
      <c r="CA770" s="69"/>
      <c r="CB770" s="69"/>
      <c r="CC770" s="69"/>
      <c r="CD770" s="69"/>
      <c r="CE770" s="69"/>
      <c r="CF770" s="69"/>
    </row>
    <row r="771">
      <c r="A771" s="69"/>
      <c r="B771" s="71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69"/>
      <c r="BE771" s="69"/>
      <c r="BF771" s="69"/>
      <c r="BG771" s="69"/>
      <c r="BH771" s="69"/>
      <c r="BI771" s="69"/>
      <c r="BJ771" s="69"/>
      <c r="BK771" s="69"/>
      <c r="BL771" s="69"/>
      <c r="BM771" s="69"/>
      <c r="BN771" s="69"/>
      <c r="BO771" s="69"/>
      <c r="BP771" s="69"/>
      <c r="BQ771" s="69"/>
      <c r="BR771" s="69"/>
      <c r="BS771" s="69"/>
      <c r="BT771" s="69"/>
      <c r="BU771" s="69"/>
      <c r="BV771" s="69"/>
      <c r="BW771" s="69"/>
      <c r="BX771" s="69"/>
      <c r="BY771" s="69"/>
      <c r="BZ771" s="69"/>
      <c r="CA771" s="69"/>
      <c r="CB771" s="69"/>
      <c r="CC771" s="69"/>
      <c r="CD771" s="69"/>
      <c r="CE771" s="69"/>
      <c r="CF771" s="69"/>
    </row>
    <row r="772">
      <c r="A772" s="69"/>
      <c r="B772" s="71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69"/>
      <c r="BE772" s="69"/>
      <c r="BF772" s="69"/>
      <c r="BG772" s="69"/>
      <c r="BH772" s="69"/>
      <c r="BI772" s="69"/>
      <c r="BJ772" s="69"/>
      <c r="BK772" s="69"/>
      <c r="BL772" s="69"/>
      <c r="BM772" s="69"/>
      <c r="BN772" s="69"/>
      <c r="BO772" s="69"/>
      <c r="BP772" s="69"/>
      <c r="BQ772" s="69"/>
      <c r="BR772" s="69"/>
      <c r="BS772" s="69"/>
      <c r="BT772" s="69"/>
      <c r="BU772" s="69"/>
      <c r="BV772" s="69"/>
      <c r="BW772" s="69"/>
      <c r="BX772" s="69"/>
      <c r="BY772" s="69"/>
      <c r="BZ772" s="69"/>
      <c r="CA772" s="69"/>
      <c r="CB772" s="69"/>
      <c r="CC772" s="69"/>
      <c r="CD772" s="69"/>
      <c r="CE772" s="69"/>
      <c r="CF772" s="69"/>
    </row>
    <row r="773">
      <c r="A773" s="69"/>
      <c r="B773" s="71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69"/>
      <c r="BE773" s="69"/>
      <c r="BF773" s="69"/>
      <c r="BG773" s="69"/>
      <c r="BH773" s="69"/>
      <c r="BI773" s="69"/>
      <c r="BJ773" s="69"/>
      <c r="BK773" s="69"/>
      <c r="BL773" s="69"/>
      <c r="BM773" s="69"/>
      <c r="BN773" s="69"/>
      <c r="BO773" s="69"/>
      <c r="BP773" s="69"/>
      <c r="BQ773" s="69"/>
      <c r="BR773" s="69"/>
      <c r="BS773" s="69"/>
      <c r="BT773" s="69"/>
      <c r="BU773" s="69"/>
      <c r="BV773" s="69"/>
      <c r="BW773" s="69"/>
      <c r="BX773" s="69"/>
      <c r="BY773" s="69"/>
      <c r="BZ773" s="69"/>
      <c r="CA773" s="69"/>
      <c r="CB773" s="69"/>
      <c r="CC773" s="69"/>
      <c r="CD773" s="69"/>
      <c r="CE773" s="69"/>
      <c r="CF773" s="69"/>
    </row>
    <row r="774">
      <c r="A774" s="69"/>
      <c r="B774" s="71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69"/>
      <c r="BE774" s="69"/>
      <c r="BF774" s="69"/>
      <c r="BG774" s="69"/>
      <c r="BH774" s="69"/>
      <c r="BI774" s="69"/>
      <c r="BJ774" s="69"/>
      <c r="BK774" s="69"/>
      <c r="BL774" s="69"/>
      <c r="BM774" s="69"/>
      <c r="BN774" s="69"/>
      <c r="BO774" s="69"/>
      <c r="BP774" s="69"/>
      <c r="BQ774" s="69"/>
      <c r="BR774" s="69"/>
      <c r="BS774" s="69"/>
      <c r="BT774" s="69"/>
      <c r="BU774" s="69"/>
      <c r="BV774" s="69"/>
      <c r="BW774" s="69"/>
      <c r="BX774" s="69"/>
      <c r="BY774" s="69"/>
      <c r="BZ774" s="69"/>
      <c r="CA774" s="69"/>
      <c r="CB774" s="69"/>
      <c r="CC774" s="69"/>
      <c r="CD774" s="69"/>
      <c r="CE774" s="69"/>
      <c r="CF774" s="69"/>
    </row>
    <row r="775">
      <c r="A775" s="69"/>
      <c r="B775" s="71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69"/>
      <c r="BE775" s="69"/>
      <c r="BF775" s="69"/>
      <c r="BG775" s="69"/>
      <c r="BH775" s="69"/>
      <c r="BI775" s="69"/>
      <c r="BJ775" s="69"/>
      <c r="BK775" s="69"/>
      <c r="BL775" s="69"/>
      <c r="BM775" s="69"/>
      <c r="BN775" s="69"/>
      <c r="BO775" s="69"/>
      <c r="BP775" s="69"/>
      <c r="BQ775" s="69"/>
      <c r="BR775" s="69"/>
      <c r="BS775" s="69"/>
      <c r="BT775" s="69"/>
      <c r="BU775" s="69"/>
      <c r="BV775" s="69"/>
      <c r="BW775" s="69"/>
      <c r="BX775" s="69"/>
      <c r="BY775" s="69"/>
      <c r="BZ775" s="69"/>
      <c r="CA775" s="69"/>
      <c r="CB775" s="69"/>
      <c r="CC775" s="69"/>
      <c r="CD775" s="69"/>
      <c r="CE775" s="69"/>
      <c r="CF775" s="69"/>
    </row>
    <row r="776">
      <c r="A776" s="69"/>
      <c r="B776" s="71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69"/>
      <c r="BE776" s="69"/>
      <c r="BF776" s="69"/>
      <c r="BG776" s="69"/>
      <c r="BH776" s="69"/>
      <c r="BI776" s="69"/>
      <c r="BJ776" s="69"/>
      <c r="BK776" s="69"/>
      <c r="BL776" s="69"/>
      <c r="BM776" s="69"/>
      <c r="BN776" s="69"/>
      <c r="BO776" s="69"/>
      <c r="BP776" s="69"/>
      <c r="BQ776" s="69"/>
      <c r="BR776" s="69"/>
      <c r="BS776" s="69"/>
      <c r="BT776" s="69"/>
      <c r="BU776" s="69"/>
      <c r="BV776" s="69"/>
      <c r="BW776" s="69"/>
      <c r="BX776" s="69"/>
      <c r="BY776" s="69"/>
      <c r="BZ776" s="69"/>
      <c r="CA776" s="69"/>
      <c r="CB776" s="69"/>
      <c r="CC776" s="69"/>
      <c r="CD776" s="69"/>
      <c r="CE776" s="69"/>
      <c r="CF776" s="69"/>
    </row>
    <row r="777">
      <c r="A777" s="69"/>
      <c r="B777" s="71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69"/>
      <c r="BE777" s="69"/>
      <c r="BF777" s="69"/>
      <c r="BG777" s="69"/>
      <c r="BH777" s="69"/>
      <c r="BI777" s="69"/>
      <c r="BJ777" s="69"/>
      <c r="BK777" s="69"/>
      <c r="BL777" s="69"/>
      <c r="BM777" s="69"/>
      <c r="BN777" s="69"/>
      <c r="BO777" s="69"/>
      <c r="BP777" s="69"/>
      <c r="BQ777" s="69"/>
      <c r="BR777" s="69"/>
      <c r="BS777" s="69"/>
      <c r="BT777" s="69"/>
      <c r="BU777" s="69"/>
      <c r="BV777" s="69"/>
      <c r="BW777" s="69"/>
      <c r="BX777" s="69"/>
      <c r="BY777" s="69"/>
      <c r="BZ777" s="69"/>
      <c r="CA777" s="69"/>
      <c r="CB777" s="69"/>
      <c r="CC777" s="69"/>
      <c r="CD777" s="69"/>
      <c r="CE777" s="69"/>
      <c r="CF777" s="69"/>
    </row>
    <row r="778">
      <c r="A778" s="69"/>
      <c r="B778" s="71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69"/>
      <c r="BE778" s="69"/>
      <c r="BF778" s="69"/>
      <c r="BG778" s="69"/>
      <c r="BH778" s="69"/>
      <c r="BI778" s="69"/>
      <c r="BJ778" s="69"/>
      <c r="BK778" s="69"/>
      <c r="BL778" s="69"/>
      <c r="BM778" s="69"/>
      <c r="BN778" s="69"/>
      <c r="BO778" s="69"/>
      <c r="BP778" s="69"/>
      <c r="BQ778" s="69"/>
      <c r="BR778" s="69"/>
      <c r="BS778" s="69"/>
      <c r="BT778" s="69"/>
      <c r="BU778" s="69"/>
      <c r="BV778" s="69"/>
      <c r="BW778" s="69"/>
      <c r="BX778" s="69"/>
      <c r="BY778" s="69"/>
      <c r="BZ778" s="69"/>
      <c r="CA778" s="69"/>
      <c r="CB778" s="69"/>
      <c r="CC778" s="69"/>
      <c r="CD778" s="69"/>
      <c r="CE778" s="69"/>
      <c r="CF778" s="69"/>
    </row>
    <row r="779">
      <c r="A779" s="69"/>
      <c r="B779" s="71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69"/>
      <c r="BE779" s="69"/>
      <c r="BF779" s="69"/>
      <c r="BG779" s="69"/>
      <c r="BH779" s="69"/>
      <c r="BI779" s="69"/>
      <c r="BJ779" s="69"/>
      <c r="BK779" s="69"/>
      <c r="BL779" s="69"/>
      <c r="BM779" s="69"/>
      <c r="BN779" s="69"/>
      <c r="BO779" s="69"/>
      <c r="BP779" s="69"/>
      <c r="BQ779" s="69"/>
      <c r="BR779" s="69"/>
      <c r="BS779" s="69"/>
      <c r="BT779" s="69"/>
      <c r="BU779" s="69"/>
      <c r="BV779" s="69"/>
      <c r="BW779" s="69"/>
      <c r="BX779" s="69"/>
      <c r="BY779" s="69"/>
      <c r="BZ779" s="69"/>
      <c r="CA779" s="69"/>
      <c r="CB779" s="69"/>
      <c r="CC779" s="69"/>
      <c r="CD779" s="69"/>
      <c r="CE779" s="69"/>
      <c r="CF779" s="69"/>
    </row>
    <row r="780">
      <c r="A780" s="69"/>
      <c r="B780" s="71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69"/>
      <c r="BE780" s="69"/>
      <c r="BF780" s="69"/>
      <c r="BG780" s="69"/>
      <c r="BH780" s="69"/>
      <c r="BI780" s="69"/>
      <c r="BJ780" s="69"/>
      <c r="BK780" s="69"/>
      <c r="BL780" s="69"/>
      <c r="BM780" s="69"/>
      <c r="BN780" s="69"/>
      <c r="BO780" s="69"/>
      <c r="BP780" s="69"/>
      <c r="BQ780" s="69"/>
      <c r="BR780" s="69"/>
      <c r="BS780" s="69"/>
      <c r="BT780" s="69"/>
      <c r="BU780" s="69"/>
      <c r="BV780" s="69"/>
      <c r="BW780" s="69"/>
      <c r="BX780" s="69"/>
      <c r="BY780" s="69"/>
      <c r="BZ780" s="69"/>
      <c r="CA780" s="69"/>
      <c r="CB780" s="69"/>
      <c r="CC780" s="69"/>
      <c r="CD780" s="69"/>
      <c r="CE780" s="69"/>
      <c r="CF780" s="69"/>
    </row>
    <row r="781">
      <c r="A781" s="69"/>
      <c r="B781" s="71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69"/>
      <c r="BE781" s="69"/>
      <c r="BF781" s="69"/>
      <c r="BG781" s="69"/>
      <c r="BH781" s="69"/>
      <c r="BI781" s="69"/>
      <c r="BJ781" s="69"/>
      <c r="BK781" s="69"/>
      <c r="BL781" s="69"/>
      <c r="BM781" s="69"/>
      <c r="BN781" s="69"/>
      <c r="BO781" s="69"/>
      <c r="BP781" s="69"/>
      <c r="BQ781" s="69"/>
      <c r="BR781" s="69"/>
      <c r="BS781" s="69"/>
      <c r="BT781" s="69"/>
      <c r="BU781" s="69"/>
      <c r="BV781" s="69"/>
      <c r="BW781" s="69"/>
      <c r="BX781" s="69"/>
      <c r="BY781" s="69"/>
      <c r="BZ781" s="69"/>
      <c r="CA781" s="69"/>
      <c r="CB781" s="69"/>
      <c r="CC781" s="69"/>
      <c r="CD781" s="69"/>
      <c r="CE781" s="69"/>
      <c r="CF781" s="69"/>
    </row>
    <row r="782">
      <c r="A782" s="69"/>
      <c r="B782" s="71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69"/>
      <c r="BE782" s="69"/>
      <c r="BF782" s="69"/>
      <c r="BG782" s="69"/>
      <c r="BH782" s="69"/>
      <c r="BI782" s="69"/>
      <c r="BJ782" s="69"/>
      <c r="BK782" s="69"/>
      <c r="BL782" s="69"/>
      <c r="BM782" s="69"/>
      <c r="BN782" s="69"/>
      <c r="BO782" s="69"/>
      <c r="BP782" s="69"/>
      <c r="BQ782" s="69"/>
      <c r="BR782" s="69"/>
      <c r="BS782" s="69"/>
      <c r="BT782" s="69"/>
      <c r="BU782" s="69"/>
      <c r="BV782" s="69"/>
      <c r="BW782" s="69"/>
      <c r="BX782" s="69"/>
      <c r="BY782" s="69"/>
      <c r="BZ782" s="69"/>
      <c r="CA782" s="69"/>
      <c r="CB782" s="69"/>
      <c r="CC782" s="69"/>
      <c r="CD782" s="69"/>
      <c r="CE782" s="69"/>
      <c r="CF782" s="69"/>
    </row>
    <row r="783">
      <c r="A783" s="69"/>
      <c r="B783" s="71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69"/>
      <c r="BE783" s="69"/>
      <c r="BF783" s="69"/>
      <c r="BG783" s="69"/>
      <c r="BH783" s="69"/>
      <c r="BI783" s="69"/>
      <c r="BJ783" s="69"/>
      <c r="BK783" s="69"/>
      <c r="BL783" s="69"/>
      <c r="BM783" s="69"/>
      <c r="BN783" s="69"/>
      <c r="BO783" s="69"/>
      <c r="BP783" s="69"/>
      <c r="BQ783" s="69"/>
      <c r="BR783" s="69"/>
      <c r="BS783" s="69"/>
      <c r="BT783" s="69"/>
      <c r="BU783" s="69"/>
      <c r="BV783" s="69"/>
      <c r="BW783" s="69"/>
      <c r="BX783" s="69"/>
      <c r="BY783" s="69"/>
      <c r="BZ783" s="69"/>
      <c r="CA783" s="69"/>
      <c r="CB783" s="69"/>
      <c r="CC783" s="69"/>
      <c r="CD783" s="69"/>
      <c r="CE783" s="69"/>
      <c r="CF783" s="69"/>
    </row>
    <row r="784">
      <c r="A784" s="69"/>
      <c r="B784" s="71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69"/>
      <c r="BE784" s="69"/>
      <c r="BF784" s="69"/>
      <c r="BG784" s="69"/>
      <c r="BH784" s="69"/>
      <c r="BI784" s="69"/>
      <c r="BJ784" s="69"/>
      <c r="BK784" s="69"/>
      <c r="BL784" s="69"/>
      <c r="BM784" s="69"/>
      <c r="BN784" s="69"/>
      <c r="BO784" s="69"/>
      <c r="BP784" s="69"/>
      <c r="BQ784" s="69"/>
      <c r="BR784" s="69"/>
      <c r="BS784" s="69"/>
      <c r="BT784" s="69"/>
      <c r="BU784" s="69"/>
      <c r="BV784" s="69"/>
      <c r="BW784" s="69"/>
      <c r="BX784" s="69"/>
      <c r="BY784" s="69"/>
      <c r="BZ784" s="69"/>
      <c r="CA784" s="69"/>
      <c r="CB784" s="69"/>
      <c r="CC784" s="69"/>
      <c r="CD784" s="69"/>
      <c r="CE784" s="69"/>
      <c r="CF784" s="69"/>
    </row>
    <row r="785">
      <c r="A785" s="69"/>
      <c r="B785" s="71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69"/>
      <c r="BE785" s="69"/>
      <c r="BF785" s="69"/>
      <c r="BG785" s="69"/>
      <c r="BH785" s="69"/>
      <c r="BI785" s="69"/>
      <c r="BJ785" s="69"/>
      <c r="BK785" s="69"/>
      <c r="BL785" s="69"/>
      <c r="BM785" s="69"/>
      <c r="BN785" s="69"/>
      <c r="BO785" s="69"/>
      <c r="BP785" s="69"/>
      <c r="BQ785" s="69"/>
      <c r="BR785" s="69"/>
      <c r="BS785" s="69"/>
      <c r="BT785" s="69"/>
      <c r="BU785" s="69"/>
      <c r="BV785" s="69"/>
      <c r="BW785" s="69"/>
      <c r="BX785" s="69"/>
      <c r="BY785" s="69"/>
      <c r="BZ785" s="69"/>
      <c r="CA785" s="69"/>
      <c r="CB785" s="69"/>
      <c r="CC785" s="69"/>
      <c r="CD785" s="69"/>
      <c r="CE785" s="69"/>
      <c r="CF785" s="69"/>
    </row>
    <row r="786">
      <c r="A786" s="69"/>
      <c r="B786" s="71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69"/>
      <c r="BE786" s="69"/>
      <c r="BF786" s="69"/>
      <c r="BG786" s="69"/>
      <c r="BH786" s="69"/>
      <c r="BI786" s="69"/>
      <c r="BJ786" s="69"/>
      <c r="BK786" s="69"/>
      <c r="BL786" s="69"/>
      <c r="BM786" s="69"/>
      <c r="BN786" s="69"/>
      <c r="BO786" s="69"/>
      <c r="BP786" s="69"/>
      <c r="BQ786" s="69"/>
      <c r="BR786" s="69"/>
      <c r="BS786" s="69"/>
      <c r="BT786" s="69"/>
      <c r="BU786" s="69"/>
      <c r="BV786" s="69"/>
      <c r="BW786" s="69"/>
      <c r="BX786" s="69"/>
      <c r="BY786" s="69"/>
      <c r="BZ786" s="69"/>
      <c r="CA786" s="69"/>
      <c r="CB786" s="69"/>
      <c r="CC786" s="69"/>
      <c r="CD786" s="69"/>
      <c r="CE786" s="69"/>
      <c r="CF786" s="69"/>
    </row>
    <row r="787">
      <c r="A787" s="69"/>
      <c r="B787" s="71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69"/>
      <c r="BE787" s="69"/>
      <c r="BF787" s="69"/>
      <c r="BG787" s="69"/>
      <c r="BH787" s="69"/>
      <c r="BI787" s="69"/>
      <c r="BJ787" s="69"/>
      <c r="BK787" s="69"/>
      <c r="BL787" s="69"/>
      <c r="BM787" s="69"/>
      <c r="BN787" s="69"/>
      <c r="BO787" s="69"/>
      <c r="BP787" s="69"/>
      <c r="BQ787" s="69"/>
      <c r="BR787" s="69"/>
      <c r="BS787" s="69"/>
      <c r="BT787" s="69"/>
      <c r="BU787" s="69"/>
      <c r="BV787" s="69"/>
      <c r="BW787" s="69"/>
      <c r="BX787" s="69"/>
      <c r="BY787" s="69"/>
      <c r="BZ787" s="69"/>
      <c r="CA787" s="69"/>
      <c r="CB787" s="69"/>
      <c r="CC787" s="69"/>
      <c r="CD787" s="69"/>
      <c r="CE787" s="69"/>
      <c r="CF787" s="69"/>
    </row>
    <row r="788">
      <c r="A788" s="69"/>
      <c r="B788" s="71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69"/>
      <c r="BE788" s="69"/>
      <c r="BF788" s="69"/>
      <c r="BG788" s="69"/>
      <c r="BH788" s="69"/>
      <c r="BI788" s="69"/>
      <c r="BJ788" s="69"/>
      <c r="BK788" s="69"/>
      <c r="BL788" s="69"/>
      <c r="BM788" s="69"/>
      <c r="BN788" s="69"/>
      <c r="BO788" s="69"/>
      <c r="BP788" s="69"/>
      <c r="BQ788" s="69"/>
      <c r="BR788" s="69"/>
      <c r="BS788" s="69"/>
      <c r="BT788" s="69"/>
      <c r="BU788" s="69"/>
      <c r="BV788" s="69"/>
      <c r="BW788" s="69"/>
      <c r="BX788" s="69"/>
      <c r="BY788" s="69"/>
      <c r="BZ788" s="69"/>
      <c r="CA788" s="69"/>
      <c r="CB788" s="69"/>
      <c r="CC788" s="69"/>
      <c r="CD788" s="69"/>
      <c r="CE788" s="69"/>
      <c r="CF788" s="69"/>
    </row>
    <row r="789">
      <c r="A789" s="69"/>
      <c r="B789" s="71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69"/>
      <c r="BE789" s="69"/>
      <c r="BF789" s="69"/>
      <c r="BG789" s="69"/>
      <c r="BH789" s="69"/>
      <c r="BI789" s="69"/>
      <c r="BJ789" s="69"/>
      <c r="BK789" s="69"/>
      <c r="BL789" s="69"/>
      <c r="BM789" s="69"/>
      <c r="BN789" s="69"/>
      <c r="BO789" s="69"/>
      <c r="BP789" s="69"/>
      <c r="BQ789" s="69"/>
      <c r="BR789" s="69"/>
      <c r="BS789" s="69"/>
      <c r="BT789" s="69"/>
      <c r="BU789" s="69"/>
      <c r="BV789" s="69"/>
      <c r="BW789" s="69"/>
      <c r="BX789" s="69"/>
      <c r="BY789" s="69"/>
      <c r="BZ789" s="69"/>
      <c r="CA789" s="69"/>
      <c r="CB789" s="69"/>
      <c r="CC789" s="69"/>
      <c r="CD789" s="69"/>
      <c r="CE789" s="69"/>
      <c r="CF789" s="69"/>
    </row>
    <row r="790">
      <c r="A790" s="69"/>
      <c r="B790" s="71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69"/>
      <c r="BE790" s="69"/>
      <c r="BF790" s="69"/>
      <c r="BG790" s="69"/>
      <c r="BH790" s="69"/>
      <c r="BI790" s="69"/>
      <c r="BJ790" s="69"/>
      <c r="BK790" s="69"/>
      <c r="BL790" s="69"/>
      <c r="BM790" s="69"/>
      <c r="BN790" s="69"/>
      <c r="BO790" s="69"/>
      <c r="BP790" s="69"/>
      <c r="BQ790" s="69"/>
      <c r="BR790" s="69"/>
      <c r="BS790" s="69"/>
      <c r="BT790" s="69"/>
      <c r="BU790" s="69"/>
      <c r="BV790" s="69"/>
      <c r="BW790" s="69"/>
      <c r="BX790" s="69"/>
      <c r="BY790" s="69"/>
      <c r="BZ790" s="69"/>
      <c r="CA790" s="69"/>
      <c r="CB790" s="69"/>
      <c r="CC790" s="69"/>
      <c r="CD790" s="69"/>
      <c r="CE790" s="69"/>
      <c r="CF790" s="69"/>
    </row>
    <row r="791">
      <c r="A791" s="69"/>
      <c r="B791" s="71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69"/>
      <c r="BE791" s="69"/>
      <c r="BF791" s="69"/>
      <c r="BG791" s="69"/>
      <c r="BH791" s="69"/>
      <c r="BI791" s="69"/>
      <c r="BJ791" s="69"/>
      <c r="BK791" s="69"/>
      <c r="BL791" s="69"/>
      <c r="BM791" s="69"/>
      <c r="BN791" s="69"/>
      <c r="BO791" s="69"/>
      <c r="BP791" s="69"/>
      <c r="BQ791" s="69"/>
      <c r="BR791" s="69"/>
      <c r="BS791" s="69"/>
      <c r="BT791" s="69"/>
      <c r="BU791" s="69"/>
      <c r="BV791" s="69"/>
      <c r="BW791" s="69"/>
      <c r="BX791" s="69"/>
      <c r="BY791" s="69"/>
      <c r="BZ791" s="69"/>
      <c r="CA791" s="69"/>
      <c r="CB791" s="69"/>
      <c r="CC791" s="69"/>
      <c r="CD791" s="69"/>
      <c r="CE791" s="69"/>
      <c r="CF791" s="69"/>
    </row>
    <row r="792">
      <c r="A792" s="69"/>
      <c r="B792" s="71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69"/>
      <c r="BE792" s="69"/>
      <c r="BF792" s="69"/>
      <c r="BG792" s="69"/>
      <c r="BH792" s="69"/>
      <c r="BI792" s="69"/>
      <c r="BJ792" s="69"/>
      <c r="BK792" s="69"/>
      <c r="BL792" s="69"/>
      <c r="BM792" s="69"/>
      <c r="BN792" s="69"/>
      <c r="BO792" s="69"/>
      <c r="BP792" s="69"/>
      <c r="BQ792" s="69"/>
      <c r="BR792" s="69"/>
      <c r="BS792" s="69"/>
      <c r="BT792" s="69"/>
      <c r="BU792" s="69"/>
      <c r="BV792" s="69"/>
      <c r="BW792" s="69"/>
      <c r="BX792" s="69"/>
      <c r="BY792" s="69"/>
      <c r="BZ792" s="69"/>
      <c r="CA792" s="69"/>
      <c r="CB792" s="69"/>
      <c r="CC792" s="69"/>
      <c r="CD792" s="69"/>
      <c r="CE792" s="69"/>
      <c r="CF792" s="69"/>
    </row>
    <row r="793">
      <c r="A793" s="69"/>
      <c r="B793" s="71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69"/>
      <c r="BE793" s="69"/>
      <c r="BF793" s="69"/>
      <c r="BG793" s="69"/>
      <c r="BH793" s="69"/>
      <c r="BI793" s="69"/>
      <c r="BJ793" s="69"/>
      <c r="BK793" s="69"/>
      <c r="BL793" s="69"/>
      <c r="BM793" s="69"/>
      <c r="BN793" s="69"/>
      <c r="BO793" s="69"/>
      <c r="BP793" s="69"/>
      <c r="BQ793" s="69"/>
      <c r="BR793" s="69"/>
      <c r="BS793" s="69"/>
      <c r="BT793" s="69"/>
      <c r="BU793" s="69"/>
      <c r="BV793" s="69"/>
      <c r="BW793" s="69"/>
      <c r="BX793" s="69"/>
      <c r="BY793" s="69"/>
      <c r="BZ793" s="69"/>
      <c r="CA793" s="69"/>
      <c r="CB793" s="69"/>
      <c r="CC793" s="69"/>
      <c r="CD793" s="69"/>
      <c r="CE793" s="69"/>
      <c r="CF793" s="69"/>
    </row>
    <row r="794">
      <c r="A794" s="69"/>
      <c r="B794" s="71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69"/>
      <c r="BE794" s="69"/>
      <c r="BF794" s="69"/>
      <c r="BG794" s="69"/>
      <c r="BH794" s="69"/>
      <c r="BI794" s="69"/>
      <c r="BJ794" s="69"/>
      <c r="BK794" s="69"/>
      <c r="BL794" s="69"/>
      <c r="BM794" s="69"/>
      <c r="BN794" s="69"/>
      <c r="BO794" s="69"/>
      <c r="BP794" s="69"/>
      <c r="BQ794" s="69"/>
      <c r="BR794" s="69"/>
      <c r="BS794" s="69"/>
      <c r="BT794" s="69"/>
      <c r="BU794" s="69"/>
      <c r="BV794" s="69"/>
      <c r="BW794" s="69"/>
      <c r="BX794" s="69"/>
      <c r="BY794" s="69"/>
      <c r="BZ794" s="69"/>
      <c r="CA794" s="69"/>
      <c r="CB794" s="69"/>
      <c r="CC794" s="69"/>
      <c r="CD794" s="69"/>
      <c r="CE794" s="69"/>
      <c r="CF794" s="69"/>
    </row>
    <row r="795">
      <c r="A795" s="69"/>
      <c r="B795" s="71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69"/>
      <c r="BE795" s="69"/>
      <c r="BF795" s="69"/>
      <c r="BG795" s="69"/>
      <c r="BH795" s="69"/>
      <c r="BI795" s="69"/>
      <c r="BJ795" s="69"/>
      <c r="BK795" s="69"/>
      <c r="BL795" s="69"/>
      <c r="BM795" s="69"/>
      <c r="BN795" s="69"/>
      <c r="BO795" s="69"/>
      <c r="BP795" s="69"/>
      <c r="BQ795" s="69"/>
      <c r="BR795" s="69"/>
      <c r="BS795" s="69"/>
      <c r="BT795" s="69"/>
      <c r="BU795" s="69"/>
      <c r="BV795" s="69"/>
      <c r="BW795" s="69"/>
      <c r="BX795" s="69"/>
      <c r="BY795" s="69"/>
      <c r="BZ795" s="69"/>
      <c r="CA795" s="69"/>
      <c r="CB795" s="69"/>
      <c r="CC795" s="69"/>
      <c r="CD795" s="69"/>
      <c r="CE795" s="69"/>
      <c r="CF795" s="69"/>
    </row>
    <row r="796">
      <c r="A796" s="69"/>
      <c r="B796" s="71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69"/>
      <c r="BE796" s="69"/>
      <c r="BF796" s="69"/>
      <c r="BG796" s="69"/>
      <c r="BH796" s="69"/>
      <c r="BI796" s="69"/>
      <c r="BJ796" s="69"/>
      <c r="BK796" s="69"/>
      <c r="BL796" s="69"/>
      <c r="BM796" s="69"/>
      <c r="BN796" s="69"/>
      <c r="BO796" s="69"/>
      <c r="BP796" s="69"/>
      <c r="BQ796" s="69"/>
      <c r="BR796" s="69"/>
      <c r="BS796" s="69"/>
      <c r="BT796" s="69"/>
      <c r="BU796" s="69"/>
      <c r="BV796" s="69"/>
      <c r="BW796" s="69"/>
      <c r="BX796" s="69"/>
      <c r="BY796" s="69"/>
      <c r="BZ796" s="69"/>
      <c r="CA796" s="69"/>
      <c r="CB796" s="69"/>
      <c r="CC796" s="69"/>
      <c r="CD796" s="69"/>
      <c r="CE796" s="69"/>
      <c r="CF796" s="69"/>
    </row>
    <row r="797">
      <c r="A797" s="69"/>
      <c r="B797" s="71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69"/>
      <c r="BE797" s="69"/>
      <c r="BF797" s="69"/>
      <c r="BG797" s="69"/>
      <c r="BH797" s="69"/>
      <c r="BI797" s="69"/>
      <c r="BJ797" s="69"/>
      <c r="BK797" s="69"/>
      <c r="BL797" s="69"/>
      <c r="BM797" s="69"/>
      <c r="BN797" s="69"/>
      <c r="BO797" s="69"/>
      <c r="BP797" s="69"/>
      <c r="BQ797" s="69"/>
      <c r="BR797" s="69"/>
      <c r="BS797" s="69"/>
      <c r="BT797" s="69"/>
      <c r="BU797" s="69"/>
      <c r="BV797" s="69"/>
      <c r="BW797" s="69"/>
      <c r="BX797" s="69"/>
      <c r="BY797" s="69"/>
      <c r="BZ797" s="69"/>
      <c r="CA797" s="69"/>
      <c r="CB797" s="69"/>
      <c r="CC797" s="69"/>
      <c r="CD797" s="69"/>
      <c r="CE797" s="69"/>
      <c r="CF797" s="69"/>
    </row>
    <row r="798">
      <c r="A798" s="69"/>
      <c r="B798" s="71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69"/>
      <c r="BE798" s="69"/>
      <c r="BF798" s="69"/>
      <c r="BG798" s="69"/>
      <c r="BH798" s="69"/>
      <c r="BI798" s="69"/>
      <c r="BJ798" s="69"/>
      <c r="BK798" s="69"/>
      <c r="BL798" s="69"/>
      <c r="BM798" s="69"/>
      <c r="BN798" s="69"/>
      <c r="BO798" s="69"/>
      <c r="BP798" s="69"/>
      <c r="BQ798" s="69"/>
      <c r="BR798" s="69"/>
      <c r="BS798" s="69"/>
      <c r="BT798" s="69"/>
      <c r="BU798" s="69"/>
      <c r="BV798" s="69"/>
      <c r="BW798" s="69"/>
      <c r="BX798" s="69"/>
      <c r="BY798" s="69"/>
      <c r="BZ798" s="69"/>
      <c r="CA798" s="69"/>
      <c r="CB798" s="69"/>
      <c r="CC798" s="69"/>
      <c r="CD798" s="69"/>
      <c r="CE798" s="69"/>
      <c r="CF798" s="69"/>
    </row>
    <row r="799">
      <c r="A799" s="69"/>
      <c r="B799" s="71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69"/>
      <c r="BE799" s="69"/>
      <c r="BF799" s="69"/>
      <c r="BG799" s="69"/>
      <c r="BH799" s="69"/>
      <c r="BI799" s="69"/>
      <c r="BJ799" s="69"/>
      <c r="BK799" s="69"/>
      <c r="BL799" s="69"/>
      <c r="BM799" s="69"/>
      <c r="BN799" s="69"/>
      <c r="BO799" s="69"/>
      <c r="BP799" s="69"/>
      <c r="BQ799" s="69"/>
      <c r="BR799" s="69"/>
      <c r="BS799" s="69"/>
      <c r="BT799" s="69"/>
      <c r="BU799" s="69"/>
      <c r="BV799" s="69"/>
      <c r="BW799" s="69"/>
      <c r="BX799" s="69"/>
      <c r="BY799" s="69"/>
      <c r="BZ799" s="69"/>
      <c r="CA799" s="69"/>
      <c r="CB799" s="69"/>
      <c r="CC799" s="69"/>
      <c r="CD799" s="69"/>
      <c r="CE799" s="69"/>
      <c r="CF799" s="69"/>
    </row>
    <row r="800">
      <c r="A800" s="69"/>
      <c r="B800" s="71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69"/>
      <c r="BE800" s="69"/>
      <c r="BF800" s="69"/>
      <c r="BG800" s="69"/>
      <c r="BH800" s="69"/>
      <c r="BI800" s="69"/>
      <c r="BJ800" s="69"/>
      <c r="BK800" s="69"/>
      <c r="BL800" s="69"/>
      <c r="BM800" s="69"/>
      <c r="BN800" s="69"/>
      <c r="BO800" s="69"/>
      <c r="BP800" s="69"/>
      <c r="BQ800" s="69"/>
      <c r="BR800" s="69"/>
      <c r="BS800" s="69"/>
      <c r="BT800" s="69"/>
      <c r="BU800" s="69"/>
      <c r="BV800" s="69"/>
      <c r="BW800" s="69"/>
      <c r="BX800" s="69"/>
      <c r="BY800" s="69"/>
      <c r="BZ800" s="69"/>
      <c r="CA800" s="69"/>
      <c r="CB800" s="69"/>
      <c r="CC800" s="69"/>
      <c r="CD800" s="69"/>
      <c r="CE800" s="69"/>
      <c r="CF800" s="69"/>
    </row>
    <row r="801">
      <c r="A801" s="69"/>
      <c r="B801" s="71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69"/>
      <c r="BE801" s="69"/>
      <c r="BF801" s="69"/>
      <c r="BG801" s="69"/>
      <c r="BH801" s="69"/>
      <c r="BI801" s="69"/>
      <c r="BJ801" s="69"/>
      <c r="BK801" s="69"/>
      <c r="BL801" s="69"/>
      <c r="BM801" s="69"/>
      <c r="BN801" s="69"/>
      <c r="BO801" s="69"/>
      <c r="BP801" s="69"/>
      <c r="BQ801" s="69"/>
      <c r="BR801" s="69"/>
      <c r="BS801" s="69"/>
      <c r="BT801" s="69"/>
      <c r="BU801" s="69"/>
      <c r="BV801" s="69"/>
      <c r="BW801" s="69"/>
      <c r="BX801" s="69"/>
      <c r="BY801" s="69"/>
      <c r="BZ801" s="69"/>
      <c r="CA801" s="69"/>
      <c r="CB801" s="69"/>
      <c r="CC801" s="69"/>
      <c r="CD801" s="69"/>
      <c r="CE801" s="69"/>
      <c r="CF801" s="69"/>
    </row>
    <row r="802">
      <c r="A802" s="69"/>
      <c r="B802" s="71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69"/>
      <c r="BE802" s="69"/>
      <c r="BF802" s="69"/>
      <c r="BG802" s="69"/>
      <c r="BH802" s="69"/>
      <c r="BI802" s="69"/>
      <c r="BJ802" s="69"/>
      <c r="BK802" s="69"/>
      <c r="BL802" s="69"/>
      <c r="BM802" s="69"/>
      <c r="BN802" s="69"/>
      <c r="BO802" s="69"/>
      <c r="BP802" s="69"/>
      <c r="BQ802" s="69"/>
      <c r="BR802" s="69"/>
      <c r="BS802" s="69"/>
      <c r="BT802" s="69"/>
      <c r="BU802" s="69"/>
      <c r="BV802" s="69"/>
      <c r="BW802" s="69"/>
      <c r="BX802" s="69"/>
      <c r="BY802" s="69"/>
      <c r="BZ802" s="69"/>
      <c r="CA802" s="69"/>
      <c r="CB802" s="69"/>
      <c r="CC802" s="69"/>
      <c r="CD802" s="69"/>
      <c r="CE802" s="69"/>
      <c r="CF802" s="69"/>
    </row>
    <row r="803">
      <c r="A803" s="69"/>
      <c r="B803" s="71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69"/>
      <c r="BE803" s="69"/>
      <c r="BF803" s="69"/>
      <c r="BG803" s="69"/>
      <c r="BH803" s="69"/>
      <c r="BI803" s="69"/>
      <c r="BJ803" s="69"/>
      <c r="BK803" s="69"/>
      <c r="BL803" s="69"/>
      <c r="BM803" s="69"/>
      <c r="BN803" s="69"/>
      <c r="BO803" s="69"/>
      <c r="BP803" s="69"/>
      <c r="BQ803" s="69"/>
      <c r="BR803" s="69"/>
      <c r="BS803" s="69"/>
      <c r="BT803" s="69"/>
      <c r="BU803" s="69"/>
      <c r="BV803" s="69"/>
      <c r="BW803" s="69"/>
      <c r="BX803" s="69"/>
      <c r="BY803" s="69"/>
      <c r="BZ803" s="69"/>
      <c r="CA803" s="69"/>
      <c r="CB803" s="69"/>
      <c r="CC803" s="69"/>
      <c r="CD803" s="69"/>
      <c r="CE803" s="69"/>
      <c r="CF803" s="69"/>
    </row>
    <row r="804">
      <c r="A804" s="69"/>
      <c r="B804" s="71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69"/>
      <c r="BE804" s="69"/>
      <c r="BF804" s="69"/>
      <c r="BG804" s="69"/>
      <c r="BH804" s="69"/>
      <c r="BI804" s="69"/>
      <c r="BJ804" s="69"/>
      <c r="BK804" s="69"/>
      <c r="BL804" s="69"/>
      <c r="BM804" s="69"/>
      <c r="BN804" s="69"/>
      <c r="BO804" s="69"/>
      <c r="BP804" s="69"/>
      <c r="BQ804" s="69"/>
      <c r="BR804" s="69"/>
      <c r="BS804" s="69"/>
      <c r="BT804" s="69"/>
      <c r="BU804" s="69"/>
      <c r="BV804" s="69"/>
      <c r="BW804" s="69"/>
      <c r="BX804" s="69"/>
      <c r="BY804" s="69"/>
      <c r="BZ804" s="69"/>
      <c r="CA804" s="69"/>
      <c r="CB804" s="69"/>
      <c r="CC804" s="69"/>
      <c r="CD804" s="69"/>
      <c r="CE804" s="69"/>
      <c r="CF804" s="69"/>
    </row>
    <row r="805">
      <c r="A805" s="69"/>
      <c r="B805" s="71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69"/>
      <c r="BE805" s="69"/>
      <c r="BF805" s="69"/>
      <c r="BG805" s="69"/>
      <c r="BH805" s="69"/>
      <c r="BI805" s="69"/>
      <c r="BJ805" s="69"/>
      <c r="BK805" s="69"/>
      <c r="BL805" s="69"/>
      <c r="BM805" s="69"/>
      <c r="BN805" s="69"/>
      <c r="BO805" s="69"/>
      <c r="BP805" s="69"/>
      <c r="BQ805" s="69"/>
      <c r="BR805" s="69"/>
      <c r="BS805" s="69"/>
      <c r="BT805" s="69"/>
      <c r="BU805" s="69"/>
      <c r="BV805" s="69"/>
      <c r="BW805" s="69"/>
      <c r="BX805" s="69"/>
      <c r="BY805" s="69"/>
      <c r="BZ805" s="69"/>
      <c r="CA805" s="69"/>
      <c r="CB805" s="69"/>
      <c r="CC805" s="69"/>
      <c r="CD805" s="69"/>
      <c r="CE805" s="69"/>
      <c r="CF805" s="69"/>
    </row>
    <row r="806">
      <c r="A806" s="69"/>
      <c r="B806" s="71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69"/>
      <c r="BE806" s="69"/>
      <c r="BF806" s="69"/>
      <c r="BG806" s="69"/>
      <c r="BH806" s="69"/>
      <c r="BI806" s="69"/>
      <c r="BJ806" s="69"/>
      <c r="BK806" s="69"/>
      <c r="BL806" s="69"/>
      <c r="BM806" s="69"/>
      <c r="BN806" s="69"/>
      <c r="BO806" s="69"/>
      <c r="BP806" s="69"/>
      <c r="BQ806" s="69"/>
      <c r="BR806" s="69"/>
      <c r="BS806" s="69"/>
      <c r="BT806" s="69"/>
      <c r="BU806" s="69"/>
      <c r="BV806" s="69"/>
      <c r="BW806" s="69"/>
      <c r="BX806" s="69"/>
      <c r="BY806" s="69"/>
      <c r="BZ806" s="69"/>
      <c r="CA806" s="69"/>
      <c r="CB806" s="69"/>
      <c r="CC806" s="69"/>
      <c r="CD806" s="69"/>
      <c r="CE806" s="69"/>
      <c r="CF806" s="69"/>
    </row>
    <row r="807">
      <c r="A807" s="69"/>
      <c r="B807" s="71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69"/>
      <c r="BE807" s="69"/>
      <c r="BF807" s="69"/>
      <c r="BG807" s="69"/>
      <c r="BH807" s="69"/>
      <c r="BI807" s="69"/>
      <c r="BJ807" s="69"/>
      <c r="BK807" s="69"/>
      <c r="BL807" s="69"/>
      <c r="BM807" s="69"/>
      <c r="BN807" s="69"/>
      <c r="BO807" s="69"/>
      <c r="BP807" s="69"/>
      <c r="BQ807" s="69"/>
      <c r="BR807" s="69"/>
      <c r="BS807" s="69"/>
      <c r="BT807" s="69"/>
      <c r="BU807" s="69"/>
      <c r="BV807" s="69"/>
      <c r="BW807" s="69"/>
      <c r="BX807" s="69"/>
      <c r="BY807" s="69"/>
      <c r="BZ807" s="69"/>
      <c r="CA807" s="69"/>
      <c r="CB807" s="69"/>
      <c r="CC807" s="69"/>
      <c r="CD807" s="69"/>
      <c r="CE807" s="69"/>
      <c r="CF807" s="69"/>
    </row>
    <row r="808">
      <c r="A808" s="69"/>
      <c r="B808" s="71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69"/>
      <c r="BE808" s="69"/>
      <c r="BF808" s="69"/>
      <c r="BG808" s="69"/>
      <c r="BH808" s="69"/>
      <c r="BI808" s="69"/>
      <c r="BJ808" s="69"/>
      <c r="BK808" s="69"/>
      <c r="BL808" s="69"/>
      <c r="BM808" s="69"/>
      <c r="BN808" s="69"/>
      <c r="BO808" s="69"/>
      <c r="BP808" s="69"/>
      <c r="BQ808" s="69"/>
      <c r="BR808" s="69"/>
      <c r="BS808" s="69"/>
      <c r="BT808" s="69"/>
      <c r="BU808" s="69"/>
      <c r="BV808" s="69"/>
      <c r="BW808" s="69"/>
      <c r="BX808" s="69"/>
      <c r="BY808" s="69"/>
      <c r="BZ808" s="69"/>
      <c r="CA808" s="69"/>
      <c r="CB808" s="69"/>
      <c r="CC808" s="69"/>
      <c r="CD808" s="69"/>
      <c r="CE808" s="69"/>
      <c r="CF808" s="69"/>
    </row>
    <row r="809">
      <c r="A809" s="69"/>
      <c r="B809" s="71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69"/>
      <c r="BE809" s="69"/>
      <c r="BF809" s="69"/>
      <c r="BG809" s="69"/>
      <c r="BH809" s="69"/>
      <c r="BI809" s="69"/>
      <c r="BJ809" s="69"/>
      <c r="BK809" s="69"/>
      <c r="BL809" s="69"/>
      <c r="BM809" s="69"/>
      <c r="BN809" s="69"/>
      <c r="BO809" s="69"/>
      <c r="BP809" s="69"/>
      <c r="BQ809" s="69"/>
      <c r="BR809" s="69"/>
      <c r="BS809" s="69"/>
      <c r="BT809" s="69"/>
      <c r="BU809" s="69"/>
      <c r="BV809" s="69"/>
      <c r="BW809" s="69"/>
      <c r="BX809" s="69"/>
      <c r="BY809" s="69"/>
      <c r="BZ809" s="69"/>
      <c r="CA809" s="69"/>
      <c r="CB809" s="69"/>
      <c r="CC809" s="69"/>
      <c r="CD809" s="69"/>
      <c r="CE809" s="69"/>
      <c r="CF809" s="69"/>
    </row>
    <row r="810">
      <c r="A810" s="69"/>
      <c r="B810" s="71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69"/>
      <c r="BE810" s="69"/>
      <c r="BF810" s="69"/>
      <c r="BG810" s="69"/>
      <c r="BH810" s="69"/>
      <c r="BI810" s="69"/>
      <c r="BJ810" s="69"/>
      <c r="BK810" s="69"/>
      <c r="BL810" s="69"/>
      <c r="BM810" s="69"/>
      <c r="BN810" s="69"/>
      <c r="BO810" s="69"/>
      <c r="BP810" s="69"/>
      <c r="BQ810" s="69"/>
      <c r="BR810" s="69"/>
      <c r="BS810" s="69"/>
      <c r="BT810" s="69"/>
      <c r="BU810" s="69"/>
      <c r="BV810" s="69"/>
      <c r="BW810" s="69"/>
      <c r="BX810" s="69"/>
      <c r="BY810" s="69"/>
      <c r="BZ810" s="69"/>
      <c r="CA810" s="69"/>
      <c r="CB810" s="69"/>
      <c r="CC810" s="69"/>
      <c r="CD810" s="69"/>
      <c r="CE810" s="69"/>
      <c r="CF810" s="69"/>
    </row>
    <row r="811">
      <c r="A811" s="69"/>
      <c r="B811" s="71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69"/>
      <c r="BE811" s="69"/>
      <c r="BF811" s="69"/>
      <c r="BG811" s="69"/>
      <c r="BH811" s="69"/>
      <c r="BI811" s="69"/>
      <c r="BJ811" s="69"/>
      <c r="BK811" s="69"/>
      <c r="BL811" s="69"/>
      <c r="BM811" s="69"/>
      <c r="BN811" s="69"/>
      <c r="BO811" s="69"/>
      <c r="BP811" s="69"/>
      <c r="BQ811" s="69"/>
      <c r="BR811" s="69"/>
      <c r="BS811" s="69"/>
      <c r="BT811" s="69"/>
      <c r="BU811" s="69"/>
      <c r="BV811" s="69"/>
      <c r="BW811" s="69"/>
      <c r="BX811" s="69"/>
      <c r="BY811" s="69"/>
      <c r="BZ811" s="69"/>
      <c r="CA811" s="69"/>
      <c r="CB811" s="69"/>
      <c r="CC811" s="69"/>
      <c r="CD811" s="69"/>
      <c r="CE811" s="69"/>
      <c r="CF811" s="69"/>
    </row>
    <row r="812">
      <c r="A812" s="69"/>
      <c r="B812" s="71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69"/>
      <c r="BE812" s="69"/>
      <c r="BF812" s="69"/>
      <c r="BG812" s="69"/>
      <c r="BH812" s="69"/>
      <c r="BI812" s="69"/>
      <c r="BJ812" s="69"/>
      <c r="BK812" s="69"/>
      <c r="BL812" s="69"/>
      <c r="BM812" s="69"/>
      <c r="BN812" s="69"/>
      <c r="BO812" s="69"/>
      <c r="BP812" s="69"/>
      <c r="BQ812" s="69"/>
      <c r="BR812" s="69"/>
      <c r="BS812" s="69"/>
      <c r="BT812" s="69"/>
      <c r="BU812" s="69"/>
      <c r="BV812" s="69"/>
      <c r="BW812" s="69"/>
      <c r="BX812" s="69"/>
      <c r="BY812" s="69"/>
      <c r="BZ812" s="69"/>
      <c r="CA812" s="69"/>
      <c r="CB812" s="69"/>
      <c r="CC812" s="69"/>
      <c r="CD812" s="69"/>
      <c r="CE812" s="69"/>
      <c r="CF812" s="69"/>
    </row>
    <row r="813">
      <c r="A813" s="69"/>
      <c r="B813" s="71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69"/>
      <c r="BE813" s="69"/>
      <c r="BF813" s="69"/>
      <c r="BG813" s="69"/>
      <c r="BH813" s="69"/>
      <c r="BI813" s="69"/>
      <c r="BJ813" s="69"/>
      <c r="BK813" s="69"/>
      <c r="BL813" s="69"/>
      <c r="BM813" s="69"/>
      <c r="BN813" s="69"/>
      <c r="BO813" s="69"/>
      <c r="BP813" s="69"/>
      <c r="BQ813" s="69"/>
      <c r="BR813" s="69"/>
      <c r="BS813" s="69"/>
      <c r="BT813" s="69"/>
      <c r="BU813" s="69"/>
      <c r="BV813" s="69"/>
      <c r="BW813" s="69"/>
      <c r="BX813" s="69"/>
      <c r="BY813" s="69"/>
      <c r="BZ813" s="69"/>
      <c r="CA813" s="69"/>
      <c r="CB813" s="69"/>
      <c r="CC813" s="69"/>
      <c r="CD813" s="69"/>
      <c r="CE813" s="69"/>
      <c r="CF813" s="69"/>
    </row>
    <row r="814">
      <c r="A814" s="69"/>
      <c r="B814" s="71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69"/>
      <c r="BE814" s="69"/>
      <c r="BF814" s="69"/>
      <c r="BG814" s="69"/>
      <c r="BH814" s="69"/>
      <c r="BI814" s="69"/>
      <c r="BJ814" s="69"/>
      <c r="BK814" s="69"/>
      <c r="BL814" s="69"/>
      <c r="BM814" s="69"/>
      <c r="BN814" s="69"/>
      <c r="BO814" s="69"/>
      <c r="BP814" s="69"/>
      <c r="BQ814" s="69"/>
      <c r="BR814" s="69"/>
      <c r="BS814" s="69"/>
      <c r="BT814" s="69"/>
      <c r="BU814" s="69"/>
      <c r="BV814" s="69"/>
      <c r="BW814" s="69"/>
      <c r="BX814" s="69"/>
      <c r="BY814" s="69"/>
      <c r="BZ814" s="69"/>
      <c r="CA814" s="69"/>
      <c r="CB814" s="69"/>
      <c r="CC814" s="69"/>
      <c r="CD814" s="69"/>
      <c r="CE814" s="69"/>
      <c r="CF814" s="69"/>
    </row>
    <row r="815">
      <c r="A815" s="69"/>
      <c r="B815" s="71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69"/>
      <c r="BE815" s="69"/>
      <c r="BF815" s="69"/>
      <c r="BG815" s="69"/>
      <c r="BH815" s="69"/>
      <c r="BI815" s="69"/>
      <c r="BJ815" s="69"/>
      <c r="BK815" s="69"/>
      <c r="BL815" s="69"/>
      <c r="BM815" s="69"/>
      <c r="BN815" s="69"/>
      <c r="BO815" s="69"/>
      <c r="BP815" s="69"/>
      <c r="BQ815" s="69"/>
      <c r="BR815" s="69"/>
      <c r="BS815" s="69"/>
      <c r="BT815" s="69"/>
      <c r="BU815" s="69"/>
      <c r="BV815" s="69"/>
      <c r="BW815" s="69"/>
      <c r="BX815" s="69"/>
      <c r="BY815" s="69"/>
      <c r="BZ815" s="69"/>
      <c r="CA815" s="69"/>
      <c r="CB815" s="69"/>
      <c r="CC815" s="69"/>
      <c r="CD815" s="69"/>
      <c r="CE815" s="69"/>
      <c r="CF815" s="69"/>
    </row>
    <row r="816">
      <c r="A816" s="69"/>
      <c r="B816" s="71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69"/>
      <c r="BE816" s="69"/>
      <c r="BF816" s="69"/>
      <c r="BG816" s="69"/>
      <c r="BH816" s="69"/>
      <c r="BI816" s="69"/>
      <c r="BJ816" s="69"/>
      <c r="BK816" s="69"/>
      <c r="BL816" s="69"/>
      <c r="BM816" s="69"/>
      <c r="BN816" s="69"/>
      <c r="BO816" s="69"/>
      <c r="BP816" s="69"/>
      <c r="BQ816" s="69"/>
      <c r="BR816" s="69"/>
      <c r="BS816" s="69"/>
      <c r="BT816" s="69"/>
      <c r="BU816" s="69"/>
      <c r="BV816" s="69"/>
      <c r="BW816" s="69"/>
      <c r="BX816" s="69"/>
      <c r="BY816" s="69"/>
      <c r="BZ816" s="69"/>
      <c r="CA816" s="69"/>
      <c r="CB816" s="69"/>
      <c r="CC816" s="69"/>
      <c r="CD816" s="69"/>
      <c r="CE816" s="69"/>
      <c r="CF816" s="69"/>
    </row>
    <row r="817">
      <c r="A817" s="69"/>
      <c r="B817" s="71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69"/>
      <c r="BE817" s="69"/>
      <c r="BF817" s="69"/>
      <c r="BG817" s="69"/>
      <c r="BH817" s="69"/>
      <c r="BI817" s="69"/>
      <c r="BJ817" s="69"/>
      <c r="BK817" s="69"/>
      <c r="BL817" s="69"/>
      <c r="BM817" s="69"/>
      <c r="BN817" s="69"/>
      <c r="BO817" s="69"/>
      <c r="BP817" s="69"/>
      <c r="BQ817" s="69"/>
      <c r="BR817" s="69"/>
      <c r="BS817" s="69"/>
      <c r="BT817" s="69"/>
      <c r="BU817" s="69"/>
      <c r="BV817" s="69"/>
      <c r="BW817" s="69"/>
      <c r="BX817" s="69"/>
      <c r="BY817" s="69"/>
      <c r="BZ817" s="69"/>
      <c r="CA817" s="69"/>
      <c r="CB817" s="69"/>
      <c r="CC817" s="69"/>
      <c r="CD817" s="69"/>
      <c r="CE817" s="69"/>
      <c r="CF817" s="69"/>
    </row>
    <row r="818">
      <c r="A818" s="69"/>
      <c r="B818" s="71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69"/>
      <c r="BE818" s="69"/>
      <c r="BF818" s="69"/>
      <c r="BG818" s="69"/>
      <c r="BH818" s="69"/>
      <c r="BI818" s="69"/>
      <c r="BJ818" s="69"/>
      <c r="BK818" s="69"/>
      <c r="BL818" s="69"/>
      <c r="BM818" s="69"/>
      <c r="BN818" s="69"/>
      <c r="BO818" s="69"/>
      <c r="BP818" s="69"/>
      <c r="BQ818" s="69"/>
      <c r="BR818" s="69"/>
      <c r="BS818" s="69"/>
      <c r="BT818" s="69"/>
      <c r="BU818" s="69"/>
      <c r="BV818" s="69"/>
      <c r="BW818" s="69"/>
      <c r="BX818" s="69"/>
      <c r="BY818" s="69"/>
      <c r="BZ818" s="69"/>
      <c r="CA818" s="69"/>
      <c r="CB818" s="69"/>
      <c r="CC818" s="69"/>
      <c r="CD818" s="69"/>
      <c r="CE818" s="69"/>
      <c r="CF818" s="69"/>
    </row>
    <row r="819">
      <c r="A819" s="69"/>
      <c r="B819" s="71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69"/>
      <c r="BE819" s="69"/>
      <c r="BF819" s="69"/>
      <c r="BG819" s="69"/>
      <c r="BH819" s="69"/>
      <c r="BI819" s="69"/>
      <c r="BJ819" s="69"/>
      <c r="BK819" s="69"/>
      <c r="BL819" s="69"/>
      <c r="BM819" s="69"/>
      <c r="BN819" s="69"/>
      <c r="BO819" s="69"/>
      <c r="BP819" s="69"/>
      <c r="BQ819" s="69"/>
      <c r="BR819" s="69"/>
      <c r="BS819" s="69"/>
      <c r="BT819" s="69"/>
      <c r="BU819" s="69"/>
      <c r="BV819" s="69"/>
      <c r="BW819" s="69"/>
      <c r="BX819" s="69"/>
      <c r="BY819" s="69"/>
      <c r="BZ819" s="69"/>
      <c r="CA819" s="69"/>
      <c r="CB819" s="69"/>
      <c r="CC819" s="69"/>
      <c r="CD819" s="69"/>
      <c r="CE819" s="69"/>
      <c r="CF819" s="69"/>
    </row>
    <row r="820">
      <c r="A820" s="69"/>
      <c r="B820" s="71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69"/>
      <c r="BE820" s="69"/>
      <c r="BF820" s="69"/>
      <c r="BG820" s="69"/>
      <c r="BH820" s="69"/>
      <c r="BI820" s="69"/>
      <c r="BJ820" s="69"/>
      <c r="BK820" s="69"/>
      <c r="BL820" s="69"/>
      <c r="BM820" s="69"/>
      <c r="BN820" s="69"/>
      <c r="BO820" s="69"/>
      <c r="BP820" s="69"/>
      <c r="BQ820" s="69"/>
      <c r="BR820" s="69"/>
      <c r="BS820" s="69"/>
      <c r="BT820" s="69"/>
      <c r="BU820" s="69"/>
      <c r="BV820" s="69"/>
      <c r="BW820" s="69"/>
      <c r="BX820" s="69"/>
      <c r="BY820" s="69"/>
      <c r="BZ820" s="69"/>
      <c r="CA820" s="69"/>
      <c r="CB820" s="69"/>
      <c r="CC820" s="69"/>
      <c r="CD820" s="69"/>
      <c r="CE820" s="69"/>
      <c r="CF820" s="69"/>
    </row>
    <row r="821">
      <c r="A821" s="69"/>
      <c r="B821" s="71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69"/>
      <c r="BE821" s="69"/>
      <c r="BF821" s="69"/>
      <c r="BG821" s="69"/>
      <c r="BH821" s="69"/>
      <c r="BI821" s="69"/>
      <c r="BJ821" s="69"/>
      <c r="BK821" s="69"/>
      <c r="BL821" s="69"/>
      <c r="BM821" s="69"/>
      <c r="BN821" s="69"/>
      <c r="BO821" s="69"/>
      <c r="BP821" s="69"/>
      <c r="BQ821" s="69"/>
      <c r="BR821" s="69"/>
      <c r="BS821" s="69"/>
      <c r="BT821" s="69"/>
      <c r="BU821" s="69"/>
      <c r="BV821" s="69"/>
      <c r="BW821" s="69"/>
      <c r="BX821" s="69"/>
      <c r="BY821" s="69"/>
      <c r="BZ821" s="69"/>
      <c r="CA821" s="69"/>
      <c r="CB821" s="69"/>
      <c r="CC821" s="69"/>
      <c r="CD821" s="69"/>
      <c r="CE821" s="69"/>
      <c r="CF821" s="69"/>
    </row>
    <row r="822">
      <c r="A822" s="69"/>
      <c r="B822" s="71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69"/>
      <c r="BE822" s="69"/>
      <c r="BF822" s="69"/>
      <c r="BG822" s="69"/>
      <c r="BH822" s="69"/>
      <c r="BI822" s="69"/>
      <c r="BJ822" s="69"/>
      <c r="BK822" s="69"/>
      <c r="BL822" s="69"/>
      <c r="BM822" s="69"/>
      <c r="BN822" s="69"/>
      <c r="BO822" s="69"/>
      <c r="BP822" s="69"/>
      <c r="BQ822" s="69"/>
      <c r="BR822" s="69"/>
      <c r="BS822" s="69"/>
      <c r="BT822" s="69"/>
      <c r="BU822" s="69"/>
      <c r="BV822" s="69"/>
      <c r="BW822" s="69"/>
      <c r="BX822" s="69"/>
      <c r="BY822" s="69"/>
      <c r="BZ822" s="69"/>
      <c r="CA822" s="69"/>
      <c r="CB822" s="69"/>
      <c r="CC822" s="69"/>
      <c r="CD822" s="69"/>
      <c r="CE822" s="69"/>
      <c r="CF822" s="69"/>
    </row>
    <row r="823">
      <c r="A823" s="69"/>
      <c r="B823" s="71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69"/>
      <c r="BE823" s="69"/>
      <c r="BF823" s="69"/>
      <c r="BG823" s="69"/>
      <c r="BH823" s="69"/>
      <c r="BI823" s="69"/>
      <c r="BJ823" s="69"/>
      <c r="BK823" s="69"/>
      <c r="BL823" s="69"/>
      <c r="BM823" s="69"/>
      <c r="BN823" s="69"/>
      <c r="BO823" s="69"/>
      <c r="BP823" s="69"/>
      <c r="BQ823" s="69"/>
      <c r="BR823" s="69"/>
      <c r="BS823" s="69"/>
      <c r="BT823" s="69"/>
      <c r="BU823" s="69"/>
      <c r="BV823" s="69"/>
      <c r="BW823" s="69"/>
      <c r="BX823" s="69"/>
      <c r="BY823" s="69"/>
      <c r="BZ823" s="69"/>
      <c r="CA823" s="69"/>
      <c r="CB823" s="69"/>
      <c r="CC823" s="69"/>
      <c r="CD823" s="69"/>
      <c r="CE823" s="69"/>
      <c r="CF823" s="69"/>
    </row>
    <row r="824">
      <c r="A824" s="69"/>
      <c r="B824" s="71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69"/>
      <c r="BE824" s="69"/>
      <c r="BF824" s="69"/>
      <c r="BG824" s="69"/>
      <c r="BH824" s="69"/>
      <c r="BI824" s="69"/>
      <c r="BJ824" s="69"/>
      <c r="BK824" s="69"/>
      <c r="BL824" s="69"/>
      <c r="BM824" s="69"/>
      <c r="BN824" s="69"/>
      <c r="BO824" s="69"/>
      <c r="BP824" s="69"/>
      <c r="BQ824" s="69"/>
      <c r="BR824" s="69"/>
      <c r="BS824" s="69"/>
      <c r="BT824" s="69"/>
      <c r="BU824" s="69"/>
      <c r="BV824" s="69"/>
      <c r="BW824" s="69"/>
      <c r="BX824" s="69"/>
      <c r="BY824" s="69"/>
      <c r="BZ824" s="69"/>
      <c r="CA824" s="69"/>
      <c r="CB824" s="69"/>
      <c r="CC824" s="69"/>
      <c r="CD824" s="69"/>
      <c r="CE824" s="69"/>
      <c r="CF824" s="69"/>
    </row>
    <row r="825">
      <c r="A825" s="69"/>
      <c r="B825" s="71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69"/>
      <c r="BE825" s="69"/>
      <c r="BF825" s="69"/>
      <c r="BG825" s="69"/>
      <c r="BH825" s="69"/>
      <c r="BI825" s="69"/>
      <c r="BJ825" s="69"/>
      <c r="BK825" s="69"/>
      <c r="BL825" s="69"/>
      <c r="BM825" s="69"/>
      <c r="BN825" s="69"/>
      <c r="BO825" s="69"/>
      <c r="BP825" s="69"/>
      <c r="BQ825" s="69"/>
      <c r="BR825" s="69"/>
      <c r="BS825" s="69"/>
      <c r="BT825" s="69"/>
      <c r="BU825" s="69"/>
      <c r="BV825" s="69"/>
      <c r="BW825" s="69"/>
      <c r="BX825" s="69"/>
      <c r="BY825" s="69"/>
      <c r="BZ825" s="69"/>
      <c r="CA825" s="69"/>
      <c r="CB825" s="69"/>
      <c r="CC825" s="69"/>
      <c r="CD825" s="69"/>
      <c r="CE825" s="69"/>
      <c r="CF825" s="69"/>
    </row>
    <row r="826">
      <c r="A826" s="69"/>
      <c r="B826" s="71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69"/>
      <c r="BE826" s="69"/>
      <c r="BF826" s="69"/>
      <c r="BG826" s="69"/>
      <c r="BH826" s="69"/>
      <c r="BI826" s="69"/>
      <c r="BJ826" s="69"/>
      <c r="BK826" s="69"/>
      <c r="BL826" s="69"/>
      <c r="BM826" s="69"/>
      <c r="BN826" s="69"/>
      <c r="BO826" s="69"/>
      <c r="BP826" s="69"/>
      <c r="BQ826" s="69"/>
      <c r="BR826" s="69"/>
      <c r="BS826" s="69"/>
      <c r="BT826" s="69"/>
      <c r="BU826" s="69"/>
      <c r="BV826" s="69"/>
      <c r="BW826" s="69"/>
      <c r="BX826" s="69"/>
      <c r="BY826" s="69"/>
      <c r="BZ826" s="69"/>
      <c r="CA826" s="69"/>
      <c r="CB826" s="69"/>
      <c r="CC826" s="69"/>
      <c r="CD826" s="69"/>
      <c r="CE826" s="69"/>
      <c r="CF826" s="69"/>
    </row>
    <row r="827">
      <c r="A827" s="69"/>
      <c r="B827" s="71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69"/>
      <c r="BE827" s="69"/>
      <c r="BF827" s="69"/>
      <c r="BG827" s="69"/>
      <c r="BH827" s="69"/>
      <c r="BI827" s="69"/>
      <c r="BJ827" s="69"/>
      <c r="BK827" s="69"/>
      <c r="BL827" s="69"/>
      <c r="BM827" s="69"/>
      <c r="BN827" s="69"/>
      <c r="BO827" s="69"/>
      <c r="BP827" s="69"/>
      <c r="BQ827" s="69"/>
      <c r="BR827" s="69"/>
      <c r="BS827" s="69"/>
      <c r="BT827" s="69"/>
      <c r="BU827" s="69"/>
      <c r="BV827" s="69"/>
      <c r="BW827" s="69"/>
      <c r="BX827" s="69"/>
      <c r="BY827" s="69"/>
      <c r="BZ827" s="69"/>
      <c r="CA827" s="69"/>
      <c r="CB827" s="69"/>
      <c r="CC827" s="69"/>
      <c r="CD827" s="69"/>
      <c r="CE827" s="69"/>
      <c r="CF827" s="69"/>
    </row>
    <row r="828">
      <c r="A828" s="69"/>
      <c r="B828" s="71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69"/>
      <c r="BE828" s="69"/>
      <c r="BF828" s="69"/>
      <c r="BG828" s="69"/>
      <c r="BH828" s="69"/>
      <c r="BI828" s="69"/>
      <c r="BJ828" s="69"/>
      <c r="BK828" s="69"/>
      <c r="BL828" s="69"/>
      <c r="BM828" s="69"/>
      <c r="BN828" s="69"/>
      <c r="BO828" s="69"/>
      <c r="BP828" s="69"/>
      <c r="BQ828" s="69"/>
      <c r="BR828" s="69"/>
      <c r="BS828" s="69"/>
      <c r="BT828" s="69"/>
      <c r="BU828" s="69"/>
      <c r="BV828" s="69"/>
      <c r="BW828" s="69"/>
      <c r="BX828" s="69"/>
      <c r="BY828" s="69"/>
      <c r="BZ828" s="69"/>
      <c r="CA828" s="69"/>
      <c r="CB828" s="69"/>
      <c r="CC828" s="69"/>
      <c r="CD828" s="69"/>
      <c r="CE828" s="69"/>
      <c r="CF828" s="69"/>
    </row>
    <row r="829">
      <c r="A829" s="69"/>
      <c r="B829" s="71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69"/>
      <c r="BE829" s="69"/>
      <c r="BF829" s="69"/>
      <c r="BG829" s="69"/>
      <c r="BH829" s="69"/>
      <c r="BI829" s="69"/>
      <c r="BJ829" s="69"/>
      <c r="BK829" s="69"/>
      <c r="BL829" s="69"/>
      <c r="BM829" s="69"/>
      <c r="BN829" s="69"/>
      <c r="BO829" s="69"/>
      <c r="BP829" s="69"/>
      <c r="BQ829" s="69"/>
      <c r="BR829" s="69"/>
      <c r="BS829" s="69"/>
      <c r="BT829" s="69"/>
      <c r="BU829" s="69"/>
      <c r="BV829" s="69"/>
      <c r="BW829" s="69"/>
      <c r="BX829" s="69"/>
      <c r="BY829" s="69"/>
      <c r="BZ829" s="69"/>
      <c r="CA829" s="69"/>
      <c r="CB829" s="69"/>
      <c r="CC829" s="69"/>
      <c r="CD829" s="69"/>
      <c r="CE829" s="69"/>
      <c r="CF829" s="69"/>
    </row>
    <row r="830">
      <c r="A830" s="69"/>
      <c r="B830" s="71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69"/>
      <c r="BE830" s="69"/>
      <c r="BF830" s="69"/>
      <c r="BG830" s="69"/>
      <c r="BH830" s="69"/>
      <c r="BI830" s="69"/>
      <c r="BJ830" s="69"/>
      <c r="BK830" s="69"/>
      <c r="BL830" s="69"/>
      <c r="BM830" s="69"/>
      <c r="BN830" s="69"/>
      <c r="BO830" s="69"/>
      <c r="BP830" s="69"/>
      <c r="BQ830" s="69"/>
      <c r="BR830" s="69"/>
      <c r="BS830" s="69"/>
      <c r="BT830" s="69"/>
      <c r="BU830" s="69"/>
      <c r="BV830" s="69"/>
      <c r="BW830" s="69"/>
      <c r="BX830" s="69"/>
      <c r="BY830" s="69"/>
      <c r="BZ830" s="69"/>
      <c r="CA830" s="69"/>
      <c r="CB830" s="69"/>
      <c r="CC830" s="69"/>
      <c r="CD830" s="69"/>
      <c r="CE830" s="69"/>
      <c r="CF830" s="69"/>
    </row>
    <row r="831">
      <c r="A831" s="69"/>
      <c r="B831" s="71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69"/>
      <c r="BE831" s="69"/>
      <c r="BF831" s="69"/>
      <c r="BG831" s="69"/>
      <c r="BH831" s="69"/>
      <c r="BI831" s="69"/>
      <c r="BJ831" s="69"/>
      <c r="BK831" s="69"/>
      <c r="BL831" s="69"/>
      <c r="BM831" s="69"/>
      <c r="BN831" s="69"/>
      <c r="BO831" s="69"/>
      <c r="BP831" s="69"/>
      <c r="BQ831" s="69"/>
      <c r="BR831" s="69"/>
      <c r="BS831" s="69"/>
      <c r="BT831" s="69"/>
      <c r="BU831" s="69"/>
      <c r="BV831" s="69"/>
      <c r="BW831" s="69"/>
      <c r="BX831" s="69"/>
      <c r="BY831" s="69"/>
      <c r="BZ831" s="69"/>
      <c r="CA831" s="69"/>
      <c r="CB831" s="69"/>
      <c r="CC831" s="69"/>
      <c r="CD831" s="69"/>
      <c r="CE831" s="69"/>
      <c r="CF831" s="69"/>
    </row>
    <row r="832">
      <c r="A832" s="69"/>
      <c r="B832" s="71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69"/>
      <c r="BE832" s="69"/>
      <c r="BF832" s="69"/>
      <c r="BG832" s="69"/>
      <c r="BH832" s="69"/>
      <c r="BI832" s="69"/>
      <c r="BJ832" s="69"/>
      <c r="BK832" s="69"/>
      <c r="BL832" s="69"/>
      <c r="BM832" s="69"/>
      <c r="BN832" s="69"/>
      <c r="BO832" s="69"/>
      <c r="BP832" s="69"/>
      <c r="BQ832" s="69"/>
      <c r="BR832" s="69"/>
      <c r="BS832" s="69"/>
      <c r="BT832" s="69"/>
      <c r="BU832" s="69"/>
      <c r="BV832" s="69"/>
      <c r="BW832" s="69"/>
      <c r="BX832" s="69"/>
      <c r="BY832" s="69"/>
      <c r="BZ832" s="69"/>
      <c r="CA832" s="69"/>
      <c r="CB832" s="69"/>
      <c r="CC832" s="69"/>
      <c r="CD832" s="69"/>
      <c r="CE832" s="69"/>
      <c r="CF832" s="69"/>
    </row>
    <row r="833">
      <c r="A833" s="69"/>
      <c r="B833" s="71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69"/>
      <c r="BE833" s="69"/>
      <c r="BF833" s="69"/>
      <c r="BG833" s="69"/>
      <c r="BH833" s="69"/>
      <c r="BI833" s="69"/>
      <c r="BJ833" s="69"/>
      <c r="BK833" s="69"/>
      <c r="BL833" s="69"/>
      <c r="BM833" s="69"/>
      <c r="BN833" s="69"/>
      <c r="BO833" s="69"/>
      <c r="BP833" s="69"/>
      <c r="BQ833" s="69"/>
      <c r="BR833" s="69"/>
      <c r="BS833" s="69"/>
      <c r="BT833" s="69"/>
      <c r="BU833" s="69"/>
      <c r="BV833" s="69"/>
      <c r="BW833" s="69"/>
      <c r="BX833" s="69"/>
      <c r="BY833" s="69"/>
      <c r="BZ833" s="69"/>
      <c r="CA833" s="69"/>
      <c r="CB833" s="69"/>
      <c r="CC833" s="69"/>
      <c r="CD833" s="69"/>
      <c r="CE833" s="69"/>
      <c r="CF833" s="69"/>
    </row>
    <row r="834">
      <c r="A834" s="69"/>
      <c r="B834" s="71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69"/>
      <c r="BE834" s="69"/>
      <c r="BF834" s="69"/>
      <c r="BG834" s="69"/>
      <c r="BH834" s="69"/>
      <c r="BI834" s="69"/>
      <c r="BJ834" s="69"/>
      <c r="BK834" s="69"/>
      <c r="BL834" s="69"/>
      <c r="BM834" s="69"/>
      <c r="BN834" s="69"/>
      <c r="BO834" s="69"/>
      <c r="BP834" s="69"/>
      <c r="BQ834" s="69"/>
      <c r="BR834" s="69"/>
      <c r="BS834" s="69"/>
      <c r="BT834" s="69"/>
      <c r="BU834" s="69"/>
      <c r="BV834" s="69"/>
      <c r="BW834" s="69"/>
      <c r="BX834" s="69"/>
      <c r="BY834" s="69"/>
      <c r="BZ834" s="69"/>
      <c r="CA834" s="69"/>
      <c r="CB834" s="69"/>
      <c r="CC834" s="69"/>
      <c r="CD834" s="69"/>
      <c r="CE834" s="69"/>
      <c r="CF834" s="69"/>
    </row>
    <row r="835">
      <c r="A835" s="69"/>
      <c r="B835" s="71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69"/>
      <c r="BE835" s="69"/>
      <c r="BF835" s="69"/>
      <c r="BG835" s="69"/>
      <c r="BH835" s="69"/>
      <c r="BI835" s="69"/>
      <c r="BJ835" s="69"/>
      <c r="BK835" s="69"/>
      <c r="BL835" s="69"/>
      <c r="BM835" s="69"/>
      <c r="BN835" s="69"/>
      <c r="BO835" s="69"/>
      <c r="BP835" s="69"/>
      <c r="BQ835" s="69"/>
      <c r="BR835" s="69"/>
      <c r="BS835" s="69"/>
      <c r="BT835" s="69"/>
      <c r="BU835" s="69"/>
      <c r="BV835" s="69"/>
      <c r="BW835" s="69"/>
      <c r="BX835" s="69"/>
      <c r="BY835" s="69"/>
      <c r="BZ835" s="69"/>
      <c r="CA835" s="69"/>
      <c r="CB835" s="69"/>
      <c r="CC835" s="69"/>
      <c r="CD835" s="69"/>
      <c r="CE835" s="69"/>
      <c r="CF835" s="69"/>
    </row>
    <row r="836">
      <c r="A836" s="69"/>
      <c r="B836" s="71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69"/>
      <c r="BE836" s="69"/>
      <c r="BF836" s="69"/>
      <c r="BG836" s="69"/>
      <c r="BH836" s="69"/>
      <c r="BI836" s="69"/>
      <c r="BJ836" s="69"/>
      <c r="BK836" s="69"/>
      <c r="BL836" s="69"/>
      <c r="BM836" s="69"/>
      <c r="BN836" s="69"/>
      <c r="BO836" s="69"/>
      <c r="BP836" s="69"/>
      <c r="BQ836" s="69"/>
      <c r="BR836" s="69"/>
      <c r="BS836" s="69"/>
      <c r="BT836" s="69"/>
      <c r="BU836" s="69"/>
      <c r="BV836" s="69"/>
      <c r="BW836" s="69"/>
      <c r="BX836" s="69"/>
      <c r="BY836" s="69"/>
      <c r="BZ836" s="69"/>
      <c r="CA836" s="69"/>
      <c r="CB836" s="69"/>
      <c r="CC836" s="69"/>
      <c r="CD836" s="69"/>
      <c r="CE836" s="69"/>
      <c r="CF836" s="69"/>
    </row>
    <row r="837">
      <c r="A837" s="69"/>
      <c r="B837" s="71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69"/>
      <c r="BE837" s="69"/>
      <c r="BF837" s="69"/>
      <c r="BG837" s="69"/>
      <c r="BH837" s="69"/>
      <c r="BI837" s="69"/>
      <c r="BJ837" s="69"/>
      <c r="BK837" s="69"/>
      <c r="BL837" s="69"/>
      <c r="BM837" s="69"/>
      <c r="BN837" s="69"/>
      <c r="BO837" s="69"/>
      <c r="BP837" s="69"/>
      <c r="BQ837" s="69"/>
      <c r="BR837" s="69"/>
      <c r="BS837" s="69"/>
      <c r="BT837" s="69"/>
      <c r="BU837" s="69"/>
      <c r="BV837" s="69"/>
      <c r="BW837" s="69"/>
      <c r="BX837" s="69"/>
      <c r="BY837" s="69"/>
      <c r="BZ837" s="69"/>
      <c r="CA837" s="69"/>
      <c r="CB837" s="69"/>
      <c r="CC837" s="69"/>
      <c r="CD837" s="69"/>
      <c r="CE837" s="69"/>
      <c r="CF837" s="69"/>
    </row>
    <row r="838">
      <c r="A838" s="69"/>
      <c r="B838" s="71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69"/>
      <c r="BE838" s="69"/>
      <c r="BF838" s="69"/>
      <c r="BG838" s="69"/>
      <c r="BH838" s="69"/>
      <c r="BI838" s="69"/>
      <c r="BJ838" s="69"/>
      <c r="BK838" s="69"/>
      <c r="BL838" s="69"/>
      <c r="BM838" s="69"/>
      <c r="BN838" s="69"/>
      <c r="BO838" s="69"/>
      <c r="BP838" s="69"/>
      <c r="BQ838" s="69"/>
      <c r="BR838" s="69"/>
      <c r="BS838" s="69"/>
      <c r="BT838" s="69"/>
      <c r="BU838" s="69"/>
      <c r="BV838" s="69"/>
      <c r="BW838" s="69"/>
      <c r="BX838" s="69"/>
      <c r="BY838" s="69"/>
      <c r="BZ838" s="69"/>
      <c r="CA838" s="69"/>
      <c r="CB838" s="69"/>
      <c r="CC838" s="69"/>
      <c r="CD838" s="69"/>
      <c r="CE838" s="69"/>
      <c r="CF838" s="69"/>
    </row>
    <row r="839">
      <c r="A839" s="69"/>
      <c r="B839" s="71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69"/>
      <c r="BE839" s="69"/>
      <c r="BF839" s="69"/>
      <c r="BG839" s="69"/>
      <c r="BH839" s="69"/>
      <c r="BI839" s="69"/>
      <c r="BJ839" s="69"/>
      <c r="BK839" s="69"/>
      <c r="BL839" s="69"/>
      <c r="BM839" s="69"/>
      <c r="BN839" s="69"/>
      <c r="BO839" s="69"/>
      <c r="BP839" s="69"/>
      <c r="BQ839" s="69"/>
      <c r="BR839" s="69"/>
      <c r="BS839" s="69"/>
      <c r="BT839" s="69"/>
      <c r="BU839" s="69"/>
      <c r="BV839" s="69"/>
      <c r="BW839" s="69"/>
      <c r="BX839" s="69"/>
      <c r="BY839" s="69"/>
      <c r="BZ839" s="69"/>
      <c r="CA839" s="69"/>
      <c r="CB839" s="69"/>
      <c r="CC839" s="69"/>
      <c r="CD839" s="69"/>
      <c r="CE839" s="69"/>
      <c r="CF839" s="69"/>
    </row>
    <row r="840">
      <c r="A840" s="69"/>
      <c r="B840" s="71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69"/>
      <c r="BE840" s="69"/>
      <c r="BF840" s="69"/>
      <c r="BG840" s="69"/>
      <c r="BH840" s="69"/>
      <c r="BI840" s="69"/>
      <c r="BJ840" s="69"/>
      <c r="BK840" s="69"/>
      <c r="BL840" s="69"/>
      <c r="BM840" s="69"/>
      <c r="BN840" s="69"/>
      <c r="BO840" s="69"/>
      <c r="BP840" s="69"/>
      <c r="BQ840" s="69"/>
      <c r="BR840" s="69"/>
      <c r="BS840" s="69"/>
      <c r="BT840" s="69"/>
      <c r="BU840" s="69"/>
      <c r="BV840" s="69"/>
      <c r="BW840" s="69"/>
      <c r="BX840" s="69"/>
      <c r="BY840" s="69"/>
      <c r="BZ840" s="69"/>
      <c r="CA840" s="69"/>
      <c r="CB840" s="69"/>
      <c r="CC840" s="69"/>
      <c r="CD840" s="69"/>
      <c r="CE840" s="69"/>
      <c r="CF840" s="69"/>
    </row>
    <row r="841">
      <c r="A841" s="69"/>
      <c r="B841" s="71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69"/>
      <c r="BE841" s="69"/>
      <c r="BF841" s="69"/>
      <c r="BG841" s="69"/>
      <c r="BH841" s="69"/>
      <c r="BI841" s="69"/>
      <c r="BJ841" s="69"/>
      <c r="BK841" s="69"/>
      <c r="BL841" s="69"/>
      <c r="BM841" s="69"/>
      <c r="BN841" s="69"/>
      <c r="BO841" s="69"/>
      <c r="BP841" s="69"/>
      <c r="BQ841" s="69"/>
      <c r="BR841" s="69"/>
      <c r="BS841" s="69"/>
      <c r="BT841" s="69"/>
      <c r="BU841" s="69"/>
      <c r="BV841" s="69"/>
      <c r="BW841" s="69"/>
      <c r="BX841" s="69"/>
      <c r="BY841" s="69"/>
      <c r="BZ841" s="69"/>
      <c r="CA841" s="69"/>
      <c r="CB841" s="69"/>
      <c r="CC841" s="69"/>
      <c r="CD841" s="69"/>
      <c r="CE841" s="69"/>
      <c r="CF841" s="69"/>
    </row>
    <row r="842">
      <c r="A842" s="69"/>
      <c r="B842" s="71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69"/>
      <c r="BE842" s="69"/>
      <c r="BF842" s="69"/>
      <c r="BG842" s="69"/>
      <c r="BH842" s="69"/>
      <c r="BI842" s="69"/>
      <c r="BJ842" s="69"/>
      <c r="BK842" s="69"/>
      <c r="BL842" s="69"/>
      <c r="BM842" s="69"/>
      <c r="BN842" s="69"/>
      <c r="BO842" s="69"/>
      <c r="BP842" s="69"/>
      <c r="BQ842" s="69"/>
      <c r="BR842" s="69"/>
      <c r="BS842" s="69"/>
      <c r="BT842" s="69"/>
      <c r="BU842" s="69"/>
      <c r="BV842" s="69"/>
      <c r="BW842" s="69"/>
      <c r="BX842" s="69"/>
      <c r="BY842" s="69"/>
      <c r="BZ842" s="69"/>
      <c r="CA842" s="69"/>
      <c r="CB842" s="69"/>
      <c r="CC842" s="69"/>
      <c r="CD842" s="69"/>
      <c r="CE842" s="69"/>
      <c r="CF842" s="69"/>
    </row>
    <row r="843">
      <c r="A843" s="69"/>
      <c r="B843" s="71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69"/>
      <c r="BE843" s="69"/>
      <c r="BF843" s="69"/>
      <c r="BG843" s="69"/>
      <c r="BH843" s="69"/>
      <c r="BI843" s="69"/>
      <c r="BJ843" s="69"/>
      <c r="BK843" s="69"/>
      <c r="BL843" s="69"/>
      <c r="BM843" s="69"/>
      <c r="BN843" s="69"/>
      <c r="BO843" s="69"/>
      <c r="BP843" s="69"/>
      <c r="BQ843" s="69"/>
      <c r="BR843" s="69"/>
      <c r="BS843" s="69"/>
      <c r="BT843" s="69"/>
      <c r="BU843" s="69"/>
      <c r="BV843" s="69"/>
      <c r="BW843" s="69"/>
      <c r="BX843" s="69"/>
      <c r="BY843" s="69"/>
      <c r="BZ843" s="69"/>
      <c r="CA843" s="69"/>
      <c r="CB843" s="69"/>
      <c r="CC843" s="69"/>
      <c r="CD843" s="69"/>
      <c r="CE843" s="69"/>
      <c r="CF843" s="69"/>
    </row>
    <row r="844">
      <c r="A844" s="69"/>
      <c r="B844" s="71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69"/>
      <c r="BE844" s="69"/>
      <c r="BF844" s="69"/>
      <c r="BG844" s="69"/>
      <c r="BH844" s="69"/>
      <c r="BI844" s="69"/>
      <c r="BJ844" s="69"/>
      <c r="BK844" s="69"/>
      <c r="BL844" s="69"/>
      <c r="BM844" s="69"/>
      <c r="BN844" s="69"/>
      <c r="BO844" s="69"/>
      <c r="BP844" s="69"/>
      <c r="BQ844" s="69"/>
      <c r="BR844" s="69"/>
      <c r="BS844" s="69"/>
      <c r="BT844" s="69"/>
      <c r="BU844" s="69"/>
      <c r="BV844" s="69"/>
      <c r="BW844" s="69"/>
      <c r="BX844" s="69"/>
      <c r="BY844" s="69"/>
      <c r="BZ844" s="69"/>
      <c r="CA844" s="69"/>
      <c r="CB844" s="69"/>
      <c r="CC844" s="69"/>
      <c r="CD844" s="69"/>
      <c r="CE844" s="69"/>
      <c r="CF844" s="69"/>
    </row>
    <row r="845">
      <c r="A845" s="69"/>
      <c r="B845" s="71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69"/>
      <c r="BE845" s="69"/>
      <c r="BF845" s="69"/>
      <c r="BG845" s="69"/>
      <c r="BH845" s="69"/>
      <c r="BI845" s="69"/>
      <c r="BJ845" s="69"/>
      <c r="BK845" s="69"/>
      <c r="BL845" s="69"/>
      <c r="BM845" s="69"/>
      <c r="BN845" s="69"/>
      <c r="BO845" s="69"/>
      <c r="BP845" s="69"/>
      <c r="BQ845" s="69"/>
      <c r="BR845" s="69"/>
      <c r="BS845" s="69"/>
      <c r="BT845" s="69"/>
      <c r="BU845" s="69"/>
      <c r="BV845" s="69"/>
      <c r="BW845" s="69"/>
      <c r="BX845" s="69"/>
      <c r="BY845" s="69"/>
      <c r="BZ845" s="69"/>
      <c r="CA845" s="69"/>
      <c r="CB845" s="69"/>
      <c r="CC845" s="69"/>
      <c r="CD845" s="69"/>
      <c r="CE845" s="69"/>
      <c r="CF845" s="69"/>
    </row>
    <row r="846">
      <c r="A846" s="69"/>
      <c r="B846" s="71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69"/>
      <c r="BE846" s="69"/>
      <c r="BF846" s="69"/>
      <c r="BG846" s="69"/>
      <c r="BH846" s="69"/>
      <c r="BI846" s="69"/>
      <c r="BJ846" s="69"/>
      <c r="BK846" s="69"/>
      <c r="BL846" s="69"/>
      <c r="BM846" s="69"/>
      <c r="BN846" s="69"/>
      <c r="BO846" s="69"/>
      <c r="BP846" s="69"/>
      <c r="BQ846" s="69"/>
      <c r="BR846" s="69"/>
      <c r="BS846" s="69"/>
      <c r="BT846" s="69"/>
      <c r="BU846" s="69"/>
      <c r="BV846" s="69"/>
      <c r="BW846" s="69"/>
      <c r="BX846" s="69"/>
      <c r="BY846" s="69"/>
      <c r="BZ846" s="69"/>
      <c r="CA846" s="69"/>
      <c r="CB846" s="69"/>
      <c r="CC846" s="69"/>
      <c r="CD846" s="69"/>
      <c r="CE846" s="69"/>
      <c r="CF846" s="69"/>
    </row>
    <row r="847">
      <c r="A847" s="69"/>
      <c r="B847" s="71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69"/>
      <c r="BE847" s="69"/>
      <c r="BF847" s="69"/>
      <c r="BG847" s="69"/>
      <c r="BH847" s="69"/>
      <c r="BI847" s="69"/>
      <c r="BJ847" s="69"/>
      <c r="BK847" s="69"/>
      <c r="BL847" s="69"/>
      <c r="BM847" s="69"/>
      <c r="BN847" s="69"/>
      <c r="BO847" s="69"/>
      <c r="BP847" s="69"/>
      <c r="BQ847" s="69"/>
      <c r="BR847" s="69"/>
      <c r="BS847" s="69"/>
      <c r="BT847" s="69"/>
      <c r="BU847" s="69"/>
      <c r="BV847" s="69"/>
      <c r="BW847" s="69"/>
      <c r="BX847" s="69"/>
      <c r="BY847" s="69"/>
      <c r="BZ847" s="69"/>
      <c r="CA847" s="69"/>
      <c r="CB847" s="69"/>
      <c r="CC847" s="69"/>
      <c r="CD847" s="69"/>
      <c r="CE847" s="69"/>
      <c r="CF847" s="69"/>
    </row>
    <row r="848">
      <c r="A848" s="69"/>
      <c r="B848" s="71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69"/>
      <c r="BE848" s="69"/>
      <c r="BF848" s="69"/>
      <c r="BG848" s="69"/>
      <c r="BH848" s="69"/>
      <c r="BI848" s="69"/>
      <c r="BJ848" s="69"/>
      <c r="BK848" s="69"/>
      <c r="BL848" s="69"/>
      <c r="BM848" s="69"/>
      <c r="BN848" s="69"/>
      <c r="BO848" s="69"/>
      <c r="BP848" s="69"/>
      <c r="BQ848" s="69"/>
      <c r="BR848" s="69"/>
      <c r="BS848" s="69"/>
      <c r="BT848" s="69"/>
      <c r="BU848" s="69"/>
      <c r="BV848" s="69"/>
      <c r="BW848" s="69"/>
      <c r="BX848" s="69"/>
      <c r="BY848" s="69"/>
      <c r="BZ848" s="69"/>
      <c r="CA848" s="69"/>
      <c r="CB848" s="69"/>
      <c r="CC848" s="69"/>
      <c r="CD848" s="69"/>
      <c r="CE848" s="69"/>
      <c r="CF848" s="69"/>
    </row>
    <row r="849">
      <c r="A849" s="69"/>
      <c r="B849" s="71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69"/>
      <c r="BE849" s="69"/>
      <c r="BF849" s="69"/>
      <c r="BG849" s="69"/>
      <c r="BH849" s="69"/>
      <c r="BI849" s="69"/>
      <c r="BJ849" s="69"/>
      <c r="BK849" s="69"/>
      <c r="BL849" s="69"/>
      <c r="BM849" s="69"/>
      <c r="BN849" s="69"/>
      <c r="BO849" s="69"/>
      <c r="BP849" s="69"/>
      <c r="BQ849" s="69"/>
      <c r="BR849" s="69"/>
      <c r="BS849" s="69"/>
      <c r="BT849" s="69"/>
      <c r="BU849" s="69"/>
      <c r="BV849" s="69"/>
      <c r="BW849" s="69"/>
      <c r="BX849" s="69"/>
      <c r="BY849" s="69"/>
      <c r="BZ849" s="69"/>
      <c r="CA849" s="69"/>
      <c r="CB849" s="69"/>
      <c r="CC849" s="69"/>
      <c r="CD849" s="69"/>
      <c r="CE849" s="69"/>
      <c r="CF849" s="69"/>
    </row>
    <row r="850">
      <c r="A850" s="69"/>
      <c r="B850" s="71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69"/>
      <c r="BE850" s="69"/>
      <c r="BF850" s="69"/>
      <c r="BG850" s="69"/>
      <c r="BH850" s="69"/>
      <c r="BI850" s="69"/>
      <c r="BJ850" s="69"/>
      <c r="BK850" s="69"/>
      <c r="BL850" s="69"/>
      <c r="BM850" s="69"/>
      <c r="BN850" s="69"/>
      <c r="BO850" s="69"/>
      <c r="BP850" s="69"/>
      <c r="BQ850" s="69"/>
      <c r="BR850" s="69"/>
      <c r="BS850" s="69"/>
      <c r="BT850" s="69"/>
      <c r="BU850" s="69"/>
      <c r="BV850" s="69"/>
      <c r="BW850" s="69"/>
      <c r="BX850" s="69"/>
      <c r="BY850" s="69"/>
      <c r="BZ850" s="69"/>
      <c r="CA850" s="69"/>
      <c r="CB850" s="69"/>
      <c r="CC850" s="69"/>
      <c r="CD850" s="69"/>
      <c r="CE850" s="69"/>
      <c r="CF850" s="69"/>
    </row>
    <row r="851">
      <c r="A851" s="69"/>
      <c r="B851" s="71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69"/>
      <c r="BE851" s="69"/>
      <c r="BF851" s="69"/>
      <c r="BG851" s="69"/>
      <c r="BH851" s="69"/>
      <c r="BI851" s="69"/>
      <c r="BJ851" s="69"/>
      <c r="BK851" s="69"/>
      <c r="BL851" s="69"/>
      <c r="BM851" s="69"/>
      <c r="BN851" s="69"/>
      <c r="BO851" s="69"/>
      <c r="BP851" s="69"/>
      <c r="BQ851" s="69"/>
      <c r="BR851" s="69"/>
      <c r="BS851" s="69"/>
      <c r="BT851" s="69"/>
      <c r="BU851" s="69"/>
      <c r="BV851" s="69"/>
      <c r="BW851" s="69"/>
      <c r="BX851" s="69"/>
      <c r="BY851" s="69"/>
      <c r="BZ851" s="69"/>
      <c r="CA851" s="69"/>
      <c r="CB851" s="69"/>
      <c r="CC851" s="69"/>
      <c r="CD851" s="69"/>
      <c r="CE851" s="69"/>
      <c r="CF851" s="69"/>
    </row>
    <row r="852">
      <c r="A852" s="69"/>
      <c r="B852" s="71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69"/>
      <c r="BE852" s="69"/>
      <c r="BF852" s="69"/>
      <c r="BG852" s="69"/>
      <c r="BH852" s="69"/>
      <c r="BI852" s="69"/>
      <c r="BJ852" s="69"/>
      <c r="BK852" s="69"/>
      <c r="BL852" s="69"/>
      <c r="BM852" s="69"/>
      <c r="BN852" s="69"/>
      <c r="BO852" s="69"/>
      <c r="BP852" s="69"/>
      <c r="BQ852" s="69"/>
      <c r="BR852" s="69"/>
      <c r="BS852" s="69"/>
      <c r="BT852" s="69"/>
      <c r="BU852" s="69"/>
      <c r="BV852" s="69"/>
      <c r="BW852" s="69"/>
      <c r="BX852" s="69"/>
      <c r="BY852" s="69"/>
      <c r="BZ852" s="69"/>
      <c r="CA852" s="69"/>
      <c r="CB852" s="69"/>
      <c r="CC852" s="69"/>
      <c r="CD852" s="69"/>
      <c r="CE852" s="69"/>
      <c r="CF852" s="69"/>
    </row>
    <row r="853">
      <c r="A853" s="69"/>
      <c r="B853" s="71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69"/>
      <c r="BE853" s="69"/>
      <c r="BF853" s="69"/>
      <c r="BG853" s="69"/>
      <c r="BH853" s="69"/>
      <c r="BI853" s="69"/>
      <c r="BJ853" s="69"/>
      <c r="BK853" s="69"/>
      <c r="BL853" s="69"/>
      <c r="BM853" s="69"/>
      <c r="BN853" s="69"/>
      <c r="BO853" s="69"/>
      <c r="BP853" s="69"/>
      <c r="BQ853" s="69"/>
      <c r="BR853" s="69"/>
      <c r="BS853" s="69"/>
      <c r="BT853" s="69"/>
      <c r="BU853" s="69"/>
      <c r="BV853" s="69"/>
      <c r="BW853" s="69"/>
      <c r="BX853" s="69"/>
      <c r="BY853" s="69"/>
      <c r="BZ853" s="69"/>
      <c r="CA853" s="69"/>
      <c r="CB853" s="69"/>
      <c r="CC853" s="69"/>
      <c r="CD853" s="69"/>
      <c r="CE853" s="69"/>
      <c r="CF853" s="69"/>
    </row>
    <row r="854">
      <c r="A854" s="69"/>
      <c r="B854" s="71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69"/>
      <c r="BE854" s="69"/>
      <c r="BF854" s="69"/>
      <c r="BG854" s="69"/>
      <c r="BH854" s="69"/>
      <c r="BI854" s="69"/>
      <c r="BJ854" s="69"/>
      <c r="BK854" s="69"/>
      <c r="BL854" s="69"/>
      <c r="BM854" s="69"/>
      <c r="BN854" s="69"/>
      <c r="BO854" s="69"/>
      <c r="BP854" s="69"/>
      <c r="BQ854" s="69"/>
      <c r="BR854" s="69"/>
      <c r="BS854" s="69"/>
      <c r="BT854" s="69"/>
      <c r="BU854" s="69"/>
      <c r="BV854" s="69"/>
      <c r="BW854" s="69"/>
      <c r="BX854" s="69"/>
      <c r="BY854" s="69"/>
      <c r="BZ854" s="69"/>
      <c r="CA854" s="69"/>
      <c r="CB854" s="69"/>
      <c r="CC854" s="69"/>
      <c r="CD854" s="69"/>
      <c r="CE854" s="69"/>
      <c r="CF854" s="69"/>
    </row>
    <row r="855">
      <c r="A855" s="69"/>
      <c r="B855" s="71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69"/>
      <c r="BE855" s="69"/>
      <c r="BF855" s="69"/>
      <c r="BG855" s="69"/>
      <c r="BH855" s="69"/>
      <c r="BI855" s="69"/>
      <c r="BJ855" s="69"/>
      <c r="BK855" s="69"/>
      <c r="BL855" s="69"/>
      <c r="BM855" s="69"/>
      <c r="BN855" s="69"/>
      <c r="BO855" s="69"/>
      <c r="BP855" s="69"/>
      <c r="BQ855" s="69"/>
      <c r="BR855" s="69"/>
      <c r="BS855" s="69"/>
      <c r="BT855" s="69"/>
      <c r="BU855" s="69"/>
      <c r="BV855" s="69"/>
      <c r="BW855" s="69"/>
      <c r="BX855" s="69"/>
      <c r="BY855" s="69"/>
      <c r="BZ855" s="69"/>
      <c r="CA855" s="69"/>
      <c r="CB855" s="69"/>
      <c r="CC855" s="69"/>
      <c r="CD855" s="69"/>
      <c r="CE855" s="69"/>
      <c r="CF855" s="69"/>
    </row>
    <row r="856">
      <c r="A856" s="69"/>
      <c r="B856" s="71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69"/>
      <c r="BE856" s="69"/>
      <c r="BF856" s="69"/>
      <c r="BG856" s="69"/>
      <c r="BH856" s="69"/>
      <c r="BI856" s="69"/>
      <c r="BJ856" s="69"/>
      <c r="BK856" s="69"/>
      <c r="BL856" s="69"/>
      <c r="BM856" s="69"/>
      <c r="BN856" s="69"/>
      <c r="BO856" s="69"/>
      <c r="BP856" s="69"/>
      <c r="BQ856" s="69"/>
      <c r="BR856" s="69"/>
      <c r="BS856" s="69"/>
      <c r="BT856" s="69"/>
      <c r="BU856" s="69"/>
      <c r="BV856" s="69"/>
      <c r="BW856" s="69"/>
      <c r="BX856" s="69"/>
      <c r="BY856" s="69"/>
      <c r="BZ856" s="69"/>
      <c r="CA856" s="69"/>
      <c r="CB856" s="69"/>
      <c r="CC856" s="69"/>
      <c r="CD856" s="69"/>
      <c r="CE856" s="69"/>
      <c r="CF856" s="69"/>
    </row>
    <row r="857">
      <c r="A857" s="69"/>
      <c r="B857" s="71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69"/>
      <c r="BE857" s="69"/>
      <c r="BF857" s="69"/>
      <c r="BG857" s="69"/>
      <c r="BH857" s="69"/>
      <c r="BI857" s="69"/>
      <c r="BJ857" s="69"/>
      <c r="BK857" s="69"/>
      <c r="BL857" s="69"/>
      <c r="BM857" s="69"/>
      <c r="BN857" s="69"/>
      <c r="BO857" s="69"/>
      <c r="BP857" s="69"/>
      <c r="BQ857" s="69"/>
      <c r="BR857" s="69"/>
      <c r="BS857" s="69"/>
      <c r="BT857" s="69"/>
      <c r="BU857" s="69"/>
      <c r="BV857" s="69"/>
      <c r="BW857" s="69"/>
      <c r="BX857" s="69"/>
      <c r="BY857" s="69"/>
      <c r="BZ857" s="69"/>
      <c r="CA857" s="69"/>
      <c r="CB857" s="69"/>
      <c r="CC857" s="69"/>
      <c r="CD857" s="69"/>
      <c r="CE857" s="69"/>
      <c r="CF857" s="69"/>
    </row>
    <row r="858">
      <c r="A858" s="69"/>
      <c r="B858" s="71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69"/>
      <c r="BE858" s="69"/>
      <c r="BF858" s="69"/>
      <c r="BG858" s="69"/>
      <c r="BH858" s="69"/>
      <c r="BI858" s="69"/>
      <c r="BJ858" s="69"/>
      <c r="BK858" s="69"/>
      <c r="BL858" s="69"/>
      <c r="BM858" s="69"/>
      <c r="BN858" s="69"/>
      <c r="BO858" s="69"/>
      <c r="BP858" s="69"/>
      <c r="BQ858" s="69"/>
      <c r="BR858" s="69"/>
      <c r="BS858" s="69"/>
      <c r="BT858" s="69"/>
      <c r="BU858" s="69"/>
      <c r="BV858" s="69"/>
      <c r="BW858" s="69"/>
      <c r="BX858" s="69"/>
      <c r="BY858" s="69"/>
      <c r="BZ858" s="69"/>
      <c r="CA858" s="69"/>
      <c r="CB858" s="69"/>
      <c r="CC858" s="69"/>
      <c r="CD858" s="69"/>
      <c r="CE858" s="69"/>
      <c r="CF858" s="69"/>
    </row>
    <row r="859">
      <c r="A859" s="69"/>
      <c r="B859" s="71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69"/>
      <c r="BE859" s="69"/>
      <c r="BF859" s="69"/>
      <c r="BG859" s="69"/>
      <c r="BH859" s="69"/>
      <c r="BI859" s="69"/>
      <c r="BJ859" s="69"/>
      <c r="BK859" s="69"/>
      <c r="BL859" s="69"/>
      <c r="BM859" s="69"/>
      <c r="BN859" s="69"/>
      <c r="BO859" s="69"/>
      <c r="BP859" s="69"/>
      <c r="BQ859" s="69"/>
      <c r="BR859" s="69"/>
      <c r="BS859" s="69"/>
      <c r="BT859" s="69"/>
      <c r="BU859" s="69"/>
      <c r="BV859" s="69"/>
      <c r="BW859" s="69"/>
      <c r="BX859" s="69"/>
      <c r="BY859" s="69"/>
      <c r="BZ859" s="69"/>
      <c r="CA859" s="69"/>
      <c r="CB859" s="69"/>
      <c r="CC859" s="69"/>
      <c r="CD859" s="69"/>
      <c r="CE859" s="69"/>
      <c r="CF859" s="69"/>
    </row>
    <row r="860">
      <c r="A860" s="69"/>
      <c r="B860" s="71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69"/>
      <c r="BE860" s="69"/>
      <c r="BF860" s="69"/>
      <c r="BG860" s="69"/>
      <c r="BH860" s="69"/>
      <c r="BI860" s="69"/>
      <c r="BJ860" s="69"/>
      <c r="BK860" s="69"/>
      <c r="BL860" s="69"/>
      <c r="BM860" s="69"/>
      <c r="BN860" s="69"/>
      <c r="BO860" s="69"/>
      <c r="BP860" s="69"/>
      <c r="BQ860" s="69"/>
      <c r="BR860" s="69"/>
      <c r="BS860" s="69"/>
      <c r="BT860" s="69"/>
      <c r="BU860" s="69"/>
      <c r="BV860" s="69"/>
      <c r="BW860" s="69"/>
      <c r="BX860" s="69"/>
      <c r="BY860" s="69"/>
      <c r="BZ860" s="69"/>
      <c r="CA860" s="69"/>
      <c r="CB860" s="69"/>
      <c r="CC860" s="69"/>
      <c r="CD860" s="69"/>
      <c r="CE860" s="69"/>
      <c r="CF860" s="69"/>
    </row>
    <row r="861">
      <c r="A861" s="69"/>
      <c r="B861" s="71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69"/>
      <c r="BE861" s="69"/>
      <c r="BF861" s="69"/>
      <c r="BG861" s="69"/>
      <c r="BH861" s="69"/>
      <c r="BI861" s="69"/>
      <c r="BJ861" s="69"/>
      <c r="BK861" s="69"/>
      <c r="BL861" s="69"/>
      <c r="BM861" s="69"/>
      <c r="BN861" s="69"/>
      <c r="BO861" s="69"/>
      <c r="BP861" s="69"/>
      <c r="BQ861" s="69"/>
      <c r="BR861" s="69"/>
      <c r="BS861" s="69"/>
      <c r="BT861" s="69"/>
      <c r="BU861" s="69"/>
      <c r="BV861" s="69"/>
      <c r="BW861" s="69"/>
      <c r="BX861" s="69"/>
      <c r="BY861" s="69"/>
      <c r="BZ861" s="69"/>
      <c r="CA861" s="69"/>
      <c r="CB861" s="69"/>
      <c r="CC861" s="69"/>
      <c r="CD861" s="69"/>
      <c r="CE861" s="69"/>
      <c r="CF861" s="69"/>
    </row>
    <row r="862">
      <c r="A862" s="69"/>
      <c r="B862" s="71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69"/>
      <c r="BE862" s="69"/>
      <c r="BF862" s="69"/>
      <c r="BG862" s="69"/>
      <c r="BH862" s="69"/>
      <c r="BI862" s="69"/>
      <c r="BJ862" s="69"/>
      <c r="BK862" s="69"/>
      <c r="BL862" s="69"/>
      <c r="BM862" s="69"/>
      <c r="BN862" s="69"/>
      <c r="BO862" s="69"/>
      <c r="BP862" s="69"/>
      <c r="BQ862" s="69"/>
      <c r="BR862" s="69"/>
      <c r="BS862" s="69"/>
      <c r="BT862" s="69"/>
      <c r="BU862" s="69"/>
      <c r="BV862" s="69"/>
      <c r="BW862" s="69"/>
      <c r="BX862" s="69"/>
      <c r="BY862" s="69"/>
      <c r="BZ862" s="69"/>
      <c r="CA862" s="69"/>
      <c r="CB862" s="69"/>
      <c r="CC862" s="69"/>
      <c r="CD862" s="69"/>
      <c r="CE862" s="69"/>
      <c r="CF862" s="69"/>
    </row>
    <row r="863">
      <c r="A863" s="69"/>
      <c r="B863" s="71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69"/>
      <c r="BE863" s="69"/>
      <c r="BF863" s="69"/>
      <c r="BG863" s="69"/>
      <c r="BH863" s="69"/>
      <c r="BI863" s="69"/>
      <c r="BJ863" s="69"/>
      <c r="BK863" s="69"/>
      <c r="BL863" s="69"/>
      <c r="BM863" s="69"/>
      <c r="BN863" s="69"/>
      <c r="BO863" s="69"/>
      <c r="BP863" s="69"/>
      <c r="BQ863" s="69"/>
      <c r="BR863" s="69"/>
      <c r="BS863" s="69"/>
      <c r="BT863" s="69"/>
      <c r="BU863" s="69"/>
      <c r="BV863" s="69"/>
      <c r="BW863" s="69"/>
      <c r="BX863" s="69"/>
      <c r="BY863" s="69"/>
      <c r="BZ863" s="69"/>
      <c r="CA863" s="69"/>
      <c r="CB863" s="69"/>
      <c r="CC863" s="69"/>
      <c r="CD863" s="69"/>
      <c r="CE863" s="69"/>
      <c r="CF863" s="69"/>
    </row>
    <row r="864">
      <c r="A864" s="69"/>
      <c r="B864" s="71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69"/>
      <c r="BE864" s="69"/>
      <c r="BF864" s="69"/>
      <c r="BG864" s="69"/>
      <c r="BH864" s="69"/>
      <c r="BI864" s="69"/>
      <c r="BJ864" s="69"/>
      <c r="BK864" s="69"/>
      <c r="BL864" s="69"/>
      <c r="BM864" s="69"/>
      <c r="BN864" s="69"/>
      <c r="BO864" s="69"/>
      <c r="BP864" s="69"/>
      <c r="BQ864" s="69"/>
      <c r="BR864" s="69"/>
      <c r="BS864" s="69"/>
      <c r="BT864" s="69"/>
      <c r="BU864" s="69"/>
      <c r="BV864" s="69"/>
      <c r="BW864" s="69"/>
      <c r="BX864" s="69"/>
      <c r="BY864" s="69"/>
      <c r="BZ864" s="69"/>
      <c r="CA864" s="69"/>
      <c r="CB864" s="69"/>
      <c r="CC864" s="69"/>
      <c r="CD864" s="69"/>
      <c r="CE864" s="69"/>
      <c r="CF864" s="69"/>
    </row>
    <row r="865">
      <c r="A865" s="69"/>
      <c r="B865" s="71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69"/>
      <c r="BE865" s="69"/>
      <c r="BF865" s="69"/>
      <c r="BG865" s="69"/>
      <c r="BH865" s="69"/>
      <c r="BI865" s="69"/>
      <c r="BJ865" s="69"/>
      <c r="BK865" s="69"/>
      <c r="BL865" s="69"/>
      <c r="BM865" s="69"/>
      <c r="BN865" s="69"/>
      <c r="BO865" s="69"/>
      <c r="BP865" s="69"/>
      <c r="BQ865" s="69"/>
      <c r="BR865" s="69"/>
      <c r="BS865" s="69"/>
      <c r="BT865" s="69"/>
      <c r="BU865" s="69"/>
      <c r="BV865" s="69"/>
      <c r="BW865" s="69"/>
      <c r="BX865" s="69"/>
      <c r="BY865" s="69"/>
      <c r="BZ865" s="69"/>
      <c r="CA865" s="69"/>
      <c r="CB865" s="69"/>
      <c r="CC865" s="69"/>
      <c r="CD865" s="69"/>
      <c r="CE865" s="69"/>
      <c r="CF865" s="69"/>
    </row>
    <row r="866">
      <c r="A866" s="69"/>
      <c r="B866" s="71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69"/>
      <c r="BE866" s="69"/>
      <c r="BF866" s="69"/>
      <c r="BG866" s="69"/>
      <c r="BH866" s="69"/>
      <c r="BI866" s="69"/>
      <c r="BJ866" s="69"/>
      <c r="BK866" s="69"/>
      <c r="BL866" s="69"/>
      <c r="BM866" s="69"/>
      <c r="BN866" s="69"/>
      <c r="BO866" s="69"/>
      <c r="BP866" s="69"/>
      <c r="BQ866" s="69"/>
      <c r="BR866" s="69"/>
      <c r="BS866" s="69"/>
      <c r="BT866" s="69"/>
      <c r="BU866" s="69"/>
      <c r="BV866" s="69"/>
      <c r="BW866" s="69"/>
      <c r="BX866" s="69"/>
      <c r="BY866" s="69"/>
      <c r="BZ866" s="69"/>
      <c r="CA866" s="69"/>
      <c r="CB866" s="69"/>
      <c r="CC866" s="69"/>
      <c r="CD866" s="69"/>
      <c r="CE866" s="69"/>
      <c r="CF866" s="69"/>
    </row>
    <row r="867">
      <c r="A867" s="69"/>
      <c r="B867" s="71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69"/>
      <c r="BE867" s="69"/>
      <c r="BF867" s="69"/>
      <c r="BG867" s="69"/>
      <c r="BH867" s="69"/>
      <c r="BI867" s="69"/>
      <c r="BJ867" s="69"/>
      <c r="BK867" s="69"/>
      <c r="BL867" s="69"/>
      <c r="BM867" s="69"/>
      <c r="BN867" s="69"/>
      <c r="BO867" s="69"/>
      <c r="BP867" s="69"/>
      <c r="BQ867" s="69"/>
      <c r="BR867" s="69"/>
      <c r="BS867" s="69"/>
      <c r="BT867" s="69"/>
      <c r="BU867" s="69"/>
      <c r="BV867" s="69"/>
      <c r="BW867" s="69"/>
      <c r="BX867" s="69"/>
      <c r="BY867" s="69"/>
      <c r="BZ867" s="69"/>
      <c r="CA867" s="69"/>
      <c r="CB867" s="69"/>
      <c r="CC867" s="69"/>
      <c r="CD867" s="69"/>
      <c r="CE867" s="69"/>
      <c r="CF867" s="69"/>
    </row>
    <row r="868">
      <c r="A868" s="69"/>
      <c r="B868" s="71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69"/>
      <c r="BE868" s="69"/>
      <c r="BF868" s="69"/>
      <c r="BG868" s="69"/>
      <c r="BH868" s="69"/>
      <c r="BI868" s="69"/>
      <c r="BJ868" s="69"/>
      <c r="BK868" s="69"/>
      <c r="BL868" s="69"/>
      <c r="BM868" s="69"/>
      <c r="BN868" s="69"/>
      <c r="BO868" s="69"/>
      <c r="BP868" s="69"/>
      <c r="BQ868" s="69"/>
      <c r="BR868" s="69"/>
      <c r="BS868" s="69"/>
      <c r="BT868" s="69"/>
      <c r="BU868" s="69"/>
      <c r="BV868" s="69"/>
      <c r="BW868" s="69"/>
      <c r="BX868" s="69"/>
      <c r="BY868" s="69"/>
      <c r="BZ868" s="69"/>
      <c r="CA868" s="69"/>
      <c r="CB868" s="69"/>
      <c r="CC868" s="69"/>
      <c r="CD868" s="69"/>
      <c r="CE868" s="69"/>
      <c r="CF868" s="69"/>
    </row>
    <row r="869">
      <c r="A869" s="69"/>
      <c r="B869" s="71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69"/>
      <c r="BE869" s="69"/>
      <c r="BF869" s="69"/>
      <c r="BG869" s="69"/>
      <c r="BH869" s="69"/>
      <c r="BI869" s="69"/>
      <c r="BJ869" s="69"/>
      <c r="BK869" s="69"/>
      <c r="BL869" s="69"/>
      <c r="BM869" s="69"/>
      <c r="BN869" s="69"/>
      <c r="BO869" s="69"/>
      <c r="BP869" s="69"/>
      <c r="BQ869" s="69"/>
      <c r="BR869" s="69"/>
      <c r="BS869" s="69"/>
      <c r="BT869" s="69"/>
      <c r="BU869" s="69"/>
      <c r="BV869" s="69"/>
      <c r="BW869" s="69"/>
      <c r="BX869" s="69"/>
      <c r="BY869" s="69"/>
      <c r="BZ869" s="69"/>
      <c r="CA869" s="69"/>
      <c r="CB869" s="69"/>
      <c r="CC869" s="69"/>
      <c r="CD869" s="69"/>
      <c r="CE869" s="69"/>
      <c r="CF869" s="69"/>
    </row>
    <row r="870">
      <c r="A870" s="69"/>
      <c r="B870" s="71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69"/>
      <c r="BE870" s="69"/>
      <c r="BF870" s="69"/>
      <c r="BG870" s="69"/>
      <c r="BH870" s="69"/>
      <c r="BI870" s="69"/>
      <c r="BJ870" s="69"/>
      <c r="BK870" s="69"/>
      <c r="BL870" s="69"/>
      <c r="BM870" s="69"/>
      <c r="BN870" s="69"/>
      <c r="BO870" s="69"/>
      <c r="BP870" s="69"/>
      <c r="BQ870" s="69"/>
      <c r="BR870" s="69"/>
      <c r="BS870" s="69"/>
      <c r="BT870" s="69"/>
      <c r="BU870" s="69"/>
      <c r="BV870" s="69"/>
      <c r="BW870" s="69"/>
      <c r="BX870" s="69"/>
      <c r="BY870" s="69"/>
      <c r="BZ870" s="69"/>
      <c r="CA870" s="69"/>
      <c r="CB870" s="69"/>
      <c r="CC870" s="69"/>
      <c r="CD870" s="69"/>
      <c r="CE870" s="69"/>
      <c r="CF870" s="69"/>
    </row>
    <row r="871">
      <c r="A871" s="69"/>
      <c r="B871" s="71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69"/>
      <c r="BE871" s="69"/>
      <c r="BF871" s="69"/>
      <c r="BG871" s="69"/>
      <c r="BH871" s="69"/>
      <c r="BI871" s="69"/>
      <c r="BJ871" s="69"/>
      <c r="BK871" s="69"/>
      <c r="BL871" s="69"/>
      <c r="BM871" s="69"/>
      <c r="BN871" s="69"/>
      <c r="BO871" s="69"/>
      <c r="BP871" s="69"/>
      <c r="BQ871" s="69"/>
      <c r="BR871" s="69"/>
      <c r="BS871" s="69"/>
      <c r="BT871" s="69"/>
      <c r="BU871" s="69"/>
      <c r="BV871" s="69"/>
      <c r="BW871" s="69"/>
      <c r="BX871" s="69"/>
      <c r="BY871" s="69"/>
      <c r="BZ871" s="69"/>
      <c r="CA871" s="69"/>
      <c r="CB871" s="69"/>
      <c r="CC871" s="69"/>
      <c r="CD871" s="69"/>
      <c r="CE871" s="69"/>
      <c r="CF871" s="69"/>
    </row>
    <row r="872">
      <c r="A872" s="69"/>
      <c r="B872" s="71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69"/>
      <c r="BE872" s="69"/>
      <c r="BF872" s="69"/>
      <c r="BG872" s="69"/>
      <c r="BH872" s="69"/>
      <c r="BI872" s="69"/>
      <c r="BJ872" s="69"/>
      <c r="BK872" s="69"/>
      <c r="BL872" s="69"/>
      <c r="BM872" s="69"/>
      <c r="BN872" s="69"/>
      <c r="BO872" s="69"/>
      <c r="BP872" s="69"/>
      <c r="BQ872" s="69"/>
      <c r="BR872" s="69"/>
      <c r="BS872" s="69"/>
      <c r="BT872" s="69"/>
      <c r="BU872" s="69"/>
      <c r="BV872" s="69"/>
      <c r="BW872" s="69"/>
      <c r="BX872" s="69"/>
      <c r="BY872" s="69"/>
      <c r="BZ872" s="69"/>
      <c r="CA872" s="69"/>
      <c r="CB872" s="69"/>
      <c r="CC872" s="69"/>
      <c r="CD872" s="69"/>
      <c r="CE872" s="69"/>
      <c r="CF872" s="69"/>
    </row>
    <row r="873">
      <c r="A873" s="69"/>
      <c r="B873" s="71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69"/>
      <c r="BE873" s="69"/>
      <c r="BF873" s="69"/>
      <c r="BG873" s="69"/>
      <c r="BH873" s="69"/>
      <c r="BI873" s="69"/>
      <c r="BJ873" s="69"/>
      <c r="BK873" s="69"/>
      <c r="BL873" s="69"/>
      <c r="BM873" s="69"/>
      <c r="BN873" s="69"/>
      <c r="BO873" s="69"/>
      <c r="BP873" s="69"/>
      <c r="BQ873" s="69"/>
      <c r="BR873" s="69"/>
      <c r="BS873" s="69"/>
      <c r="BT873" s="69"/>
      <c r="BU873" s="69"/>
      <c r="BV873" s="69"/>
      <c r="BW873" s="69"/>
      <c r="BX873" s="69"/>
      <c r="BY873" s="69"/>
      <c r="BZ873" s="69"/>
      <c r="CA873" s="69"/>
      <c r="CB873" s="69"/>
      <c r="CC873" s="69"/>
      <c r="CD873" s="69"/>
      <c r="CE873" s="69"/>
      <c r="CF873" s="69"/>
    </row>
    <row r="874">
      <c r="A874" s="69"/>
      <c r="B874" s="71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69"/>
      <c r="BE874" s="69"/>
      <c r="BF874" s="69"/>
      <c r="BG874" s="69"/>
      <c r="BH874" s="69"/>
      <c r="BI874" s="69"/>
      <c r="BJ874" s="69"/>
      <c r="BK874" s="69"/>
      <c r="BL874" s="69"/>
      <c r="BM874" s="69"/>
      <c r="BN874" s="69"/>
      <c r="BO874" s="69"/>
      <c r="BP874" s="69"/>
      <c r="BQ874" s="69"/>
      <c r="BR874" s="69"/>
      <c r="BS874" s="69"/>
      <c r="BT874" s="69"/>
      <c r="BU874" s="69"/>
      <c r="BV874" s="69"/>
      <c r="BW874" s="69"/>
      <c r="BX874" s="69"/>
      <c r="BY874" s="69"/>
      <c r="BZ874" s="69"/>
      <c r="CA874" s="69"/>
      <c r="CB874" s="69"/>
      <c r="CC874" s="69"/>
      <c r="CD874" s="69"/>
      <c r="CE874" s="69"/>
      <c r="CF874" s="69"/>
    </row>
    <row r="875">
      <c r="A875" s="69"/>
      <c r="B875" s="71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69"/>
      <c r="BE875" s="69"/>
      <c r="BF875" s="69"/>
      <c r="BG875" s="69"/>
      <c r="BH875" s="69"/>
      <c r="BI875" s="69"/>
      <c r="BJ875" s="69"/>
      <c r="BK875" s="69"/>
      <c r="BL875" s="69"/>
      <c r="BM875" s="69"/>
      <c r="BN875" s="69"/>
      <c r="BO875" s="69"/>
      <c r="BP875" s="69"/>
      <c r="BQ875" s="69"/>
      <c r="BR875" s="69"/>
      <c r="BS875" s="69"/>
      <c r="BT875" s="69"/>
      <c r="BU875" s="69"/>
      <c r="BV875" s="69"/>
      <c r="BW875" s="69"/>
      <c r="BX875" s="69"/>
      <c r="BY875" s="69"/>
      <c r="BZ875" s="69"/>
      <c r="CA875" s="69"/>
      <c r="CB875" s="69"/>
      <c r="CC875" s="69"/>
      <c r="CD875" s="69"/>
      <c r="CE875" s="69"/>
      <c r="CF875" s="69"/>
    </row>
    <row r="876">
      <c r="A876" s="69"/>
      <c r="B876" s="71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69"/>
      <c r="BE876" s="69"/>
      <c r="BF876" s="69"/>
      <c r="BG876" s="69"/>
      <c r="BH876" s="69"/>
      <c r="BI876" s="69"/>
      <c r="BJ876" s="69"/>
      <c r="BK876" s="69"/>
      <c r="BL876" s="69"/>
      <c r="BM876" s="69"/>
      <c r="BN876" s="69"/>
      <c r="BO876" s="69"/>
      <c r="BP876" s="69"/>
      <c r="BQ876" s="69"/>
      <c r="BR876" s="69"/>
      <c r="BS876" s="69"/>
      <c r="BT876" s="69"/>
      <c r="BU876" s="69"/>
      <c r="BV876" s="69"/>
      <c r="BW876" s="69"/>
      <c r="BX876" s="69"/>
      <c r="BY876" s="69"/>
      <c r="BZ876" s="69"/>
      <c r="CA876" s="69"/>
      <c r="CB876" s="69"/>
      <c r="CC876" s="69"/>
      <c r="CD876" s="69"/>
      <c r="CE876" s="69"/>
      <c r="CF876" s="69"/>
    </row>
    <row r="877">
      <c r="A877" s="69"/>
      <c r="B877" s="71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69"/>
      <c r="BE877" s="69"/>
      <c r="BF877" s="69"/>
      <c r="BG877" s="69"/>
      <c r="BH877" s="69"/>
      <c r="BI877" s="69"/>
      <c r="BJ877" s="69"/>
      <c r="BK877" s="69"/>
      <c r="BL877" s="69"/>
      <c r="BM877" s="69"/>
      <c r="BN877" s="69"/>
      <c r="BO877" s="69"/>
      <c r="BP877" s="69"/>
      <c r="BQ877" s="69"/>
      <c r="BR877" s="69"/>
      <c r="BS877" s="69"/>
      <c r="BT877" s="69"/>
      <c r="BU877" s="69"/>
      <c r="BV877" s="69"/>
      <c r="BW877" s="69"/>
      <c r="BX877" s="69"/>
      <c r="BY877" s="69"/>
      <c r="BZ877" s="69"/>
      <c r="CA877" s="69"/>
      <c r="CB877" s="69"/>
      <c r="CC877" s="69"/>
      <c r="CD877" s="69"/>
      <c r="CE877" s="69"/>
      <c r="CF877" s="69"/>
    </row>
    <row r="878">
      <c r="A878" s="69"/>
      <c r="B878" s="71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69"/>
      <c r="BE878" s="69"/>
      <c r="BF878" s="69"/>
      <c r="BG878" s="69"/>
      <c r="BH878" s="69"/>
      <c r="BI878" s="69"/>
      <c r="BJ878" s="69"/>
      <c r="BK878" s="69"/>
      <c r="BL878" s="69"/>
      <c r="BM878" s="69"/>
      <c r="BN878" s="69"/>
      <c r="BO878" s="69"/>
      <c r="BP878" s="69"/>
      <c r="BQ878" s="69"/>
      <c r="BR878" s="69"/>
      <c r="BS878" s="69"/>
      <c r="BT878" s="69"/>
      <c r="BU878" s="69"/>
      <c r="BV878" s="69"/>
      <c r="BW878" s="69"/>
      <c r="BX878" s="69"/>
      <c r="BY878" s="69"/>
      <c r="BZ878" s="69"/>
      <c r="CA878" s="69"/>
      <c r="CB878" s="69"/>
      <c r="CC878" s="69"/>
      <c r="CD878" s="69"/>
      <c r="CE878" s="69"/>
      <c r="CF878" s="69"/>
    </row>
    <row r="879">
      <c r="A879" s="69"/>
      <c r="B879" s="71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69"/>
      <c r="BE879" s="69"/>
      <c r="BF879" s="69"/>
      <c r="BG879" s="69"/>
      <c r="BH879" s="69"/>
      <c r="BI879" s="69"/>
      <c r="BJ879" s="69"/>
      <c r="BK879" s="69"/>
      <c r="BL879" s="69"/>
      <c r="BM879" s="69"/>
      <c r="BN879" s="69"/>
      <c r="BO879" s="69"/>
      <c r="BP879" s="69"/>
      <c r="BQ879" s="69"/>
      <c r="BR879" s="69"/>
      <c r="BS879" s="69"/>
      <c r="BT879" s="69"/>
      <c r="BU879" s="69"/>
      <c r="BV879" s="69"/>
      <c r="BW879" s="69"/>
      <c r="BX879" s="69"/>
      <c r="BY879" s="69"/>
      <c r="BZ879" s="69"/>
      <c r="CA879" s="69"/>
      <c r="CB879" s="69"/>
      <c r="CC879" s="69"/>
      <c r="CD879" s="69"/>
      <c r="CE879" s="69"/>
      <c r="CF879" s="69"/>
    </row>
    <row r="880">
      <c r="A880" s="69"/>
      <c r="B880" s="71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69"/>
      <c r="BE880" s="69"/>
      <c r="BF880" s="69"/>
      <c r="BG880" s="69"/>
      <c r="BH880" s="69"/>
      <c r="BI880" s="69"/>
      <c r="BJ880" s="69"/>
      <c r="BK880" s="69"/>
      <c r="BL880" s="69"/>
      <c r="BM880" s="69"/>
      <c r="BN880" s="69"/>
      <c r="BO880" s="69"/>
      <c r="BP880" s="69"/>
      <c r="BQ880" s="69"/>
      <c r="BR880" s="69"/>
      <c r="BS880" s="69"/>
      <c r="BT880" s="69"/>
      <c r="BU880" s="69"/>
      <c r="BV880" s="69"/>
      <c r="BW880" s="69"/>
      <c r="BX880" s="69"/>
      <c r="BY880" s="69"/>
      <c r="BZ880" s="69"/>
      <c r="CA880" s="69"/>
      <c r="CB880" s="69"/>
      <c r="CC880" s="69"/>
      <c r="CD880" s="69"/>
      <c r="CE880" s="69"/>
      <c r="CF880" s="69"/>
    </row>
    <row r="881">
      <c r="A881" s="69"/>
      <c r="B881" s="71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69"/>
      <c r="BE881" s="69"/>
      <c r="BF881" s="69"/>
      <c r="BG881" s="69"/>
      <c r="BH881" s="69"/>
      <c r="BI881" s="69"/>
      <c r="BJ881" s="69"/>
      <c r="BK881" s="69"/>
      <c r="BL881" s="69"/>
      <c r="BM881" s="69"/>
      <c r="BN881" s="69"/>
      <c r="BO881" s="69"/>
      <c r="BP881" s="69"/>
      <c r="BQ881" s="69"/>
      <c r="BR881" s="69"/>
      <c r="BS881" s="69"/>
      <c r="BT881" s="69"/>
      <c r="BU881" s="69"/>
      <c r="BV881" s="69"/>
      <c r="BW881" s="69"/>
      <c r="BX881" s="69"/>
      <c r="BY881" s="69"/>
      <c r="BZ881" s="69"/>
      <c r="CA881" s="69"/>
      <c r="CB881" s="69"/>
      <c r="CC881" s="69"/>
      <c r="CD881" s="69"/>
      <c r="CE881" s="69"/>
      <c r="CF881" s="69"/>
    </row>
    <row r="882">
      <c r="A882" s="69"/>
      <c r="B882" s="71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69"/>
      <c r="BE882" s="69"/>
      <c r="BF882" s="69"/>
      <c r="BG882" s="69"/>
      <c r="BH882" s="69"/>
      <c r="BI882" s="69"/>
      <c r="BJ882" s="69"/>
      <c r="BK882" s="69"/>
      <c r="BL882" s="69"/>
      <c r="BM882" s="69"/>
      <c r="BN882" s="69"/>
      <c r="BO882" s="69"/>
      <c r="BP882" s="69"/>
      <c r="BQ882" s="69"/>
      <c r="BR882" s="69"/>
      <c r="BS882" s="69"/>
      <c r="BT882" s="69"/>
      <c r="BU882" s="69"/>
      <c r="BV882" s="69"/>
      <c r="BW882" s="69"/>
      <c r="BX882" s="69"/>
      <c r="BY882" s="69"/>
      <c r="BZ882" s="69"/>
      <c r="CA882" s="69"/>
      <c r="CB882" s="69"/>
      <c r="CC882" s="69"/>
      <c r="CD882" s="69"/>
      <c r="CE882" s="69"/>
      <c r="CF882" s="69"/>
    </row>
    <row r="883">
      <c r="A883" s="69"/>
      <c r="B883" s="71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69"/>
      <c r="BE883" s="69"/>
      <c r="BF883" s="69"/>
      <c r="BG883" s="69"/>
      <c r="BH883" s="69"/>
      <c r="BI883" s="69"/>
      <c r="BJ883" s="69"/>
      <c r="BK883" s="69"/>
      <c r="BL883" s="69"/>
      <c r="BM883" s="69"/>
      <c r="BN883" s="69"/>
      <c r="BO883" s="69"/>
      <c r="BP883" s="69"/>
      <c r="BQ883" s="69"/>
      <c r="BR883" s="69"/>
      <c r="BS883" s="69"/>
      <c r="BT883" s="69"/>
      <c r="BU883" s="69"/>
      <c r="BV883" s="69"/>
      <c r="BW883" s="69"/>
      <c r="BX883" s="69"/>
      <c r="BY883" s="69"/>
      <c r="BZ883" s="69"/>
      <c r="CA883" s="69"/>
      <c r="CB883" s="69"/>
      <c r="CC883" s="69"/>
      <c r="CD883" s="69"/>
      <c r="CE883" s="69"/>
      <c r="CF883" s="69"/>
    </row>
    <row r="884">
      <c r="A884" s="69"/>
      <c r="B884" s="71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69"/>
      <c r="BE884" s="69"/>
      <c r="BF884" s="69"/>
      <c r="BG884" s="69"/>
      <c r="BH884" s="69"/>
      <c r="BI884" s="69"/>
      <c r="BJ884" s="69"/>
      <c r="BK884" s="69"/>
      <c r="BL884" s="69"/>
      <c r="BM884" s="69"/>
      <c r="BN884" s="69"/>
      <c r="BO884" s="69"/>
      <c r="BP884" s="69"/>
      <c r="BQ884" s="69"/>
      <c r="BR884" s="69"/>
      <c r="BS884" s="69"/>
      <c r="BT884" s="69"/>
      <c r="BU884" s="69"/>
      <c r="BV884" s="69"/>
      <c r="BW884" s="69"/>
      <c r="BX884" s="69"/>
      <c r="BY884" s="69"/>
      <c r="BZ884" s="69"/>
      <c r="CA884" s="69"/>
      <c r="CB884" s="69"/>
      <c r="CC884" s="69"/>
      <c r="CD884" s="69"/>
      <c r="CE884" s="69"/>
      <c r="CF884" s="69"/>
    </row>
    <row r="885">
      <c r="A885" s="69"/>
      <c r="B885" s="71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69"/>
      <c r="BE885" s="69"/>
      <c r="BF885" s="69"/>
      <c r="BG885" s="69"/>
      <c r="BH885" s="69"/>
      <c r="BI885" s="69"/>
      <c r="BJ885" s="69"/>
      <c r="BK885" s="69"/>
      <c r="BL885" s="69"/>
      <c r="BM885" s="69"/>
      <c r="BN885" s="69"/>
      <c r="BO885" s="69"/>
      <c r="BP885" s="69"/>
      <c r="BQ885" s="69"/>
      <c r="BR885" s="69"/>
      <c r="BS885" s="69"/>
      <c r="BT885" s="69"/>
      <c r="BU885" s="69"/>
      <c r="BV885" s="69"/>
      <c r="BW885" s="69"/>
      <c r="BX885" s="69"/>
      <c r="BY885" s="69"/>
      <c r="BZ885" s="69"/>
      <c r="CA885" s="69"/>
      <c r="CB885" s="69"/>
      <c r="CC885" s="69"/>
      <c r="CD885" s="69"/>
      <c r="CE885" s="69"/>
      <c r="CF885" s="69"/>
    </row>
    <row r="886">
      <c r="A886" s="69"/>
      <c r="B886" s="71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69"/>
      <c r="BE886" s="69"/>
      <c r="BF886" s="69"/>
      <c r="BG886" s="69"/>
      <c r="BH886" s="69"/>
      <c r="BI886" s="69"/>
      <c r="BJ886" s="69"/>
      <c r="BK886" s="69"/>
      <c r="BL886" s="69"/>
      <c r="BM886" s="69"/>
      <c r="BN886" s="69"/>
      <c r="BO886" s="69"/>
      <c r="BP886" s="69"/>
      <c r="BQ886" s="69"/>
      <c r="BR886" s="69"/>
      <c r="BS886" s="69"/>
      <c r="BT886" s="69"/>
      <c r="BU886" s="69"/>
      <c r="BV886" s="69"/>
      <c r="BW886" s="69"/>
      <c r="BX886" s="69"/>
      <c r="BY886" s="69"/>
      <c r="BZ886" s="69"/>
      <c r="CA886" s="69"/>
      <c r="CB886" s="69"/>
      <c r="CC886" s="69"/>
      <c r="CD886" s="69"/>
      <c r="CE886" s="69"/>
      <c r="CF886" s="69"/>
    </row>
    <row r="887">
      <c r="A887" s="69"/>
      <c r="B887" s="71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69"/>
      <c r="BE887" s="69"/>
      <c r="BF887" s="69"/>
      <c r="BG887" s="69"/>
      <c r="BH887" s="69"/>
      <c r="BI887" s="69"/>
      <c r="BJ887" s="69"/>
      <c r="BK887" s="69"/>
      <c r="BL887" s="69"/>
      <c r="BM887" s="69"/>
      <c r="BN887" s="69"/>
      <c r="BO887" s="69"/>
      <c r="BP887" s="69"/>
      <c r="BQ887" s="69"/>
      <c r="BR887" s="69"/>
      <c r="BS887" s="69"/>
      <c r="BT887" s="69"/>
      <c r="BU887" s="69"/>
      <c r="BV887" s="69"/>
      <c r="BW887" s="69"/>
      <c r="BX887" s="69"/>
      <c r="BY887" s="69"/>
      <c r="BZ887" s="69"/>
      <c r="CA887" s="69"/>
      <c r="CB887" s="69"/>
      <c r="CC887" s="69"/>
      <c r="CD887" s="69"/>
      <c r="CE887" s="69"/>
      <c r="CF887" s="69"/>
    </row>
    <row r="888">
      <c r="A888" s="69"/>
      <c r="B888" s="71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69"/>
      <c r="BE888" s="69"/>
      <c r="BF888" s="69"/>
      <c r="BG888" s="69"/>
      <c r="BH888" s="69"/>
      <c r="BI888" s="69"/>
      <c r="BJ888" s="69"/>
      <c r="BK888" s="69"/>
      <c r="BL888" s="69"/>
      <c r="BM888" s="69"/>
      <c r="BN888" s="69"/>
      <c r="BO888" s="69"/>
      <c r="BP888" s="69"/>
      <c r="BQ888" s="69"/>
      <c r="BR888" s="69"/>
      <c r="BS888" s="69"/>
      <c r="BT888" s="69"/>
      <c r="BU888" s="69"/>
      <c r="BV888" s="69"/>
      <c r="BW888" s="69"/>
      <c r="BX888" s="69"/>
      <c r="BY888" s="69"/>
      <c r="BZ888" s="69"/>
      <c r="CA888" s="69"/>
      <c r="CB888" s="69"/>
      <c r="CC888" s="69"/>
      <c r="CD888" s="69"/>
      <c r="CE888" s="69"/>
      <c r="CF888" s="69"/>
    </row>
    <row r="889">
      <c r="A889" s="69"/>
      <c r="B889" s="71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69"/>
      <c r="BE889" s="69"/>
      <c r="BF889" s="69"/>
      <c r="BG889" s="69"/>
      <c r="BH889" s="69"/>
      <c r="BI889" s="69"/>
      <c r="BJ889" s="69"/>
      <c r="BK889" s="69"/>
      <c r="BL889" s="69"/>
      <c r="BM889" s="69"/>
      <c r="BN889" s="69"/>
      <c r="BO889" s="69"/>
      <c r="BP889" s="69"/>
      <c r="BQ889" s="69"/>
      <c r="BR889" s="69"/>
      <c r="BS889" s="69"/>
      <c r="BT889" s="69"/>
      <c r="BU889" s="69"/>
      <c r="BV889" s="69"/>
      <c r="BW889" s="69"/>
      <c r="BX889" s="69"/>
      <c r="BY889" s="69"/>
      <c r="BZ889" s="69"/>
      <c r="CA889" s="69"/>
      <c r="CB889" s="69"/>
      <c r="CC889" s="69"/>
      <c r="CD889" s="69"/>
      <c r="CE889" s="69"/>
      <c r="CF889" s="69"/>
    </row>
    <row r="890">
      <c r="A890" s="69"/>
      <c r="B890" s="71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69"/>
      <c r="BE890" s="69"/>
      <c r="BF890" s="69"/>
      <c r="BG890" s="69"/>
      <c r="BH890" s="69"/>
      <c r="BI890" s="69"/>
      <c r="BJ890" s="69"/>
      <c r="BK890" s="69"/>
      <c r="BL890" s="69"/>
      <c r="BM890" s="69"/>
      <c r="BN890" s="69"/>
      <c r="BO890" s="69"/>
      <c r="BP890" s="69"/>
      <c r="BQ890" s="69"/>
      <c r="BR890" s="69"/>
      <c r="BS890" s="69"/>
      <c r="BT890" s="69"/>
      <c r="BU890" s="69"/>
      <c r="BV890" s="69"/>
      <c r="BW890" s="69"/>
      <c r="BX890" s="69"/>
      <c r="BY890" s="69"/>
      <c r="BZ890" s="69"/>
      <c r="CA890" s="69"/>
      <c r="CB890" s="69"/>
      <c r="CC890" s="69"/>
      <c r="CD890" s="69"/>
      <c r="CE890" s="69"/>
      <c r="CF890" s="69"/>
    </row>
    <row r="891">
      <c r="A891" s="69"/>
      <c r="B891" s="71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69"/>
      <c r="BE891" s="69"/>
      <c r="BF891" s="69"/>
      <c r="BG891" s="69"/>
      <c r="BH891" s="69"/>
      <c r="BI891" s="69"/>
      <c r="BJ891" s="69"/>
      <c r="BK891" s="69"/>
      <c r="BL891" s="69"/>
      <c r="BM891" s="69"/>
      <c r="BN891" s="69"/>
      <c r="BO891" s="69"/>
      <c r="BP891" s="69"/>
      <c r="BQ891" s="69"/>
      <c r="BR891" s="69"/>
      <c r="BS891" s="69"/>
      <c r="BT891" s="69"/>
      <c r="BU891" s="69"/>
      <c r="BV891" s="69"/>
      <c r="BW891" s="69"/>
      <c r="BX891" s="69"/>
      <c r="BY891" s="69"/>
      <c r="BZ891" s="69"/>
      <c r="CA891" s="69"/>
      <c r="CB891" s="69"/>
      <c r="CC891" s="69"/>
      <c r="CD891" s="69"/>
      <c r="CE891" s="69"/>
      <c r="CF891" s="69"/>
    </row>
    <row r="892">
      <c r="A892" s="69"/>
      <c r="B892" s="71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69"/>
      <c r="BE892" s="69"/>
      <c r="BF892" s="69"/>
      <c r="BG892" s="69"/>
      <c r="BH892" s="69"/>
      <c r="BI892" s="69"/>
      <c r="BJ892" s="69"/>
      <c r="BK892" s="69"/>
      <c r="BL892" s="69"/>
      <c r="BM892" s="69"/>
      <c r="BN892" s="69"/>
      <c r="BO892" s="69"/>
      <c r="BP892" s="69"/>
      <c r="BQ892" s="69"/>
      <c r="BR892" s="69"/>
      <c r="BS892" s="69"/>
      <c r="BT892" s="69"/>
      <c r="BU892" s="69"/>
      <c r="BV892" s="69"/>
      <c r="BW892" s="69"/>
      <c r="BX892" s="69"/>
      <c r="BY892" s="69"/>
      <c r="BZ892" s="69"/>
      <c r="CA892" s="69"/>
      <c r="CB892" s="69"/>
      <c r="CC892" s="69"/>
      <c r="CD892" s="69"/>
      <c r="CE892" s="69"/>
      <c r="CF892" s="69"/>
    </row>
    <row r="893">
      <c r="A893" s="69"/>
      <c r="B893" s="71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69"/>
      <c r="BE893" s="69"/>
      <c r="BF893" s="69"/>
      <c r="BG893" s="69"/>
      <c r="BH893" s="69"/>
      <c r="BI893" s="69"/>
      <c r="BJ893" s="69"/>
      <c r="BK893" s="69"/>
      <c r="BL893" s="69"/>
      <c r="BM893" s="69"/>
      <c r="BN893" s="69"/>
      <c r="BO893" s="69"/>
      <c r="BP893" s="69"/>
      <c r="BQ893" s="69"/>
      <c r="BR893" s="69"/>
      <c r="BS893" s="69"/>
      <c r="BT893" s="69"/>
      <c r="BU893" s="69"/>
      <c r="BV893" s="69"/>
      <c r="BW893" s="69"/>
      <c r="BX893" s="69"/>
      <c r="BY893" s="69"/>
      <c r="BZ893" s="69"/>
      <c r="CA893" s="69"/>
      <c r="CB893" s="69"/>
      <c r="CC893" s="69"/>
      <c r="CD893" s="69"/>
      <c r="CE893" s="69"/>
      <c r="CF893" s="69"/>
    </row>
    <row r="894">
      <c r="A894" s="69"/>
      <c r="B894" s="71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69"/>
      <c r="BE894" s="69"/>
      <c r="BF894" s="69"/>
      <c r="BG894" s="69"/>
      <c r="BH894" s="69"/>
      <c r="BI894" s="69"/>
      <c r="BJ894" s="69"/>
      <c r="BK894" s="69"/>
      <c r="BL894" s="69"/>
      <c r="BM894" s="69"/>
      <c r="BN894" s="69"/>
      <c r="BO894" s="69"/>
      <c r="BP894" s="69"/>
      <c r="BQ894" s="69"/>
      <c r="BR894" s="69"/>
      <c r="BS894" s="69"/>
      <c r="BT894" s="69"/>
      <c r="BU894" s="69"/>
      <c r="BV894" s="69"/>
      <c r="BW894" s="69"/>
      <c r="BX894" s="69"/>
      <c r="BY894" s="69"/>
      <c r="BZ894" s="69"/>
      <c r="CA894" s="69"/>
      <c r="CB894" s="69"/>
      <c r="CC894" s="69"/>
      <c r="CD894" s="69"/>
      <c r="CE894" s="69"/>
      <c r="CF894" s="69"/>
    </row>
    <row r="895">
      <c r="A895" s="69"/>
      <c r="B895" s="71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69"/>
      <c r="BE895" s="69"/>
      <c r="BF895" s="69"/>
      <c r="BG895" s="69"/>
      <c r="BH895" s="69"/>
      <c r="BI895" s="69"/>
      <c r="BJ895" s="69"/>
      <c r="BK895" s="69"/>
      <c r="BL895" s="69"/>
      <c r="BM895" s="69"/>
      <c r="BN895" s="69"/>
      <c r="BO895" s="69"/>
      <c r="BP895" s="69"/>
      <c r="BQ895" s="69"/>
      <c r="BR895" s="69"/>
      <c r="BS895" s="69"/>
      <c r="BT895" s="69"/>
      <c r="BU895" s="69"/>
      <c r="BV895" s="69"/>
      <c r="BW895" s="69"/>
      <c r="BX895" s="69"/>
      <c r="BY895" s="69"/>
      <c r="BZ895" s="69"/>
      <c r="CA895" s="69"/>
      <c r="CB895" s="69"/>
      <c r="CC895" s="69"/>
      <c r="CD895" s="69"/>
      <c r="CE895" s="69"/>
      <c r="CF895" s="69"/>
    </row>
    <row r="896">
      <c r="A896" s="69"/>
      <c r="B896" s="71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69"/>
      <c r="BE896" s="69"/>
      <c r="BF896" s="69"/>
      <c r="BG896" s="69"/>
      <c r="BH896" s="69"/>
      <c r="BI896" s="69"/>
      <c r="BJ896" s="69"/>
      <c r="BK896" s="69"/>
      <c r="BL896" s="69"/>
      <c r="BM896" s="69"/>
      <c r="BN896" s="69"/>
      <c r="BO896" s="69"/>
      <c r="BP896" s="69"/>
      <c r="BQ896" s="69"/>
      <c r="BR896" s="69"/>
      <c r="BS896" s="69"/>
      <c r="BT896" s="69"/>
      <c r="BU896" s="69"/>
      <c r="BV896" s="69"/>
      <c r="BW896" s="69"/>
      <c r="BX896" s="69"/>
      <c r="BY896" s="69"/>
      <c r="BZ896" s="69"/>
      <c r="CA896" s="69"/>
      <c r="CB896" s="69"/>
      <c r="CC896" s="69"/>
      <c r="CD896" s="69"/>
      <c r="CE896" s="69"/>
      <c r="CF896" s="69"/>
    </row>
    <row r="897">
      <c r="A897" s="69"/>
      <c r="B897" s="71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69"/>
      <c r="BE897" s="69"/>
      <c r="BF897" s="69"/>
      <c r="BG897" s="69"/>
      <c r="BH897" s="69"/>
      <c r="BI897" s="69"/>
      <c r="BJ897" s="69"/>
      <c r="BK897" s="69"/>
      <c r="BL897" s="69"/>
      <c r="BM897" s="69"/>
      <c r="BN897" s="69"/>
      <c r="BO897" s="69"/>
      <c r="BP897" s="69"/>
      <c r="BQ897" s="69"/>
      <c r="BR897" s="69"/>
      <c r="BS897" s="69"/>
      <c r="BT897" s="69"/>
      <c r="BU897" s="69"/>
      <c r="BV897" s="69"/>
      <c r="BW897" s="69"/>
      <c r="BX897" s="69"/>
      <c r="BY897" s="69"/>
      <c r="BZ897" s="69"/>
      <c r="CA897" s="69"/>
      <c r="CB897" s="69"/>
      <c r="CC897" s="69"/>
      <c r="CD897" s="69"/>
      <c r="CE897" s="69"/>
      <c r="CF897" s="69"/>
    </row>
    <row r="898">
      <c r="A898" s="69"/>
      <c r="B898" s="71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69"/>
      <c r="BE898" s="69"/>
      <c r="BF898" s="69"/>
      <c r="BG898" s="69"/>
      <c r="BH898" s="69"/>
      <c r="BI898" s="69"/>
      <c r="BJ898" s="69"/>
      <c r="BK898" s="69"/>
      <c r="BL898" s="69"/>
      <c r="BM898" s="69"/>
      <c r="BN898" s="69"/>
      <c r="BO898" s="69"/>
      <c r="BP898" s="69"/>
      <c r="BQ898" s="69"/>
      <c r="BR898" s="69"/>
      <c r="BS898" s="69"/>
      <c r="BT898" s="69"/>
      <c r="BU898" s="69"/>
      <c r="BV898" s="69"/>
      <c r="BW898" s="69"/>
      <c r="BX898" s="69"/>
      <c r="BY898" s="69"/>
      <c r="BZ898" s="69"/>
      <c r="CA898" s="69"/>
      <c r="CB898" s="69"/>
      <c r="CC898" s="69"/>
      <c r="CD898" s="69"/>
      <c r="CE898" s="69"/>
      <c r="CF898" s="69"/>
    </row>
    <row r="899">
      <c r="A899" s="69"/>
      <c r="B899" s="71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69"/>
      <c r="BE899" s="69"/>
      <c r="BF899" s="69"/>
      <c r="BG899" s="69"/>
      <c r="BH899" s="69"/>
      <c r="BI899" s="69"/>
      <c r="BJ899" s="69"/>
      <c r="BK899" s="69"/>
      <c r="BL899" s="69"/>
      <c r="BM899" s="69"/>
      <c r="BN899" s="69"/>
      <c r="BO899" s="69"/>
      <c r="BP899" s="69"/>
      <c r="BQ899" s="69"/>
      <c r="BR899" s="69"/>
      <c r="BS899" s="69"/>
      <c r="BT899" s="69"/>
      <c r="BU899" s="69"/>
      <c r="BV899" s="69"/>
      <c r="BW899" s="69"/>
      <c r="BX899" s="69"/>
      <c r="BY899" s="69"/>
      <c r="BZ899" s="69"/>
      <c r="CA899" s="69"/>
      <c r="CB899" s="69"/>
      <c r="CC899" s="69"/>
      <c r="CD899" s="69"/>
      <c r="CE899" s="69"/>
      <c r="CF899" s="69"/>
    </row>
    <row r="900">
      <c r="A900" s="69"/>
      <c r="B900" s="71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69"/>
      <c r="BE900" s="69"/>
      <c r="BF900" s="69"/>
      <c r="BG900" s="69"/>
      <c r="BH900" s="69"/>
      <c r="BI900" s="69"/>
      <c r="BJ900" s="69"/>
      <c r="BK900" s="69"/>
      <c r="BL900" s="69"/>
      <c r="BM900" s="69"/>
      <c r="BN900" s="69"/>
      <c r="BO900" s="69"/>
      <c r="BP900" s="69"/>
      <c r="BQ900" s="69"/>
      <c r="BR900" s="69"/>
      <c r="BS900" s="69"/>
      <c r="BT900" s="69"/>
      <c r="BU900" s="69"/>
      <c r="BV900" s="69"/>
      <c r="BW900" s="69"/>
      <c r="BX900" s="69"/>
      <c r="BY900" s="69"/>
      <c r="BZ900" s="69"/>
      <c r="CA900" s="69"/>
      <c r="CB900" s="69"/>
      <c r="CC900" s="69"/>
      <c r="CD900" s="69"/>
      <c r="CE900" s="69"/>
      <c r="CF900" s="69"/>
    </row>
    <row r="901">
      <c r="A901" s="69"/>
      <c r="B901" s="71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69"/>
      <c r="BE901" s="69"/>
      <c r="BF901" s="69"/>
      <c r="BG901" s="69"/>
      <c r="BH901" s="69"/>
      <c r="BI901" s="69"/>
      <c r="BJ901" s="69"/>
      <c r="BK901" s="69"/>
      <c r="BL901" s="69"/>
      <c r="BM901" s="69"/>
      <c r="BN901" s="69"/>
      <c r="BO901" s="69"/>
      <c r="BP901" s="69"/>
      <c r="BQ901" s="69"/>
      <c r="BR901" s="69"/>
      <c r="BS901" s="69"/>
      <c r="BT901" s="69"/>
      <c r="BU901" s="69"/>
      <c r="BV901" s="69"/>
      <c r="BW901" s="69"/>
      <c r="BX901" s="69"/>
      <c r="BY901" s="69"/>
      <c r="BZ901" s="69"/>
      <c r="CA901" s="69"/>
      <c r="CB901" s="69"/>
      <c r="CC901" s="69"/>
      <c r="CD901" s="69"/>
      <c r="CE901" s="69"/>
      <c r="CF901" s="69"/>
    </row>
    <row r="902">
      <c r="A902" s="69"/>
      <c r="B902" s="71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69"/>
      <c r="BE902" s="69"/>
      <c r="BF902" s="69"/>
      <c r="BG902" s="69"/>
      <c r="BH902" s="69"/>
      <c r="BI902" s="69"/>
      <c r="BJ902" s="69"/>
      <c r="BK902" s="69"/>
      <c r="BL902" s="69"/>
      <c r="BM902" s="69"/>
      <c r="BN902" s="69"/>
      <c r="BO902" s="69"/>
      <c r="BP902" s="69"/>
      <c r="BQ902" s="69"/>
      <c r="BR902" s="69"/>
      <c r="BS902" s="69"/>
      <c r="BT902" s="69"/>
      <c r="BU902" s="69"/>
      <c r="BV902" s="69"/>
      <c r="BW902" s="69"/>
      <c r="BX902" s="69"/>
      <c r="BY902" s="69"/>
      <c r="BZ902" s="69"/>
      <c r="CA902" s="69"/>
      <c r="CB902" s="69"/>
      <c r="CC902" s="69"/>
      <c r="CD902" s="69"/>
      <c r="CE902" s="69"/>
      <c r="CF902" s="69"/>
    </row>
    <row r="903">
      <c r="A903" s="69"/>
      <c r="B903" s="71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69"/>
      <c r="BE903" s="69"/>
      <c r="BF903" s="69"/>
      <c r="BG903" s="69"/>
      <c r="BH903" s="69"/>
      <c r="BI903" s="69"/>
      <c r="BJ903" s="69"/>
      <c r="BK903" s="69"/>
      <c r="BL903" s="69"/>
      <c r="BM903" s="69"/>
      <c r="BN903" s="69"/>
      <c r="BO903" s="69"/>
      <c r="BP903" s="69"/>
      <c r="BQ903" s="69"/>
      <c r="BR903" s="69"/>
      <c r="BS903" s="69"/>
      <c r="BT903" s="69"/>
      <c r="BU903" s="69"/>
      <c r="BV903" s="69"/>
      <c r="BW903" s="69"/>
      <c r="BX903" s="69"/>
      <c r="BY903" s="69"/>
      <c r="BZ903" s="69"/>
      <c r="CA903" s="69"/>
      <c r="CB903" s="69"/>
      <c r="CC903" s="69"/>
      <c r="CD903" s="69"/>
      <c r="CE903" s="69"/>
      <c r="CF903" s="69"/>
    </row>
    <row r="904">
      <c r="A904" s="69"/>
      <c r="B904" s="71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69"/>
      <c r="BE904" s="69"/>
      <c r="BF904" s="69"/>
      <c r="BG904" s="69"/>
      <c r="BH904" s="69"/>
      <c r="BI904" s="69"/>
      <c r="BJ904" s="69"/>
      <c r="BK904" s="69"/>
      <c r="BL904" s="69"/>
      <c r="BM904" s="69"/>
      <c r="BN904" s="69"/>
      <c r="BO904" s="69"/>
      <c r="BP904" s="69"/>
      <c r="BQ904" s="69"/>
      <c r="BR904" s="69"/>
      <c r="BS904" s="69"/>
      <c r="BT904" s="69"/>
      <c r="BU904" s="69"/>
      <c r="BV904" s="69"/>
      <c r="BW904" s="69"/>
      <c r="BX904" s="69"/>
      <c r="BY904" s="69"/>
      <c r="BZ904" s="69"/>
      <c r="CA904" s="69"/>
      <c r="CB904" s="69"/>
      <c r="CC904" s="69"/>
      <c r="CD904" s="69"/>
      <c r="CE904" s="69"/>
      <c r="CF904" s="69"/>
    </row>
    <row r="905">
      <c r="A905" s="69"/>
      <c r="B905" s="71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69"/>
      <c r="BE905" s="69"/>
      <c r="BF905" s="69"/>
      <c r="BG905" s="69"/>
      <c r="BH905" s="69"/>
      <c r="BI905" s="69"/>
      <c r="BJ905" s="69"/>
      <c r="BK905" s="69"/>
      <c r="BL905" s="69"/>
      <c r="BM905" s="69"/>
      <c r="BN905" s="69"/>
      <c r="BO905" s="69"/>
      <c r="BP905" s="69"/>
      <c r="BQ905" s="69"/>
      <c r="BR905" s="69"/>
      <c r="BS905" s="69"/>
      <c r="BT905" s="69"/>
      <c r="BU905" s="69"/>
      <c r="BV905" s="69"/>
      <c r="BW905" s="69"/>
      <c r="BX905" s="69"/>
      <c r="BY905" s="69"/>
      <c r="BZ905" s="69"/>
      <c r="CA905" s="69"/>
      <c r="CB905" s="69"/>
      <c r="CC905" s="69"/>
      <c r="CD905" s="69"/>
      <c r="CE905" s="69"/>
      <c r="CF905" s="69"/>
    </row>
    <row r="906">
      <c r="A906" s="69"/>
      <c r="B906" s="71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69"/>
      <c r="BE906" s="69"/>
      <c r="BF906" s="69"/>
      <c r="BG906" s="69"/>
      <c r="BH906" s="69"/>
      <c r="BI906" s="69"/>
      <c r="BJ906" s="69"/>
      <c r="BK906" s="69"/>
      <c r="BL906" s="69"/>
      <c r="BM906" s="69"/>
      <c r="BN906" s="69"/>
      <c r="BO906" s="69"/>
      <c r="BP906" s="69"/>
      <c r="BQ906" s="69"/>
      <c r="BR906" s="69"/>
      <c r="BS906" s="69"/>
      <c r="BT906" s="69"/>
      <c r="BU906" s="69"/>
      <c r="BV906" s="69"/>
      <c r="BW906" s="69"/>
      <c r="BX906" s="69"/>
      <c r="BY906" s="69"/>
      <c r="BZ906" s="69"/>
      <c r="CA906" s="69"/>
      <c r="CB906" s="69"/>
      <c r="CC906" s="69"/>
      <c r="CD906" s="69"/>
      <c r="CE906" s="69"/>
      <c r="CF906" s="69"/>
    </row>
    <row r="907">
      <c r="A907" s="69"/>
      <c r="B907" s="71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69"/>
      <c r="BE907" s="69"/>
      <c r="BF907" s="69"/>
      <c r="BG907" s="69"/>
      <c r="BH907" s="69"/>
      <c r="BI907" s="69"/>
      <c r="BJ907" s="69"/>
      <c r="BK907" s="69"/>
      <c r="BL907" s="69"/>
      <c r="BM907" s="69"/>
      <c r="BN907" s="69"/>
      <c r="BO907" s="69"/>
      <c r="BP907" s="69"/>
      <c r="BQ907" s="69"/>
      <c r="BR907" s="69"/>
      <c r="BS907" s="69"/>
      <c r="BT907" s="69"/>
      <c r="BU907" s="69"/>
      <c r="BV907" s="69"/>
      <c r="BW907" s="69"/>
      <c r="BX907" s="69"/>
      <c r="BY907" s="69"/>
      <c r="BZ907" s="69"/>
      <c r="CA907" s="69"/>
      <c r="CB907" s="69"/>
      <c r="CC907" s="69"/>
      <c r="CD907" s="69"/>
      <c r="CE907" s="69"/>
      <c r="CF907" s="69"/>
    </row>
    <row r="908">
      <c r="A908" s="69"/>
      <c r="B908" s="71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69"/>
      <c r="BE908" s="69"/>
      <c r="BF908" s="69"/>
      <c r="BG908" s="69"/>
      <c r="BH908" s="69"/>
      <c r="BI908" s="69"/>
      <c r="BJ908" s="69"/>
      <c r="BK908" s="69"/>
      <c r="BL908" s="69"/>
      <c r="BM908" s="69"/>
      <c r="BN908" s="69"/>
      <c r="BO908" s="69"/>
      <c r="BP908" s="69"/>
      <c r="BQ908" s="69"/>
      <c r="BR908" s="69"/>
      <c r="BS908" s="69"/>
      <c r="BT908" s="69"/>
      <c r="BU908" s="69"/>
      <c r="BV908" s="69"/>
      <c r="BW908" s="69"/>
      <c r="BX908" s="69"/>
      <c r="BY908" s="69"/>
      <c r="BZ908" s="69"/>
      <c r="CA908" s="69"/>
      <c r="CB908" s="69"/>
      <c r="CC908" s="69"/>
      <c r="CD908" s="69"/>
      <c r="CE908" s="69"/>
      <c r="CF908" s="69"/>
    </row>
    <row r="909">
      <c r="A909" s="69"/>
      <c r="B909" s="71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69"/>
      <c r="BE909" s="69"/>
      <c r="BF909" s="69"/>
      <c r="BG909" s="69"/>
      <c r="BH909" s="69"/>
      <c r="BI909" s="69"/>
      <c r="BJ909" s="69"/>
      <c r="BK909" s="69"/>
      <c r="BL909" s="69"/>
      <c r="BM909" s="69"/>
      <c r="BN909" s="69"/>
      <c r="BO909" s="69"/>
      <c r="BP909" s="69"/>
      <c r="BQ909" s="69"/>
      <c r="BR909" s="69"/>
      <c r="BS909" s="69"/>
      <c r="BT909" s="69"/>
      <c r="BU909" s="69"/>
      <c r="BV909" s="69"/>
      <c r="BW909" s="69"/>
      <c r="BX909" s="69"/>
      <c r="BY909" s="69"/>
      <c r="BZ909" s="69"/>
      <c r="CA909" s="69"/>
      <c r="CB909" s="69"/>
      <c r="CC909" s="69"/>
      <c r="CD909" s="69"/>
      <c r="CE909" s="69"/>
      <c r="CF909" s="69"/>
    </row>
    <row r="910">
      <c r="A910" s="69"/>
      <c r="B910" s="71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69"/>
      <c r="BE910" s="69"/>
      <c r="BF910" s="69"/>
      <c r="BG910" s="69"/>
      <c r="BH910" s="69"/>
      <c r="BI910" s="69"/>
      <c r="BJ910" s="69"/>
      <c r="BK910" s="69"/>
      <c r="BL910" s="69"/>
      <c r="BM910" s="69"/>
      <c r="BN910" s="69"/>
      <c r="BO910" s="69"/>
      <c r="BP910" s="69"/>
      <c r="BQ910" s="69"/>
      <c r="BR910" s="69"/>
      <c r="BS910" s="69"/>
      <c r="BT910" s="69"/>
      <c r="BU910" s="69"/>
      <c r="BV910" s="69"/>
      <c r="BW910" s="69"/>
      <c r="BX910" s="69"/>
      <c r="BY910" s="69"/>
      <c r="BZ910" s="69"/>
      <c r="CA910" s="69"/>
      <c r="CB910" s="69"/>
      <c r="CC910" s="69"/>
      <c r="CD910" s="69"/>
      <c r="CE910" s="69"/>
      <c r="CF910" s="69"/>
    </row>
    <row r="911">
      <c r="A911" s="69"/>
      <c r="B911" s="71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69"/>
      <c r="BE911" s="69"/>
      <c r="BF911" s="69"/>
      <c r="BG911" s="69"/>
      <c r="BH911" s="69"/>
      <c r="BI911" s="69"/>
      <c r="BJ911" s="69"/>
      <c r="BK911" s="69"/>
      <c r="BL911" s="69"/>
      <c r="BM911" s="69"/>
      <c r="BN911" s="69"/>
      <c r="BO911" s="69"/>
      <c r="BP911" s="69"/>
      <c r="BQ911" s="69"/>
      <c r="BR911" s="69"/>
      <c r="BS911" s="69"/>
      <c r="BT911" s="69"/>
      <c r="BU911" s="69"/>
      <c r="BV911" s="69"/>
      <c r="BW911" s="69"/>
      <c r="BX911" s="69"/>
      <c r="BY911" s="69"/>
      <c r="BZ911" s="69"/>
      <c r="CA911" s="69"/>
      <c r="CB911" s="69"/>
      <c r="CC911" s="69"/>
      <c r="CD911" s="69"/>
      <c r="CE911" s="69"/>
      <c r="CF911" s="69"/>
    </row>
    <row r="912">
      <c r="A912" s="69"/>
      <c r="B912" s="71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69"/>
      <c r="BE912" s="69"/>
      <c r="BF912" s="69"/>
      <c r="BG912" s="69"/>
      <c r="BH912" s="69"/>
      <c r="BI912" s="69"/>
      <c r="BJ912" s="69"/>
      <c r="BK912" s="69"/>
      <c r="BL912" s="69"/>
      <c r="BM912" s="69"/>
      <c r="BN912" s="69"/>
      <c r="BO912" s="69"/>
      <c r="BP912" s="69"/>
      <c r="BQ912" s="69"/>
      <c r="BR912" s="69"/>
      <c r="BS912" s="69"/>
      <c r="BT912" s="69"/>
      <c r="BU912" s="69"/>
      <c r="BV912" s="69"/>
      <c r="BW912" s="69"/>
      <c r="BX912" s="69"/>
      <c r="BY912" s="69"/>
      <c r="BZ912" s="69"/>
      <c r="CA912" s="69"/>
      <c r="CB912" s="69"/>
      <c r="CC912" s="69"/>
      <c r="CD912" s="69"/>
      <c r="CE912" s="69"/>
      <c r="CF912" s="69"/>
    </row>
    <row r="913">
      <c r="A913" s="69"/>
      <c r="B913" s="71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69"/>
      <c r="BE913" s="69"/>
      <c r="BF913" s="69"/>
      <c r="BG913" s="69"/>
      <c r="BH913" s="69"/>
      <c r="BI913" s="69"/>
      <c r="BJ913" s="69"/>
      <c r="BK913" s="69"/>
      <c r="BL913" s="69"/>
      <c r="BM913" s="69"/>
      <c r="BN913" s="69"/>
      <c r="BO913" s="69"/>
      <c r="BP913" s="69"/>
      <c r="BQ913" s="69"/>
      <c r="BR913" s="69"/>
      <c r="BS913" s="69"/>
      <c r="BT913" s="69"/>
      <c r="BU913" s="69"/>
      <c r="BV913" s="69"/>
      <c r="BW913" s="69"/>
      <c r="BX913" s="69"/>
      <c r="BY913" s="69"/>
      <c r="BZ913" s="69"/>
      <c r="CA913" s="69"/>
      <c r="CB913" s="69"/>
      <c r="CC913" s="69"/>
      <c r="CD913" s="69"/>
      <c r="CE913" s="69"/>
      <c r="CF913" s="69"/>
    </row>
    <row r="914">
      <c r="A914" s="69"/>
      <c r="B914" s="71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69"/>
      <c r="BE914" s="69"/>
      <c r="BF914" s="69"/>
      <c r="BG914" s="69"/>
      <c r="BH914" s="69"/>
      <c r="BI914" s="69"/>
      <c r="BJ914" s="69"/>
      <c r="BK914" s="69"/>
      <c r="BL914" s="69"/>
      <c r="BM914" s="69"/>
      <c r="BN914" s="69"/>
      <c r="BO914" s="69"/>
      <c r="BP914" s="69"/>
      <c r="BQ914" s="69"/>
      <c r="BR914" s="69"/>
      <c r="BS914" s="69"/>
      <c r="BT914" s="69"/>
      <c r="BU914" s="69"/>
      <c r="BV914" s="69"/>
      <c r="BW914" s="69"/>
      <c r="BX914" s="69"/>
      <c r="BY914" s="69"/>
      <c r="BZ914" s="69"/>
      <c r="CA914" s="69"/>
      <c r="CB914" s="69"/>
      <c r="CC914" s="69"/>
      <c r="CD914" s="69"/>
      <c r="CE914" s="69"/>
      <c r="CF914" s="69"/>
    </row>
    <row r="915">
      <c r="A915" s="69"/>
      <c r="B915" s="71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69"/>
      <c r="BE915" s="69"/>
      <c r="BF915" s="69"/>
      <c r="BG915" s="69"/>
      <c r="BH915" s="69"/>
      <c r="BI915" s="69"/>
      <c r="BJ915" s="69"/>
      <c r="BK915" s="69"/>
      <c r="BL915" s="69"/>
      <c r="BM915" s="69"/>
      <c r="BN915" s="69"/>
      <c r="BO915" s="69"/>
      <c r="BP915" s="69"/>
      <c r="BQ915" s="69"/>
      <c r="BR915" s="69"/>
      <c r="BS915" s="69"/>
      <c r="BT915" s="69"/>
      <c r="BU915" s="69"/>
      <c r="BV915" s="69"/>
      <c r="BW915" s="69"/>
      <c r="BX915" s="69"/>
      <c r="BY915" s="69"/>
      <c r="BZ915" s="69"/>
      <c r="CA915" s="69"/>
      <c r="CB915" s="69"/>
      <c r="CC915" s="69"/>
      <c r="CD915" s="69"/>
      <c r="CE915" s="69"/>
      <c r="CF915" s="69"/>
    </row>
    <row r="916">
      <c r="A916" s="69"/>
      <c r="B916" s="71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69"/>
      <c r="BE916" s="69"/>
      <c r="BF916" s="69"/>
      <c r="BG916" s="69"/>
      <c r="BH916" s="69"/>
      <c r="BI916" s="69"/>
      <c r="BJ916" s="69"/>
      <c r="BK916" s="69"/>
      <c r="BL916" s="69"/>
      <c r="BM916" s="69"/>
      <c r="BN916" s="69"/>
      <c r="BO916" s="69"/>
      <c r="BP916" s="69"/>
      <c r="BQ916" s="69"/>
      <c r="BR916" s="69"/>
      <c r="BS916" s="69"/>
      <c r="BT916" s="69"/>
      <c r="BU916" s="69"/>
      <c r="BV916" s="69"/>
      <c r="BW916" s="69"/>
      <c r="BX916" s="69"/>
      <c r="BY916" s="69"/>
      <c r="BZ916" s="69"/>
      <c r="CA916" s="69"/>
      <c r="CB916" s="69"/>
      <c r="CC916" s="69"/>
      <c r="CD916" s="69"/>
      <c r="CE916" s="69"/>
      <c r="CF916" s="69"/>
    </row>
    <row r="917">
      <c r="A917" s="69"/>
      <c r="B917" s="71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69"/>
      <c r="BE917" s="69"/>
      <c r="BF917" s="69"/>
      <c r="BG917" s="69"/>
      <c r="BH917" s="69"/>
      <c r="BI917" s="69"/>
      <c r="BJ917" s="69"/>
      <c r="BK917" s="69"/>
      <c r="BL917" s="69"/>
      <c r="BM917" s="69"/>
      <c r="BN917" s="69"/>
      <c r="BO917" s="69"/>
      <c r="BP917" s="69"/>
      <c r="BQ917" s="69"/>
      <c r="BR917" s="69"/>
      <c r="BS917" s="69"/>
      <c r="BT917" s="69"/>
      <c r="BU917" s="69"/>
      <c r="BV917" s="69"/>
      <c r="BW917" s="69"/>
      <c r="BX917" s="69"/>
      <c r="BY917" s="69"/>
      <c r="BZ917" s="69"/>
      <c r="CA917" s="69"/>
      <c r="CB917" s="69"/>
      <c r="CC917" s="69"/>
      <c r="CD917" s="69"/>
      <c r="CE917" s="69"/>
      <c r="CF917" s="69"/>
    </row>
    <row r="918">
      <c r="A918" s="69"/>
      <c r="B918" s="71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69"/>
      <c r="BE918" s="69"/>
      <c r="BF918" s="69"/>
      <c r="BG918" s="69"/>
      <c r="BH918" s="69"/>
      <c r="BI918" s="69"/>
      <c r="BJ918" s="69"/>
      <c r="BK918" s="69"/>
      <c r="BL918" s="69"/>
      <c r="BM918" s="69"/>
      <c r="BN918" s="69"/>
      <c r="BO918" s="69"/>
      <c r="BP918" s="69"/>
      <c r="BQ918" s="69"/>
      <c r="BR918" s="69"/>
      <c r="BS918" s="69"/>
      <c r="BT918" s="69"/>
      <c r="BU918" s="69"/>
      <c r="BV918" s="69"/>
      <c r="BW918" s="69"/>
      <c r="BX918" s="69"/>
      <c r="BY918" s="69"/>
      <c r="BZ918" s="69"/>
      <c r="CA918" s="69"/>
      <c r="CB918" s="69"/>
      <c r="CC918" s="69"/>
      <c r="CD918" s="69"/>
      <c r="CE918" s="69"/>
      <c r="CF918" s="69"/>
    </row>
    <row r="919">
      <c r="A919" s="69"/>
      <c r="B919" s="71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69"/>
      <c r="BE919" s="69"/>
      <c r="BF919" s="69"/>
      <c r="BG919" s="69"/>
      <c r="BH919" s="69"/>
      <c r="BI919" s="69"/>
      <c r="BJ919" s="69"/>
      <c r="BK919" s="69"/>
      <c r="BL919" s="69"/>
      <c r="BM919" s="69"/>
      <c r="BN919" s="69"/>
      <c r="BO919" s="69"/>
      <c r="BP919" s="69"/>
      <c r="BQ919" s="69"/>
      <c r="BR919" s="69"/>
      <c r="BS919" s="69"/>
      <c r="BT919" s="69"/>
      <c r="BU919" s="69"/>
      <c r="BV919" s="69"/>
      <c r="BW919" s="69"/>
      <c r="BX919" s="69"/>
      <c r="BY919" s="69"/>
      <c r="BZ919" s="69"/>
      <c r="CA919" s="69"/>
      <c r="CB919" s="69"/>
      <c r="CC919" s="69"/>
      <c r="CD919" s="69"/>
      <c r="CE919" s="69"/>
      <c r="CF919" s="69"/>
    </row>
    <row r="920">
      <c r="A920" s="69"/>
      <c r="B920" s="71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69"/>
      <c r="BE920" s="69"/>
      <c r="BF920" s="69"/>
      <c r="BG920" s="69"/>
      <c r="BH920" s="69"/>
      <c r="BI920" s="69"/>
      <c r="BJ920" s="69"/>
      <c r="BK920" s="69"/>
      <c r="BL920" s="69"/>
      <c r="BM920" s="69"/>
      <c r="BN920" s="69"/>
      <c r="BO920" s="69"/>
      <c r="BP920" s="69"/>
      <c r="BQ920" s="69"/>
      <c r="BR920" s="69"/>
      <c r="BS920" s="69"/>
      <c r="BT920" s="69"/>
      <c r="BU920" s="69"/>
      <c r="BV920" s="69"/>
      <c r="BW920" s="69"/>
      <c r="BX920" s="69"/>
      <c r="BY920" s="69"/>
      <c r="BZ920" s="69"/>
      <c r="CA920" s="69"/>
      <c r="CB920" s="69"/>
      <c r="CC920" s="69"/>
      <c r="CD920" s="69"/>
      <c r="CE920" s="69"/>
      <c r="CF920" s="69"/>
    </row>
    <row r="921">
      <c r="A921" s="69"/>
      <c r="B921" s="71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69"/>
      <c r="BE921" s="69"/>
      <c r="BF921" s="69"/>
      <c r="BG921" s="69"/>
      <c r="BH921" s="69"/>
      <c r="BI921" s="69"/>
      <c r="BJ921" s="69"/>
      <c r="BK921" s="69"/>
      <c r="BL921" s="69"/>
      <c r="BM921" s="69"/>
      <c r="BN921" s="69"/>
      <c r="BO921" s="69"/>
      <c r="BP921" s="69"/>
      <c r="BQ921" s="69"/>
      <c r="BR921" s="69"/>
      <c r="BS921" s="69"/>
      <c r="BT921" s="69"/>
      <c r="BU921" s="69"/>
      <c r="BV921" s="69"/>
      <c r="BW921" s="69"/>
      <c r="BX921" s="69"/>
      <c r="BY921" s="69"/>
      <c r="BZ921" s="69"/>
      <c r="CA921" s="69"/>
      <c r="CB921" s="69"/>
      <c r="CC921" s="69"/>
      <c r="CD921" s="69"/>
      <c r="CE921" s="69"/>
      <c r="CF921" s="69"/>
    </row>
    <row r="922">
      <c r="A922" s="69"/>
      <c r="B922" s="71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69"/>
      <c r="BE922" s="69"/>
      <c r="BF922" s="69"/>
      <c r="BG922" s="69"/>
      <c r="BH922" s="69"/>
      <c r="BI922" s="69"/>
      <c r="BJ922" s="69"/>
      <c r="BK922" s="69"/>
      <c r="BL922" s="69"/>
      <c r="BM922" s="69"/>
      <c r="BN922" s="69"/>
      <c r="BO922" s="69"/>
      <c r="BP922" s="69"/>
      <c r="BQ922" s="69"/>
      <c r="BR922" s="69"/>
      <c r="BS922" s="69"/>
      <c r="BT922" s="69"/>
      <c r="BU922" s="69"/>
      <c r="BV922" s="69"/>
      <c r="BW922" s="69"/>
      <c r="BX922" s="69"/>
      <c r="BY922" s="69"/>
      <c r="BZ922" s="69"/>
      <c r="CA922" s="69"/>
      <c r="CB922" s="69"/>
      <c r="CC922" s="69"/>
      <c r="CD922" s="69"/>
      <c r="CE922" s="69"/>
      <c r="CF922" s="69"/>
    </row>
    <row r="923">
      <c r="A923" s="69"/>
      <c r="B923" s="71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69"/>
      <c r="BE923" s="69"/>
      <c r="BF923" s="69"/>
      <c r="BG923" s="69"/>
      <c r="BH923" s="69"/>
      <c r="BI923" s="69"/>
      <c r="BJ923" s="69"/>
      <c r="BK923" s="69"/>
      <c r="BL923" s="69"/>
      <c r="BM923" s="69"/>
      <c r="BN923" s="69"/>
      <c r="BO923" s="69"/>
      <c r="BP923" s="69"/>
      <c r="BQ923" s="69"/>
      <c r="BR923" s="69"/>
      <c r="BS923" s="69"/>
      <c r="BT923" s="69"/>
      <c r="BU923" s="69"/>
      <c r="BV923" s="69"/>
      <c r="BW923" s="69"/>
      <c r="BX923" s="69"/>
      <c r="BY923" s="69"/>
      <c r="BZ923" s="69"/>
      <c r="CA923" s="69"/>
      <c r="CB923" s="69"/>
      <c r="CC923" s="69"/>
      <c r="CD923" s="69"/>
      <c r="CE923" s="69"/>
      <c r="CF923" s="69"/>
    </row>
    <row r="924">
      <c r="A924" s="69"/>
      <c r="B924" s="71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69"/>
      <c r="BE924" s="69"/>
      <c r="BF924" s="69"/>
      <c r="BG924" s="69"/>
      <c r="BH924" s="69"/>
      <c r="BI924" s="69"/>
      <c r="BJ924" s="69"/>
      <c r="BK924" s="69"/>
      <c r="BL924" s="69"/>
      <c r="BM924" s="69"/>
      <c r="BN924" s="69"/>
      <c r="BO924" s="69"/>
      <c r="BP924" s="69"/>
      <c r="BQ924" s="69"/>
      <c r="BR924" s="69"/>
      <c r="BS924" s="69"/>
      <c r="BT924" s="69"/>
      <c r="BU924" s="69"/>
      <c r="BV924" s="69"/>
      <c r="BW924" s="69"/>
      <c r="BX924" s="69"/>
      <c r="BY924" s="69"/>
      <c r="BZ924" s="69"/>
      <c r="CA924" s="69"/>
      <c r="CB924" s="69"/>
      <c r="CC924" s="69"/>
      <c r="CD924" s="69"/>
      <c r="CE924" s="69"/>
      <c r="CF924" s="69"/>
    </row>
    <row r="925">
      <c r="A925" s="69"/>
      <c r="B925" s="71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69"/>
      <c r="BE925" s="69"/>
      <c r="BF925" s="69"/>
      <c r="BG925" s="69"/>
      <c r="BH925" s="69"/>
      <c r="BI925" s="69"/>
      <c r="BJ925" s="69"/>
      <c r="BK925" s="69"/>
      <c r="BL925" s="69"/>
      <c r="BM925" s="69"/>
      <c r="BN925" s="69"/>
      <c r="BO925" s="69"/>
      <c r="BP925" s="69"/>
      <c r="BQ925" s="69"/>
      <c r="BR925" s="69"/>
      <c r="BS925" s="69"/>
      <c r="BT925" s="69"/>
      <c r="BU925" s="69"/>
      <c r="BV925" s="69"/>
      <c r="BW925" s="69"/>
      <c r="BX925" s="69"/>
      <c r="BY925" s="69"/>
      <c r="BZ925" s="69"/>
      <c r="CA925" s="69"/>
      <c r="CB925" s="69"/>
      <c r="CC925" s="69"/>
      <c r="CD925" s="69"/>
      <c r="CE925" s="69"/>
      <c r="CF925" s="69"/>
    </row>
    <row r="926">
      <c r="A926" s="69"/>
      <c r="B926" s="71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69"/>
      <c r="BE926" s="69"/>
      <c r="BF926" s="69"/>
      <c r="BG926" s="69"/>
      <c r="BH926" s="69"/>
      <c r="BI926" s="69"/>
      <c r="BJ926" s="69"/>
      <c r="BK926" s="69"/>
      <c r="BL926" s="69"/>
      <c r="BM926" s="69"/>
      <c r="BN926" s="69"/>
      <c r="BO926" s="69"/>
      <c r="BP926" s="69"/>
      <c r="BQ926" s="69"/>
      <c r="BR926" s="69"/>
      <c r="BS926" s="69"/>
      <c r="BT926" s="69"/>
      <c r="BU926" s="69"/>
      <c r="BV926" s="69"/>
      <c r="BW926" s="69"/>
      <c r="BX926" s="69"/>
      <c r="BY926" s="69"/>
      <c r="BZ926" s="69"/>
      <c r="CA926" s="69"/>
      <c r="CB926" s="69"/>
      <c r="CC926" s="69"/>
      <c r="CD926" s="69"/>
      <c r="CE926" s="69"/>
      <c r="CF926" s="69"/>
    </row>
    <row r="927">
      <c r="A927" s="69"/>
      <c r="B927" s="71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69"/>
      <c r="BE927" s="69"/>
      <c r="BF927" s="69"/>
      <c r="BG927" s="69"/>
      <c r="BH927" s="69"/>
      <c r="BI927" s="69"/>
      <c r="BJ927" s="69"/>
      <c r="BK927" s="69"/>
      <c r="BL927" s="69"/>
      <c r="BM927" s="69"/>
      <c r="BN927" s="69"/>
      <c r="BO927" s="69"/>
      <c r="BP927" s="69"/>
      <c r="BQ927" s="69"/>
      <c r="BR927" s="69"/>
      <c r="BS927" s="69"/>
      <c r="BT927" s="69"/>
      <c r="BU927" s="69"/>
      <c r="BV927" s="69"/>
      <c r="BW927" s="69"/>
      <c r="BX927" s="69"/>
      <c r="BY927" s="69"/>
      <c r="BZ927" s="69"/>
      <c r="CA927" s="69"/>
      <c r="CB927" s="69"/>
      <c r="CC927" s="69"/>
      <c r="CD927" s="69"/>
      <c r="CE927" s="69"/>
      <c r="CF927" s="69"/>
    </row>
    <row r="928">
      <c r="A928" s="69"/>
      <c r="B928" s="71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69"/>
      <c r="BE928" s="69"/>
      <c r="BF928" s="69"/>
      <c r="BG928" s="69"/>
      <c r="BH928" s="69"/>
      <c r="BI928" s="69"/>
      <c r="BJ928" s="69"/>
      <c r="BK928" s="69"/>
      <c r="BL928" s="69"/>
      <c r="BM928" s="69"/>
      <c r="BN928" s="69"/>
      <c r="BO928" s="69"/>
      <c r="BP928" s="69"/>
      <c r="BQ928" s="69"/>
      <c r="BR928" s="69"/>
      <c r="BS928" s="69"/>
      <c r="BT928" s="69"/>
      <c r="BU928" s="69"/>
      <c r="BV928" s="69"/>
      <c r="BW928" s="69"/>
      <c r="BX928" s="69"/>
      <c r="BY928" s="69"/>
      <c r="BZ928" s="69"/>
      <c r="CA928" s="69"/>
      <c r="CB928" s="69"/>
      <c r="CC928" s="69"/>
      <c r="CD928" s="69"/>
      <c r="CE928" s="69"/>
      <c r="CF928" s="69"/>
    </row>
    <row r="929">
      <c r="A929" s="69"/>
      <c r="B929" s="71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69"/>
      <c r="BE929" s="69"/>
      <c r="BF929" s="69"/>
      <c r="BG929" s="69"/>
      <c r="BH929" s="69"/>
      <c r="BI929" s="69"/>
      <c r="BJ929" s="69"/>
      <c r="BK929" s="69"/>
      <c r="BL929" s="69"/>
      <c r="BM929" s="69"/>
      <c r="BN929" s="69"/>
      <c r="BO929" s="69"/>
      <c r="BP929" s="69"/>
      <c r="BQ929" s="69"/>
      <c r="BR929" s="69"/>
      <c r="BS929" s="69"/>
      <c r="BT929" s="69"/>
      <c r="BU929" s="69"/>
      <c r="BV929" s="69"/>
      <c r="BW929" s="69"/>
      <c r="BX929" s="69"/>
      <c r="BY929" s="69"/>
      <c r="BZ929" s="69"/>
      <c r="CA929" s="69"/>
      <c r="CB929" s="69"/>
      <c r="CC929" s="69"/>
      <c r="CD929" s="69"/>
      <c r="CE929" s="69"/>
      <c r="CF929" s="69"/>
    </row>
    <row r="930">
      <c r="A930" s="69"/>
      <c r="B930" s="71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69"/>
      <c r="BE930" s="69"/>
      <c r="BF930" s="69"/>
      <c r="BG930" s="69"/>
      <c r="BH930" s="69"/>
      <c r="BI930" s="69"/>
      <c r="BJ930" s="69"/>
      <c r="BK930" s="69"/>
      <c r="BL930" s="69"/>
      <c r="BM930" s="69"/>
      <c r="BN930" s="69"/>
      <c r="BO930" s="69"/>
      <c r="BP930" s="69"/>
      <c r="BQ930" s="69"/>
      <c r="BR930" s="69"/>
      <c r="BS930" s="69"/>
      <c r="BT930" s="69"/>
      <c r="BU930" s="69"/>
      <c r="BV930" s="69"/>
      <c r="BW930" s="69"/>
      <c r="BX930" s="69"/>
      <c r="BY930" s="69"/>
      <c r="BZ930" s="69"/>
      <c r="CA930" s="69"/>
      <c r="CB930" s="69"/>
      <c r="CC930" s="69"/>
      <c r="CD930" s="69"/>
      <c r="CE930" s="69"/>
      <c r="CF930" s="69"/>
    </row>
    <row r="931">
      <c r="A931" s="69"/>
      <c r="B931" s="71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69"/>
      <c r="BE931" s="69"/>
      <c r="BF931" s="69"/>
      <c r="BG931" s="69"/>
      <c r="BH931" s="69"/>
      <c r="BI931" s="69"/>
      <c r="BJ931" s="69"/>
      <c r="BK931" s="69"/>
      <c r="BL931" s="69"/>
      <c r="BM931" s="69"/>
      <c r="BN931" s="69"/>
      <c r="BO931" s="69"/>
      <c r="BP931" s="69"/>
      <c r="BQ931" s="69"/>
      <c r="BR931" s="69"/>
      <c r="BS931" s="69"/>
      <c r="BT931" s="69"/>
      <c r="BU931" s="69"/>
      <c r="BV931" s="69"/>
      <c r="BW931" s="69"/>
      <c r="BX931" s="69"/>
      <c r="BY931" s="69"/>
      <c r="BZ931" s="69"/>
      <c r="CA931" s="69"/>
      <c r="CB931" s="69"/>
      <c r="CC931" s="69"/>
      <c r="CD931" s="69"/>
      <c r="CE931" s="69"/>
      <c r="CF931" s="69"/>
    </row>
    <row r="932">
      <c r="A932" s="69"/>
      <c r="B932" s="71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69"/>
      <c r="BE932" s="69"/>
      <c r="BF932" s="69"/>
      <c r="BG932" s="69"/>
      <c r="BH932" s="69"/>
      <c r="BI932" s="69"/>
      <c r="BJ932" s="69"/>
      <c r="BK932" s="69"/>
      <c r="BL932" s="69"/>
      <c r="BM932" s="69"/>
      <c r="BN932" s="69"/>
      <c r="BO932" s="69"/>
      <c r="BP932" s="69"/>
      <c r="BQ932" s="69"/>
      <c r="BR932" s="69"/>
      <c r="BS932" s="69"/>
      <c r="BT932" s="69"/>
      <c r="BU932" s="69"/>
      <c r="BV932" s="69"/>
      <c r="BW932" s="69"/>
      <c r="BX932" s="69"/>
      <c r="BY932" s="69"/>
      <c r="BZ932" s="69"/>
      <c r="CA932" s="69"/>
      <c r="CB932" s="69"/>
      <c r="CC932" s="69"/>
      <c r="CD932" s="69"/>
      <c r="CE932" s="69"/>
      <c r="CF932" s="69"/>
    </row>
    <row r="933">
      <c r="A933" s="69"/>
      <c r="B933" s="71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69"/>
      <c r="BE933" s="69"/>
      <c r="BF933" s="69"/>
      <c r="BG933" s="69"/>
      <c r="BH933" s="69"/>
      <c r="BI933" s="69"/>
      <c r="BJ933" s="69"/>
      <c r="BK933" s="69"/>
      <c r="BL933" s="69"/>
      <c r="BM933" s="69"/>
      <c r="BN933" s="69"/>
      <c r="BO933" s="69"/>
      <c r="BP933" s="69"/>
      <c r="BQ933" s="69"/>
      <c r="BR933" s="69"/>
      <c r="BS933" s="69"/>
      <c r="BT933" s="69"/>
      <c r="BU933" s="69"/>
      <c r="BV933" s="69"/>
      <c r="BW933" s="69"/>
      <c r="BX933" s="69"/>
      <c r="BY933" s="69"/>
      <c r="BZ933" s="69"/>
      <c r="CA933" s="69"/>
      <c r="CB933" s="69"/>
      <c r="CC933" s="69"/>
      <c r="CD933" s="69"/>
      <c r="CE933" s="69"/>
      <c r="CF933" s="69"/>
    </row>
    <row r="934">
      <c r="A934" s="69"/>
      <c r="B934" s="71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69"/>
      <c r="BE934" s="69"/>
      <c r="BF934" s="69"/>
      <c r="BG934" s="69"/>
      <c r="BH934" s="69"/>
      <c r="BI934" s="69"/>
      <c r="BJ934" s="69"/>
      <c r="BK934" s="69"/>
      <c r="BL934" s="69"/>
      <c r="BM934" s="69"/>
      <c r="BN934" s="69"/>
      <c r="BO934" s="69"/>
      <c r="BP934" s="69"/>
      <c r="BQ934" s="69"/>
      <c r="BR934" s="69"/>
      <c r="BS934" s="69"/>
      <c r="BT934" s="69"/>
      <c r="BU934" s="69"/>
      <c r="BV934" s="69"/>
      <c r="BW934" s="69"/>
      <c r="BX934" s="69"/>
      <c r="BY934" s="69"/>
      <c r="BZ934" s="69"/>
      <c r="CA934" s="69"/>
      <c r="CB934" s="69"/>
      <c r="CC934" s="69"/>
      <c r="CD934" s="69"/>
      <c r="CE934" s="69"/>
      <c r="CF934" s="69"/>
    </row>
    <row r="935">
      <c r="A935" s="69"/>
      <c r="B935" s="71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69"/>
      <c r="BE935" s="69"/>
      <c r="BF935" s="69"/>
      <c r="BG935" s="69"/>
      <c r="BH935" s="69"/>
      <c r="BI935" s="69"/>
      <c r="BJ935" s="69"/>
      <c r="BK935" s="69"/>
      <c r="BL935" s="69"/>
      <c r="BM935" s="69"/>
      <c r="BN935" s="69"/>
      <c r="BO935" s="69"/>
      <c r="BP935" s="69"/>
      <c r="BQ935" s="69"/>
      <c r="BR935" s="69"/>
      <c r="BS935" s="69"/>
      <c r="BT935" s="69"/>
      <c r="BU935" s="69"/>
      <c r="BV935" s="69"/>
      <c r="BW935" s="69"/>
      <c r="BX935" s="69"/>
      <c r="BY935" s="69"/>
      <c r="BZ935" s="69"/>
      <c r="CA935" s="69"/>
      <c r="CB935" s="69"/>
      <c r="CC935" s="69"/>
      <c r="CD935" s="69"/>
      <c r="CE935" s="69"/>
      <c r="CF935" s="69"/>
    </row>
    <row r="936">
      <c r="A936" s="69"/>
      <c r="B936" s="71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69"/>
      <c r="BE936" s="69"/>
      <c r="BF936" s="69"/>
      <c r="BG936" s="69"/>
      <c r="BH936" s="69"/>
      <c r="BI936" s="69"/>
      <c r="BJ936" s="69"/>
      <c r="BK936" s="69"/>
      <c r="BL936" s="69"/>
      <c r="BM936" s="69"/>
      <c r="BN936" s="69"/>
      <c r="BO936" s="69"/>
      <c r="BP936" s="69"/>
      <c r="BQ936" s="69"/>
      <c r="BR936" s="69"/>
      <c r="BS936" s="69"/>
      <c r="BT936" s="69"/>
      <c r="BU936" s="69"/>
      <c r="BV936" s="69"/>
      <c r="BW936" s="69"/>
      <c r="BX936" s="69"/>
      <c r="BY936" s="69"/>
      <c r="BZ936" s="69"/>
      <c r="CA936" s="69"/>
      <c r="CB936" s="69"/>
      <c r="CC936" s="69"/>
      <c r="CD936" s="69"/>
      <c r="CE936" s="69"/>
      <c r="CF936" s="69"/>
    </row>
    <row r="937">
      <c r="A937" s="69"/>
      <c r="B937" s="71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69"/>
      <c r="BE937" s="69"/>
      <c r="BF937" s="69"/>
      <c r="BG937" s="69"/>
      <c r="BH937" s="69"/>
      <c r="BI937" s="69"/>
      <c r="BJ937" s="69"/>
      <c r="BK937" s="69"/>
      <c r="BL937" s="69"/>
      <c r="BM937" s="69"/>
      <c r="BN937" s="69"/>
      <c r="BO937" s="69"/>
      <c r="BP937" s="69"/>
      <c r="BQ937" s="69"/>
      <c r="BR937" s="69"/>
      <c r="BS937" s="69"/>
      <c r="BT937" s="69"/>
      <c r="BU937" s="69"/>
      <c r="BV937" s="69"/>
      <c r="BW937" s="69"/>
      <c r="BX937" s="69"/>
      <c r="BY937" s="69"/>
      <c r="BZ937" s="69"/>
      <c r="CA937" s="69"/>
      <c r="CB937" s="69"/>
      <c r="CC937" s="69"/>
      <c r="CD937" s="69"/>
      <c r="CE937" s="69"/>
      <c r="CF937" s="69"/>
    </row>
    <row r="938">
      <c r="A938" s="69"/>
      <c r="B938" s="71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69"/>
      <c r="BE938" s="69"/>
      <c r="BF938" s="69"/>
      <c r="BG938" s="69"/>
      <c r="BH938" s="69"/>
      <c r="BI938" s="69"/>
      <c r="BJ938" s="69"/>
      <c r="BK938" s="69"/>
      <c r="BL938" s="69"/>
      <c r="BM938" s="69"/>
      <c r="BN938" s="69"/>
      <c r="BO938" s="69"/>
      <c r="BP938" s="69"/>
      <c r="BQ938" s="69"/>
      <c r="BR938" s="69"/>
      <c r="BS938" s="69"/>
      <c r="BT938" s="69"/>
      <c r="BU938" s="69"/>
      <c r="BV938" s="69"/>
      <c r="BW938" s="69"/>
      <c r="BX938" s="69"/>
      <c r="BY938" s="69"/>
      <c r="BZ938" s="69"/>
      <c r="CA938" s="69"/>
      <c r="CB938" s="69"/>
      <c r="CC938" s="69"/>
      <c r="CD938" s="69"/>
      <c r="CE938" s="69"/>
      <c r="CF938" s="69"/>
    </row>
    <row r="939">
      <c r="A939" s="69"/>
      <c r="B939" s="71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69"/>
      <c r="BE939" s="69"/>
      <c r="BF939" s="69"/>
      <c r="BG939" s="69"/>
      <c r="BH939" s="69"/>
      <c r="BI939" s="69"/>
      <c r="BJ939" s="69"/>
      <c r="BK939" s="69"/>
      <c r="BL939" s="69"/>
      <c r="BM939" s="69"/>
      <c r="BN939" s="69"/>
      <c r="BO939" s="69"/>
      <c r="BP939" s="69"/>
      <c r="BQ939" s="69"/>
      <c r="BR939" s="69"/>
      <c r="BS939" s="69"/>
      <c r="BT939" s="69"/>
      <c r="BU939" s="69"/>
      <c r="BV939" s="69"/>
      <c r="BW939" s="69"/>
      <c r="BX939" s="69"/>
      <c r="BY939" s="69"/>
      <c r="BZ939" s="69"/>
      <c r="CA939" s="69"/>
      <c r="CB939" s="69"/>
      <c r="CC939" s="69"/>
      <c r="CD939" s="69"/>
      <c r="CE939" s="69"/>
      <c r="CF939" s="69"/>
    </row>
    <row r="940">
      <c r="A940" s="69"/>
      <c r="B940" s="71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69"/>
      <c r="BE940" s="69"/>
      <c r="BF940" s="69"/>
      <c r="BG940" s="69"/>
      <c r="BH940" s="69"/>
      <c r="BI940" s="69"/>
      <c r="BJ940" s="69"/>
      <c r="BK940" s="69"/>
      <c r="BL940" s="69"/>
      <c r="BM940" s="69"/>
      <c r="BN940" s="69"/>
      <c r="BO940" s="69"/>
      <c r="BP940" s="69"/>
      <c r="BQ940" s="69"/>
      <c r="BR940" s="69"/>
      <c r="BS940" s="69"/>
      <c r="BT940" s="69"/>
      <c r="BU940" s="69"/>
      <c r="BV940" s="69"/>
      <c r="BW940" s="69"/>
      <c r="BX940" s="69"/>
      <c r="BY940" s="69"/>
      <c r="BZ940" s="69"/>
      <c r="CA940" s="69"/>
      <c r="CB940" s="69"/>
      <c r="CC940" s="69"/>
      <c r="CD940" s="69"/>
      <c r="CE940" s="69"/>
      <c r="CF940" s="69"/>
    </row>
    <row r="941">
      <c r="A941" s="69"/>
      <c r="B941" s="71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69"/>
      <c r="BE941" s="69"/>
      <c r="BF941" s="69"/>
      <c r="BG941" s="69"/>
      <c r="BH941" s="69"/>
      <c r="BI941" s="69"/>
      <c r="BJ941" s="69"/>
      <c r="BK941" s="69"/>
      <c r="BL941" s="69"/>
      <c r="BM941" s="69"/>
      <c r="BN941" s="69"/>
      <c r="BO941" s="69"/>
      <c r="BP941" s="69"/>
      <c r="BQ941" s="69"/>
      <c r="BR941" s="69"/>
      <c r="BS941" s="69"/>
      <c r="BT941" s="69"/>
      <c r="BU941" s="69"/>
      <c r="BV941" s="69"/>
      <c r="BW941" s="69"/>
      <c r="BX941" s="69"/>
      <c r="BY941" s="69"/>
      <c r="BZ941" s="69"/>
      <c r="CA941" s="69"/>
      <c r="CB941" s="69"/>
      <c r="CC941" s="69"/>
      <c r="CD941" s="69"/>
      <c r="CE941" s="69"/>
      <c r="CF941" s="69"/>
    </row>
    <row r="942">
      <c r="A942" s="69"/>
      <c r="B942" s="71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69"/>
      <c r="BE942" s="69"/>
      <c r="BF942" s="69"/>
      <c r="BG942" s="69"/>
      <c r="BH942" s="69"/>
      <c r="BI942" s="69"/>
      <c r="BJ942" s="69"/>
      <c r="BK942" s="69"/>
      <c r="BL942" s="69"/>
      <c r="BM942" s="69"/>
      <c r="BN942" s="69"/>
      <c r="BO942" s="69"/>
      <c r="BP942" s="69"/>
      <c r="BQ942" s="69"/>
      <c r="BR942" s="69"/>
      <c r="BS942" s="69"/>
      <c r="BT942" s="69"/>
      <c r="BU942" s="69"/>
      <c r="BV942" s="69"/>
      <c r="BW942" s="69"/>
      <c r="BX942" s="69"/>
      <c r="BY942" s="69"/>
      <c r="BZ942" s="69"/>
      <c r="CA942" s="69"/>
      <c r="CB942" s="69"/>
      <c r="CC942" s="69"/>
      <c r="CD942" s="69"/>
      <c r="CE942" s="69"/>
      <c r="CF942" s="69"/>
    </row>
    <row r="943">
      <c r="A943" s="69"/>
      <c r="B943" s="71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69"/>
      <c r="BE943" s="69"/>
      <c r="BF943" s="69"/>
      <c r="BG943" s="69"/>
      <c r="BH943" s="69"/>
      <c r="BI943" s="69"/>
      <c r="BJ943" s="69"/>
      <c r="BK943" s="69"/>
      <c r="BL943" s="69"/>
      <c r="BM943" s="69"/>
      <c r="BN943" s="69"/>
      <c r="BO943" s="69"/>
      <c r="BP943" s="69"/>
      <c r="BQ943" s="69"/>
      <c r="BR943" s="69"/>
      <c r="BS943" s="69"/>
      <c r="BT943" s="69"/>
      <c r="BU943" s="69"/>
      <c r="BV943" s="69"/>
      <c r="BW943" s="69"/>
      <c r="BX943" s="69"/>
      <c r="BY943" s="69"/>
      <c r="BZ943" s="69"/>
      <c r="CA943" s="69"/>
      <c r="CB943" s="69"/>
      <c r="CC943" s="69"/>
      <c r="CD943" s="69"/>
      <c r="CE943" s="69"/>
      <c r="CF943" s="69"/>
    </row>
    <row r="944">
      <c r="A944" s="69"/>
      <c r="B944" s="71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69"/>
      <c r="BE944" s="69"/>
      <c r="BF944" s="69"/>
      <c r="BG944" s="69"/>
      <c r="BH944" s="69"/>
      <c r="BI944" s="69"/>
      <c r="BJ944" s="69"/>
      <c r="BK944" s="69"/>
      <c r="BL944" s="69"/>
      <c r="BM944" s="69"/>
      <c r="BN944" s="69"/>
      <c r="BO944" s="69"/>
      <c r="BP944" s="69"/>
      <c r="BQ944" s="69"/>
      <c r="BR944" s="69"/>
      <c r="BS944" s="69"/>
      <c r="BT944" s="69"/>
      <c r="BU944" s="69"/>
      <c r="BV944" s="69"/>
      <c r="BW944" s="69"/>
      <c r="BX944" s="69"/>
      <c r="BY944" s="69"/>
      <c r="BZ944" s="69"/>
      <c r="CA944" s="69"/>
      <c r="CB944" s="69"/>
      <c r="CC944" s="69"/>
      <c r="CD944" s="69"/>
      <c r="CE944" s="69"/>
      <c r="CF944" s="69"/>
    </row>
    <row r="945">
      <c r="A945" s="69"/>
      <c r="B945" s="71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69"/>
      <c r="BE945" s="69"/>
      <c r="BF945" s="69"/>
      <c r="BG945" s="69"/>
      <c r="BH945" s="69"/>
      <c r="BI945" s="69"/>
      <c r="BJ945" s="69"/>
      <c r="BK945" s="69"/>
      <c r="BL945" s="69"/>
      <c r="BM945" s="69"/>
      <c r="BN945" s="69"/>
      <c r="BO945" s="69"/>
      <c r="BP945" s="69"/>
      <c r="BQ945" s="69"/>
      <c r="BR945" s="69"/>
      <c r="BS945" s="69"/>
      <c r="BT945" s="69"/>
      <c r="BU945" s="69"/>
      <c r="BV945" s="69"/>
      <c r="BW945" s="69"/>
      <c r="BX945" s="69"/>
      <c r="BY945" s="69"/>
      <c r="BZ945" s="69"/>
      <c r="CA945" s="69"/>
      <c r="CB945" s="69"/>
      <c r="CC945" s="69"/>
      <c r="CD945" s="69"/>
      <c r="CE945" s="69"/>
      <c r="CF945" s="69"/>
    </row>
    <row r="946">
      <c r="A946" s="69"/>
      <c r="B946" s="71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69"/>
      <c r="BE946" s="69"/>
      <c r="BF946" s="69"/>
      <c r="BG946" s="69"/>
      <c r="BH946" s="69"/>
      <c r="BI946" s="69"/>
      <c r="BJ946" s="69"/>
      <c r="BK946" s="69"/>
      <c r="BL946" s="69"/>
      <c r="BM946" s="69"/>
      <c r="BN946" s="69"/>
      <c r="BO946" s="69"/>
      <c r="BP946" s="69"/>
      <c r="BQ946" s="69"/>
      <c r="BR946" s="69"/>
      <c r="BS946" s="69"/>
      <c r="BT946" s="69"/>
      <c r="BU946" s="69"/>
      <c r="BV946" s="69"/>
      <c r="BW946" s="69"/>
      <c r="BX946" s="69"/>
      <c r="BY946" s="69"/>
      <c r="BZ946" s="69"/>
      <c r="CA946" s="69"/>
      <c r="CB946" s="69"/>
      <c r="CC946" s="69"/>
      <c r="CD946" s="69"/>
      <c r="CE946" s="69"/>
      <c r="CF946" s="69"/>
    </row>
    <row r="947">
      <c r="A947" s="69"/>
      <c r="B947" s="71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69"/>
      <c r="BE947" s="69"/>
      <c r="BF947" s="69"/>
      <c r="BG947" s="69"/>
      <c r="BH947" s="69"/>
      <c r="BI947" s="69"/>
      <c r="BJ947" s="69"/>
      <c r="BK947" s="69"/>
      <c r="BL947" s="69"/>
      <c r="BM947" s="69"/>
      <c r="BN947" s="69"/>
      <c r="BO947" s="69"/>
      <c r="BP947" s="69"/>
      <c r="BQ947" s="69"/>
      <c r="BR947" s="69"/>
      <c r="BS947" s="69"/>
      <c r="BT947" s="69"/>
      <c r="BU947" s="69"/>
      <c r="BV947" s="69"/>
      <c r="BW947" s="69"/>
      <c r="BX947" s="69"/>
      <c r="BY947" s="69"/>
      <c r="BZ947" s="69"/>
      <c r="CA947" s="69"/>
      <c r="CB947" s="69"/>
      <c r="CC947" s="69"/>
      <c r="CD947" s="69"/>
      <c r="CE947" s="69"/>
      <c r="CF947" s="69"/>
    </row>
    <row r="948">
      <c r="A948" s="69"/>
      <c r="B948" s="71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69"/>
      <c r="BE948" s="69"/>
      <c r="BF948" s="69"/>
      <c r="BG948" s="69"/>
      <c r="BH948" s="69"/>
      <c r="BI948" s="69"/>
      <c r="BJ948" s="69"/>
      <c r="BK948" s="69"/>
      <c r="BL948" s="69"/>
      <c r="BM948" s="69"/>
      <c r="BN948" s="69"/>
      <c r="BO948" s="69"/>
      <c r="BP948" s="69"/>
      <c r="BQ948" s="69"/>
      <c r="BR948" s="69"/>
      <c r="BS948" s="69"/>
      <c r="BT948" s="69"/>
      <c r="BU948" s="69"/>
      <c r="BV948" s="69"/>
      <c r="BW948" s="69"/>
      <c r="BX948" s="69"/>
      <c r="BY948" s="69"/>
      <c r="BZ948" s="69"/>
      <c r="CA948" s="69"/>
      <c r="CB948" s="69"/>
      <c r="CC948" s="69"/>
      <c r="CD948" s="69"/>
      <c r="CE948" s="69"/>
      <c r="CF948" s="69"/>
    </row>
    <row r="949">
      <c r="A949" s="69"/>
      <c r="B949" s="71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69"/>
      <c r="BE949" s="69"/>
      <c r="BF949" s="69"/>
      <c r="BG949" s="69"/>
      <c r="BH949" s="69"/>
      <c r="BI949" s="69"/>
      <c r="BJ949" s="69"/>
      <c r="BK949" s="69"/>
      <c r="BL949" s="69"/>
      <c r="BM949" s="69"/>
      <c r="BN949" s="69"/>
      <c r="BO949" s="69"/>
      <c r="BP949" s="69"/>
      <c r="BQ949" s="69"/>
      <c r="BR949" s="69"/>
      <c r="BS949" s="69"/>
      <c r="BT949" s="69"/>
      <c r="BU949" s="69"/>
      <c r="BV949" s="69"/>
      <c r="BW949" s="69"/>
      <c r="BX949" s="69"/>
      <c r="BY949" s="69"/>
      <c r="BZ949" s="69"/>
      <c r="CA949" s="69"/>
      <c r="CB949" s="69"/>
      <c r="CC949" s="69"/>
      <c r="CD949" s="69"/>
      <c r="CE949" s="69"/>
      <c r="CF949" s="69"/>
    </row>
    <row r="950">
      <c r="A950" s="69"/>
      <c r="B950" s="71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69"/>
      <c r="BE950" s="69"/>
      <c r="BF950" s="69"/>
      <c r="BG950" s="69"/>
      <c r="BH950" s="69"/>
      <c r="BI950" s="69"/>
      <c r="BJ950" s="69"/>
      <c r="BK950" s="69"/>
      <c r="BL950" s="69"/>
      <c r="BM950" s="69"/>
      <c r="BN950" s="69"/>
      <c r="BO950" s="69"/>
      <c r="BP950" s="69"/>
      <c r="BQ950" s="69"/>
      <c r="BR950" s="69"/>
      <c r="BS950" s="69"/>
      <c r="BT950" s="69"/>
      <c r="BU950" s="69"/>
      <c r="BV950" s="69"/>
      <c r="BW950" s="69"/>
      <c r="BX950" s="69"/>
      <c r="BY950" s="69"/>
      <c r="BZ950" s="69"/>
      <c r="CA950" s="69"/>
      <c r="CB950" s="69"/>
      <c r="CC950" s="69"/>
      <c r="CD950" s="69"/>
      <c r="CE950" s="69"/>
      <c r="CF950" s="69"/>
    </row>
    <row r="951">
      <c r="A951" s="69"/>
      <c r="B951" s="71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69"/>
      <c r="BE951" s="69"/>
      <c r="BF951" s="69"/>
      <c r="BG951" s="69"/>
      <c r="BH951" s="69"/>
      <c r="BI951" s="69"/>
      <c r="BJ951" s="69"/>
      <c r="BK951" s="69"/>
      <c r="BL951" s="69"/>
      <c r="BM951" s="69"/>
      <c r="BN951" s="69"/>
      <c r="BO951" s="69"/>
      <c r="BP951" s="69"/>
      <c r="BQ951" s="69"/>
      <c r="BR951" s="69"/>
      <c r="BS951" s="69"/>
      <c r="BT951" s="69"/>
      <c r="BU951" s="69"/>
      <c r="BV951" s="69"/>
      <c r="BW951" s="69"/>
      <c r="BX951" s="69"/>
      <c r="BY951" s="69"/>
      <c r="BZ951" s="69"/>
      <c r="CA951" s="69"/>
      <c r="CB951" s="69"/>
      <c r="CC951" s="69"/>
      <c r="CD951" s="69"/>
      <c r="CE951" s="69"/>
      <c r="CF951" s="69"/>
    </row>
    <row r="952">
      <c r="A952" s="69"/>
      <c r="B952" s="71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69"/>
      <c r="BE952" s="69"/>
      <c r="BF952" s="69"/>
      <c r="BG952" s="69"/>
      <c r="BH952" s="69"/>
      <c r="BI952" s="69"/>
      <c r="BJ952" s="69"/>
      <c r="BK952" s="69"/>
      <c r="BL952" s="69"/>
      <c r="BM952" s="69"/>
      <c r="BN952" s="69"/>
      <c r="BO952" s="69"/>
      <c r="BP952" s="69"/>
      <c r="BQ952" s="69"/>
      <c r="BR952" s="69"/>
      <c r="BS952" s="69"/>
      <c r="BT952" s="69"/>
      <c r="BU952" s="69"/>
      <c r="BV952" s="69"/>
      <c r="BW952" s="69"/>
      <c r="BX952" s="69"/>
      <c r="BY952" s="69"/>
      <c r="BZ952" s="69"/>
      <c r="CA952" s="69"/>
      <c r="CB952" s="69"/>
      <c r="CC952" s="69"/>
      <c r="CD952" s="69"/>
      <c r="CE952" s="69"/>
      <c r="CF952" s="69"/>
    </row>
    <row r="953">
      <c r="A953" s="69"/>
      <c r="B953" s="71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69"/>
      <c r="BE953" s="69"/>
      <c r="BF953" s="69"/>
      <c r="BG953" s="69"/>
      <c r="BH953" s="69"/>
      <c r="BI953" s="69"/>
      <c r="BJ953" s="69"/>
      <c r="BK953" s="69"/>
      <c r="BL953" s="69"/>
      <c r="BM953" s="69"/>
      <c r="BN953" s="69"/>
      <c r="BO953" s="69"/>
      <c r="BP953" s="69"/>
      <c r="BQ953" s="69"/>
      <c r="BR953" s="69"/>
      <c r="BS953" s="69"/>
      <c r="BT953" s="69"/>
      <c r="BU953" s="69"/>
      <c r="BV953" s="69"/>
      <c r="BW953" s="69"/>
      <c r="BX953" s="69"/>
      <c r="BY953" s="69"/>
      <c r="BZ953" s="69"/>
      <c r="CA953" s="69"/>
      <c r="CB953" s="69"/>
      <c r="CC953" s="69"/>
      <c r="CD953" s="69"/>
      <c r="CE953" s="69"/>
      <c r="CF953" s="69"/>
    </row>
    <row r="954">
      <c r="A954" s="69"/>
      <c r="B954" s="71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69"/>
      <c r="BE954" s="69"/>
      <c r="BF954" s="69"/>
      <c r="BG954" s="69"/>
      <c r="BH954" s="69"/>
      <c r="BI954" s="69"/>
      <c r="BJ954" s="69"/>
      <c r="BK954" s="69"/>
      <c r="BL954" s="69"/>
      <c r="BM954" s="69"/>
      <c r="BN954" s="69"/>
      <c r="BO954" s="69"/>
      <c r="BP954" s="69"/>
      <c r="BQ954" s="69"/>
      <c r="BR954" s="69"/>
      <c r="BS954" s="69"/>
      <c r="BT954" s="69"/>
      <c r="BU954" s="69"/>
      <c r="BV954" s="69"/>
      <c r="BW954" s="69"/>
      <c r="BX954" s="69"/>
      <c r="BY954" s="69"/>
      <c r="BZ954" s="69"/>
      <c r="CA954" s="69"/>
      <c r="CB954" s="69"/>
      <c r="CC954" s="69"/>
      <c r="CD954" s="69"/>
      <c r="CE954" s="69"/>
      <c r="CF954" s="69"/>
    </row>
    <row r="955">
      <c r="A955" s="69"/>
      <c r="B955" s="71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69"/>
      <c r="BE955" s="69"/>
      <c r="BF955" s="69"/>
      <c r="BG955" s="69"/>
      <c r="BH955" s="69"/>
      <c r="BI955" s="69"/>
      <c r="BJ955" s="69"/>
      <c r="BK955" s="69"/>
      <c r="BL955" s="69"/>
      <c r="BM955" s="69"/>
      <c r="BN955" s="69"/>
      <c r="BO955" s="69"/>
      <c r="BP955" s="69"/>
      <c r="BQ955" s="69"/>
      <c r="BR955" s="69"/>
      <c r="BS955" s="69"/>
      <c r="BT955" s="69"/>
      <c r="BU955" s="69"/>
      <c r="BV955" s="69"/>
      <c r="BW955" s="69"/>
      <c r="BX955" s="69"/>
      <c r="BY955" s="69"/>
      <c r="BZ955" s="69"/>
      <c r="CA955" s="69"/>
      <c r="CB955" s="69"/>
      <c r="CC955" s="69"/>
      <c r="CD955" s="69"/>
      <c r="CE955" s="69"/>
      <c r="CF955" s="69"/>
    </row>
    <row r="956">
      <c r="A956" s="69"/>
      <c r="B956" s="71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69"/>
      <c r="BE956" s="69"/>
      <c r="BF956" s="69"/>
      <c r="BG956" s="69"/>
      <c r="BH956" s="69"/>
      <c r="BI956" s="69"/>
      <c r="BJ956" s="69"/>
      <c r="BK956" s="69"/>
      <c r="BL956" s="69"/>
      <c r="BM956" s="69"/>
      <c r="BN956" s="69"/>
      <c r="BO956" s="69"/>
      <c r="BP956" s="69"/>
      <c r="BQ956" s="69"/>
      <c r="BR956" s="69"/>
      <c r="BS956" s="69"/>
      <c r="BT956" s="69"/>
      <c r="BU956" s="69"/>
      <c r="BV956" s="69"/>
      <c r="BW956" s="69"/>
      <c r="BX956" s="69"/>
      <c r="BY956" s="69"/>
      <c r="BZ956" s="69"/>
      <c r="CA956" s="69"/>
      <c r="CB956" s="69"/>
      <c r="CC956" s="69"/>
      <c r="CD956" s="69"/>
      <c r="CE956" s="69"/>
      <c r="CF956" s="69"/>
    </row>
    <row r="957">
      <c r="A957" s="69"/>
      <c r="B957" s="71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69"/>
      <c r="BE957" s="69"/>
      <c r="BF957" s="69"/>
      <c r="BG957" s="69"/>
      <c r="BH957" s="69"/>
      <c r="BI957" s="69"/>
      <c r="BJ957" s="69"/>
      <c r="BK957" s="69"/>
      <c r="BL957" s="69"/>
      <c r="BM957" s="69"/>
      <c r="BN957" s="69"/>
      <c r="BO957" s="69"/>
      <c r="BP957" s="69"/>
      <c r="BQ957" s="69"/>
      <c r="BR957" s="69"/>
      <c r="BS957" s="69"/>
      <c r="BT957" s="69"/>
      <c r="BU957" s="69"/>
      <c r="BV957" s="69"/>
      <c r="BW957" s="69"/>
      <c r="BX957" s="69"/>
      <c r="BY957" s="69"/>
      <c r="BZ957" s="69"/>
      <c r="CA957" s="69"/>
      <c r="CB957" s="69"/>
      <c r="CC957" s="69"/>
      <c r="CD957" s="69"/>
      <c r="CE957" s="69"/>
      <c r="CF957" s="69"/>
    </row>
    <row r="958">
      <c r="A958" s="69"/>
      <c r="B958" s="71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69"/>
      <c r="BE958" s="69"/>
      <c r="BF958" s="69"/>
      <c r="BG958" s="69"/>
      <c r="BH958" s="69"/>
      <c r="BI958" s="69"/>
      <c r="BJ958" s="69"/>
      <c r="BK958" s="69"/>
      <c r="BL958" s="69"/>
      <c r="BM958" s="69"/>
      <c r="BN958" s="69"/>
      <c r="BO958" s="69"/>
      <c r="BP958" s="69"/>
      <c r="BQ958" s="69"/>
      <c r="BR958" s="69"/>
      <c r="BS958" s="69"/>
      <c r="BT958" s="69"/>
      <c r="BU958" s="69"/>
      <c r="BV958" s="69"/>
      <c r="BW958" s="69"/>
      <c r="BX958" s="69"/>
      <c r="BY958" s="69"/>
      <c r="BZ958" s="69"/>
      <c r="CA958" s="69"/>
      <c r="CB958" s="69"/>
      <c r="CC958" s="69"/>
      <c r="CD958" s="69"/>
      <c r="CE958" s="69"/>
      <c r="CF958" s="69"/>
    </row>
    <row r="959">
      <c r="A959" s="69"/>
      <c r="B959" s="71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69"/>
      <c r="BE959" s="69"/>
      <c r="BF959" s="69"/>
      <c r="BG959" s="69"/>
      <c r="BH959" s="69"/>
      <c r="BI959" s="69"/>
      <c r="BJ959" s="69"/>
      <c r="BK959" s="69"/>
      <c r="BL959" s="69"/>
      <c r="BM959" s="69"/>
      <c r="BN959" s="69"/>
      <c r="BO959" s="69"/>
      <c r="BP959" s="69"/>
      <c r="BQ959" s="69"/>
      <c r="BR959" s="69"/>
      <c r="BS959" s="69"/>
      <c r="BT959" s="69"/>
      <c r="BU959" s="69"/>
      <c r="BV959" s="69"/>
      <c r="BW959" s="69"/>
      <c r="BX959" s="69"/>
      <c r="BY959" s="69"/>
      <c r="BZ959" s="69"/>
      <c r="CA959" s="69"/>
      <c r="CB959" s="69"/>
      <c r="CC959" s="69"/>
      <c r="CD959" s="69"/>
      <c r="CE959" s="69"/>
      <c r="CF959" s="69"/>
    </row>
    <row r="960">
      <c r="A960" s="69"/>
      <c r="B960" s="71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69"/>
      <c r="BE960" s="69"/>
      <c r="BF960" s="69"/>
      <c r="BG960" s="69"/>
      <c r="BH960" s="69"/>
      <c r="BI960" s="69"/>
      <c r="BJ960" s="69"/>
      <c r="BK960" s="69"/>
      <c r="BL960" s="69"/>
      <c r="BM960" s="69"/>
      <c r="BN960" s="69"/>
      <c r="BO960" s="69"/>
      <c r="BP960" s="69"/>
      <c r="BQ960" s="69"/>
      <c r="BR960" s="69"/>
      <c r="BS960" s="69"/>
      <c r="BT960" s="69"/>
      <c r="BU960" s="69"/>
      <c r="BV960" s="69"/>
      <c r="BW960" s="69"/>
      <c r="BX960" s="69"/>
      <c r="BY960" s="69"/>
      <c r="BZ960" s="69"/>
      <c r="CA960" s="69"/>
      <c r="CB960" s="69"/>
      <c r="CC960" s="69"/>
      <c r="CD960" s="69"/>
      <c r="CE960" s="69"/>
      <c r="CF960" s="69"/>
    </row>
    <row r="961">
      <c r="A961" s="69"/>
      <c r="B961" s="71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69"/>
      <c r="BE961" s="69"/>
      <c r="BF961" s="69"/>
      <c r="BG961" s="69"/>
      <c r="BH961" s="69"/>
      <c r="BI961" s="69"/>
      <c r="BJ961" s="69"/>
      <c r="BK961" s="69"/>
      <c r="BL961" s="69"/>
      <c r="BM961" s="69"/>
      <c r="BN961" s="69"/>
      <c r="BO961" s="69"/>
      <c r="BP961" s="69"/>
      <c r="BQ961" s="69"/>
      <c r="BR961" s="69"/>
      <c r="BS961" s="69"/>
      <c r="BT961" s="69"/>
      <c r="BU961" s="69"/>
      <c r="BV961" s="69"/>
      <c r="BW961" s="69"/>
      <c r="BX961" s="69"/>
      <c r="BY961" s="69"/>
      <c r="BZ961" s="69"/>
      <c r="CA961" s="69"/>
      <c r="CB961" s="69"/>
      <c r="CC961" s="69"/>
      <c r="CD961" s="69"/>
      <c r="CE961" s="69"/>
      <c r="CF961" s="69"/>
    </row>
    <row r="962">
      <c r="A962" s="69"/>
      <c r="B962" s="71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69"/>
      <c r="BE962" s="69"/>
      <c r="BF962" s="69"/>
      <c r="BG962" s="69"/>
      <c r="BH962" s="69"/>
      <c r="BI962" s="69"/>
      <c r="BJ962" s="69"/>
      <c r="BK962" s="69"/>
      <c r="BL962" s="69"/>
      <c r="BM962" s="69"/>
      <c r="BN962" s="69"/>
      <c r="BO962" s="69"/>
      <c r="BP962" s="69"/>
      <c r="BQ962" s="69"/>
      <c r="BR962" s="69"/>
      <c r="BS962" s="69"/>
      <c r="BT962" s="69"/>
      <c r="BU962" s="69"/>
      <c r="BV962" s="69"/>
      <c r="BW962" s="69"/>
      <c r="BX962" s="69"/>
      <c r="BY962" s="69"/>
      <c r="BZ962" s="69"/>
      <c r="CA962" s="69"/>
      <c r="CB962" s="69"/>
      <c r="CC962" s="69"/>
      <c r="CD962" s="69"/>
      <c r="CE962" s="69"/>
      <c r="CF962" s="69"/>
    </row>
    <row r="963">
      <c r="A963" s="69"/>
      <c r="B963" s="71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69"/>
      <c r="BE963" s="69"/>
      <c r="BF963" s="69"/>
      <c r="BG963" s="69"/>
      <c r="BH963" s="69"/>
      <c r="BI963" s="69"/>
      <c r="BJ963" s="69"/>
      <c r="BK963" s="69"/>
      <c r="BL963" s="69"/>
      <c r="BM963" s="69"/>
      <c r="BN963" s="69"/>
      <c r="BO963" s="69"/>
      <c r="BP963" s="69"/>
      <c r="BQ963" s="69"/>
      <c r="BR963" s="69"/>
      <c r="BS963" s="69"/>
      <c r="BT963" s="69"/>
      <c r="BU963" s="69"/>
      <c r="BV963" s="69"/>
      <c r="BW963" s="69"/>
      <c r="BX963" s="69"/>
      <c r="BY963" s="69"/>
      <c r="BZ963" s="69"/>
      <c r="CA963" s="69"/>
      <c r="CB963" s="69"/>
      <c r="CC963" s="69"/>
      <c r="CD963" s="69"/>
      <c r="CE963" s="69"/>
      <c r="CF963" s="69"/>
    </row>
    <row r="964">
      <c r="A964" s="69"/>
      <c r="B964" s="71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69"/>
      <c r="BE964" s="69"/>
      <c r="BF964" s="69"/>
      <c r="BG964" s="69"/>
      <c r="BH964" s="69"/>
      <c r="BI964" s="69"/>
      <c r="BJ964" s="69"/>
      <c r="BK964" s="69"/>
      <c r="BL964" s="69"/>
      <c r="BM964" s="69"/>
      <c r="BN964" s="69"/>
      <c r="BO964" s="69"/>
      <c r="BP964" s="69"/>
      <c r="BQ964" s="69"/>
      <c r="BR964" s="69"/>
      <c r="BS964" s="69"/>
      <c r="BT964" s="69"/>
      <c r="BU964" s="69"/>
      <c r="BV964" s="69"/>
      <c r="BW964" s="69"/>
      <c r="BX964" s="69"/>
      <c r="BY964" s="69"/>
      <c r="BZ964" s="69"/>
      <c r="CA964" s="69"/>
      <c r="CB964" s="69"/>
      <c r="CC964" s="69"/>
      <c r="CD964" s="69"/>
      <c r="CE964" s="69"/>
      <c r="CF964" s="69"/>
    </row>
    <row r="965">
      <c r="A965" s="69"/>
      <c r="B965" s="71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69"/>
      <c r="BE965" s="69"/>
      <c r="BF965" s="69"/>
      <c r="BG965" s="69"/>
      <c r="BH965" s="69"/>
      <c r="BI965" s="69"/>
      <c r="BJ965" s="69"/>
      <c r="BK965" s="69"/>
      <c r="BL965" s="69"/>
      <c r="BM965" s="69"/>
      <c r="BN965" s="69"/>
      <c r="BO965" s="69"/>
      <c r="BP965" s="69"/>
      <c r="BQ965" s="69"/>
      <c r="BR965" s="69"/>
      <c r="BS965" s="69"/>
      <c r="BT965" s="69"/>
      <c r="BU965" s="69"/>
      <c r="BV965" s="69"/>
      <c r="BW965" s="69"/>
      <c r="BX965" s="69"/>
      <c r="BY965" s="69"/>
      <c r="BZ965" s="69"/>
      <c r="CA965" s="69"/>
      <c r="CB965" s="69"/>
      <c r="CC965" s="69"/>
      <c r="CD965" s="69"/>
      <c r="CE965" s="69"/>
      <c r="CF965" s="69"/>
    </row>
    <row r="966">
      <c r="A966" s="69"/>
      <c r="B966" s="71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69"/>
      <c r="BE966" s="69"/>
      <c r="BF966" s="69"/>
      <c r="BG966" s="69"/>
      <c r="BH966" s="69"/>
      <c r="BI966" s="69"/>
      <c r="BJ966" s="69"/>
      <c r="BK966" s="69"/>
      <c r="BL966" s="69"/>
      <c r="BM966" s="69"/>
      <c r="BN966" s="69"/>
      <c r="BO966" s="69"/>
      <c r="BP966" s="69"/>
      <c r="BQ966" s="69"/>
      <c r="BR966" s="69"/>
      <c r="BS966" s="69"/>
      <c r="BT966" s="69"/>
      <c r="BU966" s="69"/>
      <c r="BV966" s="69"/>
      <c r="BW966" s="69"/>
      <c r="BX966" s="69"/>
      <c r="BY966" s="69"/>
      <c r="BZ966" s="69"/>
      <c r="CA966" s="69"/>
      <c r="CB966" s="69"/>
      <c r="CC966" s="69"/>
      <c r="CD966" s="69"/>
      <c r="CE966" s="69"/>
      <c r="CF966" s="69"/>
    </row>
    <row r="967">
      <c r="A967" s="69"/>
      <c r="B967" s="71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69"/>
      <c r="BE967" s="69"/>
      <c r="BF967" s="69"/>
      <c r="BG967" s="69"/>
      <c r="BH967" s="69"/>
      <c r="BI967" s="69"/>
      <c r="BJ967" s="69"/>
      <c r="BK967" s="69"/>
      <c r="BL967" s="69"/>
      <c r="BM967" s="69"/>
      <c r="BN967" s="69"/>
      <c r="BO967" s="69"/>
      <c r="BP967" s="69"/>
      <c r="BQ967" s="69"/>
      <c r="BR967" s="69"/>
      <c r="BS967" s="69"/>
      <c r="BT967" s="69"/>
      <c r="BU967" s="69"/>
      <c r="BV967" s="69"/>
      <c r="BW967" s="69"/>
      <c r="BX967" s="69"/>
      <c r="BY967" s="69"/>
      <c r="BZ967" s="69"/>
      <c r="CA967" s="69"/>
      <c r="CB967" s="69"/>
      <c r="CC967" s="69"/>
      <c r="CD967" s="69"/>
      <c r="CE967" s="69"/>
      <c r="CF967" s="69"/>
    </row>
    <row r="968">
      <c r="A968" s="69"/>
      <c r="B968" s="71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69"/>
      <c r="BE968" s="69"/>
      <c r="BF968" s="69"/>
      <c r="BG968" s="69"/>
      <c r="BH968" s="69"/>
      <c r="BI968" s="69"/>
      <c r="BJ968" s="69"/>
      <c r="BK968" s="69"/>
      <c r="BL968" s="69"/>
      <c r="BM968" s="69"/>
      <c r="BN968" s="69"/>
      <c r="BO968" s="69"/>
      <c r="BP968" s="69"/>
      <c r="BQ968" s="69"/>
      <c r="BR968" s="69"/>
      <c r="BS968" s="69"/>
      <c r="BT968" s="69"/>
      <c r="BU968" s="69"/>
      <c r="BV968" s="69"/>
      <c r="BW968" s="69"/>
      <c r="BX968" s="69"/>
      <c r="BY968" s="69"/>
      <c r="BZ968" s="69"/>
      <c r="CA968" s="69"/>
      <c r="CB968" s="69"/>
      <c r="CC968" s="69"/>
      <c r="CD968" s="69"/>
      <c r="CE968" s="69"/>
      <c r="CF968" s="69"/>
    </row>
    <row r="969">
      <c r="A969" s="69"/>
      <c r="B969" s="71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69"/>
      <c r="BE969" s="69"/>
      <c r="BF969" s="69"/>
      <c r="BG969" s="69"/>
      <c r="BH969" s="69"/>
      <c r="BI969" s="69"/>
      <c r="BJ969" s="69"/>
      <c r="BK969" s="69"/>
      <c r="BL969" s="69"/>
      <c r="BM969" s="69"/>
      <c r="BN969" s="69"/>
      <c r="BO969" s="69"/>
      <c r="BP969" s="69"/>
      <c r="BQ969" s="69"/>
      <c r="BR969" s="69"/>
      <c r="BS969" s="69"/>
      <c r="BT969" s="69"/>
      <c r="BU969" s="69"/>
      <c r="BV969" s="69"/>
      <c r="BW969" s="69"/>
      <c r="BX969" s="69"/>
      <c r="BY969" s="69"/>
      <c r="BZ969" s="69"/>
      <c r="CA969" s="69"/>
      <c r="CB969" s="69"/>
      <c r="CC969" s="69"/>
      <c r="CD969" s="69"/>
      <c r="CE969" s="69"/>
      <c r="CF969" s="69"/>
    </row>
    <row r="970">
      <c r="A970" s="69"/>
      <c r="B970" s="71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69"/>
      <c r="BE970" s="69"/>
      <c r="BF970" s="69"/>
      <c r="BG970" s="69"/>
      <c r="BH970" s="69"/>
      <c r="BI970" s="69"/>
      <c r="BJ970" s="69"/>
      <c r="BK970" s="69"/>
      <c r="BL970" s="69"/>
      <c r="BM970" s="69"/>
      <c r="BN970" s="69"/>
      <c r="BO970" s="69"/>
      <c r="BP970" s="69"/>
      <c r="BQ970" s="69"/>
      <c r="BR970" s="69"/>
      <c r="BS970" s="69"/>
      <c r="BT970" s="69"/>
      <c r="BU970" s="69"/>
      <c r="BV970" s="69"/>
      <c r="BW970" s="69"/>
      <c r="BX970" s="69"/>
      <c r="BY970" s="69"/>
      <c r="BZ970" s="69"/>
      <c r="CA970" s="69"/>
      <c r="CB970" s="69"/>
      <c r="CC970" s="69"/>
      <c r="CD970" s="69"/>
      <c r="CE970" s="69"/>
      <c r="CF970" s="69"/>
    </row>
    <row r="971">
      <c r="A971" s="69"/>
      <c r="B971" s="71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69"/>
      <c r="BE971" s="69"/>
      <c r="BF971" s="69"/>
      <c r="BG971" s="69"/>
      <c r="BH971" s="69"/>
      <c r="BI971" s="69"/>
      <c r="BJ971" s="69"/>
      <c r="BK971" s="69"/>
      <c r="BL971" s="69"/>
      <c r="BM971" s="69"/>
      <c r="BN971" s="69"/>
      <c r="BO971" s="69"/>
      <c r="BP971" s="69"/>
      <c r="BQ971" s="69"/>
      <c r="BR971" s="69"/>
      <c r="BS971" s="69"/>
      <c r="BT971" s="69"/>
      <c r="BU971" s="69"/>
      <c r="BV971" s="69"/>
      <c r="BW971" s="69"/>
      <c r="BX971" s="69"/>
      <c r="BY971" s="69"/>
      <c r="BZ971" s="69"/>
      <c r="CA971" s="69"/>
      <c r="CB971" s="69"/>
      <c r="CC971" s="69"/>
      <c r="CD971" s="69"/>
      <c r="CE971" s="69"/>
      <c r="CF971" s="69"/>
    </row>
    <row r="972">
      <c r="A972" s="69"/>
      <c r="B972" s="71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69"/>
      <c r="BE972" s="69"/>
      <c r="BF972" s="69"/>
      <c r="BG972" s="69"/>
      <c r="BH972" s="69"/>
      <c r="BI972" s="69"/>
      <c r="BJ972" s="69"/>
      <c r="BK972" s="69"/>
      <c r="BL972" s="69"/>
      <c r="BM972" s="69"/>
      <c r="BN972" s="69"/>
      <c r="BO972" s="69"/>
      <c r="BP972" s="69"/>
      <c r="BQ972" s="69"/>
      <c r="BR972" s="69"/>
      <c r="BS972" s="69"/>
      <c r="BT972" s="69"/>
      <c r="BU972" s="69"/>
      <c r="BV972" s="69"/>
      <c r="BW972" s="69"/>
      <c r="BX972" s="69"/>
      <c r="BY972" s="69"/>
      <c r="BZ972" s="69"/>
      <c r="CA972" s="69"/>
      <c r="CB972" s="69"/>
      <c r="CC972" s="69"/>
      <c r="CD972" s="69"/>
      <c r="CE972" s="69"/>
      <c r="CF972" s="69"/>
    </row>
    <row r="973">
      <c r="A973" s="69"/>
      <c r="B973" s="71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69"/>
      <c r="BE973" s="69"/>
      <c r="BF973" s="69"/>
      <c r="BG973" s="69"/>
      <c r="BH973" s="69"/>
      <c r="BI973" s="69"/>
      <c r="BJ973" s="69"/>
      <c r="BK973" s="69"/>
      <c r="BL973" s="69"/>
      <c r="BM973" s="69"/>
      <c r="BN973" s="69"/>
      <c r="BO973" s="69"/>
      <c r="BP973" s="69"/>
      <c r="BQ973" s="69"/>
      <c r="BR973" s="69"/>
      <c r="BS973" s="69"/>
      <c r="BT973" s="69"/>
      <c r="BU973" s="69"/>
      <c r="BV973" s="69"/>
      <c r="BW973" s="69"/>
      <c r="BX973" s="69"/>
      <c r="BY973" s="69"/>
      <c r="BZ973" s="69"/>
      <c r="CA973" s="69"/>
      <c r="CB973" s="69"/>
      <c r="CC973" s="69"/>
      <c r="CD973" s="69"/>
      <c r="CE973" s="69"/>
      <c r="CF973" s="69"/>
    </row>
    <row r="974">
      <c r="A974" s="69"/>
      <c r="B974" s="71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69"/>
      <c r="BE974" s="69"/>
      <c r="BF974" s="69"/>
      <c r="BG974" s="69"/>
      <c r="BH974" s="69"/>
      <c r="BI974" s="69"/>
      <c r="BJ974" s="69"/>
      <c r="BK974" s="69"/>
      <c r="BL974" s="69"/>
      <c r="BM974" s="69"/>
      <c r="BN974" s="69"/>
      <c r="BO974" s="69"/>
      <c r="BP974" s="69"/>
      <c r="BQ974" s="69"/>
      <c r="BR974" s="69"/>
      <c r="BS974" s="69"/>
      <c r="BT974" s="69"/>
      <c r="BU974" s="69"/>
      <c r="BV974" s="69"/>
      <c r="BW974" s="69"/>
      <c r="BX974" s="69"/>
      <c r="BY974" s="69"/>
      <c r="BZ974" s="69"/>
      <c r="CA974" s="69"/>
      <c r="CB974" s="69"/>
      <c r="CC974" s="69"/>
      <c r="CD974" s="69"/>
      <c r="CE974" s="69"/>
      <c r="CF974" s="69"/>
    </row>
    <row r="975">
      <c r="A975" s="69"/>
      <c r="B975" s="71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69"/>
      <c r="BE975" s="69"/>
      <c r="BF975" s="69"/>
      <c r="BG975" s="69"/>
      <c r="BH975" s="69"/>
      <c r="BI975" s="69"/>
      <c r="BJ975" s="69"/>
      <c r="BK975" s="69"/>
      <c r="BL975" s="69"/>
      <c r="BM975" s="69"/>
      <c r="BN975" s="69"/>
      <c r="BO975" s="69"/>
      <c r="BP975" s="69"/>
      <c r="BQ975" s="69"/>
      <c r="BR975" s="69"/>
      <c r="BS975" s="69"/>
      <c r="BT975" s="69"/>
      <c r="BU975" s="69"/>
      <c r="BV975" s="69"/>
      <c r="BW975" s="69"/>
      <c r="BX975" s="69"/>
      <c r="BY975" s="69"/>
      <c r="BZ975" s="69"/>
      <c r="CA975" s="69"/>
      <c r="CB975" s="69"/>
      <c r="CC975" s="69"/>
      <c r="CD975" s="69"/>
      <c r="CE975" s="69"/>
      <c r="CF975" s="69"/>
    </row>
    <row r="976">
      <c r="A976" s="69"/>
      <c r="B976" s="71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69"/>
      <c r="BE976" s="69"/>
      <c r="BF976" s="69"/>
      <c r="BG976" s="69"/>
      <c r="BH976" s="69"/>
      <c r="BI976" s="69"/>
      <c r="BJ976" s="69"/>
      <c r="BK976" s="69"/>
      <c r="BL976" s="69"/>
      <c r="BM976" s="69"/>
      <c r="BN976" s="69"/>
      <c r="BO976" s="69"/>
      <c r="BP976" s="69"/>
      <c r="BQ976" s="69"/>
      <c r="BR976" s="69"/>
      <c r="BS976" s="69"/>
      <c r="BT976" s="69"/>
      <c r="BU976" s="69"/>
      <c r="BV976" s="69"/>
      <c r="BW976" s="69"/>
      <c r="BX976" s="69"/>
      <c r="BY976" s="69"/>
      <c r="BZ976" s="69"/>
      <c r="CA976" s="69"/>
      <c r="CB976" s="69"/>
      <c r="CC976" s="69"/>
      <c r="CD976" s="69"/>
      <c r="CE976" s="69"/>
      <c r="CF976" s="69"/>
    </row>
    <row r="977">
      <c r="A977" s="69"/>
      <c r="B977" s="71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69"/>
      <c r="BE977" s="69"/>
      <c r="BF977" s="69"/>
      <c r="BG977" s="69"/>
      <c r="BH977" s="69"/>
      <c r="BI977" s="69"/>
      <c r="BJ977" s="69"/>
      <c r="BK977" s="69"/>
      <c r="BL977" s="69"/>
      <c r="BM977" s="69"/>
      <c r="BN977" s="69"/>
      <c r="BO977" s="69"/>
      <c r="BP977" s="69"/>
      <c r="BQ977" s="69"/>
      <c r="BR977" s="69"/>
      <c r="BS977" s="69"/>
      <c r="BT977" s="69"/>
      <c r="BU977" s="69"/>
      <c r="BV977" s="69"/>
      <c r="BW977" s="69"/>
      <c r="BX977" s="69"/>
      <c r="BY977" s="69"/>
      <c r="BZ977" s="69"/>
      <c r="CA977" s="69"/>
      <c r="CB977" s="69"/>
      <c r="CC977" s="69"/>
      <c r="CD977" s="69"/>
      <c r="CE977" s="69"/>
      <c r="CF977" s="69"/>
    </row>
    <row r="978">
      <c r="A978" s="69"/>
      <c r="B978" s="71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69"/>
      <c r="BE978" s="69"/>
      <c r="BF978" s="69"/>
      <c r="BG978" s="69"/>
      <c r="BH978" s="69"/>
      <c r="BI978" s="69"/>
      <c r="BJ978" s="69"/>
      <c r="BK978" s="69"/>
      <c r="BL978" s="69"/>
      <c r="BM978" s="69"/>
      <c r="BN978" s="69"/>
      <c r="BO978" s="69"/>
      <c r="BP978" s="69"/>
      <c r="BQ978" s="69"/>
      <c r="BR978" s="69"/>
      <c r="BS978" s="69"/>
      <c r="BT978" s="69"/>
      <c r="BU978" s="69"/>
      <c r="BV978" s="69"/>
      <c r="BW978" s="69"/>
      <c r="BX978" s="69"/>
      <c r="BY978" s="69"/>
      <c r="BZ978" s="69"/>
      <c r="CA978" s="69"/>
      <c r="CB978" s="69"/>
      <c r="CC978" s="69"/>
      <c r="CD978" s="69"/>
      <c r="CE978" s="69"/>
      <c r="CF978" s="69"/>
    </row>
    <row r="979">
      <c r="A979" s="69"/>
      <c r="B979" s="71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69"/>
      <c r="BE979" s="69"/>
      <c r="BF979" s="69"/>
      <c r="BG979" s="69"/>
      <c r="BH979" s="69"/>
      <c r="BI979" s="69"/>
      <c r="BJ979" s="69"/>
      <c r="BK979" s="69"/>
      <c r="BL979" s="69"/>
      <c r="BM979" s="69"/>
      <c r="BN979" s="69"/>
      <c r="BO979" s="69"/>
      <c r="BP979" s="69"/>
      <c r="BQ979" s="69"/>
      <c r="BR979" s="69"/>
      <c r="BS979" s="69"/>
      <c r="BT979" s="69"/>
      <c r="BU979" s="69"/>
      <c r="BV979" s="69"/>
      <c r="BW979" s="69"/>
      <c r="BX979" s="69"/>
      <c r="BY979" s="69"/>
      <c r="BZ979" s="69"/>
      <c r="CA979" s="69"/>
      <c r="CB979" s="69"/>
      <c r="CC979" s="69"/>
      <c r="CD979" s="69"/>
      <c r="CE979" s="69"/>
      <c r="CF979" s="69"/>
    </row>
    <row r="980">
      <c r="A980" s="69"/>
      <c r="B980" s="71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69"/>
      <c r="BE980" s="69"/>
      <c r="BF980" s="69"/>
      <c r="BG980" s="69"/>
      <c r="BH980" s="69"/>
      <c r="BI980" s="69"/>
      <c r="BJ980" s="69"/>
      <c r="BK980" s="69"/>
      <c r="BL980" s="69"/>
      <c r="BM980" s="69"/>
      <c r="BN980" s="69"/>
      <c r="BO980" s="69"/>
      <c r="BP980" s="69"/>
      <c r="BQ980" s="69"/>
      <c r="BR980" s="69"/>
      <c r="BS980" s="69"/>
      <c r="BT980" s="69"/>
      <c r="BU980" s="69"/>
      <c r="BV980" s="69"/>
      <c r="BW980" s="69"/>
      <c r="BX980" s="69"/>
      <c r="BY980" s="69"/>
      <c r="BZ980" s="69"/>
      <c r="CA980" s="69"/>
      <c r="CB980" s="69"/>
      <c r="CC980" s="69"/>
      <c r="CD980" s="69"/>
      <c r="CE980" s="69"/>
      <c r="CF980" s="69"/>
    </row>
    <row r="981">
      <c r="A981" s="69"/>
      <c r="B981" s="71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69"/>
      <c r="BE981" s="69"/>
      <c r="BF981" s="69"/>
      <c r="BG981" s="69"/>
      <c r="BH981" s="69"/>
      <c r="BI981" s="69"/>
      <c r="BJ981" s="69"/>
      <c r="BK981" s="69"/>
      <c r="BL981" s="69"/>
      <c r="BM981" s="69"/>
      <c r="BN981" s="69"/>
      <c r="BO981" s="69"/>
      <c r="BP981" s="69"/>
      <c r="BQ981" s="69"/>
      <c r="BR981" s="69"/>
      <c r="BS981" s="69"/>
      <c r="BT981" s="69"/>
      <c r="BU981" s="69"/>
      <c r="BV981" s="69"/>
      <c r="BW981" s="69"/>
      <c r="BX981" s="69"/>
      <c r="BY981" s="69"/>
      <c r="BZ981" s="69"/>
      <c r="CA981" s="69"/>
      <c r="CB981" s="69"/>
      <c r="CC981" s="69"/>
      <c r="CD981" s="69"/>
      <c r="CE981" s="69"/>
      <c r="CF981" s="69"/>
    </row>
    <row r="982">
      <c r="A982" s="69"/>
      <c r="B982" s="71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69"/>
      <c r="BE982" s="69"/>
      <c r="BF982" s="69"/>
      <c r="BG982" s="69"/>
      <c r="BH982" s="69"/>
      <c r="BI982" s="69"/>
      <c r="BJ982" s="69"/>
      <c r="BK982" s="69"/>
      <c r="BL982" s="69"/>
      <c r="BM982" s="69"/>
      <c r="BN982" s="69"/>
      <c r="BO982" s="69"/>
      <c r="BP982" s="69"/>
      <c r="BQ982" s="69"/>
      <c r="BR982" s="69"/>
      <c r="BS982" s="69"/>
      <c r="BT982" s="69"/>
      <c r="BU982" s="69"/>
      <c r="BV982" s="69"/>
      <c r="BW982" s="69"/>
      <c r="BX982" s="69"/>
      <c r="BY982" s="69"/>
      <c r="BZ982" s="69"/>
      <c r="CA982" s="69"/>
      <c r="CB982" s="69"/>
      <c r="CC982" s="69"/>
      <c r="CD982" s="69"/>
      <c r="CE982" s="69"/>
      <c r="CF982" s="69"/>
    </row>
    <row r="983">
      <c r="A983" s="69"/>
      <c r="B983" s="71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69"/>
      <c r="BE983" s="69"/>
      <c r="BF983" s="69"/>
      <c r="BG983" s="69"/>
      <c r="BH983" s="69"/>
      <c r="BI983" s="69"/>
      <c r="BJ983" s="69"/>
      <c r="BK983" s="69"/>
      <c r="BL983" s="69"/>
      <c r="BM983" s="69"/>
      <c r="BN983" s="69"/>
      <c r="BO983" s="69"/>
      <c r="BP983" s="69"/>
      <c r="BQ983" s="69"/>
      <c r="BR983" s="69"/>
      <c r="BS983" s="69"/>
      <c r="BT983" s="69"/>
      <c r="BU983" s="69"/>
      <c r="BV983" s="69"/>
      <c r="BW983" s="69"/>
      <c r="BX983" s="69"/>
      <c r="BY983" s="69"/>
      <c r="BZ983" s="69"/>
      <c r="CA983" s="69"/>
      <c r="CB983" s="69"/>
      <c r="CC983" s="69"/>
      <c r="CD983" s="69"/>
      <c r="CE983" s="69"/>
      <c r="CF983" s="69"/>
    </row>
    <row r="984">
      <c r="A984" s="69"/>
      <c r="B984" s="71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69"/>
      <c r="BE984" s="69"/>
      <c r="BF984" s="69"/>
      <c r="BG984" s="69"/>
      <c r="BH984" s="69"/>
      <c r="BI984" s="69"/>
      <c r="BJ984" s="69"/>
      <c r="BK984" s="69"/>
      <c r="BL984" s="69"/>
      <c r="BM984" s="69"/>
      <c r="BN984" s="69"/>
      <c r="BO984" s="69"/>
      <c r="BP984" s="69"/>
      <c r="BQ984" s="69"/>
      <c r="BR984" s="69"/>
      <c r="BS984" s="69"/>
      <c r="BT984" s="69"/>
      <c r="BU984" s="69"/>
      <c r="BV984" s="69"/>
      <c r="BW984" s="69"/>
      <c r="BX984" s="69"/>
      <c r="BY984" s="69"/>
      <c r="BZ984" s="69"/>
      <c r="CA984" s="69"/>
      <c r="CB984" s="69"/>
      <c r="CC984" s="69"/>
      <c r="CD984" s="69"/>
      <c r="CE984" s="69"/>
      <c r="CF984" s="69"/>
    </row>
    <row r="985">
      <c r="A985" s="69"/>
      <c r="B985" s="71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69"/>
      <c r="BE985" s="69"/>
      <c r="BF985" s="69"/>
      <c r="BG985" s="69"/>
      <c r="BH985" s="69"/>
      <c r="BI985" s="69"/>
      <c r="BJ985" s="69"/>
      <c r="BK985" s="69"/>
      <c r="BL985" s="69"/>
      <c r="BM985" s="69"/>
      <c r="BN985" s="69"/>
      <c r="BO985" s="69"/>
      <c r="BP985" s="69"/>
      <c r="BQ985" s="69"/>
      <c r="BR985" s="69"/>
      <c r="BS985" s="69"/>
      <c r="BT985" s="69"/>
      <c r="BU985" s="69"/>
      <c r="BV985" s="69"/>
      <c r="BW985" s="69"/>
      <c r="BX985" s="69"/>
      <c r="BY985" s="69"/>
      <c r="BZ985" s="69"/>
      <c r="CA985" s="69"/>
      <c r="CB985" s="69"/>
      <c r="CC985" s="69"/>
      <c r="CD985" s="69"/>
      <c r="CE985" s="69"/>
      <c r="CF985" s="69"/>
    </row>
    <row r="986">
      <c r="A986" s="69"/>
      <c r="B986" s="71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69"/>
      <c r="BE986" s="69"/>
      <c r="BF986" s="69"/>
      <c r="BG986" s="69"/>
      <c r="BH986" s="69"/>
      <c r="BI986" s="69"/>
      <c r="BJ986" s="69"/>
      <c r="BK986" s="69"/>
      <c r="BL986" s="69"/>
      <c r="BM986" s="69"/>
      <c r="BN986" s="69"/>
      <c r="BO986" s="69"/>
      <c r="BP986" s="69"/>
      <c r="BQ986" s="69"/>
      <c r="BR986" s="69"/>
      <c r="BS986" s="69"/>
      <c r="BT986" s="69"/>
      <c r="BU986" s="69"/>
      <c r="BV986" s="69"/>
      <c r="BW986" s="69"/>
      <c r="BX986" s="69"/>
      <c r="BY986" s="69"/>
      <c r="BZ986" s="69"/>
      <c r="CA986" s="69"/>
      <c r="CB986" s="69"/>
      <c r="CC986" s="69"/>
      <c r="CD986" s="69"/>
      <c r="CE986" s="69"/>
      <c r="CF986" s="69"/>
    </row>
    <row r="987">
      <c r="A987" s="69"/>
      <c r="B987" s="71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69"/>
      <c r="BE987" s="69"/>
      <c r="BF987" s="69"/>
      <c r="BG987" s="69"/>
      <c r="BH987" s="69"/>
      <c r="BI987" s="69"/>
      <c r="BJ987" s="69"/>
      <c r="BK987" s="69"/>
      <c r="BL987" s="69"/>
      <c r="BM987" s="69"/>
      <c r="BN987" s="69"/>
      <c r="BO987" s="69"/>
      <c r="BP987" s="69"/>
      <c r="BQ987" s="69"/>
      <c r="BR987" s="69"/>
      <c r="BS987" s="69"/>
      <c r="BT987" s="69"/>
      <c r="BU987" s="69"/>
      <c r="BV987" s="69"/>
      <c r="BW987" s="69"/>
      <c r="BX987" s="69"/>
      <c r="BY987" s="69"/>
      <c r="BZ987" s="69"/>
      <c r="CA987" s="69"/>
      <c r="CB987" s="69"/>
      <c r="CC987" s="69"/>
      <c r="CD987" s="69"/>
      <c r="CE987" s="69"/>
      <c r="CF987" s="69"/>
    </row>
    <row r="988">
      <c r="A988" s="69"/>
      <c r="B988" s="71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69"/>
      <c r="BE988" s="69"/>
      <c r="BF988" s="69"/>
      <c r="BG988" s="69"/>
      <c r="BH988" s="69"/>
      <c r="BI988" s="69"/>
      <c r="BJ988" s="69"/>
      <c r="BK988" s="69"/>
      <c r="BL988" s="69"/>
      <c r="BM988" s="69"/>
      <c r="BN988" s="69"/>
      <c r="BO988" s="69"/>
      <c r="BP988" s="69"/>
      <c r="BQ988" s="69"/>
      <c r="BR988" s="69"/>
      <c r="BS988" s="69"/>
      <c r="BT988" s="69"/>
      <c r="BU988" s="69"/>
      <c r="BV988" s="69"/>
      <c r="BW988" s="69"/>
      <c r="BX988" s="69"/>
      <c r="BY988" s="69"/>
      <c r="BZ988" s="69"/>
      <c r="CA988" s="69"/>
      <c r="CB988" s="69"/>
      <c r="CC988" s="69"/>
      <c r="CD988" s="69"/>
      <c r="CE988" s="69"/>
      <c r="CF988" s="69"/>
    </row>
    <row r="989">
      <c r="A989" s="69"/>
      <c r="B989" s="71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69"/>
      <c r="BE989" s="69"/>
      <c r="BF989" s="69"/>
      <c r="BG989" s="69"/>
      <c r="BH989" s="69"/>
      <c r="BI989" s="69"/>
      <c r="BJ989" s="69"/>
      <c r="BK989" s="69"/>
      <c r="BL989" s="69"/>
      <c r="BM989" s="69"/>
      <c r="BN989" s="69"/>
      <c r="BO989" s="69"/>
      <c r="BP989" s="69"/>
      <c r="BQ989" s="69"/>
      <c r="BR989" s="69"/>
      <c r="BS989" s="69"/>
      <c r="BT989" s="69"/>
      <c r="BU989" s="69"/>
      <c r="BV989" s="69"/>
      <c r="BW989" s="69"/>
      <c r="BX989" s="69"/>
      <c r="BY989" s="69"/>
      <c r="BZ989" s="69"/>
      <c r="CA989" s="69"/>
      <c r="CB989" s="69"/>
      <c r="CC989" s="69"/>
      <c r="CD989" s="69"/>
      <c r="CE989" s="69"/>
      <c r="CF989" s="69"/>
    </row>
    <row r="990">
      <c r="A990" s="69"/>
      <c r="B990" s="71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69"/>
      <c r="BE990" s="69"/>
      <c r="BF990" s="69"/>
      <c r="BG990" s="69"/>
      <c r="BH990" s="69"/>
      <c r="BI990" s="69"/>
      <c r="BJ990" s="69"/>
      <c r="BK990" s="69"/>
      <c r="BL990" s="69"/>
      <c r="BM990" s="69"/>
      <c r="BN990" s="69"/>
      <c r="BO990" s="69"/>
      <c r="BP990" s="69"/>
      <c r="BQ990" s="69"/>
      <c r="BR990" s="69"/>
      <c r="BS990" s="69"/>
      <c r="BT990" s="69"/>
      <c r="BU990" s="69"/>
      <c r="BV990" s="69"/>
      <c r="BW990" s="69"/>
      <c r="BX990" s="69"/>
      <c r="BY990" s="69"/>
      <c r="BZ990" s="69"/>
      <c r="CA990" s="69"/>
      <c r="CB990" s="69"/>
      <c r="CC990" s="69"/>
      <c r="CD990" s="69"/>
      <c r="CE990" s="69"/>
      <c r="CF990" s="69"/>
    </row>
    <row r="991">
      <c r="A991" s="69"/>
      <c r="B991" s="71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69"/>
      <c r="BE991" s="69"/>
      <c r="BF991" s="69"/>
      <c r="BG991" s="69"/>
      <c r="BH991" s="69"/>
      <c r="BI991" s="69"/>
      <c r="BJ991" s="69"/>
      <c r="BK991" s="69"/>
      <c r="BL991" s="69"/>
      <c r="BM991" s="69"/>
      <c r="BN991" s="69"/>
      <c r="BO991" s="69"/>
      <c r="BP991" s="69"/>
      <c r="BQ991" s="69"/>
      <c r="BR991" s="69"/>
      <c r="BS991" s="69"/>
      <c r="BT991" s="69"/>
      <c r="BU991" s="69"/>
      <c r="BV991" s="69"/>
      <c r="BW991" s="69"/>
      <c r="BX991" s="69"/>
      <c r="BY991" s="69"/>
      <c r="BZ991" s="69"/>
      <c r="CA991" s="69"/>
      <c r="CB991" s="69"/>
      <c r="CC991" s="69"/>
      <c r="CD991" s="69"/>
      <c r="CE991" s="69"/>
      <c r="CF991" s="69"/>
    </row>
    <row r="992">
      <c r="A992" s="69"/>
      <c r="B992" s="71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69"/>
      <c r="BE992" s="69"/>
      <c r="BF992" s="69"/>
      <c r="BG992" s="69"/>
      <c r="BH992" s="69"/>
      <c r="BI992" s="69"/>
      <c r="BJ992" s="69"/>
      <c r="BK992" s="69"/>
      <c r="BL992" s="69"/>
      <c r="BM992" s="69"/>
      <c r="BN992" s="69"/>
      <c r="BO992" s="69"/>
      <c r="BP992" s="69"/>
      <c r="BQ992" s="69"/>
      <c r="BR992" s="69"/>
      <c r="BS992" s="69"/>
      <c r="BT992" s="69"/>
      <c r="BU992" s="69"/>
      <c r="BV992" s="69"/>
      <c r="BW992" s="69"/>
      <c r="BX992" s="69"/>
      <c r="BY992" s="69"/>
      <c r="BZ992" s="69"/>
      <c r="CA992" s="69"/>
      <c r="CB992" s="69"/>
      <c r="CC992" s="69"/>
      <c r="CD992" s="69"/>
      <c r="CE992" s="69"/>
      <c r="CF992" s="69"/>
    </row>
    <row r="993">
      <c r="A993" s="69"/>
      <c r="B993" s="71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69"/>
      <c r="BE993" s="69"/>
      <c r="BF993" s="69"/>
      <c r="BG993" s="69"/>
      <c r="BH993" s="69"/>
      <c r="BI993" s="69"/>
      <c r="BJ993" s="69"/>
      <c r="BK993" s="69"/>
      <c r="BL993" s="69"/>
      <c r="BM993" s="69"/>
      <c r="BN993" s="69"/>
      <c r="BO993" s="69"/>
      <c r="BP993" s="69"/>
      <c r="BQ993" s="69"/>
      <c r="BR993" s="69"/>
      <c r="BS993" s="69"/>
      <c r="BT993" s="69"/>
      <c r="BU993" s="69"/>
      <c r="BV993" s="69"/>
      <c r="BW993" s="69"/>
      <c r="BX993" s="69"/>
      <c r="BY993" s="69"/>
      <c r="BZ993" s="69"/>
      <c r="CA993" s="69"/>
      <c r="CB993" s="69"/>
      <c r="CC993" s="69"/>
      <c r="CD993" s="69"/>
      <c r="CE993" s="69"/>
      <c r="CF993" s="69"/>
    </row>
    <row r="994">
      <c r="A994" s="69"/>
      <c r="B994" s="71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69"/>
      <c r="BE994" s="69"/>
      <c r="BF994" s="69"/>
      <c r="BG994" s="69"/>
      <c r="BH994" s="69"/>
      <c r="BI994" s="69"/>
      <c r="BJ994" s="69"/>
      <c r="BK994" s="69"/>
      <c r="BL994" s="69"/>
      <c r="BM994" s="69"/>
      <c r="BN994" s="69"/>
      <c r="BO994" s="69"/>
      <c r="BP994" s="69"/>
      <c r="BQ994" s="69"/>
      <c r="BR994" s="69"/>
      <c r="BS994" s="69"/>
      <c r="BT994" s="69"/>
      <c r="BU994" s="69"/>
      <c r="BV994" s="69"/>
      <c r="BW994" s="69"/>
      <c r="BX994" s="69"/>
      <c r="BY994" s="69"/>
      <c r="BZ994" s="69"/>
      <c r="CA994" s="69"/>
      <c r="CB994" s="69"/>
      <c r="CC994" s="69"/>
      <c r="CD994" s="69"/>
      <c r="CE994" s="69"/>
      <c r="CF994" s="69"/>
    </row>
    <row r="995">
      <c r="A995" s="69"/>
      <c r="B995" s="71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69"/>
      <c r="BE995" s="69"/>
      <c r="BF995" s="69"/>
      <c r="BG995" s="69"/>
      <c r="BH995" s="69"/>
      <c r="BI995" s="69"/>
      <c r="BJ995" s="69"/>
      <c r="BK995" s="69"/>
      <c r="BL995" s="69"/>
      <c r="BM995" s="69"/>
      <c r="BN995" s="69"/>
      <c r="BO995" s="69"/>
      <c r="BP995" s="69"/>
      <c r="BQ995" s="69"/>
      <c r="BR995" s="69"/>
      <c r="BS995" s="69"/>
      <c r="BT995" s="69"/>
      <c r="BU995" s="69"/>
      <c r="BV995" s="69"/>
      <c r="BW995" s="69"/>
      <c r="BX995" s="69"/>
      <c r="BY995" s="69"/>
      <c r="BZ995" s="69"/>
      <c r="CA995" s="69"/>
      <c r="CB995" s="69"/>
      <c r="CC995" s="69"/>
      <c r="CD995" s="69"/>
      <c r="CE995" s="69"/>
      <c r="CF995" s="69"/>
    </row>
    <row r="996">
      <c r="A996" s="69"/>
      <c r="B996" s="71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69"/>
      <c r="BE996" s="69"/>
      <c r="BF996" s="69"/>
      <c r="BG996" s="69"/>
      <c r="BH996" s="69"/>
      <c r="BI996" s="69"/>
      <c r="BJ996" s="69"/>
      <c r="BK996" s="69"/>
      <c r="BL996" s="69"/>
      <c r="BM996" s="69"/>
      <c r="BN996" s="69"/>
      <c r="BO996" s="69"/>
      <c r="BP996" s="69"/>
      <c r="BQ996" s="69"/>
      <c r="BR996" s="69"/>
      <c r="BS996" s="69"/>
      <c r="BT996" s="69"/>
      <c r="BU996" s="69"/>
      <c r="BV996" s="69"/>
      <c r="BW996" s="69"/>
      <c r="BX996" s="69"/>
      <c r="BY996" s="69"/>
      <c r="BZ996" s="69"/>
      <c r="CA996" s="69"/>
      <c r="CB996" s="69"/>
      <c r="CC996" s="69"/>
      <c r="CD996" s="69"/>
      <c r="CE996" s="69"/>
      <c r="CF996" s="69"/>
    </row>
    <row r="997">
      <c r="A997" s="69"/>
      <c r="B997" s="71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69"/>
      <c r="BE997" s="69"/>
      <c r="BF997" s="69"/>
      <c r="BG997" s="69"/>
      <c r="BH997" s="69"/>
      <c r="BI997" s="69"/>
      <c r="BJ997" s="69"/>
      <c r="BK997" s="69"/>
      <c r="BL997" s="69"/>
      <c r="BM997" s="69"/>
      <c r="BN997" s="69"/>
      <c r="BO997" s="69"/>
      <c r="BP997" s="69"/>
      <c r="BQ997" s="69"/>
      <c r="BR997" s="69"/>
      <c r="BS997" s="69"/>
      <c r="BT997" s="69"/>
      <c r="BU997" s="69"/>
      <c r="BV997" s="69"/>
      <c r="BW997" s="69"/>
      <c r="BX997" s="69"/>
      <c r="BY997" s="69"/>
      <c r="BZ997" s="69"/>
      <c r="CA997" s="69"/>
      <c r="CB997" s="69"/>
      <c r="CC997" s="69"/>
      <c r="CD997" s="69"/>
      <c r="CE997" s="69"/>
      <c r="CF997" s="69"/>
    </row>
    <row r="998">
      <c r="A998" s="69"/>
      <c r="B998" s="71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69"/>
      <c r="BE998" s="69"/>
      <c r="BF998" s="69"/>
      <c r="BG998" s="69"/>
      <c r="BH998" s="69"/>
      <c r="BI998" s="69"/>
      <c r="BJ998" s="69"/>
      <c r="BK998" s="69"/>
      <c r="BL998" s="69"/>
      <c r="BM998" s="69"/>
      <c r="BN998" s="69"/>
      <c r="BO998" s="69"/>
      <c r="BP998" s="69"/>
      <c r="BQ998" s="69"/>
      <c r="BR998" s="69"/>
      <c r="BS998" s="69"/>
      <c r="BT998" s="69"/>
      <c r="BU998" s="69"/>
      <c r="BV998" s="69"/>
      <c r="BW998" s="69"/>
      <c r="BX998" s="69"/>
      <c r="BY998" s="69"/>
      <c r="BZ998" s="69"/>
      <c r="CA998" s="69"/>
      <c r="CB998" s="69"/>
      <c r="CC998" s="69"/>
      <c r="CD998" s="69"/>
      <c r="CE998" s="69"/>
      <c r="CF998" s="69"/>
    </row>
    <row r="999">
      <c r="A999" s="69"/>
      <c r="B999" s="71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69"/>
      <c r="BE999" s="69"/>
      <c r="BF999" s="69"/>
      <c r="BG999" s="69"/>
      <c r="BH999" s="69"/>
      <c r="BI999" s="69"/>
      <c r="BJ999" s="69"/>
      <c r="BK999" s="69"/>
      <c r="BL999" s="69"/>
      <c r="BM999" s="69"/>
      <c r="BN999" s="69"/>
      <c r="BO999" s="69"/>
      <c r="BP999" s="69"/>
      <c r="BQ999" s="69"/>
      <c r="BR999" s="69"/>
      <c r="BS999" s="69"/>
      <c r="BT999" s="69"/>
      <c r="BU999" s="69"/>
      <c r="BV999" s="69"/>
      <c r="BW999" s="69"/>
      <c r="BX999" s="69"/>
      <c r="BY999" s="69"/>
      <c r="BZ999" s="69"/>
      <c r="CA999" s="69"/>
      <c r="CB999" s="69"/>
      <c r="CC999" s="69"/>
      <c r="CD999" s="69"/>
      <c r="CE999" s="69"/>
      <c r="CF999" s="69"/>
    </row>
    <row r="1000">
      <c r="A1000" s="69"/>
      <c r="B1000" s="71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69"/>
      <c r="BE1000" s="69"/>
      <c r="BF1000" s="69"/>
      <c r="BG1000" s="69"/>
      <c r="BH1000" s="69"/>
      <c r="BI1000" s="69"/>
      <c r="BJ1000" s="69"/>
      <c r="BK1000" s="69"/>
      <c r="BL1000" s="69"/>
      <c r="BM1000" s="69"/>
      <c r="BN1000" s="69"/>
      <c r="BO1000" s="69"/>
      <c r="BP1000" s="69"/>
      <c r="BQ1000" s="69"/>
      <c r="BR1000" s="69"/>
      <c r="BS1000" s="69"/>
      <c r="BT1000" s="69"/>
      <c r="BU1000" s="69"/>
      <c r="BV1000" s="69"/>
      <c r="BW1000" s="69"/>
      <c r="BX1000" s="69"/>
      <c r="BY1000" s="69"/>
      <c r="BZ1000" s="69"/>
      <c r="CA1000" s="69"/>
      <c r="CB1000" s="69"/>
      <c r="CC1000" s="69"/>
      <c r="CD1000" s="69"/>
      <c r="CE1000" s="69"/>
      <c r="CF1000" s="69"/>
    </row>
  </sheetData>
  <conditionalFormatting sqref="A1:B1">
    <cfRule type="expression" dxfId="6" priority="1">
      <formula>RIGHT($A:$A,5)="total"</formula>
    </cfRule>
  </conditionalFormatting>
  <conditionalFormatting sqref="C2:BV7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2:B1000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4.25"/>
    <col customWidth="1" min="3" max="4" width="13.88"/>
    <col customWidth="1" hidden="1" min="5" max="5" width="24.88"/>
  </cols>
  <sheetData>
    <row r="1">
      <c r="A1" s="73" t="str">
        <f>IFERROR(__xludf.DUMMYFUNCTION("IMPORTRANGE(""https://docs.google.com/spreadsheets/d/1a0LQVvC7fbgDeBJKsHxrCV4h_m3RijC2QSYwdDga1WU/edit?gid=533432220#gid=533432220&amp;range=A2"",""Confronto Decks Lista!A:E"")"),"Deck 1")</f>
        <v>Deck 1</v>
      </c>
      <c r="B1" s="74" t="str">
        <f>IFERROR(__xludf.DUMMYFUNCTION("""COMPUTED_VALUE"""),"Deck 2")</f>
        <v>Deck 2</v>
      </c>
      <c r="C1" s="73" t="str">
        <f>IFERROR(__xludf.DUMMYFUNCTION("""COMPUTED_VALUE"""),"Vitórias D1")</f>
        <v>Vitórias D1</v>
      </c>
      <c r="D1" s="74" t="str">
        <f>IFERROR(__xludf.DUMMYFUNCTION("""COMPUTED_VALUE"""),"Vitórias D2")</f>
        <v>Vitórias D2</v>
      </c>
      <c r="E1" s="75" t="str">
        <f>IFERROR(__xludf.DUMMYFUNCTION("""COMPUTED_VALUE"""),"Valida Confrontos Zerados")</f>
        <v>Valida Confrontos Zerados</v>
      </c>
    </row>
    <row r="2" hidden="1">
      <c r="A2" s="76" t="str">
        <f>IFERROR(__xludf.DUMMYFUNCTION("""COMPUTED_VALUE"""),"Ahoy Mateys")</f>
        <v>Ahoy Mateys</v>
      </c>
      <c r="B2" s="76" t="str">
        <f>IFERROR(__xludf.DUMMYFUNCTION("""COMPUTED_VALUE"""),"Ahoy Mateys")</f>
        <v>Ahoy Mateys</v>
      </c>
      <c r="C2" s="77">
        <f>IFERROR(__xludf.DUMMYFUNCTION("""COMPUTED_VALUE"""),0.0)</f>
        <v>0</v>
      </c>
      <c r="D2" s="77">
        <f>IFERROR(__xludf.DUMMYFUNCTION("""COMPUTED_VALUE"""),0.0)</f>
        <v>0</v>
      </c>
      <c r="E2" s="46" t="b">
        <f>IFERROR(__xludf.DUMMYFUNCTION("""COMPUTED_VALUE"""),TRUE)</f>
        <v>1</v>
      </c>
    </row>
    <row r="3" hidden="1">
      <c r="A3" s="76" t="str">
        <f>IFERROR(__xludf.DUMMYFUNCTION("""COMPUTED_VALUE"""),"Ahoy Mateys")</f>
        <v>Ahoy Mateys</v>
      </c>
      <c r="B3" s="76" t="str">
        <f>IFERROR(__xludf.DUMMYFUNCTION("""COMPUTED_VALUE"""),"Animated Army")</f>
        <v>Animated Army</v>
      </c>
      <c r="C3" s="77">
        <f>IFERROR(__xludf.DUMMYFUNCTION("""COMPUTED_VALUE"""),0.0)</f>
        <v>0</v>
      </c>
      <c r="D3" s="77">
        <f>IFERROR(__xludf.DUMMYFUNCTION("""COMPUTED_VALUE"""),0.0)</f>
        <v>0</v>
      </c>
      <c r="E3" s="46" t="b">
        <f>IFERROR(__xludf.DUMMYFUNCTION("""COMPUTED_VALUE"""),TRUE)</f>
        <v>1</v>
      </c>
    </row>
    <row r="4" hidden="1">
      <c r="A4" s="76" t="str">
        <f>IFERROR(__xludf.DUMMYFUNCTION("""COMPUTED_VALUE"""),"Ahoy Mateys")</f>
        <v>Ahoy Mateys</v>
      </c>
      <c r="B4" s="76" t="str">
        <f>IFERROR(__xludf.DUMMYFUNCTION("""COMPUTED_VALUE"""),"Arcane Maelstrom")</f>
        <v>Arcane Maelstrom</v>
      </c>
      <c r="C4" s="77">
        <f>IFERROR(__xludf.DUMMYFUNCTION("""COMPUTED_VALUE"""),0.0)</f>
        <v>0</v>
      </c>
      <c r="D4" s="77">
        <f>IFERROR(__xludf.DUMMYFUNCTION("""COMPUTED_VALUE"""),0.0)</f>
        <v>0</v>
      </c>
      <c r="E4" s="46" t="b">
        <f>IFERROR(__xludf.DUMMYFUNCTION("""COMPUTED_VALUE"""),TRUE)</f>
        <v>1</v>
      </c>
    </row>
    <row r="5" hidden="1">
      <c r="A5" s="76" t="str">
        <f>IFERROR(__xludf.DUMMYFUNCTION("""COMPUTED_VALUE"""),"Ahoy Mateys")</f>
        <v>Ahoy Mateys</v>
      </c>
      <c r="B5" s="76" t="str">
        <f>IFERROR(__xludf.DUMMYFUNCTION("""COMPUTED_VALUE"""),"Blame Game")</f>
        <v>Blame Game</v>
      </c>
      <c r="C5" s="77">
        <f>IFERROR(__xludf.DUMMYFUNCTION("""COMPUTED_VALUE"""),0.0)</f>
        <v>0</v>
      </c>
      <c r="D5" s="77">
        <f>IFERROR(__xludf.DUMMYFUNCTION("""COMPUTED_VALUE"""),1.0)</f>
        <v>1</v>
      </c>
      <c r="E5" s="46" t="b">
        <f>IFERROR(__xludf.DUMMYFUNCTION("""COMPUTED_VALUE"""),FALSE)</f>
        <v>0</v>
      </c>
    </row>
    <row r="6" hidden="1">
      <c r="A6" s="76" t="str">
        <f>IFERROR(__xludf.DUMMYFUNCTION("""COMPUTED_VALUE"""),"Ahoy Mateys")</f>
        <v>Ahoy Mateys</v>
      </c>
      <c r="B6" s="76" t="str">
        <f>IFERROR(__xludf.DUMMYFUNCTION("""COMPUTED_VALUE"""),"Blight Curse")</f>
        <v>Blight Curse</v>
      </c>
      <c r="C6" s="77">
        <f>IFERROR(__xludf.DUMMYFUNCTION("""COMPUTED_VALUE"""),0.0)</f>
        <v>0</v>
      </c>
      <c r="D6" s="77">
        <f>IFERROR(__xludf.DUMMYFUNCTION("""COMPUTED_VALUE"""),0.0)</f>
        <v>0</v>
      </c>
      <c r="E6" s="46" t="b">
        <f>IFERROR(__xludf.DUMMYFUNCTION("""COMPUTED_VALUE"""),TRUE)</f>
        <v>1</v>
      </c>
    </row>
    <row r="7" hidden="1">
      <c r="A7" s="76" t="str">
        <f>IFERROR(__xludf.DUMMYFUNCTION("""COMPUTED_VALUE"""),"Ahoy Mateys")</f>
        <v>Ahoy Mateys</v>
      </c>
      <c r="B7" s="76" t="str">
        <f>IFERROR(__xludf.DUMMYFUNCTION("""COMPUTED_VALUE"""),"Blood Rites")</f>
        <v>Blood Rites</v>
      </c>
      <c r="C7" s="77">
        <f>IFERROR(__xludf.DUMMYFUNCTION("""COMPUTED_VALUE"""),0.0)</f>
        <v>0</v>
      </c>
      <c r="D7" s="77">
        <f>IFERROR(__xludf.DUMMYFUNCTION("""COMPUTED_VALUE"""),0.0)</f>
        <v>0</v>
      </c>
      <c r="E7" s="46" t="b">
        <f>IFERROR(__xludf.DUMMYFUNCTION("""COMPUTED_VALUE"""),TRUE)</f>
        <v>1</v>
      </c>
    </row>
    <row r="8" hidden="1">
      <c r="A8" s="76" t="str">
        <f>IFERROR(__xludf.DUMMYFUNCTION("""COMPUTED_VALUE"""),"Ahoy Mateys")</f>
        <v>Ahoy Mateys</v>
      </c>
      <c r="B8" s="76" t="str">
        <f>IFERROR(__xludf.DUMMYFUNCTION("""COMPUTED_VALUE"""),"Buckle Up")</f>
        <v>Buckle Up</v>
      </c>
      <c r="C8" s="77">
        <f>IFERROR(__xludf.DUMMYFUNCTION("""COMPUTED_VALUE"""),0.0)</f>
        <v>0</v>
      </c>
      <c r="D8" s="77">
        <f>IFERROR(__xludf.DUMMYFUNCTION("""COMPUTED_VALUE"""),0.0)</f>
        <v>0</v>
      </c>
      <c r="E8" s="46" t="b">
        <f>IFERROR(__xludf.DUMMYFUNCTION("""COMPUTED_VALUE"""),TRUE)</f>
        <v>1</v>
      </c>
    </row>
    <row r="9" hidden="1">
      <c r="A9" s="76" t="str">
        <f>IFERROR(__xludf.DUMMYFUNCTION("""COMPUTED_VALUE"""),"Ahoy Mateys")</f>
        <v>Ahoy Mateys</v>
      </c>
      <c r="B9" s="76" t="str">
        <f>IFERROR(__xludf.DUMMYFUNCTION("""COMPUTED_VALUE"""),"Cabaretti Cacophony")</f>
        <v>Cabaretti Cacophony</v>
      </c>
      <c r="C9" s="77">
        <f>IFERROR(__xludf.DUMMYFUNCTION("""COMPUTED_VALUE"""),0.0)</f>
        <v>0</v>
      </c>
      <c r="D9" s="77">
        <f>IFERROR(__xludf.DUMMYFUNCTION("""COMPUTED_VALUE"""),0.0)</f>
        <v>0</v>
      </c>
      <c r="E9" s="46" t="b">
        <f>IFERROR(__xludf.DUMMYFUNCTION("""COMPUTED_VALUE"""),TRUE)</f>
        <v>1</v>
      </c>
    </row>
    <row r="10" hidden="1">
      <c r="A10" s="76" t="str">
        <f>IFERROR(__xludf.DUMMYFUNCTION("""COMPUTED_VALUE"""),"Ahoy Mateys")</f>
        <v>Ahoy Mateys</v>
      </c>
      <c r="B10" s="76" t="str">
        <f>IFERROR(__xludf.DUMMYFUNCTION("""COMPUTED_VALUE"""),"Cavalry Charge")</f>
        <v>Cavalry Charge</v>
      </c>
      <c r="C10" s="77">
        <f>IFERROR(__xludf.DUMMYFUNCTION("""COMPUTED_VALUE"""),0.0)</f>
        <v>0</v>
      </c>
      <c r="D10" s="77">
        <f>IFERROR(__xludf.DUMMYFUNCTION("""COMPUTED_VALUE"""),0.0)</f>
        <v>0</v>
      </c>
      <c r="E10" s="46" t="b">
        <f>IFERROR(__xludf.DUMMYFUNCTION("""COMPUTED_VALUE"""),TRUE)</f>
        <v>1</v>
      </c>
    </row>
    <row r="11" hidden="1">
      <c r="A11" s="76" t="str">
        <f>IFERROR(__xludf.DUMMYFUNCTION("""COMPUTED_VALUE"""),"Ahoy Mateys")</f>
        <v>Ahoy Mateys</v>
      </c>
      <c r="B11" s="76" t="str">
        <f>IFERROR(__xludf.DUMMYFUNCTION("""COMPUTED_VALUE"""),"Corrupting Influence")</f>
        <v>Corrupting Influence</v>
      </c>
      <c r="C11" s="77">
        <f>IFERROR(__xludf.DUMMYFUNCTION("""COMPUTED_VALUE"""),0.0)</f>
        <v>0</v>
      </c>
      <c r="D11" s="77">
        <f>IFERROR(__xludf.DUMMYFUNCTION("""COMPUTED_VALUE"""),0.0)</f>
        <v>0</v>
      </c>
      <c r="E11" s="46" t="b">
        <f>IFERROR(__xludf.DUMMYFUNCTION("""COMPUTED_VALUE"""),TRUE)</f>
        <v>1</v>
      </c>
    </row>
    <row r="12" hidden="1">
      <c r="A12" s="76" t="str">
        <f>IFERROR(__xludf.DUMMYFUNCTION("""COMPUTED_VALUE"""),"Ahoy Mateys")</f>
        <v>Ahoy Mateys</v>
      </c>
      <c r="B12" s="76" t="str">
        <f>IFERROR(__xludf.DUMMYFUNCTION("""COMPUTED_VALUE"""),"Counter Blitz")</f>
        <v>Counter Blitz</v>
      </c>
      <c r="C12" s="77">
        <f>IFERROR(__xludf.DUMMYFUNCTION("""COMPUTED_VALUE"""),0.0)</f>
        <v>0</v>
      </c>
      <c r="D12" s="77">
        <f>IFERROR(__xludf.DUMMYFUNCTION("""COMPUTED_VALUE"""),0.0)</f>
        <v>0</v>
      </c>
      <c r="E12" s="46" t="b">
        <f>IFERROR(__xludf.DUMMYFUNCTION("""COMPUTED_VALUE"""),TRUE)</f>
        <v>1</v>
      </c>
    </row>
    <row r="13" hidden="1">
      <c r="A13" s="76" t="str">
        <f>IFERROR(__xludf.DUMMYFUNCTION("""COMPUTED_VALUE"""),"Ahoy Mateys")</f>
        <v>Ahoy Mateys</v>
      </c>
      <c r="B13" s="76" t="str">
        <f>IFERROR(__xludf.DUMMYFUNCTION("""COMPUTED_VALUE"""),"Counter Intelligence")</f>
        <v>Counter Intelligence</v>
      </c>
      <c r="C13" s="77">
        <f>IFERROR(__xludf.DUMMYFUNCTION("""COMPUTED_VALUE"""),0.0)</f>
        <v>0</v>
      </c>
      <c r="D13" s="77">
        <f>IFERROR(__xludf.DUMMYFUNCTION("""COMPUTED_VALUE"""),0.0)</f>
        <v>0</v>
      </c>
      <c r="E13" s="46" t="b">
        <f>IFERROR(__xludf.DUMMYFUNCTION("""COMPUTED_VALUE"""),TRUE)</f>
        <v>1</v>
      </c>
    </row>
    <row r="14" hidden="1">
      <c r="A14" s="76" t="str">
        <f>IFERROR(__xludf.DUMMYFUNCTION("""COMPUTED_VALUE"""),"Ahoy Mateys")</f>
        <v>Ahoy Mateys</v>
      </c>
      <c r="B14" s="76" t="str">
        <f>IFERROR(__xludf.DUMMYFUNCTION("""COMPUTED_VALUE"""),"Creative Energy")</f>
        <v>Creative Energy</v>
      </c>
      <c r="C14" s="77">
        <f>IFERROR(__xludf.DUMMYFUNCTION("""COMPUTED_VALUE"""),0.0)</f>
        <v>0</v>
      </c>
      <c r="D14" s="77">
        <f>IFERROR(__xludf.DUMMYFUNCTION("""COMPUTED_VALUE"""),0.0)</f>
        <v>0</v>
      </c>
      <c r="E14" s="46" t="b">
        <f>IFERROR(__xludf.DUMMYFUNCTION("""COMPUTED_VALUE"""),TRUE)</f>
        <v>1</v>
      </c>
    </row>
    <row r="15" hidden="1">
      <c r="A15" s="76" t="str">
        <f>IFERROR(__xludf.DUMMYFUNCTION("""COMPUTED_VALUE"""),"Ahoy Mateys")</f>
        <v>Ahoy Mateys</v>
      </c>
      <c r="B15" s="76" t="str">
        <f>IFERROR(__xludf.DUMMYFUNCTION("""COMPUTED_VALUE"""),"Dance of the Elements")</f>
        <v>Dance of the Elements</v>
      </c>
      <c r="C15" s="77">
        <f>IFERROR(__xludf.DUMMYFUNCTION("""COMPUTED_VALUE"""),0.0)</f>
        <v>0</v>
      </c>
      <c r="D15" s="77">
        <f>IFERROR(__xludf.DUMMYFUNCTION("""COMPUTED_VALUE"""),0.0)</f>
        <v>0</v>
      </c>
      <c r="E15" s="46" t="b">
        <f>IFERROR(__xludf.DUMMYFUNCTION("""COMPUTED_VALUE"""),TRUE)</f>
        <v>1</v>
      </c>
    </row>
    <row r="16" hidden="1">
      <c r="A16" s="76" t="str">
        <f>IFERROR(__xludf.DUMMYFUNCTION("""COMPUTED_VALUE"""),"Ahoy Mateys")</f>
        <v>Ahoy Mateys</v>
      </c>
      <c r="B16" s="76" t="str">
        <f>IFERROR(__xludf.DUMMYFUNCTION("""COMPUTED_VALUE"""),"Deep Clue Sea")</f>
        <v>Deep Clue Sea</v>
      </c>
      <c r="C16" s="77">
        <f>IFERROR(__xludf.DUMMYFUNCTION("""COMPUTED_VALUE"""),0.0)</f>
        <v>0</v>
      </c>
      <c r="D16" s="77">
        <f>IFERROR(__xludf.DUMMYFUNCTION("""COMPUTED_VALUE"""),0.0)</f>
        <v>0</v>
      </c>
      <c r="E16" s="46" t="b">
        <f>IFERROR(__xludf.DUMMYFUNCTION("""COMPUTED_VALUE"""),TRUE)</f>
        <v>1</v>
      </c>
    </row>
    <row r="17" hidden="1">
      <c r="A17" s="76" t="str">
        <f>IFERROR(__xludf.DUMMYFUNCTION("""COMPUTED_VALUE"""),"Ahoy Mateys")</f>
        <v>Ahoy Mateys</v>
      </c>
      <c r="B17" s="76" t="str">
        <f>IFERROR(__xludf.DUMMYFUNCTION("""COMPUTED_VALUE"""),"Doom Prevails")</f>
        <v>Doom Prevails</v>
      </c>
      <c r="C17" s="77">
        <f>IFERROR(__xludf.DUMMYFUNCTION("""COMPUTED_VALUE"""),0.0)</f>
        <v>0</v>
      </c>
      <c r="D17" s="77">
        <f>IFERROR(__xludf.DUMMYFUNCTION("""COMPUTED_VALUE"""),0.0)</f>
        <v>0</v>
      </c>
      <c r="E17" s="46" t="b">
        <f>IFERROR(__xludf.DUMMYFUNCTION("""COMPUTED_VALUE"""),TRUE)</f>
        <v>1</v>
      </c>
    </row>
    <row r="18" hidden="1">
      <c r="A18" s="76" t="str">
        <f>IFERROR(__xludf.DUMMYFUNCTION("""COMPUTED_VALUE"""),"Ahoy Mateys")</f>
        <v>Ahoy Mateys</v>
      </c>
      <c r="B18" s="76" t="str">
        <f>IFERROR(__xludf.DUMMYFUNCTION("""COMPUTED_VALUE"""),"Eldrazi Incursion")</f>
        <v>Eldrazi Incursion</v>
      </c>
      <c r="C18" s="77">
        <f>IFERROR(__xludf.DUMMYFUNCTION("""COMPUTED_VALUE"""),0.0)</f>
        <v>0</v>
      </c>
      <c r="D18" s="77">
        <f>IFERROR(__xludf.DUMMYFUNCTION("""COMPUTED_VALUE"""),0.0)</f>
        <v>0</v>
      </c>
      <c r="E18" s="46" t="b">
        <f>IFERROR(__xludf.DUMMYFUNCTION("""COMPUTED_VALUE"""),TRUE)</f>
        <v>1</v>
      </c>
    </row>
    <row r="19" hidden="1">
      <c r="A19" s="76" t="str">
        <f>IFERROR(__xludf.DUMMYFUNCTION("""COMPUTED_VALUE"""),"Ahoy Mateys")</f>
        <v>Ahoy Mateys</v>
      </c>
      <c r="B19" s="76" t="str">
        <f>IFERROR(__xludf.DUMMYFUNCTION("""COMPUTED_VALUE"""),"Eldrazi Unbound")</f>
        <v>Eldrazi Unbound</v>
      </c>
      <c r="C19" s="77">
        <f>IFERROR(__xludf.DUMMYFUNCTION("""COMPUTED_VALUE"""),0.0)</f>
        <v>0</v>
      </c>
      <c r="D19" s="77">
        <f>IFERROR(__xludf.DUMMYFUNCTION("""COMPUTED_VALUE"""),0.0)</f>
        <v>0</v>
      </c>
      <c r="E19" s="46" t="b">
        <f>IFERROR(__xludf.DUMMYFUNCTION("""COMPUTED_VALUE"""),TRUE)</f>
        <v>1</v>
      </c>
    </row>
    <row r="20" hidden="1">
      <c r="A20" s="76" t="str">
        <f>IFERROR(__xludf.DUMMYFUNCTION("""COMPUTED_VALUE"""),"Ahoy Mateys")</f>
        <v>Ahoy Mateys</v>
      </c>
      <c r="B20" s="76" t="str">
        <f>IFERROR(__xludf.DUMMYFUNCTION("""COMPUTED_VALUE"""),"Endless Punishment")</f>
        <v>Endless Punishment</v>
      </c>
      <c r="C20" s="77">
        <f>IFERROR(__xludf.DUMMYFUNCTION("""COMPUTED_VALUE"""),0.0)</f>
        <v>0</v>
      </c>
      <c r="D20" s="77">
        <f>IFERROR(__xludf.DUMMYFUNCTION("""COMPUTED_VALUE"""),0.0)</f>
        <v>0</v>
      </c>
      <c r="E20" s="46" t="b">
        <f>IFERROR(__xludf.DUMMYFUNCTION("""COMPUTED_VALUE"""),TRUE)</f>
        <v>1</v>
      </c>
    </row>
    <row r="21" hidden="1">
      <c r="A21" s="76" t="str">
        <f>IFERROR(__xludf.DUMMYFUNCTION("""COMPUTED_VALUE"""),"Ahoy Mateys")</f>
        <v>Ahoy Mateys</v>
      </c>
      <c r="B21" s="76" t="str">
        <f>IFERROR(__xludf.DUMMYFUNCTION("""COMPUTED_VALUE"""),"Enduring Enchantments")</f>
        <v>Enduring Enchantments</v>
      </c>
      <c r="C21" s="77">
        <f>IFERROR(__xludf.DUMMYFUNCTION("""COMPUTED_VALUE"""),0.0)</f>
        <v>0</v>
      </c>
      <c r="D21" s="77">
        <f>IFERROR(__xludf.DUMMYFUNCTION("""COMPUTED_VALUE"""),0.0)</f>
        <v>0</v>
      </c>
      <c r="E21" s="46" t="b">
        <f>IFERROR(__xludf.DUMMYFUNCTION("""COMPUTED_VALUE"""),TRUE)</f>
        <v>1</v>
      </c>
    </row>
    <row r="22" hidden="1">
      <c r="A22" s="76" t="str">
        <f>IFERROR(__xludf.DUMMYFUNCTION("""COMPUTED_VALUE"""),"Ahoy Mateys")</f>
        <v>Ahoy Mateys</v>
      </c>
      <c r="B22" s="76" t="str">
        <f>IFERROR(__xludf.DUMMYFUNCTION("""COMPUTED_VALUE"""),"Explorers of the Deep")</f>
        <v>Explorers of the Deep</v>
      </c>
      <c r="C22" s="77">
        <f>IFERROR(__xludf.DUMMYFUNCTION("""COMPUTED_VALUE"""),0.0)</f>
        <v>0</v>
      </c>
      <c r="D22" s="77">
        <f>IFERROR(__xludf.DUMMYFUNCTION("""COMPUTED_VALUE"""),0.0)</f>
        <v>0</v>
      </c>
      <c r="E22" s="46" t="b">
        <f>IFERROR(__xludf.DUMMYFUNCTION("""COMPUTED_VALUE"""),TRUE)</f>
        <v>1</v>
      </c>
    </row>
    <row r="23" hidden="1">
      <c r="A23" s="76" t="str">
        <f>IFERROR(__xludf.DUMMYFUNCTION("""COMPUTED_VALUE"""),"Ahoy Mateys")</f>
        <v>Ahoy Mateys</v>
      </c>
      <c r="B23" s="76" t="str">
        <f>IFERROR(__xludf.DUMMYFUNCTION("""COMPUTED_VALUE"""),"Family Matters")</f>
        <v>Family Matters</v>
      </c>
      <c r="C23" s="77">
        <f>IFERROR(__xludf.DUMMYFUNCTION("""COMPUTED_VALUE"""),0.0)</f>
        <v>0</v>
      </c>
      <c r="D23" s="77">
        <f>IFERROR(__xludf.DUMMYFUNCTION("""COMPUTED_VALUE"""),0.0)</f>
        <v>0</v>
      </c>
      <c r="E23" s="46" t="b">
        <f>IFERROR(__xludf.DUMMYFUNCTION("""COMPUTED_VALUE"""),TRUE)</f>
        <v>1</v>
      </c>
    </row>
    <row r="24" hidden="1">
      <c r="A24" s="76" t="str">
        <f>IFERROR(__xludf.DUMMYFUNCTION("""COMPUTED_VALUE"""),"Ahoy Mateys")</f>
        <v>Ahoy Mateys</v>
      </c>
      <c r="B24" s="76" t="str">
        <f>IFERROR(__xludf.DUMMYFUNCTION("""COMPUTED_VALUE"""),"Food and Fellowship")</f>
        <v>Food and Fellowship</v>
      </c>
      <c r="C24" s="77">
        <f>IFERROR(__xludf.DUMMYFUNCTION("""COMPUTED_VALUE"""),0.0)</f>
        <v>0</v>
      </c>
      <c r="D24" s="77">
        <f>IFERROR(__xludf.DUMMYFUNCTION("""COMPUTED_VALUE"""),0.0)</f>
        <v>0</v>
      </c>
      <c r="E24" s="46" t="b">
        <f>IFERROR(__xludf.DUMMYFUNCTION("""COMPUTED_VALUE"""),TRUE)</f>
        <v>1</v>
      </c>
    </row>
    <row r="25" hidden="1">
      <c r="A25" s="76" t="str">
        <f>IFERROR(__xludf.DUMMYFUNCTION("""COMPUTED_VALUE"""),"Ahoy Mateys")</f>
        <v>Ahoy Mateys</v>
      </c>
      <c r="B25" s="76" t="str">
        <f>IFERROR(__xludf.DUMMYFUNCTION("""COMPUTED_VALUE"""),"Jeskai Striker")</f>
        <v>Jeskai Striker</v>
      </c>
      <c r="C25" s="77">
        <f>IFERROR(__xludf.DUMMYFUNCTION("""COMPUTED_VALUE"""),0.0)</f>
        <v>0</v>
      </c>
      <c r="D25" s="77">
        <f>IFERROR(__xludf.DUMMYFUNCTION("""COMPUTED_VALUE"""),0.0)</f>
        <v>0</v>
      </c>
      <c r="E25" s="46" t="b">
        <f>IFERROR(__xludf.DUMMYFUNCTION("""COMPUTED_VALUE"""),TRUE)</f>
        <v>1</v>
      </c>
    </row>
    <row r="26" hidden="1">
      <c r="A26" s="76" t="str">
        <f>IFERROR(__xludf.DUMMYFUNCTION("""COMPUTED_VALUE"""),"Ahoy Mateys")</f>
        <v>Ahoy Mateys</v>
      </c>
      <c r="B26" s="76" t="str">
        <f>IFERROR(__xludf.DUMMYFUNCTION("""COMPUTED_VALUE"""),"Legends' Legacy")</f>
        <v>Legends' Legacy</v>
      </c>
      <c r="C26" s="77">
        <f>IFERROR(__xludf.DUMMYFUNCTION("""COMPUTED_VALUE"""),0.0)</f>
        <v>0</v>
      </c>
      <c r="D26" s="77">
        <f>IFERROR(__xludf.DUMMYFUNCTION("""COMPUTED_VALUE"""),0.0)</f>
        <v>0</v>
      </c>
      <c r="E26" s="46" t="b">
        <f>IFERROR(__xludf.DUMMYFUNCTION("""COMPUTED_VALUE"""),TRUE)</f>
        <v>1</v>
      </c>
    </row>
    <row r="27" hidden="1">
      <c r="A27" s="76" t="str">
        <f>IFERROR(__xludf.DUMMYFUNCTION("""COMPUTED_VALUE"""),"Ahoy Mateys")</f>
        <v>Ahoy Mateys</v>
      </c>
      <c r="B27" s="76" t="str">
        <f>IFERROR(__xludf.DUMMYFUNCTION("""COMPUTED_VALUE"""),"Limit Break")</f>
        <v>Limit Break</v>
      </c>
      <c r="C27" s="77">
        <f>IFERROR(__xludf.DUMMYFUNCTION("""COMPUTED_VALUE"""),0.0)</f>
        <v>0</v>
      </c>
      <c r="D27" s="77">
        <f>IFERROR(__xludf.DUMMYFUNCTION("""COMPUTED_VALUE"""),0.0)</f>
        <v>0</v>
      </c>
      <c r="E27" s="46" t="b">
        <f>IFERROR(__xludf.DUMMYFUNCTION("""COMPUTED_VALUE"""),TRUE)</f>
        <v>1</v>
      </c>
    </row>
    <row r="28" hidden="1">
      <c r="A28" s="76" t="str">
        <f>IFERROR(__xludf.DUMMYFUNCTION("""COMPUTED_VALUE"""),"Ahoy Mateys")</f>
        <v>Ahoy Mateys</v>
      </c>
      <c r="B28" s="76" t="str">
        <f>IFERROR(__xludf.DUMMYFUNCTION("""COMPUTED_VALUE"""),"Lorehold Spirit")</f>
        <v>Lorehold Spirit</v>
      </c>
      <c r="C28" s="77">
        <f>IFERROR(__xludf.DUMMYFUNCTION("""COMPUTED_VALUE"""),0.0)</f>
        <v>0</v>
      </c>
      <c r="D28" s="77">
        <f>IFERROR(__xludf.DUMMYFUNCTION("""COMPUTED_VALUE"""),0.0)</f>
        <v>0</v>
      </c>
      <c r="E28" s="46" t="b">
        <f>IFERROR(__xludf.DUMMYFUNCTION("""COMPUTED_VALUE"""),TRUE)</f>
        <v>1</v>
      </c>
    </row>
    <row r="29" hidden="1">
      <c r="A29" s="76" t="str">
        <f>IFERROR(__xludf.DUMMYFUNCTION("""COMPUTED_VALUE"""),"Ahoy Mateys")</f>
        <v>Ahoy Mateys</v>
      </c>
      <c r="B29" s="76" t="str">
        <f>IFERROR(__xludf.DUMMYFUNCTION("""COMPUTED_VALUE"""),"Mutant Menace")</f>
        <v>Mutant Menace</v>
      </c>
      <c r="C29" s="77">
        <f>IFERROR(__xludf.DUMMYFUNCTION("""COMPUTED_VALUE"""),0.0)</f>
        <v>0</v>
      </c>
      <c r="D29" s="77">
        <f>IFERROR(__xludf.DUMMYFUNCTION("""COMPUTED_VALUE"""),0.0)</f>
        <v>0</v>
      </c>
      <c r="E29" s="46" t="b">
        <f>IFERROR(__xludf.DUMMYFUNCTION("""COMPUTED_VALUE"""),TRUE)</f>
        <v>1</v>
      </c>
    </row>
    <row r="30" hidden="1">
      <c r="A30" s="76" t="str">
        <f>IFERROR(__xludf.DUMMYFUNCTION("""COMPUTED_VALUE"""),"Ahoy Mateys")</f>
        <v>Ahoy Mateys</v>
      </c>
      <c r="B30" s="76" t="str">
        <f>IFERROR(__xludf.DUMMYFUNCTION("""COMPUTED_VALUE"""),"Party Time")</f>
        <v>Party Time</v>
      </c>
      <c r="C30" s="77">
        <f>IFERROR(__xludf.DUMMYFUNCTION("""COMPUTED_VALUE"""),0.0)</f>
        <v>0</v>
      </c>
      <c r="D30" s="77">
        <f>IFERROR(__xludf.DUMMYFUNCTION("""COMPUTED_VALUE"""),0.0)</f>
        <v>0</v>
      </c>
      <c r="E30" s="46" t="b">
        <f>IFERROR(__xludf.DUMMYFUNCTION("""COMPUTED_VALUE"""),TRUE)</f>
        <v>1</v>
      </c>
    </row>
    <row r="31" hidden="1">
      <c r="A31" s="76" t="str">
        <f>IFERROR(__xludf.DUMMYFUNCTION("""COMPUTED_VALUE"""),"Ahoy Mateys")</f>
        <v>Ahoy Mateys</v>
      </c>
      <c r="B31" s="76" t="str">
        <f>IFERROR(__xludf.DUMMYFUNCTION("""COMPUTED_VALUE"""),"Peace Offering")</f>
        <v>Peace Offering</v>
      </c>
      <c r="C31" s="77">
        <f>IFERROR(__xludf.DUMMYFUNCTION("""COMPUTED_VALUE"""),0.0)</f>
        <v>0</v>
      </c>
      <c r="D31" s="77">
        <f>IFERROR(__xludf.DUMMYFUNCTION("""COMPUTED_VALUE"""),0.0)</f>
        <v>0</v>
      </c>
      <c r="E31" s="46" t="b">
        <f>IFERROR(__xludf.DUMMYFUNCTION("""COMPUTED_VALUE"""),TRUE)</f>
        <v>1</v>
      </c>
    </row>
    <row r="32" hidden="1">
      <c r="A32" s="76" t="str">
        <f>IFERROR(__xludf.DUMMYFUNCTION("""COMPUTED_VALUE"""),"Ahoy Mateys")</f>
        <v>Ahoy Mateys</v>
      </c>
      <c r="B32" s="76" t="str">
        <f>IFERROR(__xludf.DUMMYFUNCTION("""COMPUTED_VALUE"""),"Power Hungry")</f>
        <v>Power Hungry</v>
      </c>
      <c r="C32" s="77">
        <f>IFERROR(__xludf.DUMMYFUNCTION("""COMPUTED_VALUE"""),0.0)</f>
        <v>0</v>
      </c>
      <c r="D32" s="77">
        <f>IFERROR(__xludf.DUMMYFUNCTION("""COMPUTED_VALUE"""),0.0)</f>
        <v>0</v>
      </c>
      <c r="E32" s="46" t="b">
        <f>IFERROR(__xludf.DUMMYFUNCTION("""COMPUTED_VALUE"""),TRUE)</f>
        <v>1</v>
      </c>
    </row>
    <row r="33" hidden="1">
      <c r="A33" s="76" t="str">
        <f>IFERROR(__xludf.DUMMYFUNCTION("""COMPUTED_VALUE"""),"Ahoy Mateys")</f>
        <v>Ahoy Mateys</v>
      </c>
      <c r="B33" s="76" t="str">
        <f>IFERROR(__xludf.DUMMYFUNCTION("""COMPUTED_VALUE"""),"Primal Genesis")</f>
        <v>Primal Genesis</v>
      </c>
      <c r="C33" s="77">
        <f>IFERROR(__xludf.DUMMYFUNCTION("""COMPUTED_VALUE"""),0.0)</f>
        <v>0</v>
      </c>
      <c r="D33" s="77">
        <f>IFERROR(__xludf.DUMMYFUNCTION("""COMPUTED_VALUE"""),0.0)</f>
        <v>0</v>
      </c>
      <c r="E33" s="46" t="b">
        <f>IFERROR(__xludf.DUMMYFUNCTION("""COMPUTED_VALUE"""),TRUE)</f>
        <v>1</v>
      </c>
    </row>
    <row r="34" hidden="1">
      <c r="A34" s="76" t="str">
        <f>IFERROR(__xludf.DUMMYFUNCTION("""COMPUTED_VALUE"""),"Ahoy Mateys")</f>
        <v>Ahoy Mateys</v>
      </c>
      <c r="B34" s="76" t="str">
        <f>IFERROR(__xludf.DUMMYFUNCTION("""COMPUTED_VALUE"""),"Prismari Artistry")</f>
        <v>Prismari Artistry</v>
      </c>
      <c r="C34" s="77">
        <f>IFERROR(__xludf.DUMMYFUNCTION("""COMPUTED_VALUE"""),0.0)</f>
        <v>0</v>
      </c>
      <c r="D34" s="77">
        <f>IFERROR(__xludf.DUMMYFUNCTION("""COMPUTED_VALUE"""),0.0)</f>
        <v>0</v>
      </c>
      <c r="E34" s="46" t="b">
        <f>IFERROR(__xludf.DUMMYFUNCTION("""COMPUTED_VALUE"""),TRUE)</f>
        <v>1</v>
      </c>
    </row>
    <row r="35" hidden="1">
      <c r="A35" s="76" t="str">
        <f>IFERROR(__xludf.DUMMYFUNCTION("""COMPUTED_VALUE"""),"Ahoy Mateys")</f>
        <v>Ahoy Mateys</v>
      </c>
      <c r="B35" s="76" t="str">
        <f>IFERROR(__xludf.DUMMYFUNCTION("""COMPUTED_VALUE"""),"Prismari Performance")</f>
        <v>Prismari Performance</v>
      </c>
      <c r="C35" s="77">
        <f>IFERROR(__xludf.DUMMYFUNCTION("""COMPUTED_VALUE"""),0.0)</f>
        <v>0</v>
      </c>
      <c r="D35" s="77">
        <f>IFERROR(__xludf.DUMMYFUNCTION("""COMPUTED_VALUE"""),0.0)</f>
        <v>0</v>
      </c>
      <c r="E35" s="46" t="b">
        <f>IFERROR(__xludf.DUMMYFUNCTION("""COMPUTED_VALUE"""),TRUE)</f>
        <v>1</v>
      </c>
    </row>
    <row r="36" hidden="1">
      <c r="A36" s="76" t="str">
        <f>IFERROR(__xludf.DUMMYFUNCTION("""COMPUTED_VALUE"""),"Ahoy Mateys")</f>
        <v>Ahoy Mateys</v>
      </c>
      <c r="B36" s="76" t="str">
        <f>IFERROR(__xludf.DUMMYFUNCTION("""COMPUTED_VALUE"""),"Quandrix Unlimited")</f>
        <v>Quandrix Unlimited</v>
      </c>
      <c r="C36" s="77">
        <f>IFERROR(__xludf.DUMMYFUNCTION("""COMPUTED_VALUE"""),0.0)</f>
        <v>0</v>
      </c>
      <c r="D36" s="77">
        <f>IFERROR(__xludf.DUMMYFUNCTION("""COMPUTED_VALUE"""),0.0)</f>
        <v>0</v>
      </c>
      <c r="E36" s="46" t="b">
        <f>IFERROR(__xludf.DUMMYFUNCTION("""COMPUTED_VALUE"""),TRUE)</f>
        <v>1</v>
      </c>
    </row>
    <row r="37" hidden="1">
      <c r="A37" s="76" t="str">
        <f>IFERROR(__xludf.DUMMYFUNCTION("""COMPUTED_VALUE"""),"Ahoy Mateys")</f>
        <v>Ahoy Mateys</v>
      </c>
      <c r="B37" s="76" t="str">
        <f>IFERROR(__xludf.DUMMYFUNCTION("""COMPUTED_VALUE"""),"Quick Draw")</f>
        <v>Quick Draw</v>
      </c>
      <c r="C37" s="77">
        <f>IFERROR(__xludf.DUMMYFUNCTION("""COMPUTED_VALUE"""),0.0)</f>
        <v>0</v>
      </c>
      <c r="D37" s="77">
        <f>IFERROR(__xludf.DUMMYFUNCTION("""COMPUTED_VALUE"""),0.0)</f>
        <v>0</v>
      </c>
      <c r="E37" s="46" t="b">
        <f>IFERROR(__xludf.DUMMYFUNCTION("""COMPUTED_VALUE"""),TRUE)</f>
        <v>1</v>
      </c>
    </row>
    <row r="38" hidden="1">
      <c r="A38" s="76" t="str">
        <f>IFERROR(__xludf.DUMMYFUNCTION("""COMPUTED_VALUE"""),"Ahoy Mateys")</f>
        <v>Ahoy Mateys</v>
      </c>
      <c r="B38" s="76" t="str">
        <f>IFERROR(__xludf.DUMMYFUNCTION("""COMPUTED_VALUE"""),"Reap the Tides")</f>
        <v>Reap the Tides</v>
      </c>
      <c r="C38" s="77">
        <f>IFERROR(__xludf.DUMMYFUNCTION("""COMPUTED_VALUE"""),0.0)</f>
        <v>0</v>
      </c>
      <c r="D38" s="77">
        <f>IFERROR(__xludf.DUMMYFUNCTION("""COMPUTED_VALUE"""),0.0)</f>
        <v>0</v>
      </c>
      <c r="E38" s="46" t="b">
        <f>IFERROR(__xludf.DUMMYFUNCTION("""COMPUTED_VALUE"""),TRUE)</f>
        <v>1</v>
      </c>
    </row>
    <row r="39" hidden="1">
      <c r="A39" s="76" t="str">
        <f>IFERROR(__xludf.DUMMYFUNCTION("""COMPUTED_VALUE"""),"Ahoy Mateys")</f>
        <v>Ahoy Mateys</v>
      </c>
      <c r="B39" s="76" t="str">
        <f>IFERROR(__xludf.DUMMYFUNCTION("""COMPUTED_VALUE"""),"Rebellion Rising")</f>
        <v>Rebellion Rising</v>
      </c>
      <c r="C39" s="77">
        <f>IFERROR(__xludf.DUMMYFUNCTION("""COMPUTED_VALUE"""),0.0)</f>
        <v>0</v>
      </c>
      <c r="D39" s="77">
        <f>IFERROR(__xludf.DUMMYFUNCTION("""COMPUTED_VALUE"""),0.0)</f>
        <v>0</v>
      </c>
      <c r="E39" s="46" t="b">
        <f>IFERROR(__xludf.DUMMYFUNCTION("""COMPUTED_VALUE"""),TRUE)</f>
        <v>1</v>
      </c>
    </row>
    <row r="40" hidden="1">
      <c r="A40" s="78" t="str">
        <f>IFERROR(__xludf.DUMMYFUNCTION("""COMPUTED_VALUE"""),"Ahoy Mateys")</f>
        <v>Ahoy Mateys</v>
      </c>
      <c r="B40" s="78" t="str">
        <f>IFERROR(__xludf.DUMMYFUNCTION("""COMPUTED_VALUE"""),"Revival Trance")</f>
        <v>Revival Trance</v>
      </c>
      <c r="C40" s="79">
        <f>IFERROR(__xludf.DUMMYFUNCTION("""COMPUTED_VALUE"""),0.0)</f>
        <v>0</v>
      </c>
      <c r="D40" s="79">
        <f>IFERROR(__xludf.DUMMYFUNCTION("""COMPUTED_VALUE"""),0.0)</f>
        <v>0</v>
      </c>
      <c r="E40" s="69" t="b">
        <f>IFERROR(__xludf.DUMMYFUNCTION("""COMPUTED_VALUE"""),TRUE)</f>
        <v>1</v>
      </c>
    </row>
    <row r="41">
      <c r="A41" s="76" t="str">
        <f>IFERROR(__xludf.DUMMYFUNCTION("""COMPUTED_VALUE"""),"Ahoy Mateys")</f>
        <v>Ahoy Mateys</v>
      </c>
      <c r="B41" s="76" t="str">
        <f>IFERROR(__xludf.DUMMYFUNCTION("""COMPUTED_VALUE"""),"Riders of Rohan")</f>
        <v>Riders of Rohan</v>
      </c>
      <c r="C41" s="77">
        <f>IFERROR(__xludf.DUMMYFUNCTION("""COMPUTED_VALUE"""),0.0)</f>
        <v>0</v>
      </c>
      <c r="D41" s="77">
        <f>IFERROR(__xludf.DUMMYFUNCTION("""COMPUTED_VALUE"""),0.0)</f>
        <v>0</v>
      </c>
      <c r="E41" s="46" t="b">
        <f>IFERROR(__xludf.DUMMYFUNCTION("""COMPUTED_VALUE"""),TRUE)</f>
        <v>1</v>
      </c>
    </row>
    <row r="42" hidden="1">
      <c r="A42" s="76" t="str">
        <f>IFERROR(__xludf.DUMMYFUNCTION("""COMPUTED_VALUE"""),"Ahoy Mateys")</f>
        <v>Ahoy Mateys</v>
      </c>
      <c r="B42" s="76" t="str">
        <f>IFERROR(__xludf.DUMMYFUNCTION("""COMPUTED_VALUE"""),"Science!")</f>
        <v>Science!</v>
      </c>
      <c r="C42" s="77">
        <f>IFERROR(__xludf.DUMMYFUNCTION("""COMPUTED_VALUE"""),0.0)</f>
        <v>0</v>
      </c>
      <c r="D42" s="77">
        <f>IFERROR(__xludf.DUMMYFUNCTION("""COMPUTED_VALUE"""),0.0)</f>
        <v>0</v>
      </c>
      <c r="E42" s="46" t="b">
        <f>IFERROR(__xludf.DUMMYFUNCTION("""COMPUTED_VALUE"""),TRUE)</f>
        <v>1</v>
      </c>
    </row>
    <row r="43" hidden="1">
      <c r="A43" s="78" t="str">
        <f>IFERROR(__xludf.DUMMYFUNCTION("""COMPUTED_VALUE"""),"Ahoy Mateys")</f>
        <v>Ahoy Mateys</v>
      </c>
      <c r="B43" s="78" t="str">
        <f>IFERROR(__xludf.DUMMYFUNCTION("""COMPUTED_VALUE"""),"Scions &amp; Spellcraft")</f>
        <v>Scions &amp; Spellcraft</v>
      </c>
      <c r="C43" s="79">
        <f>IFERROR(__xludf.DUMMYFUNCTION("""COMPUTED_VALUE"""),0.0)</f>
        <v>0</v>
      </c>
      <c r="D43" s="79">
        <f>IFERROR(__xludf.DUMMYFUNCTION("""COMPUTED_VALUE"""),0.0)</f>
        <v>0</v>
      </c>
      <c r="E43" s="69" t="b">
        <f>IFERROR(__xludf.DUMMYFUNCTION("""COMPUTED_VALUE"""),TRUE)</f>
        <v>1</v>
      </c>
    </row>
    <row r="44">
      <c r="A44" s="76" t="str">
        <f>IFERROR(__xludf.DUMMYFUNCTION("""COMPUTED_VALUE"""),"Ahoy Mateys")</f>
        <v>Ahoy Mateys</v>
      </c>
      <c r="B44" s="76" t="str">
        <f>IFERROR(__xludf.DUMMYFUNCTION("""COMPUTED_VALUE"""),"Scrappy Survivors")</f>
        <v>Scrappy Survivors</v>
      </c>
      <c r="C44" s="77">
        <f>IFERROR(__xludf.DUMMYFUNCTION("""COMPUTED_VALUE"""),0.0)</f>
        <v>0</v>
      </c>
      <c r="D44" s="77">
        <f>IFERROR(__xludf.DUMMYFUNCTION("""COMPUTED_VALUE"""),0.0)</f>
        <v>0</v>
      </c>
      <c r="E44" s="46" t="b">
        <f>IFERROR(__xludf.DUMMYFUNCTION("""COMPUTED_VALUE"""),TRUE)</f>
        <v>1</v>
      </c>
    </row>
    <row r="45" hidden="1">
      <c r="A45" s="78" t="str">
        <f>IFERROR(__xludf.DUMMYFUNCTION("""COMPUTED_VALUE"""),"Ahoy Mateys")</f>
        <v>Ahoy Mateys</v>
      </c>
      <c r="B45" s="78" t="str">
        <f>IFERROR(__xludf.DUMMYFUNCTION("""COMPUTED_VALUE"""),"Silverquill Influence")</f>
        <v>Silverquill Influence</v>
      </c>
      <c r="C45" s="79">
        <f>IFERROR(__xludf.DUMMYFUNCTION("""COMPUTED_VALUE"""),0.0)</f>
        <v>0</v>
      </c>
      <c r="D45" s="79">
        <f>IFERROR(__xludf.DUMMYFUNCTION("""COMPUTED_VALUE"""),0.0)</f>
        <v>0</v>
      </c>
      <c r="E45" s="69" t="b">
        <f>IFERROR(__xludf.DUMMYFUNCTION("""COMPUTED_VALUE"""),TRUE)</f>
        <v>1</v>
      </c>
    </row>
    <row r="46">
      <c r="A46" s="76" t="str">
        <f>IFERROR(__xludf.DUMMYFUNCTION("""COMPUTED_VALUE"""),"Ahoy Mateys")</f>
        <v>Ahoy Mateys</v>
      </c>
      <c r="B46" s="76" t="str">
        <f>IFERROR(__xludf.DUMMYFUNCTION("""COMPUTED_VALUE"""),"Spirit Squadron")</f>
        <v>Spirit Squadron</v>
      </c>
      <c r="C46" s="77">
        <f>IFERROR(__xludf.DUMMYFUNCTION("""COMPUTED_VALUE"""),0.0)</f>
        <v>0</v>
      </c>
      <c r="D46" s="77">
        <f>IFERROR(__xludf.DUMMYFUNCTION("""COMPUTED_VALUE"""),0.0)</f>
        <v>0</v>
      </c>
      <c r="E46" s="46" t="b">
        <f>IFERROR(__xludf.DUMMYFUNCTION("""COMPUTED_VALUE"""),TRUE)</f>
        <v>1</v>
      </c>
    </row>
    <row r="47" hidden="1">
      <c r="A47" s="76" t="str">
        <f>IFERROR(__xludf.DUMMYFUNCTION("""COMPUTED_VALUE"""),"Ahoy Mateys")</f>
        <v>Ahoy Mateys</v>
      </c>
      <c r="B47" s="76" t="str">
        <f>IFERROR(__xludf.DUMMYFUNCTION("""COMPUTED_VALUE"""),"Squirreled Away")</f>
        <v>Squirreled Away</v>
      </c>
      <c r="C47" s="77">
        <f>IFERROR(__xludf.DUMMYFUNCTION("""COMPUTED_VALUE"""),0.0)</f>
        <v>0</v>
      </c>
      <c r="D47" s="77">
        <f>IFERROR(__xludf.DUMMYFUNCTION("""COMPUTED_VALUE"""),0.0)</f>
        <v>0</v>
      </c>
      <c r="E47" s="46" t="b">
        <f>IFERROR(__xludf.DUMMYFUNCTION("""COMPUTED_VALUE"""),TRUE)</f>
        <v>1</v>
      </c>
    </row>
    <row r="48" hidden="1">
      <c r="A48" s="76" t="str">
        <f>IFERROR(__xludf.DUMMYFUNCTION("""COMPUTED_VALUE"""),"Ahoy Mateys")</f>
        <v>Ahoy Mateys</v>
      </c>
      <c r="B48" s="76" t="str">
        <f>IFERROR(__xludf.DUMMYFUNCTION("""COMPUTED_VALUE"""),"Sultai Arisen")</f>
        <v>Sultai Arisen</v>
      </c>
      <c r="C48" s="77">
        <f>IFERROR(__xludf.DUMMYFUNCTION("""COMPUTED_VALUE"""),0.0)</f>
        <v>0</v>
      </c>
      <c r="D48" s="77">
        <f>IFERROR(__xludf.DUMMYFUNCTION("""COMPUTED_VALUE"""),0.0)</f>
        <v>0</v>
      </c>
      <c r="E48" s="46" t="b">
        <f>IFERROR(__xludf.DUMMYFUNCTION("""COMPUTED_VALUE"""),TRUE)</f>
        <v>1</v>
      </c>
    </row>
    <row r="49" hidden="1">
      <c r="A49" s="76" t="str">
        <f>IFERROR(__xludf.DUMMYFUNCTION("""COMPUTED_VALUE"""),"Ahoy Mateys")</f>
        <v>Ahoy Mateys</v>
      </c>
      <c r="B49" s="76" t="str">
        <f>IFERROR(__xludf.DUMMYFUNCTION("""COMPUTED_VALUE"""),"Temur Roar")</f>
        <v>Temur Roar</v>
      </c>
      <c r="C49" s="77">
        <f>IFERROR(__xludf.DUMMYFUNCTION("""COMPUTED_VALUE"""),0.0)</f>
        <v>0</v>
      </c>
      <c r="D49" s="77">
        <f>IFERROR(__xludf.DUMMYFUNCTION("""COMPUTED_VALUE"""),0.0)</f>
        <v>0</v>
      </c>
      <c r="E49" s="46" t="b">
        <f>IFERROR(__xludf.DUMMYFUNCTION("""COMPUTED_VALUE"""),TRUE)</f>
        <v>1</v>
      </c>
    </row>
    <row r="50" hidden="1">
      <c r="A50" s="76" t="str">
        <f>IFERROR(__xludf.DUMMYFUNCTION("""COMPUTED_VALUE"""),"Ahoy Mateys")</f>
        <v>Ahoy Mateys</v>
      </c>
      <c r="B50" s="76" t="str">
        <f>IFERROR(__xludf.DUMMYFUNCTION("""COMPUTED_VALUE"""),"The Hosts of Mordor")</f>
        <v>The Hosts of Mordor</v>
      </c>
      <c r="C50" s="77">
        <f>IFERROR(__xludf.DUMMYFUNCTION("""COMPUTED_VALUE"""),0.0)</f>
        <v>0</v>
      </c>
      <c r="D50" s="77">
        <f>IFERROR(__xludf.DUMMYFUNCTION("""COMPUTED_VALUE"""),0.0)</f>
        <v>0</v>
      </c>
      <c r="E50" s="46" t="b">
        <f>IFERROR(__xludf.DUMMYFUNCTION("""COMPUTED_VALUE"""),TRUE)</f>
        <v>1</v>
      </c>
    </row>
    <row r="51" hidden="1">
      <c r="A51" s="76" t="str">
        <f>IFERROR(__xludf.DUMMYFUNCTION("""COMPUTED_VALUE"""),"Ahoy Mateys")</f>
        <v>Ahoy Mateys</v>
      </c>
      <c r="B51" s="76" t="str">
        <f>IFERROR(__xludf.DUMMYFUNCTION("""COMPUTED_VALUE"""),"The Ruinous Powers")</f>
        <v>The Ruinous Powers</v>
      </c>
      <c r="C51" s="77">
        <f>IFERROR(__xludf.DUMMYFUNCTION("""COMPUTED_VALUE"""),0.0)</f>
        <v>0</v>
      </c>
      <c r="D51" s="77">
        <f>IFERROR(__xludf.DUMMYFUNCTION("""COMPUTED_VALUE"""),0.0)</f>
        <v>0</v>
      </c>
      <c r="E51" s="46" t="b">
        <f>IFERROR(__xludf.DUMMYFUNCTION("""COMPUTED_VALUE"""),TRUE)</f>
        <v>1</v>
      </c>
    </row>
    <row r="52" hidden="1">
      <c r="A52" s="76" t="str">
        <f>IFERROR(__xludf.DUMMYFUNCTION("""COMPUTED_VALUE"""),"Ahoy Mateys")</f>
        <v>Ahoy Mateys</v>
      </c>
      <c r="B52" s="76" t="str">
        <f>IFERROR(__xludf.DUMMYFUNCTION("""COMPUTED_VALUE"""),"Timey-Wimey")</f>
        <v>Timey-Wimey</v>
      </c>
      <c r="C52" s="77">
        <f>IFERROR(__xludf.DUMMYFUNCTION("""COMPUTED_VALUE"""),0.0)</f>
        <v>0</v>
      </c>
      <c r="D52" s="77">
        <f>IFERROR(__xludf.DUMMYFUNCTION("""COMPUTED_VALUE"""),0.0)</f>
        <v>0</v>
      </c>
      <c r="E52" s="46" t="b">
        <f>IFERROR(__xludf.DUMMYFUNCTION("""COMPUTED_VALUE"""),TRUE)</f>
        <v>1</v>
      </c>
    </row>
    <row r="53" hidden="1">
      <c r="A53" s="76" t="str">
        <f>IFERROR(__xludf.DUMMYFUNCTION("""COMPUTED_VALUE"""),"Ahoy Mateys")</f>
        <v>Ahoy Mateys</v>
      </c>
      <c r="B53" s="76" t="str">
        <f>IFERROR(__xludf.DUMMYFUNCTION("""COMPUTED_VALUE"""),"Tinker Time")</f>
        <v>Tinker Time</v>
      </c>
      <c r="C53" s="77">
        <f>IFERROR(__xludf.DUMMYFUNCTION("""COMPUTED_VALUE"""),0.0)</f>
        <v>0</v>
      </c>
      <c r="D53" s="77">
        <f>IFERROR(__xludf.DUMMYFUNCTION("""COMPUTED_VALUE"""),0.0)</f>
        <v>0</v>
      </c>
      <c r="E53" s="46" t="b">
        <f>IFERROR(__xludf.DUMMYFUNCTION("""COMPUTED_VALUE"""),TRUE)</f>
        <v>1</v>
      </c>
    </row>
    <row r="54" hidden="1">
      <c r="A54" s="76" t="str">
        <f>IFERROR(__xludf.DUMMYFUNCTION("""COMPUTED_VALUE"""),"Ahoy Mateys")</f>
        <v>Ahoy Mateys</v>
      </c>
      <c r="B54" s="76" t="str">
        <f>IFERROR(__xludf.DUMMYFUNCTION("""COMPUTED_VALUE"""),"Turtle Power!")</f>
        <v>Turtle Power!</v>
      </c>
      <c r="C54" s="77">
        <f>IFERROR(__xludf.DUMMYFUNCTION("""COMPUTED_VALUE"""),0.0)</f>
        <v>0</v>
      </c>
      <c r="D54" s="77">
        <f>IFERROR(__xludf.DUMMYFUNCTION("""COMPUTED_VALUE"""),0.0)</f>
        <v>0</v>
      </c>
      <c r="E54" s="46" t="b">
        <f>IFERROR(__xludf.DUMMYFUNCTION("""COMPUTED_VALUE"""),TRUE)</f>
        <v>1</v>
      </c>
    </row>
    <row r="55" hidden="1">
      <c r="A55" s="76" t="str">
        <f>IFERROR(__xludf.DUMMYFUNCTION("""COMPUTED_VALUE"""),"Ahoy Mateys")</f>
        <v>Ahoy Mateys</v>
      </c>
      <c r="B55" s="76" t="str">
        <f>IFERROR(__xludf.DUMMYFUNCTION("""COMPUTED_VALUE"""),"Veloci-ramp-tor")</f>
        <v>Veloci-ramp-tor</v>
      </c>
      <c r="C55" s="77">
        <f>IFERROR(__xludf.DUMMYFUNCTION("""COMPUTED_VALUE"""),0.0)</f>
        <v>0</v>
      </c>
      <c r="D55" s="77">
        <f>IFERROR(__xludf.DUMMYFUNCTION("""COMPUTED_VALUE"""),0.0)</f>
        <v>0</v>
      </c>
      <c r="E55" s="46" t="b">
        <f>IFERROR(__xludf.DUMMYFUNCTION("""COMPUTED_VALUE"""),TRUE)</f>
        <v>1</v>
      </c>
    </row>
    <row r="56" hidden="1">
      <c r="A56" s="76" t="str">
        <f>IFERROR(__xludf.DUMMYFUNCTION("""COMPUTED_VALUE"""),"Animated Army")</f>
        <v>Animated Army</v>
      </c>
      <c r="B56" s="76" t="str">
        <f>IFERROR(__xludf.DUMMYFUNCTION("""COMPUTED_VALUE"""),"Ahoy Mateys")</f>
        <v>Ahoy Mateys</v>
      </c>
      <c r="C56" s="77">
        <f>IFERROR(__xludf.DUMMYFUNCTION("""COMPUTED_VALUE"""),0.0)</f>
        <v>0</v>
      </c>
      <c r="D56" s="77">
        <f>IFERROR(__xludf.DUMMYFUNCTION("""COMPUTED_VALUE"""),0.0)</f>
        <v>0</v>
      </c>
      <c r="E56" s="46" t="b">
        <f>IFERROR(__xludf.DUMMYFUNCTION("""COMPUTED_VALUE"""),TRUE)</f>
        <v>1</v>
      </c>
    </row>
    <row r="57" hidden="1">
      <c r="A57" s="76" t="str">
        <f>IFERROR(__xludf.DUMMYFUNCTION("""COMPUTED_VALUE"""),"Animated Army")</f>
        <v>Animated Army</v>
      </c>
      <c r="B57" s="76" t="str">
        <f>IFERROR(__xludf.DUMMYFUNCTION("""COMPUTED_VALUE"""),"Animated Army")</f>
        <v>Animated Army</v>
      </c>
      <c r="C57" s="77">
        <f>IFERROR(__xludf.DUMMYFUNCTION("""COMPUTED_VALUE"""),0.0)</f>
        <v>0</v>
      </c>
      <c r="D57" s="77">
        <f>IFERROR(__xludf.DUMMYFUNCTION("""COMPUTED_VALUE"""),0.0)</f>
        <v>0</v>
      </c>
      <c r="E57" s="46" t="b">
        <f>IFERROR(__xludf.DUMMYFUNCTION("""COMPUTED_VALUE"""),TRUE)</f>
        <v>1</v>
      </c>
    </row>
    <row r="58" hidden="1">
      <c r="A58" s="76" t="str">
        <f>IFERROR(__xludf.DUMMYFUNCTION("""COMPUTED_VALUE"""),"Animated Army")</f>
        <v>Animated Army</v>
      </c>
      <c r="B58" s="76" t="str">
        <f>IFERROR(__xludf.DUMMYFUNCTION("""COMPUTED_VALUE"""),"Arcane Maelstrom")</f>
        <v>Arcane Maelstrom</v>
      </c>
      <c r="C58" s="77">
        <f>IFERROR(__xludf.DUMMYFUNCTION("""COMPUTED_VALUE"""),0.0)</f>
        <v>0</v>
      </c>
      <c r="D58" s="77">
        <f>IFERROR(__xludf.DUMMYFUNCTION("""COMPUTED_VALUE"""),0.0)</f>
        <v>0</v>
      </c>
      <c r="E58" s="46" t="b">
        <f>IFERROR(__xludf.DUMMYFUNCTION("""COMPUTED_VALUE"""),TRUE)</f>
        <v>1</v>
      </c>
    </row>
    <row r="59" hidden="1">
      <c r="A59" s="76" t="str">
        <f>IFERROR(__xludf.DUMMYFUNCTION("""COMPUTED_VALUE"""),"Animated Army")</f>
        <v>Animated Army</v>
      </c>
      <c r="B59" s="76" t="str">
        <f>IFERROR(__xludf.DUMMYFUNCTION("""COMPUTED_VALUE"""),"Blame Game")</f>
        <v>Blame Game</v>
      </c>
      <c r="C59" s="77">
        <f>IFERROR(__xludf.DUMMYFUNCTION("""COMPUTED_VALUE"""),0.0)</f>
        <v>0</v>
      </c>
      <c r="D59" s="77">
        <f>IFERROR(__xludf.DUMMYFUNCTION("""COMPUTED_VALUE"""),0.0)</f>
        <v>0</v>
      </c>
      <c r="E59" s="46" t="b">
        <f>IFERROR(__xludf.DUMMYFUNCTION("""COMPUTED_VALUE"""),TRUE)</f>
        <v>1</v>
      </c>
    </row>
    <row r="60" hidden="1">
      <c r="A60" s="76" t="str">
        <f>IFERROR(__xludf.DUMMYFUNCTION("""COMPUTED_VALUE"""),"Animated Army")</f>
        <v>Animated Army</v>
      </c>
      <c r="B60" s="76" t="str">
        <f>IFERROR(__xludf.DUMMYFUNCTION("""COMPUTED_VALUE"""),"Blight Curse")</f>
        <v>Blight Curse</v>
      </c>
      <c r="C60" s="77">
        <f>IFERROR(__xludf.DUMMYFUNCTION("""COMPUTED_VALUE"""),0.0)</f>
        <v>0</v>
      </c>
      <c r="D60" s="77">
        <f>IFERROR(__xludf.DUMMYFUNCTION("""COMPUTED_VALUE"""),0.0)</f>
        <v>0</v>
      </c>
      <c r="E60" s="46" t="b">
        <f>IFERROR(__xludf.DUMMYFUNCTION("""COMPUTED_VALUE"""),TRUE)</f>
        <v>1</v>
      </c>
    </row>
    <row r="61" hidden="1">
      <c r="A61" s="76" t="str">
        <f>IFERROR(__xludf.DUMMYFUNCTION("""COMPUTED_VALUE"""),"Animated Army")</f>
        <v>Animated Army</v>
      </c>
      <c r="B61" s="76" t="str">
        <f>IFERROR(__xludf.DUMMYFUNCTION("""COMPUTED_VALUE"""),"Blood Rites")</f>
        <v>Blood Rites</v>
      </c>
      <c r="C61" s="77">
        <f>IFERROR(__xludf.DUMMYFUNCTION("""COMPUTED_VALUE"""),0.0)</f>
        <v>0</v>
      </c>
      <c r="D61" s="77">
        <f>IFERROR(__xludf.DUMMYFUNCTION("""COMPUTED_VALUE"""),0.0)</f>
        <v>0</v>
      </c>
      <c r="E61" s="46" t="b">
        <f>IFERROR(__xludf.DUMMYFUNCTION("""COMPUTED_VALUE"""),TRUE)</f>
        <v>1</v>
      </c>
    </row>
    <row r="62" hidden="1">
      <c r="A62" s="76" t="str">
        <f>IFERROR(__xludf.DUMMYFUNCTION("""COMPUTED_VALUE"""),"Animated Army")</f>
        <v>Animated Army</v>
      </c>
      <c r="B62" s="76" t="str">
        <f>IFERROR(__xludf.DUMMYFUNCTION("""COMPUTED_VALUE"""),"Buckle Up")</f>
        <v>Buckle Up</v>
      </c>
      <c r="C62" s="77">
        <f>IFERROR(__xludf.DUMMYFUNCTION("""COMPUTED_VALUE"""),0.0)</f>
        <v>0</v>
      </c>
      <c r="D62" s="77">
        <f>IFERROR(__xludf.DUMMYFUNCTION("""COMPUTED_VALUE"""),0.0)</f>
        <v>0</v>
      </c>
      <c r="E62" s="46" t="b">
        <f>IFERROR(__xludf.DUMMYFUNCTION("""COMPUTED_VALUE"""),TRUE)</f>
        <v>1</v>
      </c>
    </row>
    <row r="63" hidden="1">
      <c r="A63" s="76" t="str">
        <f>IFERROR(__xludf.DUMMYFUNCTION("""COMPUTED_VALUE"""),"Animated Army")</f>
        <v>Animated Army</v>
      </c>
      <c r="B63" s="76" t="str">
        <f>IFERROR(__xludf.DUMMYFUNCTION("""COMPUTED_VALUE"""),"Cabaretti Cacophony")</f>
        <v>Cabaretti Cacophony</v>
      </c>
      <c r="C63" s="77">
        <f>IFERROR(__xludf.DUMMYFUNCTION("""COMPUTED_VALUE"""),0.0)</f>
        <v>0</v>
      </c>
      <c r="D63" s="77">
        <f>IFERROR(__xludf.DUMMYFUNCTION("""COMPUTED_VALUE"""),0.0)</f>
        <v>0</v>
      </c>
      <c r="E63" s="46" t="b">
        <f>IFERROR(__xludf.DUMMYFUNCTION("""COMPUTED_VALUE"""),TRUE)</f>
        <v>1</v>
      </c>
    </row>
    <row r="64" hidden="1">
      <c r="A64" s="78" t="str">
        <f>IFERROR(__xludf.DUMMYFUNCTION("""COMPUTED_VALUE"""),"Animated Army")</f>
        <v>Animated Army</v>
      </c>
      <c r="B64" s="78" t="str">
        <f>IFERROR(__xludf.DUMMYFUNCTION("""COMPUTED_VALUE"""),"Cavalry Charge")</f>
        <v>Cavalry Charge</v>
      </c>
      <c r="C64" s="79">
        <f>IFERROR(__xludf.DUMMYFUNCTION("""COMPUTED_VALUE"""),0.0)</f>
        <v>0</v>
      </c>
      <c r="D64" s="79">
        <f>IFERROR(__xludf.DUMMYFUNCTION("""COMPUTED_VALUE"""),0.0)</f>
        <v>0</v>
      </c>
      <c r="E64" s="69" t="b">
        <f>IFERROR(__xludf.DUMMYFUNCTION("""COMPUTED_VALUE"""),TRUE)</f>
        <v>1</v>
      </c>
    </row>
    <row r="65" hidden="1">
      <c r="A65" s="76" t="str">
        <f>IFERROR(__xludf.DUMMYFUNCTION("""COMPUTED_VALUE"""),"Animated Army")</f>
        <v>Animated Army</v>
      </c>
      <c r="B65" s="76" t="str">
        <f>IFERROR(__xludf.DUMMYFUNCTION("""COMPUTED_VALUE"""),"Corrupting Influence")</f>
        <v>Corrupting Influence</v>
      </c>
      <c r="C65" s="77">
        <f>IFERROR(__xludf.DUMMYFUNCTION("""COMPUTED_VALUE"""),0.0)</f>
        <v>0</v>
      </c>
      <c r="D65" s="77">
        <f>IFERROR(__xludf.DUMMYFUNCTION("""COMPUTED_VALUE"""),0.0)</f>
        <v>0</v>
      </c>
      <c r="E65" s="46" t="b">
        <f>IFERROR(__xludf.DUMMYFUNCTION("""COMPUTED_VALUE"""),TRUE)</f>
        <v>1</v>
      </c>
    </row>
    <row r="66" hidden="1">
      <c r="A66" s="76" t="str">
        <f>IFERROR(__xludf.DUMMYFUNCTION("""COMPUTED_VALUE"""),"Animated Army")</f>
        <v>Animated Army</v>
      </c>
      <c r="B66" s="76" t="str">
        <f>IFERROR(__xludf.DUMMYFUNCTION("""COMPUTED_VALUE"""),"Counter Blitz")</f>
        <v>Counter Blitz</v>
      </c>
      <c r="C66" s="77">
        <f>IFERROR(__xludf.DUMMYFUNCTION("""COMPUTED_VALUE"""),0.0)</f>
        <v>0</v>
      </c>
      <c r="D66" s="77">
        <f>IFERROR(__xludf.DUMMYFUNCTION("""COMPUTED_VALUE"""),0.0)</f>
        <v>0</v>
      </c>
      <c r="E66" s="46" t="b">
        <f>IFERROR(__xludf.DUMMYFUNCTION("""COMPUTED_VALUE"""),TRUE)</f>
        <v>1</v>
      </c>
    </row>
    <row r="67">
      <c r="A67" s="76" t="str">
        <f>IFERROR(__xludf.DUMMYFUNCTION("""COMPUTED_VALUE"""),"Animated Army")</f>
        <v>Animated Army</v>
      </c>
      <c r="B67" s="76" t="str">
        <f>IFERROR(__xludf.DUMMYFUNCTION("""COMPUTED_VALUE"""),"Counter Intelligence")</f>
        <v>Counter Intelligence</v>
      </c>
      <c r="C67" s="77">
        <f>IFERROR(__xludf.DUMMYFUNCTION("""COMPUTED_VALUE"""),0.0)</f>
        <v>0</v>
      </c>
      <c r="D67" s="77">
        <f>IFERROR(__xludf.DUMMYFUNCTION("""COMPUTED_VALUE"""),0.0)</f>
        <v>0</v>
      </c>
      <c r="E67" s="46" t="b">
        <f>IFERROR(__xludf.DUMMYFUNCTION("""COMPUTED_VALUE"""),TRUE)</f>
        <v>1</v>
      </c>
    </row>
    <row r="68" hidden="1">
      <c r="A68" s="76" t="str">
        <f>IFERROR(__xludf.DUMMYFUNCTION("""COMPUTED_VALUE"""),"Animated Army")</f>
        <v>Animated Army</v>
      </c>
      <c r="B68" s="76" t="str">
        <f>IFERROR(__xludf.DUMMYFUNCTION("""COMPUTED_VALUE"""),"Creative Energy")</f>
        <v>Creative Energy</v>
      </c>
      <c r="C68" s="77">
        <f>IFERROR(__xludf.DUMMYFUNCTION("""COMPUTED_VALUE"""),0.0)</f>
        <v>0</v>
      </c>
      <c r="D68" s="77">
        <f>IFERROR(__xludf.DUMMYFUNCTION("""COMPUTED_VALUE"""),0.0)</f>
        <v>0</v>
      </c>
      <c r="E68" s="46" t="b">
        <f>IFERROR(__xludf.DUMMYFUNCTION("""COMPUTED_VALUE"""),TRUE)</f>
        <v>1</v>
      </c>
    </row>
    <row r="69" hidden="1">
      <c r="A69" s="76" t="str">
        <f>IFERROR(__xludf.DUMMYFUNCTION("""COMPUTED_VALUE"""),"Animated Army")</f>
        <v>Animated Army</v>
      </c>
      <c r="B69" s="76" t="str">
        <f>IFERROR(__xludf.DUMMYFUNCTION("""COMPUTED_VALUE"""),"Dance of the Elements")</f>
        <v>Dance of the Elements</v>
      </c>
      <c r="C69" s="77">
        <f>IFERROR(__xludf.DUMMYFUNCTION("""COMPUTED_VALUE"""),0.0)</f>
        <v>0</v>
      </c>
      <c r="D69" s="77">
        <f>IFERROR(__xludf.DUMMYFUNCTION("""COMPUTED_VALUE"""),0.0)</f>
        <v>0</v>
      </c>
      <c r="E69" s="46" t="b">
        <f>IFERROR(__xludf.DUMMYFUNCTION("""COMPUTED_VALUE"""),TRUE)</f>
        <v>1</v>
      </c>
    </row>
    <row r="70" hidden="1">
      <c r="A70" s="76" t="str">
        <f>IFERROR(__xludf.DUMMYFUNCTION("""COMPUTED_VALUE"""),"Animated Army")</f>
        <v>Animated Army</v>
      </c>
      <c r="B70" s="76" t="str">
        <f>IFERROR(__xludf.DUMMYFUNCTION("""COMPUTED_VALUE"""),"Deep Clue Sea")</f>
        <v>Deep Clue Sea</v>
      </c>
      <c r="C70" s="77">
        <f>IFERROR(__xludf.DUMMYFUNCTION("""COMPUTED_VALUE"""),0.0)</f>
        <v>0</v>
      </c>
      <c r="D70" s="77">
        <f>IFERROR(__xludf.DUMMYFUNCTION("""COMPUTED_VALUE"""),0.0)</f>
        <v>0</v>
      </c>
      <c r="E70" s="46" t="b">
        <f>IFERROR(__xludf.DUMMYFUNCTION("""COMPUTED_VALUE"""),TRUE)</f>
        <v>1</v>
      </c>
    </row>
    <row r="71" hidden="1">
      <c r="A71" s="76" t="str">
        <f>IFERROR(__xludf.DUMMYFUNCTION("""COMPUTED_VALUE"""),"Animated Army")</f>
        <v>Animated Army</v>
      </c>
      <c r="B71" s="76" t="str">
        <f>IFERROR(__xludf.DUMMYFUNCTION("""COMPUTED_VALUE"""),"Doom Prevails")</f>
        <v>Doom Prevails</v>
      </c>
      <c r="C71" s="77">
        <f>IFERROR(__xludf.DUMMYFUNCTION("""COMPUTED_VALUE"""),0.0)</f>
        <v>0</v>
      </c>
      <c r="D71" s="77">
        <f>IFERROR(__xludf.DUMMYFUNCTION("""COMPUTED_VALUE"""),0.0)</f>
        <v>0</v>
      </c>
      <c r="E71" s="46" t="b">
        <f>IFERROR(__xludf.DUMMYFUNCTION("""COMPUTED_VALUE"""),TRUE)</f>
        <v>1</v>
      </c>
    </row>
    <row r="72" hidden="1">
      <c r="A72" s="76" t="str">
        <f>IFERROR(__xludf.DUMMYFUNCTION("""COMPUTED_VALUE"""),"Animated Army")</f>
        <v>Animated Army</v>
      </c>
      <c r="B72" s="76" t="str">
        <f>IFERROR(__xludf.DUMMYFUNCTION("""COMPUTED_VALUE"""),"Eldrazi Incursion")</f>
        <v>Eldrazi Incursion</v>
      </c>
      <c r="C72" s="77">
        <f>IFERROR(__xludf.DUMMYFUNCTION("""COMPUTED_VALUE"""),0.0)</f>
        <v>0</v>
      </c>
      <c r="D72" s="77">
        <f>IFERROR(__xludf.DUMMYFUNCTION("""COMPUTED_VALUE"""),0.0)</f>
        <v>0</v>
      </c>
      <c r="E72" s="46" t="b">
        <f>IFERROR(__xludf.DUMMYFUNCTION("""COMPUTED_VALUE"""),TRUE)</f>
        <v>1</v>
      </c>
    </row>
    <row r="73" hidden="1">
      <c r="A73" s="76" t="str">
        <f>IFERROR(__xludf.DUMMYFUNCTION("""COMPUTED_VALUE"""),"Animated Army")</f>
        <v>Animated Army</v>
      </c>
      <c r="B73" s="76" t="str">
        <f>IFERROR(__xludf.DUMMYFUNCTION("""COMPUTED_VALUE"""),"Eldrazi Unbound")</f>
        <v>Eldrazi Unbound</v>
      </c>
      <c r="C73" s="77">
        <f>IFERROR(__xludf.DUMMYFUNCTION("""COMPUTED_VALUE"""),0.0)</f>
        <v>0</v>
      </c>
      <c r="D73" s="77">
        <f>IFERROR(__xludf.DUMMYFUNCTION("""COMPUTED_VALUE"""),0.0)</f>
        <v>0</v>
      </c>
      <c r="E73" s="46" t="b">
        <f>IFERROR(__xludf.DUMMYFUNCTION("""COMPUTED_VALUE"""),TRUE)</f>
        <v>1</v>
      </c>
    </row>
    <row r="74" hidden="1">
      <c r="A74" s="76" t="str">
        <f>IFERROR(__xludf.DUMMYFUNCTION("""COMPUTED_VALUE"""),"Animated Army")</f>
        <v>Animated Army</v>
      </c>
      <c r="B74" s="76" t="str">
        <f>IFERROR(__xludf.DUMMYFUNCTION("""COMPUTED_VALUE"""),"Endless Punishment")</f>
        <v>Endless Punishment</v>
      </c>
      <c r="C74" s="77">
        <f>IFERROR(__xludf.DUMMYFUNCTION("""COMPUTED_VALUE"""),0.0)</f>
        <v>0</v>
      </c>
      <c r="D74" s="77">
        <f>IFERROR(__xludf.DUMMYFUNCTION("""COMPUTED_VALUE"""),0.0)</f>
        <v>0</v>
      </c>
      <c r="E74" s="46" t="b">
        <f>IFERROR(__xludf.DUMMYFUNCTION("""COMPUTED_VALUE"""),TRUE)</f>
        <v>1</v>
      </c>
    </row>
    <row r="75" hidden="1">
      <c r="A75" s="76" t="str">
        <f>IFERROR(__xludf.DUMMYFUNCTION("""COMPUTED_VALUE"""),"Animated Army")</f>
        <v>Animated Army</v>
      </c>
      <c r="B75" s="76" t="str">
        <f>IFERROR(__xludf.DUMMYFUNCTION("""COMPUTED_VALUE"""),"Enduring Enchantments")</f>
        <v>Enduring Enchantments</v>
      </c>
      <c r="C75" s="77">
        <f>IFERROR(__xludf.DUMMYFUNCTION("""COMPUTED_VALUE"""),0.0)</f>
        <v>0</v>
      </c>
      <c r="D75" s="77">
        <f>IFERROR(__xludf.DUMMYFUNCTION("""COMPUTED_VALUE"""),0.0)</f>
        <v>0</v>
      </c>
      <c r="E75" s="46" t="b">
        <f>IFERROR(__xludf.DUMMYFUNCTION("""COMPUTED_VALUE"""),TRUE)</f>
        <v>1</v>
      </c>
    </row>
    <row r="76" hidden="1">
      <c r="A76" s="76" t="str">
        <f>IFERROR(__xludf.DUMMYFUNCTION("""COMPUTED_VALUE"""),"Animated Army")</f>
        <v>Animated Army</v>
      </c>
      <c r="B76" s="76" t="str">
        <f>IFERROR(__xludf.DUMMYFUNCTION("""COMPUTED_VALUE"""),"Explorers of the Deep")</f>
        <v>Explorers of the Deep</v>
      </c>
      <c r="C76" s="77">
        <f>IFERROR(__xludf.DUMMYFUNCTION("""COMPUTED_VALUE"""),0.0)</f>
        <v>0</v>
      </c>
      <c r="D76" s="77">
        <f>IFERROR(__xludf.DUMMYFUNCTION("""COMPUTED_VALUE"""),0.0)</f>
        <v>0</v>
      </c>
      <c r="E76" s="46" t="b">
        <f>IFERROR(__xludf.DUMMYFUNCTION("""COMPUTED_VALUE"""),TRUE)</f>
        <v>1</v>
      </c>
    </row>
    <row r="77" hidden="1">
      <c r="A77" s="76" t="str">
        <f>IFERROR(__xludf.DUMMYFUNCTION("""COMPUTED_VALUE"""),"Animated Army")</f>
        <v>Animated Army</v>
      </c>
      <c r="B77" s="76" t="str">
        <f>IFERROR(__xludf.DUMMYFUNCTION("""COMPUTED_VALUE"""),"Family Matters")</f>
        <v>Family Matters</v>
      </c>
      <c r="C77" s="77">
        <f>IFERROR(__xludf.DUMMYFUNCTION("""COMPUTED_VALUE"""),0.0)</f>
        <v>0</v>
      </c>
      <c r="D77" s="77">
        <f>IFERROR(__xludf.DUMMYFUNCTION("""COMPUTED_VALUE"""),0.0)</f>
        <v>0</v>
      </c>
      <c r="E77" s="46" t="b">
        <f>IFERROR(__xludf.DUMMYFUNCTION("""COMPUTED_VALUE"""),TRUE)</f>
        <v>1</v>
      </c>
    </row>
    <row r="78" hidden="1">
      <c r="A78" s="76" t="str">
        <f>IFERROR(__xludf.DUMMYFUNCTION("""COMPUTED_VALUE"""),"Animated Army")</f>
        <v>Animated Army</v>
      </c>
      <c r="B78" s="76" t="str">
        <f>IFERROR(__xludf.DUMMYFUNCTION("""COMPUTED_VALUE"""),"Food and Fellowship")</f>
        <v>Food and Fellowship</v>
      </c>
      <c r="C78" s="77">
        <f>IFERROR(__xludf.DUMMYFUNCTION("""COMPUTED_VALUE"""),0.0)</f>
        <v>0</v>
      </c>
      <c r="D78" s="77">
        <f>IFERROR(__xludf.DUMMYFUNCTION("""COMPUTED_VALUE"""),0.0)</f>
        <v>0</v>
      </c>
      <c r="E78" s="46" t="b">
        <f>IFERROR(__xludf.DUMMYFUNCTION("""COMPUTED_VALUE"""),TRUE)</f>
        <v>1</v>
      </c>
    </row>
    <row r="79" hidden="1">
      <c r="A79" s="76" t="str">
        <f>IFERROR(__xludf.DUMMYFUNCTION("""COMPUTED_VALUE"""),"Animated Army")</f>
        <v>Animated Army</v>
      </c>
      <c r="B79" s="76" t="str">
        <f>IFERROR(__xludf.DUMMYFUNCTION("""COMPUTED_VALUE"""),"Jeskai Striker")</f>
        <v>Jeskai Striker</v>
      </c>
      <c r="C79" s="77">
        <f>IFERROR(__xludf.DUMMYFUNCTION("""COMPUTED_VALUE"""),0.0)</f>
        <v>0</v>
      </c>
      <c r="D79" s="77">
        <f>IFERROR(__xludf.DUMMYFUNCTION("""COMPUTED_VALUE"""),0.0)</f>
        <v>0</v>
      </c>
      <c r="E79" s="46" t="b">
        <f>IFERROR(__xludf.DUMMYFUNCTION("""COMPUTED_VALUE"""),TRUE)</f>
        <v>1</v>
      </c>
    </row>
    <row r="80" hidden="1">
      <c r="A80" s="76" t="str">
        <f>IFERROR(__xludf.DUMMYFUNCTION("""COMPUTED_VALUE"""),"Animated Army")</f>
        <v>Animated Army</v>
      </c>
      <c r="B80" s="76" t="str">
        <f>IFERROR(__xludf.DUMMYFUNCTION("""COMPUTED_VALUE"""),"Legends' Legacy")</f>
        <v>Legends' Legacy</v>
      </c>
      <c r="C80" s="77">
        <f>IFERROR(__xludf.DUMMYFUNCTION("""COMPUTED_VALUE"""),0.0)</f>
        <v>0</v>
      </c>
      <c r="D80" s="77">
        <f>IFERROR(__xludf.DUMMYFUNCTION("""COMPUTED_VALUE"""),0.0)</f>
        <v>0</v>
      </c>
      <c r="E80" s="46" t="b">
        <f>IFERROR(__xludf.DUMMYFUNCTION("""COMPUTED_VALUE"""),TRUE)</f>
        <v>1</v>
      </c>
    </row>
    <row r="81" hidden="1">
      <c r="A81" s="76" t="str">
        <f>IFERROR(__xludf.DUMMYFUNCTION("""COMPUTED_VALUE"""),"Animated Army")</f>
        <v>Animated Army</v>
      </c>
      <c r="B81" s="76" t="str">
        <f>IFERROR(__xludf.DUMMYFUNCTION("""COMPUTED_VALUE"""),"Limit Break")</f>
        <v>Limit Break</v>
      </c>
      <c r="C81" s="77">
        <f>IFERROR(__xludf.DUMMYFUNCTION("""COMPUTED_VALUE"""),0.0)</f>
        <v>0</v>
      </c>
      <c r="D81" s="77">
        <f>IFERROR(__xludf.DUMMYFUNCTION("""COMPUTED_VALUE"""),0.0)</f>
        <v>0</v>
      </c>
      <c r="E81" s="46" t="b">
        <f>IFERROR(__xludf.DUMMYFUNCTION("""COMPUTED_VALUE"""),TRUE)</f>
        <v>1</v>
      </c>
    </row>
    <row r="82" hidden="1">
      <c r="A82" s="76" t="str">
        <f>IFERROR(__xludf.DUMMYFUNCTION("""COMPUTED_VALUE"""),"Animated Army")</f>
        <v>Animated Army</v>
      </c>
      <c r="B82" s="76" t="str">
        <f>IFERROR(__xludf.DUMMYFUNCTION("""COMPUTED_VALUE"""),"Lorehold Spirit")</f>
        <v>Lorehold Spirit</v>
      </c>
      <c r="C82" s="77">
        <f>IFERROR(__xludf.DUMMYFUNCTION("""COMPUTED_VALUE"""),0.0)</f>
        <v>0</v>
      </c>
      <c r="D82" s="77">
        <f>IFERROR(__xludf.DUMMYFUNCTION("""COMPUTED_VALUE"""),0.0)</f>
        <v>0</v>
      </c>
      <c r="E82" s="46" t="b">
        <f>IFERROR(__xludf.DUMMYFUNCTION("""COMPUTED_VALUE"""),TRUE)</f>
        <v>1</v>
      </c>
    </row>
    <row r="83" hidden="1">
      <c r="A83" s="76" t="str">
        <f>IFERROR(__xludf.DUMMYFUNCTION("""COMPUTED_VALUE"""),"Animated Army")</f>
        <v>Animated Army</v>
      </c>
      <c r="B83" s="76" t="str">
        <f>IFERROR(__xludf.DUMMYFUNCTION("""COMPUTED_VALUE"""),"Mutant Menace")</f>
        <v>Mutant Menace</v>
      </c>
      <c r="C83" s="77">
        <f>IFERROR(__xludf.DUMMYFUNCTION("""COMPUTED_VALUE"""),0.0)</f>
        <v>0</v>
      </c>
      <c r="D83" s="77">
        <f>IFERROR(__xludf.DUMMYFUNCTION("""COMPUTED_VALUE"""),0.0)</f>
        <v>0</v>
      </c>
      <c r="E83" s="46" t="b">
        <f>IFERROR(__xludf.DUMMYFUNCTION("""COMPUTED_VALUE"""),TRUE)</f>
        <v>1</v>
      </c>
    </row>
    <row r="84" hidden="1">
      <c r="A84" s="76" t="str">
        <f>IFERROR(__xludf.DUMMYFUNCTION("""COMPUTED_VALUE"""),"Animated Army")</f>
        <v>Animated Army</v>
      </c>
      <c r="B84" s="76" t="str">
        <f>IFERROR(__xludf.DUMMYFUNCTION("""COMPUTED_VALUE"""),"Party Time")</f>
        <v>Party Time</v>
      </c>
      <c r="C84" s="77">
        <f>IFERROR(__xludf.DUMMYFUNCTION("""COMPUTED_VALUE"""),0.0)</f>
        <v>0</v>
      </c>
      <c r="D84" s="77">
        <f>IFERROR(__xludf.DUMMYFUNCTION("""COMPUTED_VALUE"""),0.0)</f>
        <v>0</v>
      </c>
      <c r="E84" s="46" t="b">
        <f>IFERROR(__xludf.DUMMYFUNCTION("""COMPUTED_VALUE"""),TRUE)</f>
        <v>1</v>
      </c>
    </row>
    <row r="85" hidden="1">
      <c r="A85" s="76" t="str">
        <f>IFERROR(__xludf.DUMMYFUNCTION("""COMPUTED_VALUE"""),"Animated Army")</f>
        <v>Animated Army</v>
      </c>
      <c r="B85" s="76" t="str">
        <f>IFERROR(__xludf.DUMMYFUNCTION("""COMPUTED_VALUE"""),"Peace Offering")</f>
        <v>Peace Offering</v>
      </c>
      <c r="C85" s="77">
        <f>IFERROR(__xludf.DUMMYFUNCTION("""COMPUTED_VALUE"""),0.0)</f>
        <v>0</v>
      </c>
      <c r="D85" s="77">
        <f>IFERROR(__xludf.DUMMYFUNCTION("""COMPUTED_VALUE"""),0.0)</f>
        <v>0</v>
      </c>
      <c r="E85" s="46" t="b">
        <f>IFERROR(__xludf.DUMMYFUNCTION("""COMPUTED_VALUE"""),TRUE)</f>
        <v>1</v>
      </c>
    </row>
    <row r="86" hidden="1">
      <c r="A86" s="76" t="str">
        <f>IFERROR(__xludf.DUMMYFUNCTION("""COMPUTED_VALUE"""),"Animated Army")</f>
        <v>Animated Army</v>
      </c>
      <c r="B86" s="76" t="str">
        <f>IFERROR(__xludf.DUMMYFUNCTION("""COMPUTED_VALUE"""),"Power Hungry")</f>
        <v>Power Hungry</v>
      </c>
      <c r="C86" s="77">
        <f>IFERROR(__xludf.DUMMYFUNCTION("""COMPUTED_VALUE"""),0.0)</f>
        <v>0</v>
      </c>
      <c r="D86" s="77">
        <f>IFERROR(__xludf.DUMMYFUNCTION("""COMPUTED_VALUE"""),0.0)</f>
        <v>0</v>
      </c>
      <c r="E86" s="46" t="b">
        <f>IFERROR(__xludf.DUMMYFUNCTION("""COMPUTED_VALUE"""),TRUE)</f>
        <v>1</v>
      </c>
    </row>
    <row r="87" hidden="1">
      <c r="A87" s="78" t="str">
        <f>IFERROR(__xludf.DUMMYFUNCTION("""COMPUTED_VALUE"""),"Animated Army")</f>
        <v>Animated Army</v>
      </c>
      <c r="B87" s="78" t="str">
        <f>IFERROR(__xludf.DUMMYFUNCTION("""COMPUTED_VALUE"""),"Primal Genesis")</f>
        <v>Primal Genesis</v>
      </c>
      <c r="C87" s="79">
        <f>IFERROR(__xludf.DUMMYFUNCTION("""COMPUTED_VALUE"""),0.0)</f>
        <v>0</v>
      </c>
      <c r="D87" s="79">
        <f>IFERROR(__xludf.DUMMYFUNCTION("""COMPUTED_VALUE"""),0.0)</f>
        <v>0</v>
      </c>
      <c r="E87" s="69" t="b">
        <f>IFERROR(__xludf.DUMMYFUNCTION("""COMPUTED_VALUE"""),TRUE)</f>
        <v>1</v>
      </c>
    </row>
    <row r="88" hidden="1">
      <c r="A88" s="76" t="str">
        <f>IFERROR(__xludf.DUMMYFUNCTION("""COMPUTED_VALUE"""),"Animated Army")</f>
        <v>Animated Army</v>
      </c>
      <c r="B88" s="76" t="str">
        <f>IFERROR(__xludf.DUMMYFUNCTION("""COMPUTED_VALUE"""),"Prismari Artistry")</f>
        <v>Prismari Artistry</v>
      </c>
      <c r="C88" s="77">
        <f>IFERROR(__xludf.DUMMYFUNCTION("""COMPUTED_VALUE"""),0.0)</f>
        <v>0</v>
      </c>
      <c r="D88" s="77">
        <f>IFERROR(__xludf.DUMMYFUNCTION("""COMPUTED_VALUE"""),0.0)</f>
        <v>0</v>
      </c>
      <c r="E88" s="46" t="b">
        <f>IFERROR(__xludf.DUMMYFUNCTION("""COMPUTED_VALUE"""),TRUE)</f>
        <v>1</v>
      </c>
    </row>
    <row r="89" hidden="1">
      <c r="A89" s="76" t="str">
        <f>IFERROR(__xludf.DUMMYFUNCTION("""COMPUTED_VALUE"""),"Animated Army")</f>
        <v>Animated Army</v>
      </c>
      <c r="B89" s="76" t="str">
        <f>IFERROR(__xludf.DUMMYFUNCTION("""COMPUTED_VALUE"""),"Prismari Performance")</f>
        <v>Prismari Performance</v>
      </c>
      <c r="C89" s="77">
        <f>IFERROR(__xludf.DUMMYFUNCTION("""COMPUTED_VALUE"""),0.0)</f>
        <v>0</v>
      </c>
      <c r="D89" s="77">
        <f>IFERROR(__xludf.DUMMYFUNCTION("""COMPUTED_VALUE"""),0.0)</f>
        <v>0</v>
      </c>
      <c r="E89" s="46" t="b">
        <f>IFERROR(__xludf.DUMMYFUNCTION("""COMPUTED_VALUE"""),TRUE)</f>
        <v>1</v>
      </c>
    </row>
    <row r="90">
      <c r="A90" s="76" t="str">
        <f>IFERROR(__xludf.DUMMYFUNCTION("""COMPUTED_VALUE"""),"Animated Army")</f>
        <v>Animated Army</v>
      </c>
      <c r="B90" s="76" t="str">
        <f>IFERROR(__xludf.DUMMYFUNCTION("""COMPUTED_VALUE"""),"Quandrix Unlimited")</f>
        <v>Quandrix Unlimited</v>
      </c>
      <c r="C90" s="77">
        <f>IFERROR(__xludf.DUMMYFUNCTION("""COMPUTED_VALUE"""),0.0)</f>
        <v>0</v>
      </c>
      <c r="D90" s="77">
        <f>IFERROR(__xludf.DUMMYFUNCTION("""COMPUTED_VALUE"""),0.0)</f>
        <v>0</v>
      </c>
      <c r="E90" s="46" t="b">
        <f>IFERROR(__xludf.DUMMYFUNCTION("""COMPUTED_VALUE"""),TRUE)</f>
        <v>1</v>
      </c>
    </row>
    <row r="91" hidden="1">
      <c r="A91" s="76" t="str">
        <f>IFERROR(__xludf.DUMMYFUNCTION("""COMPUTED_VALUE"""),"Animated Army")</f>
        <v>Animated Army</v>
      </c>
      <c r="B91" s="76" t="str">
        <f>IFERROR(__xludf.DUMMYFUNCTION("""COMPUTED_VALUE"""),"Quick Draw")</f>
        <v>Quick Draw</v>
      </c>
      <c r="C91" s="77">
        <f>IFERROR(__xludf.DUMMYFUNCTION("""COMPUTED_VALUE"""),0.0)</f>
        <v>0</v>
      </c>
      <c r="D91" s="77">
        <f>IFERROR(__xludf.DUMMYFUNCTION("""COMPUTED_VALUE"""),0.0)</f>
        <v>0</v>
      </c>
      <c r="E91" s="46" t="b">
        <f>IFERROR(__xludf.DUMMYFUNCTION("""COMPUTED_VALUE"""),TRUE)</f>
        <v>1</v>
      </c>
    </row>
    <row r="92" hidden="1">
      <c r="A92" s="76" t="str">
        <f>IFERROR(__xludf.DUMMYFUNCTION("""COMPUTED_VALUE"""),"Animated Army")</f>
        <v>Animated Army</v>
      </c>
      <c r="B92" s="76" t="str">
        <f>IFERROR(__xludf.DUMMYFUNCTION("""COMPUTED_VALUE"""),"Reap the Tides")</f>
        <v>Reap the Tides</v>
      </c>
      <c r="C92" s="77">
        <f>IFERROR(__xludf.DUMMYFUNCTION("""COMPUTED_VALUE"""),0.0)</f>
        <v>0</v>
      </c>
      <c r="D92" s="77">
        <f>IFERROR(__xludf.DUMMYFUNCTION("""COMPUTED_VALUE"""),0.0)</f>
        <v>0</v>
      </c>
      <c r="E92" s="46" t="b">
        <f>IFERROR(__xludf.DUMMYFUNCTION("""COMPUTED_VALUE"""),TRUE)</f>
        <v>1</v>
      </c>
    </row>
    <row r="93" hidden="1">
      <c r="A93" s="76" t="str">
        <f>IFERROR(__xludf.DUMMYFUNCTION("""COMPUTED_VALUE"""),"Animated Army")</f>
        <v>Animated Army</v>
      </c>
      <c r="B93" s="76" t="str">
        <f>IFERROR(__xludf.DUMMYFUNCTION("""COMPUTED_VALUE"""),"Rebellion Rising")</f>
        <v>Rebellion Rising</v>
      </c>
      <c r="C93" s="77">
        <f>IFERROR(__xludf.DUMMYFUNCTION("""COMPUTED_VALUE"""),0.0)</f>
        <v>0</v>
      </c>
      <c r="D93" s="77">
        <f>IFERROR(__xludf.DUMMYFUNCTION("""COMPUTED_VALUE"""),0.0)</f>
        <v>0</v>
      </c>
      <c r="E93" s="46" t="b">
        <f>IFERROR(__xludf.DUMMYFUNCTION("""COMPUTED_VALUE"""),TRUE)</f>
        <v>1</v>
      </c>
    </row>
    <row r="94" hidden="1">
      <c r="A94" s="76" t="str">
        <f>IFERROR(__xludf.DUMMYFUNCTION("""COMPUTED_VALUE"""),"Animated Army")</f>
        <v>Animated Army</v>
      </c>
      <c r="B94" s="76" t="str">
        <f>IFERROR(__xludf.DUMMYFUNCTION("""COMPUTED_VALUE"""),"Revival Trance")</f>
        <v>Revival Trance</v>
      </c>
      <c r="C94" s="77">
        <f>IFERROR(__xludf.DUMMYFUNCTION("""COMPUTED_VALUE"""),0.0)</f>
        <v>0</v>
      </c>
      <c r="D94" s="77">
        <f>IFERROR(__xludf.DUMMYFUNCTION("""COMPUTED_VALUE"""),0.0)</f>
        <v>0</v>
      </c>
      <c r="E94" s="46" t="b">
        <f>IFERROR(__xludf.DUMMYFUNCTION("""COMPUTED_VALUE"""),TRUE)</f>
        <v>1</v>
      </c>
    </row>
    <row r="95" hidden="1">
      <c r="A95" s="76" t="str">
        <f>IFERROR(__xludf.DUMMYFUNCTION("""COMPUTED_VALUE"""),"Animated Army")</f>
        <v>Animated Army</v>
      </c>
      <c r="B95" s="76" t="str">
        <f>IFERROR(__xludf.DUMMYFUNCTION("""COMPUTED_VALUE"""),"Riders of Rohan")</f>
        <v>Riders of Rohan</v>
      </c>
      <c r="C95" s="77">
        <f>IFERROR(__xludf.DUMMYFUNCTION("""COMPUTED_VALUE"""),0.0)</f>
        <v>0</v>
      </c>
      <c r="D95" s="77">
        <f>IFERROR(__xludf.DUMMYFUNCTION("""COMPUTED_VALUE"""),0.0)</f>
        <v>0</v>
      </c>
      <c r="E95" s="46" t="b">
        <f>IFERROR(__xludf.DUMMYFUNCTION("""COMPUTED_VALUE"""),TRUE)</f>
        <v>1</v>
      </c>
    </row>
    <row r="96" hidden="1">
      <c r="A96" s="76" t="str">
        <f>IFERROR(__xludf.DUMMYFUNCTION("""COMPUTED_VALUE"""),"Animated Army")</f>
        <v>Animated Army</v>
      </c>
      <c r="B96" s="76" t="str">
        <f>IFERROR(__xludf.DUMMYFUNCTION("""COMPUTED_VALUE"""),"Science!")</f>
        <v>Science!</v>
      </c>
      <c r="C96" s="77">
        <f>IFERROR(__xludf.DUMMYFUNCTION("""COMPUTED_VALUE"""),0.0)</f>
        <v>0</v>
      </c>
      <c r="D96" s="77">
        <f>IFERROR(__xludf.DUMMYFUNCTION("""COMPUTED_VALUE"""),0.0)</f>
        <v>0</v>
      </c>
      <c r="E96" s="46" t="b">
        <f>IFERROR(__xludf.DUMMYFUNCTION("""COMPUTED_VALUE"""),TRUE)</f>
        <v>1</v>
      </c>
    </row>
    <row r="97" hidden="1">
      <c r="A97" s="76" t="str">
        <f>IFERROR(__xludf.DUMMYFUNCTION("""COMPUTED_VALUE"""),"Animated Army")</f>
        <v>Animated Army</v>
      </c>
      <c r="B97" s="76" t="str">
        <f>IFERROR(__xludf.DUMMYFUNCTION("""COMPUTED_VALUE"""),"Scions &amp; Spellcraft")</f>
        <v>Scions &amp; Spellcraft</v>
      </c>
      <c r="C97" s="77">
        <f>IFERROR(__xludf.DUMMYFUNCTION("""COMPUTED_VALUE"""),0.0)</f>
        <v>0</v>
      </c>
      <c r="D97" s="77">
        <f>IFERROR(__xludf.DUMMYFUNCTION("""COMPUTED_VALUE"""),0.0)</f>
        <v>0</v>
      </c>
      <c r="E97" s="46" t="b">
        <f>IFERROR(__xludf.DUMMYFUNCTION("""COMPUTED_VALUE"""),TRUE)</f>
        <v>1</v>
      </c>
    </row>
    <row r="98" hidden="1">
      <c r="A98" s="76" t="str">
        <f>IFERROR(__xludf.DUMMYFUNCTION("""COMPUTED_VALUE"""),"Animated Army")</f>
        <v>Animated Army</v>
      </c>
      <c r="B98" s="76" t="str">
        <f>IFERROR(__xludf.DUMMYFUNCTION("""COMPUTED_VALUE"""),"Scrappy Survivors")</f>
        <v>Scrappy Survivors</v>
      </c>
      <c r="C98" s="77">
        <f>IFERROR(__xludf.DUMMYFUNCTION("""COMPUTED_VALUE"""),0.0)</f>
        <v>0</v>
      </c>
      <c r="D98" s="77">
        <f>IFERROR(__xludf.DUMMYFUNCTION("""COMPUTED_VALUE"""),0.0)</f>
        <v>0</v>
      </c>
      <c r="E98" s="46" t="b">
        <f>IFERROR(__xludf.DUMMYFUNCTION("""COMPUTED_VALUE"""),TRUE)</f>
        <v>1</v>
      </c>
    </row>
    <row r="99" hidden="1">
      <c r="A99" s="76" t="str">
        <f>IFERROR(__xludf.DUMMYFUNCTION("""COMPUTED_VALUE"""),"Animated Army")</f>
        <v>Animated Army</v>
      </c>
      <c r="B99" s="76" t="str">
        <f>IFERROR(__xludf.DUMMYFUNCTION("""COMPUTED_VALUE"""),"Silverquill Influence")</f>
        <v>Silverquill Influence</v>
      </c>
      <c r="C99" s="77">
        <f>IFERROR(__xludf.DUMMYFUNCTION("""COMPUTED_VALUE"""),0.0)</f>
        <v>0</v>
      </c>
      <c r="D99" s="77">
        <f>IFERROR(__xludf.DUMMYFUNCTION("""COMPUTED_VALUE"""),0.0)</f>
        <v>0</v>
      </c>
      <c r="E99" s="46" t="b">
        <f>IFERROR(__xludf.DUMMYFUNCTION("""COMPUTED_VALUE"""),TRUE)</f>
        <v>1</v>
      </c>
    </row>
    <row r="100" hidden="1">
      <c r="A100" s="76" t="str">
        <f>IFERROR(__xludf.DUMMYFUNCTION("""COMPUTED_VALUE"""),"Animated Army")</f>
        <v>Animated Army</v>
      </c>
      <c r="B100" s="76" t="str">
        <f>IFERROR(__xludf.DUMMYFUNCTION("""COMPUTED_VALUE"""),"Spirit Squadron")</f>
        <v>Spirit Squadron</v>
      </c>
      <c r="C100" s="77">
        <f>IFERROR(__xludf.DUMMYFUNCTION("""COMPUTED_VALUE"""),0.0)</f>
        <v>0</v>
      </c>
      <c r="D100" s="77">
        <f>IFERROR(__xludf.DUMMYFUNCTION("""COMPUTED_VALUE"""),0.0)</f>
        <v>0</v>
      </c>
      <c r="E100" s="46" t="b">
        <f>IFERROR(__xludf.DUMMYFUNCTION("""COMPUTED_VALUE"""),TRUE)</f>
        <v>1</v>
      </c>
    </row>
    <row r="101" hidden="1">
      <c r="A101" s="76" t="str">
        <f>IFERROR(__xludf.DUMMYFUNCTION("""COMPUTED_VALUE"""),"Animated Army")</f>
        <v>Animated Army</v>
      </c>
      <c r="B101" s="76" t="str">
        <f>IFERROR(__xludf.DUMMYFUNCTION("""COMPUTED_VALUE"""),"Squirreled Away")</f>
        <v>Squirreled Away</v>
      </c>
      <c r="C101" s="77">
        <f>IFERROR(__xludf.DUMMYFUNCTION("""COMPUTED_VALUE"""),0.0)</f>
        <v>0</v>
      </c>
      <c r="D101" s="77">
        <f>IFERROR(__xludf.DUMMYFUNCTION("""COMPUTED_VALUE"""),0.0)</f>
        <v>0</v>
      </c>
      <c r="E101" s="46" t="b">
        <f>IFERROR(__xludf.DUMMYFUNCTION("""COMPUTED_VALUE"""),TRUE)</f>
        <v>1</v>
      </c>
    </row>
    <row r="102" hidden="1">
      <c r="A102" s="76" t="str">
        <f>IFERROR(__xludf.DUMMYFUNCTION("""COMPUTED_VALUE"""),"Animated Army")</f>
        <v>Animated Army</v>
      </c>
      <c r="B102" s="76" t="str">
        <f>IFERROR(__xludf.DUMMYFUNCTION("""COMPUTED_VALUE"""),"Sultai Arisen")</f>
        <v>Sultai Arisen</v>
      </c>
      <c r="C102" s="77">
        <f>IFERROR(__xludf.DUMMYFUNCTION("""COMPUTED_VALUE"""),0.0)</f>
        <v>0</v>
      </c>
      <c r="D102" s="77">
        <f>IFERROR(__xludf.DUMMYFUNCTION("""COMPUTED_VALUE"""),0.0)</f>
        <v>0</v>
      </c>
      <c r="E102" s="46" t="b">
        <f>IFERROR(__xludf.DUMMYFUNCTION("""COMPUTED_VALUE"""),TRUE)</f>
        <v>1</v>
      </c>
    </row>
    <row r="103" hidden="1">
      <c r="A103" s="76" t="str">
        <f>IFERROR(__xludf.DUMMYFUNCTION("""COMPUTED_VALUE"""),"Animated Army")</f>
        <v>Animated Army</v>
      </c>
      <c r="B103" s="76" t="str">
        <f>IFERROR(__xludf.DUMMYFUNCTION("""COMPUTED_VALUE"""),"Temur Roar")</f>
        <v>Temur Roar</v>
      </c>
      <c r="C103" s="77">
        <f>IFERROR(__xludf.DUMMYFUNCTION("""COMPUTED_VALUE"""),0.0)</f>
        <v>0</v>
      </c>
      <c r="D103" s="77">
        <f>IFERROR(__xludf.DUMMYFUNCTION("""COMPUTED_VALUE"""),0.0)</f>
        <v>0</v>
      </c>
      <c r="E103" s="46" t="b">
        <f>IFERROR(__xludf.DUMMYFUNCTION("""COMPUTED_VALUE"""),TRUE)</f>
        <v>1</v>
      </c>
    </row>
    <row r="104" hidden="1">
      <c r="A104" s="76" t="str">
        <f>IFERROR(__xludf.DUMMYFUNCTION("""COMPUTED_VALUE"""),"Animated Army")</f>
        <v>Animated Army</v>
      </c>
      <c r="B104" s="76" t="str">
        <f>IFERROR(__xludf.DUMMYFUNCTION("""COMPUTED_VALUE"""),"The Hosts of Mordor")</f>
        <v>The Hosts of Mordor</v>
      </c>
      <c r="C104" s="77">
        <f>IFERROR(__xludf.DUMMYFUNCTION("""COMPUTED_VALUE"""),0.0)</f>
        <v>0</v>
      </c>
      <c r="D104" s="77">
        <f>IFERROR(__xludf.DUMMYFUNCTION("""COMPUTED_VALUE"""),0.0)</f>
        <v>0</v>
      </c>
      <c r="E104" s="46" t="b">
        <f>IFERROR(__xludf.DUMMYFUNCTION("""COMPUTED_VALUE"""),TRUE)</f>
        <v>1</v>
      </c>
    </row>
    <row r="105" hidden="1">
      <c r="A105" s="76" t="str">
        <f>IFERROR(__xludf.DUMMYFUNCTION("""COMPUTED_VALUE"""),"Animated Army")</f>
        <v>Animated Army</v>
      </c>
      <c r="B105" s="76" t="str">
        <f>IFERROR(__xludf.DUMMYFUNCTION("""COMPUTED_VALUE"""),"The Ruinous Powers")</f>
        <v>The Ruinous Powers</v>
      </c>
      <c r="C105" s="77">
        <f>IFERROR(__xludf.DUMMYFUNCTION("""COMPUTED_VALUE"""),0.0)</f>
        <v>0</v>
      </c>
      <c r="D105" s="77">
        <f>IFERROR(__xludf.DUMMYFUNCTION("""COMPUTED_VALUE"""),0.0)</f>
        <v>0</v>
      </c>
      <c r="E105" s="46" t="b">
        <f>IFERROR(__xludf.DUMMYFUNCTION("""COMPUTED_VALUE"""),TRUE)</f>
        <v>1</v>
      </c>
    </row>
    <row r="106" hidden="1">
      <c r="A106" s="76" t="str">
        <f>IFERROR(__xludf.DUMMYFUNCTION("""COMPUTED_VALUE"""),"Animated Army")</f>
        <v>Animated Army</v>
      </c>
      <c r="B106" s="76" t="str">
        <f>IFERROR(__xludf.DUMMYFUNCTION("""COMPUTED_VALUE"""),"Timey-Wimey")</f>
        <v>Timey-Wimey</v>
      </c>
      <c r="C106" s="77">
        <f>IFERROR(__xludf.DUMMYFUNCTION("""COMPUTED_VALUE"""),0.0)</f>
        <v>0</v>
      </c>
      <c r="D106" s="77">
        <f>IFERROR(__xludf.DUMMYFUNCTION("""COMPUTED_VALUE"""),0.0)</f>
        <v>0</v>
      </c>
      <c r="E106" s="46" t="b">
        <f>IFERROR(__xludf.DUMMYFUNCTION("""COMPUTED_VALUE"""),TRUE)</f>
        <v>1</v>
      </c>
    </row>
    <row r="107" hidden="1">
      <c r="A107" s="76" t="str">
        <f>IFERROR(__xludf.DUMMYFUNCTION("""COMPUTED_VALUE"""),"Animated Army")</f>
        <v>Animated Army</v>
      </c>
      <c r="B107" s="76" t="str">
        <f>IFERROR(__xludf.DUMMYFUNCTION("""COMPUTED_VALUE"""),"Tinker Time")</f>
        <v>Tinker Time</v>
      </c>
      <c r="C107" s="77">
        <f>IFERROR(__xludf.DUMMYFUNCTION("""COMPUTED_VALUE"""),0.0)</f>
        <v>0</v>
      </c>
      <c r="D107" s="77">
        <f>IFERROR(__xludf.DUMMYFUNCTION("""COMPUTED_VALUE"""),0.0)</f>
        <v>0</v>
      </c>
      <c r="E107" s="46" t="b">
        <f>IFERROR(__xludf.DUMMYFUNCTION("""COMPUTED_VALUE"""),TRUE)</f>
        <v>1</v>
      </c>
    </row>
    <row r="108" hidden="1">
      <c r="A108" s="76" t="str">
        <f>IFERROR(__xludf.DUMMYFUNCTION("""COMPUTED_VALUE"""),"Animated Army")</f>
        <v>Animated Army</v>
      </c>
      <c r="B108" s="76" t="str">
        <f>IFERROR(__xludf.DUMMYFUNCTION("""COMPUTED_VALUE"""),"Turtle Power!")</f>
        <v>Turtle Power!</v>
      </c>
      <c r="C108" s="77">
        <f>IFERROR(__xludf.DUMMYFUNCTION("""COMPUTED_VALUE"""),0.0)</f>
        <v>0</v>
      </c>
      <c r="D108" s="77">
        <f>IFERROR(__xludf.DUMMYFUNCTION("""COMPUTED_VALUE"""),0.0)</f>
        <v>0</v>
      </c>
      <c r="E108" s="46" t="b">
        <f>IFERROR(__xludf.DUMMYFUNCTION("""COMPUTED_VALUE"""),TRUE)</f>
        <v>1</v>
      </c>
    </row>
    <row r="109" hidden="1">
      <c r="A109" s="76" t="str">
        <f>IFERROR(__xludf.DUMMYFUNCTION("""COMPUTED_VALUE"""),"Animated Army")</f>
        <v>Animated Army</v>
      </c>
      <c r="B109" s="76" t="str">
        <f>IFERROR(__xludf.DUMMYFUNCTION("""COMPUTED_VALUE"""),"Veloci-ramp-tor")</f>
        <v>Veloci-ramp-tor</v>
      </c>
      <c r="C109" s="77">
        <f>IFERROR(__xludf.DUMMYFUNCTION("""COMPUTED_VALUE"""),0.0)</f>
        <v>0</v>
      </c>
      <c r="D109" s="77">
        <f>IFERROR(__xludf.DUMMYFUNCTION("""COMPUTED_VALUE"""),0.0)</f>
        <v>0</v>
      </c>
      <c r="E109" s="46" t="b">
        <f>IFERROR(__xludf.DUMMYFUNCTION("""COMPUTED_VALUE"""),TRUE)</f>
        <v>1</v>
      </c>
    </row>
    <row r="110" hidden="1">
      <c r="A110" s="76" t="str">
        <f>IFERROR(__xludf.DUMMYFUNCTION("""COMPUTED_VALUE"""),"Arcane Maelstrom")</f>
        <v>Arcane Maelstrom</v>
      </c>
      <c r="B110" s="76" t="str">
        <f>IFERROR(__xludf.DUMMYFUNCTION("""COMPUTED_VALUE"""),"Ahoy Mateys")</f>
        <v>Ahoy Mateys</v>
      </c>
      <c r="C110" s="77">
        <f>IFERROR(__xludf.DUMMYFUNCTION("""COMPUTED_VALUE"""),0.0)</f>
        <v>0</v>
      </c>
      <c r="D110" s="77">
        <f>IFERROR(__xludf.DUMMYFUNCTION("""COMPUTED_VALUE"""),0.0)</f>
        <v>0</v>
      </c>
      <c r="E110" s="46" t="b">
        <f>IFERROR(__xludf.DUMMYFUNCTION("""COMPUTED_VALUE"""),TRUE)</f>
        <v>1</v>
      </c>
    </row>
    <row r="111" hidden="1">
      <c r="A111" s="78" t="str">
        <f>IFERROR(__xludf.DUMMYFUNCTION("""COMPUTED_VALUE"""),"Arcane Maelstrom")</f>
        <v>Arcane Maelstrom</v>
      </c>
      <c r="B111" s="78" t="str">
        <f>IFERROR(__xludf.DUMMYFUNCTION("""COMPUTED_VALUE"""),"Animated Army")</f>
        <v>Animated Army</v>
      </c>
      <c r="C111" s="79">
        <f>IFERROR(__xludf.DUMMYFUNCTION("""COMPUTED_VALUE"""),0.0)</f>
        <v>0</v>
      </c>
      <c r="D111" s="79">
        <f>IFERROR(__xludf.DUMMYFUNCTION("""COMPUTED_VALUE"""),0.0)</f>
        <v>0</v>
      </c>
      <c r="E111" s="69" t="b">
        <f>IFERROR(__xludf.DUMMYFUNCTION("""COMPUTED_VALUE"""),TRUE)</f>
        <v>1</v>
      </c>
    </row>
    <row r="112" hidden="1">
      <c r="A112" s="76" t="str">
        <f>IFERROR(__xludf.DUMMYFUNCTION("""COMPUTED_VALUE"""),"Arcane Maelstrom")</f>
        <v>Arcane Maelstrom</v>
      </c>
      <c r="B112" s="76" t="str">
        <f>IFERROR(__xludf.DUMMYFUNCTION("""COMPUTED_VALUE"""),"Arcane Maelstrom")</f>
        <v>Arcane Maelstrom</v>
      </c>
      <c r="C112" s="77">
        <f>IFERROR(__xludf.DUMMYFUNCTION("""COMPUTED_VALUE"""),0.0)</f>
        <v>0</v>
      </c>
      <c r="D112" s="77">
        <f>IFERROR(__xludf.DUMMYFUNCTION("""COMPUTED_VALUE"""),0.0)</f>
        <v>0</v>
      </c>
      <c r="E112" s="46" t="b">
        <f>IFERROR(__xludf.DUMMYFUNCTION("""COMPUTED_VALUE"""),TRUE)</f>
        <v>1</v>
      </c>
    </row>
    <row r="113" hidden="1">
      <c r="A113" s="78" t="str">
        <f>IFERROR(__xludf.DUMMYFUNCTION("""COMPUTED_VALUE"""),"Arcane Maelstrom")</f>
        <v>Arcane Maelstrom</v>
      </c>
      <c r="B113" s="78" t="str">
        <f>IFERROR(__xludf.DUMMYFUNCTION("""COMPUTED_VALUE"""),"Blame Game")</f>
        <v>Blame Game</v>
      </c>
      <c r="C113" s="79">
        <f>IFERROR(__xludf.DUMMYFUNCTION("""COMPUTED_VALUE"""),0.0)</f>
        <v>0</v>
      </c>
      <c r="D113" s="79">
        <f>IFERROR(__xludf.DUMMYFUNCTION("""COMPUTED_VALUE"""),0.0)</f>
        <v>0</v>
      </c>
      <c r="E113" s="69" t="b">
        <f>IFERROR(__xludf.DUMMYFUNCTION("""COMPUTED_VALUE"""),TRUE)</f>
        <v>1</v>
      </c>
    </row>
    <row r="114" hidden="1">
      <c r="A114" s="76" t="str">
        <f>IFERROR(__xludf.DUMMYFUNCTION("""COMPUTED_VALUE"""),"Arcane Maelstrom")</f>
        <v>Arcane Maelstrom</v>
      </c>
      <c r="B114" s="76" t="str">
        <f>IFERROR(__xludf.DUMMYFUNCTION("""COMPUTED_VALUE"""),"Blight Curse")</f>
        <v>Blight Curse</v>
      </c>
      <c r="C114" s="77">
        <f>IFERROR(__xludf.DUMMYFUNCTION("""COMPUTED_VALUE"""),0.0)</f>
        <v>0</v>
      </c>
      <c r="D114" s="77">
        <f>IFERROR(__xludf.DUMMYFUNCTION("""COMPUTED_VALUE"""),0.0)</f>
        <v>0</v>
      </c>
      <c r="E114" s="46" t="b">
        <f>IFERROR(__xludf.DUMMYFUNCTION("""COMPUTED_VALUE"""),TRUE)</f>
        <v>1</v>
      </c>
    </row>
    <row r="115" hidden="1">
      <c r="A115" s="78" t="str">
        <f>IFERROR(__xludf.DUMMYFUNCTION("""COMPUTED_VALUE"""),"Arcane Maelstrom")</f>
        <v>Arcane Maelstrom</v>
      </c>
      <c r="B115" s="78" t="str">
        <f>IFERROR(__xludf.DUMMYFUNCTION("""COMPUTED_VALUE"""),"Blood Rites")</f>
        <v>Blood Rites</v>
      </c>
      <c r="C115" s="79">
        <f>IFERROR(__xludf.DUMMYFUNCTION("""COMPUTED_VALUE"""),0.0)</f>
        <v>0</v>
      </c>
      <c r="D115" s="79">
        <f>IFERROR(__xludf.DUMMYFUNCTION("""COMPUTED_VALUE"""),0.0)</f>
        <v>0</v>
      </c>
      <c r="E115" s="69" t="b">
        <f>IFERROR(__xludf.DUMMYFUNCTION("""COMPUTED_VALUE"""),TRUE)</f>
        <v>1</v>
      </c>
    </row>
    <row r="116" hidden="1">
      <c r="A116" s="76" t="str">
        <f>IFERROR(__xludf.DUMMYFUNCTION("""COMPUTED_VALUE"""),"Arcane Maelstrom")</f>
        <v>Arcane Maelstrom</v>
      </c>
      <c r="B116" s="76" t="str">
        <f>IFERROR(__xludf.DUMMYFUNCTION("""COMPUTED_VALUE"""),"Buckle Up")</f>
        <v>Buckle Up</v>
      </c>
      <c r="C116" s="77">
        <f>IFERROR(__xludf.DUMMYFUNCTION("""COMPUTED_VALUE"""),0.0)</f>
        <v>0</v>
      </c>
      <c r="D116" s="77">
        <f>IFERROR(__xludf.DUMMYFUNCTION("""COMPUTED_VALUE"""),0.0)</f>
        <v>0</v>
      </c>
      <c r="E116" s="46" t="b">
        <f>IFERROR(__xludf.DUMMYFUNCTION("""COMPUTED_VALUE"""),TRUE)</f>
        <v>1</v>
      </c>
    </row>
    <row r="117">
      <c r="A117" s="76" t="str">
        <f>IFERROR(__xludf.DUMMYFUNCTION("""COMPUTED_VALUE"""),"Arcane Maelstrom")</f>
        <v>Arcane Maelstrom</v>
      </c>
      <c r="B117" s="76" t="str">
        <f>IFERROR(__xludf.DUMMYFUNCTION("""COMPUTED_VALUE"""),"Cabaretti Cacophony")</f>
        <v>Cabaretti Cacophony</v>
      </c>
      <c r="C117" s="77">
        <f>IFERROR(__xludf.DUMMYFUNCTION("""COMPUTED_VALUE"""),0.0)</f>
        <v>0</v>
      </c>
      <c r="D117" s="77">
        <f>IFERROR(__xludf.DUMMYFUNCTION("""COMPUTED_VALUE"""),0.0)</f>
        <v>0</v>
      </c>
      <c r="E117" s="46" t="b">
        <f>IFERROR(__xludf.DUMMYFUNCTION("""COMPUTED_VALUE"""),TRUE)</f>
        <v>1</v>
      </c>
    </row>
    <row r="118" hidden="1">
      <c r="A118" s="76" t="str">
        <f>IFERROR(__xludf.DUMMYFUNCTION("""COMPUTED_VALUE"""),"Arcane Maelstrom")</f>
        <v>Arcane Maelstrom</v>
      </c>
      <c r="B118" s="76" t="str">
        <f>IFERROR(__xludf.DUMMYFUNCTION("""COMPUTED_VALUE"""),"Cavalry Charge")</f>
        <v>Cavalry Charge</v>
      </c>
      <c r="C118" s="77">
        <f>IFERROR(__xludf.DUMMYFUNCTION("""COMPUTED_VALUE"""),0.0)</f>
        <v>0</v>
      </c>
      <c r="D118" s="77">
        <f>IFERROR(__xludf.DUMMYFUNCTION("""COMPUTED_VALUE"""),0.0)</f>
        <v>0</v>
      </c>
      <c r="E118" s="46" t="b">
        <f>IFERROR(__xludf.DUMMYFUNCTION("""COMPUTED_VALUE"""),TRUE)</f>
        <v>1</v>
      </c>
    </row>
    <row r="119">
      <c r="A119" s="76" t="str">
        <f>IFERROR(__xludf.DUMMYFUNCTION("""COMPUTED_VALUE"""),"Arcane Maelstrom")</f>
        <v>Arcane Maelstrom</v>
      </c>
      <c r="B119" s="76" t="str">
        <f>IFERROR(__xludf.DUMMYFUNCTION("""COMPUTED_VALUE"""),"Corrupting Influence")</f>
        <v>Corrupting Influence</v>
      </c>
      <c r="C119" s="77">
        <f>IFERROR(__xludf.DUMMYFUNCTION("""COMPUTED_VALUE"""),0.0)</f>
        <v>0</v>
      </c>
      <c r="D119" s="77">
        <f>IFERROR(__xludf.DUMMYFUNCTION("""COMPUTED_VALUE"""),0.0)</f>
        <v>0</v>
      </c>
      <c r="E119" s="46" t="b">
        <f>IFERROR(__xludf.DUMMYFUNCTION("""COMPUTED_VALUE"""),TRUE)</f>
        <v>1</v>
      </c>
    </row>
    <row r="120" hidden="1">
      <c r="A120" s="78" t="str">
        <f>IFERROR(__xludf.DUMMYFUNCTION("""COMPUTED_VALUE"""),"Arcane Maelstrom")</f>
        <v>Arcane Maelstrom</v>
      </c>
      <c r="B120" s="78" t="str">
        <f>IFERROR(__xludf.DUMMYFUNCTION("""COMPUTED_VALUE"""),"Counter Blitz")</f>
        <v>Counter Blitz</v>
      </c>
      <c r="C120" s="79">
        <f>IFERROR(__xludf.DUMMYFUNCTION("""COMPUTED_VALUE"""),0.0)</f>
        <v>0</v>
      </c>
      <c r="D120" s="79">
        <f>IFERROR(__xludf.DUMMYFUNCTION("""COMPUTED_VALUE"""),0.0)</f>
        <v>0</v>
      </c>
      <c r="E120" s="69" t="b">
        <f>IFERROR(__xludf.DUMMYFUNCTION("""COMPUTED_VALUE"""),TRUE)</f>
        <v>1</v>
      </c>
    </row>
    <row r="121">
      <c r="A121" s="76" t="str">
        <f>IFERROR(__xludf.DUMMYFUNCTION("""COMPUTED_VALUE"""),"Arcane Maelstrom")</f>
        <v>Arcane Maelstrom</v>
      </c>
      <c r="B121" s="76" t="str">
        <f>IFERROR(__xludf.DUMMYFUNCTION("""COMPUTED_VALUE"""),"Counter Intelligence")</f>
        <v>Counter Intelligence</v>
      </c>
      <c r="C121" s="77">
        <f>IFERROR(__xludf.DUMMYFUNCTION("""COMPUTED_VALUE"""),0.0)</f>
        <v>0</v>
      </c>
      <c r="D121" s="77">
        <f>IFERROR(__xludf.DUMMYFUNCTION("""COMPUTED_VALUE"""),0.0)</f>
        <v>0</v>
      </c>
      <c r="E121" s="46" t="b">
        <f>IFERROR(__xludf.DUMMYFUNCTION("""COMPUTED_VALUE"""),TRUE)</f>
        <v>1</v>
      </c>
    </row>
    <row r="122" hidden="1">
      <c r="A122" s="76" t="str">
        <f>IFERROR(__xludf.DUMMYFUNCTION("""COMPUTED_VALUE"""),"Arcane Maelstrom")</f>
        <v>Arcane Maelstrom</v>
      </c>
      <c r="B122" s="76" t="str">
        <f>IFERROR(__xludf.DUMMYFUNCTION("""COMPUTED_VALUE"""),"Creative Energy")</f>
        <v>Creative Energy</v>
      </c>
      <c r="C122" s="77">
        <f>IFERROR(__xludf.DUMMYFUNCTION("""COMPUTED_VALUE"""),0.0)</f>
        <v>0</v>
      </c>
      <c r="D122" s="77">
        <f>IFERROR(__xludf.DUMMYFUNCTION("""COMPUTED_VALUE"""),0.0)</f>
        <v>0</v>
      </c>
      <c r="E122" s="46" t="b">
        <f>IFERROR(__xludf.DUMMYFUNCTION("""COMPUTED_VALUE"""),TRUE)</f>
        <v>1</v>
      </c>
    </row>
    <row r="123" hidden="1">
      <c r="A123" s="76" t="str">
        <f>IFERROR(__xludf.DUMMYFUNCTION("""COMPUTED_VALUE"""),"Arcane Maelstrom")</f>
        <v>Arcane Maelstrom</v>
      </c>
      <c r="B123" s="76" t="str">
        <f>IFERROR(__xludf.DUMMYFUNCTION("""COMPUTED_VALUE"""),"Dance of the Elements")</f>
        <v>Dance of the Elements</v>
      </c>
      <c r="C123" s="77">
        <f>IFERROR(__xludf.DUMMYFUNCTION("""COMPUTED_VALUE"""),0.0)</f>
        <v>0</v>
      </c>
      <c r="D123" s="77">
        <f>IFERROR(__xludf.DUMMYFUNCTION("""COMPUTED_VALUE"""),0.0)</f>
        <v>0</v>
      </c>
      <c r="E123" s="46" t="b">
        <f>IFERROR(__xludf.DUMMYFUNCTION("""COMPUTED_VALUE"""),TRUE)</f>
        <v>1</v>
      </c>
    </row>
    <row r="124" hidden="1">
      <c r="A124" s="76" t="str">
        <f>IFERROR(__xludf.DUMMYFUNCTION("""COMPUTED_VALUE"""),"Arcane Maelstrom")</f>
        <v>Arcane Maelstrom</v>
      </c>
      <c r="B124" s="76" t="str">
        <f>IFERROR(__xludf.DUMMYFUNCTION("""COMPUTED_VALUE"""),"Deep Clue Sea")</f>
        <v>Deep Clue Sea</v>
      </c>
      <c r="C124" s="77">
        <f>IFERROR(__xludf.DUMMYFUNCTION("""COMPUTED_VALUE"""),0.0)</f>
        <v>0</v>
      </c>
      <c r="D124" s="77">
        <f>IFERROR(__xludf.DUMMYFUNCTION("""COMPUTED_VALUE"""),0.0)</f>
        <v>0</v>
      </c>
      <c r="E124" s="46" t="b">
        <f>IFERROR(__xludf.DUMMYFUNCTION("""COMPUTED_VALUE"""),TRUE)</f>
        <v>1</v>
      </c>
    </row>
    <row r="125" hidden="1">
      <c r="A125" s="76" t="str">
        <f>IFERROR(__xludf.DUMMYFUNCTION("""COMPUTED_VALUE"""),"Arcane Maelstrom")</f>
        <v>Arcane Maelstrom</v>
      </c>
      <c r="B125" s="76" t="str">
        <f>IFERROR(__xludf.DUMMYFUNCTION("""COMPUTED_VALUE"""),"Doom Prevails")</f>
        <v>Doom Prevails</v>
      </c>
      <c r="C125" s="77">
        <f>IFERROR(__xludf.DUMMYFUNCTION("""COMPUTED_VALUE"""),0.0)</f>
        <v>0</v>
      </c>
      <c r="D125" s="77">
        <f>IFERROR(__xludf.DUMMYFUNCTION("""COMPUTED_VALUE"""),0.0)</f>
        <v>0</v>
      </c>
      <c r="E125" s="46" t="b">
        <f>IFERROR(__xludf.DUMMYFUNCTION("""COMPUTED_VALUE"""),TRUE)</f>
        <v>1</v>
      </c>
    </row>
    <row r="126">
      <c r="A126" s="76" t="str">
        <f>IFERROR(__xludf.DUMMYFUNCTION("""COMPUTED_VALUE"""),"Arcane Maelstrom")</f>
        <v>Arcane Maelstrom</v>
      </c>
      <c r="B126" s="76" t="str">
        <f>IFERROR(__xludf.DUMMYFUNCTION("""COMPUTED_VALUE"""),"Eldrazi Incursion")</f>
        <v>Eldrazi Incursion</v>
      </c>
      <c r="C126" s="77">
        <f>IFERROR(__xludf.DUMMYFUNCTION("""COMPUTED_VALUE"""),0.0)</f>
        <v>0</v>
      </c>
      <c r="D126" s="77">
        <f>IFERROR(__xludf.DUMMYFUNCTION("""COMPUTED_VALUE"""),0.0)</f>
        <v>0</v>
      </c>
      <c r="E126" s="46" t="b">
        <f>IFERROR(__xludf.DUMMYFUNCTION("""COMPUTED_VALUE"""),TRUE)</f>
        <v>1</v>
      </c>
    </row>
    <row r="127" hidden="1">
      <c r="A127" s="78" t="str">
        <f>IFERROR(__xludf.DUMMYFUNCTION("""COMPUTED_VALUE"""),"Arcane Maelstrom")</f>
        <v>Arcane Maelstrom</v>
      </c>
      <c r="B127" s="78" t="str">
        <f>IFERROR(__xludf.DUMMYFUNCTION("""COMPUTED_VALUE"""),"Eldrazi Unbound")</f>
        <v>Eldrazi Unbound</v>
      </c>
      <c r="C127" s="79">
        <f>IFERROR(__xludf.DUMMYFUNCTION("""COMPUTED_VALUE"""),0.0)</f>
        <v>0</v>
      </c>
      <c r="D127" s="79">
        <f>IFERROR(__xludf.DUMMYFUNCTION("""COMPUTED_VALUE"""),0.0)</f>
        <v>0</v>
      </c>
      <c r="E127" s="69" t="b">
        <f>IFERROR(__xludf.DUMMYFUNCTION("""COMPUTED_VALUE"""),TRUE)</f>
        <v>1</v>
      </c>
    </row>
    <row r="128" hidden="1">
      <c r="A128" s="76" t="str">
        <f>IFERROR(__xludf.DUMMYFUNCTION("""COMPUTED_VALUE"""),"Arcane Maelstrom")</f>
        <v>Arcane Maelstrom</v>
      </c>
      <c r="B128" s="76" t="str">
        <f>IFERROR(__xludf.DUMMYFUNCTION("""COMPUTED_VALUE"""),"Endless Punishment")</f>
        <v>Endless Punishment</v>
      </c>
      <c r="C128" s="77">
        <f>IFERROR(__xludf.DUMMYFUNCTION("""COMPUTED_VALUE"""),0.0)</f>
        <v>0</v>
      </c>
      <c r="D128" s="77">
        <f>IFERROR(__xludf.DUMMYFUNCTION("""COMPUTED_VALUE"""),0.0)</f>
        <v>0</v>
      </c>
      <c r="E128" s="46" t="b">
        <f>IFERROR(__xludf.DUMMYFUNCTION("""COMPUTED_VALUE"""),TRUE)</f>
        <v>1</v>
      </c>
    </row>
    <row r="129" hidden="1">
      <c r="A129" s="76" t="str">
        <f>IFERROR(__xludf.DUMMYFUNCTION("""COMPUTED_VALUE"""),"Arcane Maelstrom")</f>
        <v>Arcane Maelstrom</v>
      </c>
      <c r="B129" s="76" t="str">
        <f>IFERROR(__xludf.DUMMYFUNCTION("""COMPUTED_VALUE"""),"Enduring Enchantments")</f>
        <v>Enduring Enchantments</v>
      </c>
      <c r="C129" s="77">
        <f>IFERROR(__xludf.DUMMYFUNCTION("""COMPUTED_VALUE"""),0.0)</f>
        <v>0</v>
      </c>
      <c r="D129" s="77">
        <f>IFERROR(__xludf.DUMMYFUNCTION("""COMPUTED_VALUE"""),0.0)</f>
        <v>0</v>
      </c>
      <c r="E129" s="46" t="b">
        <f>IFERROR(__xludf.DUMMYFUNCTION("""COMPUTED_VALUE"""),TRUE)</f>
        <v>1</v>
      </c>
    </row>
    <row r="130" hidden="1">
      <c r="A130" s="76" t="str">
        <f>IFERROR(__xludf.DUMMYFUNCTION("""COMPUTED_VALUE"""),"Arcane Maelstrom")</f>
        <v>Arcane Maelstrom</v>
      </c>
      <c r="B130" s="76" t="str">
        <f>IFERROR(__xludf.DUMMYFUNCTION("""COMPUTED_VALUE"""),"Explorers of the Deep")</f>
        <v>Explorers of the Deep</v>
      </c>
      <c r="C130" s="77">
        <f>IFERROR(__xludf.DUMMYFUNCTION("""COMPUTED_VALUE"""),0.0)</f>
        <v>0</v>
      </c>
      <c r="D130" s="77">
        <f>IFERROR(__xludf.DUMMYFUNCTION("""COMPUTED_VALUE"""),0.0)</f>
        <v>0</v>
      </c>
      <c r="E130" s="46" t="b">
        <f>IFERROR(__xludf.DUMMYFUNCTION("""COMPUTED_VALUE"""),TRUE)</f>
        <v>1</v>
      </c>
    </row>
    <row r="131" hidden="1">
      <c r="A131" s="76" t="str">
        <f>IFERROR(__xludf.DUMMYFUNCTION("""COMPUTED_VALUE"""),"Arcane Maelstrom")</f>
        <v>Arcane Maelstrom</v>
      </c>
      <c r="B131" s="76" t="str">
        <f>IFERROR(__xludf.DUMMYFUNCTION("""COMPUTED_VALUE"""),"Family Matters")</f>
        <v>Family Matters</v>
      </c>
      <c r="C131" s="77">
        <f>IFERROR(__xludf.DUMMYFUNCTION("""COMPUTED_VALUE"""),0.0)</f>
        <v>0</v>
      </c>
      <c r="D131" s="77">
        <f>IFERROR(__xludf.DUMMYFUNCTION("""COMPUTED_VALUE"""),0.0)</f>
        <v>0</v>
      </c>
      <c r="E131" s="46" t="b">
        <f>IFERROR(__xludf.DUMMYFUNCTION("""COMPUTED_VALUE"""),TRUE)</f>
        <v>1</v>
      </c>
    </row>
    <row r="132" hidden="1">
      <c r="A132" s="76" t="str">
        <f>IFERROR(__xludf.DUMMYFUNCTION("""COMPUTED_VALUE"""),"Arcane Maelstrom")</f>
        <v>Arcane Maelstrom</v>
      </c>
      <c r="B132" s="76" t="str">
        <f>IFERROR(__xludf.DUMMYFUNCTION("""COMPUTED_VALUE"""),"Food and Fellowship")</f>
        <v>Food and Fellowship</v>
      </c>
      <c r="C132" s="77">
        <f>IFERROR(__xludf.DUMMYFUNCTION("""COMPUTED_VALUE"""),0.0)</f>
        <v>0</v>
      </c>
      <c r="D132" s="77">
        <f>IFERROR(__xludf.DUMMYFUNCTION("""COMPUTED_VALUE"""),0.0)</f>
        <v>0</v>
      </c>
      <c r="E132" s="46" t="b">
        <f>IFERROR(__xludf.DUMMYFUNCTION("""COMPUTED_VALUE"""),TRUE)</f>
        <v>1</v>
      </c>
    </row>
    <row r="133">
      <c r="A133" s="76" t="str">
        <f>IFERROR(__xludf.DUMMYFUNCTION("""COMPUTED_VALUE"""),"Arcane Maelstrom")</f>
        <v>Arcane Maelstrom</v>
      </c>
      <c r="B133" s="76" t="str">
        <f>IFERROR(__xludf.DUMMYFUNCTION("""COMPUTED_VALUE"""),"Jeskai Striker")</f>
        <v>Jeskai Striker</v>
      </c>
      <c r="C133" s="77">
        <f>IFERROR(__xludf.DUMMYFUNCTION("""COMPUTED_VALUE"""),0.0)</f>
        <v>0</v>
      </c>
      <c r="D133" s="77">
        <f>IFERROR(__xludf.DUMMYFUNCTION("""COMPUTED_VALUE"""),0.0)</f>
        <v>0</v>
      </c>
      <c r="E133" s="46" t="b">
        <f>IFERROR(__xludf.DUMMYFUNCTION("""COMPUTED_VALUE"""),TRUE)</f>
        <v>1</v>
      </c>
    </row>
    <row r="134" hidden="1">
      <c r="A134" s="76" t="str">
        <f>IFERROR(__xludf.DUMMYFUNCTION("""COMPUTED_VALUE"""),"Arcane Maelstrom")</f>
        <v>Arcane Maelstrom</v>
      </c>
      <c r="B134" s="76" t="str">
        <f>IFERROR(__xludf.DUMMYFUNCTION("""COMPUTED_VALUE"""),"Legends' Legacy")</f>
        <v>Legends' Legacy</v>
      </c>
      <c r="C134" s="77">
        <f>IFERROR(__xludf.DUMMYFUNCTION("""COMPUTED_VALUE"""),0.0)</f>
        <v>0</v>
      </c>
      <c r="D134" s="77">
        <f>IFERROR(__xludf.DUMMYFUNCTION("""COMPUTED_VALUE"""),0.0)</f>
        <v>0</v>
      </c>
      <c r="E134" s="46" t="b">
        <f>IFERROR(__xludf.DUMMYFUNCTION("""COMPUTED_VALUE"""),TRUE)</f>
        <v>1</v>
      </c>
    </row>
    <row r="135" hidden="1">
      <c r="A135" s="78" t="str">
        <f>IFERROR(__xludf.DUMMYFUNCTION("""COMPUTED_VALUE"""),"Arcane Maelstrom")</f>
        <v>Arcane Maelstrom</v>
      </c>
      <c r="B135" s="78" t="str">
        <f>IFERROR(__xludf.DUMMYFUNCTION("""COMPUTED_VALUE"""),"Limit Break")</f>
        <v>Limit Break</v>
      </c>
      <c r="C135" s="79">
        <f>IFERROR(__xludf.DUMMYFUNCTION("""COMPUTED_VALUE"""),0.0)</f>
        <v>0</v>
      </c>
      <c r="D135" s="79">
        <f>IFERROR(__xludf.DUMMYFUNCTION("""COMPUTED_VALUE"""),0.0)</f>
        <v>0</v>
      </c>
      <c r="E135" s="69" t="b">
        <f>IFERROR(__xludf.DUMMYFUNCTION("""COMPUTED_VALUE"""),TRUE)</f>
        <v>1</v>
      </c>
    </row>
    <row r="136" hidden="1">
      <c r="A136" s="76" t="str">
        <f>IFERROR(__xludf.DUMMYFUNCTION("""COMPUTED_VALUE"""),"Arcane Maelstrom")</f>
        <v>Arcane Maelstrom</v>
      </c>
      <c r="B136" s="76" t="str">
        <f>IFERROR(__xludf.DUMMYFUNCTION("""COMPUTED_VALUE"""),"Lorehold Spirit")</f>
        <v>Lorehold Spirit</v>
      </c>
      <c r="C136" s="77">
        <f>IFERROR(__xludf.DUMMYFUNCTION("""COMPUTED_VALUE"""),0.0)</f>
        <v>0</v>
      </c>
      <c r="D136" s="77">
        <f>IFERROR(__xludf.DUMMYFUNCTION("""COMPUTED_VALUE"""),0.0)</f>
        <v>0</v>
      </c>
      <c r="E136" s="46" t="b">
        <f>IFERROR(__xludf.DUMMYFUNCTION("""COMPUTED_VALUE"""),TRUE)</f>
        <v>1</v>
      </c>
    </row>
    <row r="137" hidden="1">
      <c r="A137" s="76" t="str">
        <f>IFERROR(__xludf.DUMMYFUNCTION("""COMPUTED_VALUE"""),"Arcane Maelstrom")</f>
        <v>Arcane Maelstrom</v>
      </c>
      <c r="B137" s="76" t="str">
        <f>IFERROR(__xludf.DUMMYFUNCTION("""COMPUTED_VALUE"""),"Mutant Menace")</f>
        <v>Mutant Menace</v>
      </c>
      <c r="C137" s="77">
        <f>IFERROR(__xludf.DUMMYFUNCTION("""COMPUTED_VALUE"""),0.0)</f>
        <v>0</v>
      </c>
      <c r="D137" s="77">
        <f>IFERROR(__xludf.DUMMYFUNCTION("""COMPUTED_VALUE"""),0.0)</f>
        <v>0</v>
      </c>
      <c r="E137" s="46" t="b">
        <f>IFERROR(__xludf.DUMMYFUNCTION("""COMPUTED_VALUE"""),TRUE)</f>
        <v>1</v>
      </c>
    </row>
    <row r="138" hidden="1">
      <c r="A138" s="76" t="str">
        <f>IFERROR(__xludf.DUMMYFUNCTION("""COMPUTED_VALUE"""),"Arcane Maelstrom")</f>
        <v>Arcane Maelstrom</v>
      </c>
      <c r="B138" s="76" t="str">
        <f>IFERROR(__xludf.DUMMYFUNCTION("""COMPUTED_VALUE"""),"Party Time")</f>
        <v>Party Time</v>
      </c>
      <c r="C138" s="77">
        <f>IFERROR(__xludf.DUMMYFUNCTION("""COMPUTED_VALUE"""),0.0)</f>
        <v>0</v>
      </c>
      <c r="D138" s="77">
        <f>IFERROR(__xludf.DUMMYFUNCTION("""COMPUTED_VALUE"""),0.0)</f>
        <v>0</v>
      </c>
      <c r="E138" s="46" t="b">
        <f>IFERROR(__xludf.DUMMYFUNCTION("""COMPUTED_VALUE"""),TRUE)</f>
        <v>1</v>
      </c>
    </row>
    <row r="139" hidden="1">
      <c r="A139" s="78" t="str">
        <f>IFERROR(__xludf.DUMMYFUNCTION("""COMPUTED_VALUE"""),"Arcane Maelstrom")</f>
        <v>Arcane Maelstrom</v>
      </c>
      <c r="B139" s="78" t="str">
        <f>IFERROR(__xludf.DUMMYFUNCTION("""COMPUTED_VALUE"""),"Peace Offering")</f>
        <v>Peace Offering</v>
      </c>
      <c r="C139" s="79">
        <f>IFERROR(__xludf.DUMMYFUNCTION("""COMPUTED_VALUE"""),0.0)</f>
        <v>0</v>
      </c>
      <c r="D139" s="79">
        <f>IFERROR(__xludf.DUMMYFUNCTION("""COMPUTED_VALUE"""),0.0)</f>
        <v>0</v>
      </c>
      <c r="E139" s="69" t="b">
        <f>IFERROR(__xludf.DUMMYFUNCTION("""COMPUTED_VALUE"""),TRUE)</f>
        <v>1</v>
      </c>
    </row>
    <row r="140" hidden="1">
      <c r="A140" s="76" t="str">
        <f>IFERROR(__xludf.DUMMYFUNCTION("""COMPUTED_VALUE"""),"Arcane Maelstrom")</f>
        <v>Arcane Maelstrom</v>
      </c>
      <c r="B140" s="76" t="str">
        <f>IFERROR(__xludf.DUMMYFUNCTION("""COMPUTED_VALUE"""),"Power Hungry")</f>
        <v>Power Hungry</v>
      </c>
      <c r="C140" s="77">
        <f>IFERROR(__xludf.DUMMYFUNCTION("""COMPUTED_VALUE"""),0.0)</f>
        <v>0</v>
      </c>
      <c r="D140" s="77">
        <f>IFERROR(__xludf.DUMMYFUNCTION("""COMPUTED_VALUE"""),0.0)</f>
        <v>0</v>
      </c>
      <c r="E140" s="46" t="b">
        <f>IFERROR(__xludf.DUMMYFUNCTION("""COMPUTED_VALUE"""),TRUE)</f>
        <v>1</v>
      </c>
    </row>
    <row r="141">
      <c r="A141" s="76" t="str">
        <f>IFERROR(__xludf.DUMMYFUNCTION("""COMPUTED_VALUE"""),"Arcane Maelstrom")</f>
        <v>Arcane Maelstrom</v>
      </c>
      <c r="B141" s="76" t="str">
        <f>IFERROR(__xludf.DUMMYFUNCTION("""COMPUTED_VALUE"""),"Primal Genesis")</f>
        <v>Primal Genesis</v>
      </c>
      <c r="C141" s="77">
        <f>IFERROR(__xludf.DUMMYFUNCTION("""COMPUTED_VALUE"""),0.0)</f>
        <v>0</v>
      </c>
      <c r="D141" s="77">
        <f>IFERROR(__xludf.DUMMYFUNCTION("""COMPUTED_VALUE"""),0.0)</f>
        <v>0</v>
      </c>
      <c r="E141" s="46" t="b">
        <f>IFERROR(__xludf.DUMMYFUNCTION("""COMPUTED_VALUE"""),TRUE)</f>
        <v>1</v>
      </c>
    </row>
    <row r="142" hidden="1">
      <c r="A142" s="78" t="str">
        <f>IFERROR(__xludf.DUMMYFUNCTION("""COMPUTED_VALUE"""),"Arcane Maelstrom")</f>
        <v>Arcane Maelstrom</v>
      </c>
      <c r="B142" s="78" t="str">
        <f>IFERROR(__xludf.DUMMYFUNCTION("""COMPUTED_VALUE"""),"Prismari Artistry")</f>
        <v>Prismari Artistry</v>
      </c>
      <c r="C142" s="79">
        <f>IFERROR(__xludf.DUMMYFUNCTION("""COMPUTED_VALUE"""),0.0)</f>
        <v>0</v>
      </c>
      <c r="D142" s="79">
        <f>IFERROR(__xludf.DUMMYFUNCTION("""COMPUTED_VALUE"""),0.0)</f>
        <v>0</v>
      </c>
      <c r="E142" s="69" t="b">
        <f>IFERROR(__xludf.DUMMYFUNCTION("""COMPUTED_VALUE"""),TRUE)</f>
        <v>1</v>
      </c>
    </row>
    <row r="143" hidden="1">
      <c r="A143" s="76" t="str">
        <f>IFERROR(__xludf.DUMMYFUNCTION("""COMPUTED_VALUE"""),"Arcane Maelstrom")</f>
        <v>Arcane Maelstrom</v>
      </c>
      <c r="B143" s="76" t="str">
        <f>IFERROR(__xludf.DUMMYFUNCTION("""COMPUTED_VALUE"""),"Prismari Performance")</f>
        <v>Prismari Performance</v>
      </c>
      <c r="C143" s="77">
        <f>IFERROR(__xludf.DUMMYFUNCTION("""COMPUTED_VALUE"""),0.0)</f>
        <v>0</v>
      </c>
      <c r="D143" s="77">
        <f>IFERROR(__xludf.DUMMYFUNCTION("""COMPUTED_VALUE"""),0.0)</f>
        <v>0</v>
      </c>
      <c r="E143" s="46" t="b">
        <f>IFERROR(__xludf.DUMMYFUNCTION("""COMPUTED_VALUE"""),TRUE)</f>
        <v>1</v>
      </c>
    </row>
    <row r="144" hidden="1">
      <c r="A144" s="76" t="str">
        <f>IFERROR(__xludf.DUMMYFUNCTION("""COMPUTED_VALUE"""),"Arcane Maelstrom")</f>
        <v>Arcane Maelstrom</v>
      </c>
      <c r="B144" s="76" t="str">
        <f>IFERROR(__xludf.DUMMYFUNCTION("""COMPUTED_VALUE"""),"Quandrix Unlimited")</f>
        <v>Quandrix Unlimited</v>
      </c>
      <c r="C144" s="77">
        <f>IFERROR(__xludf.DUMMYFUNCTION("""COMPUTED_VALUE"""),0.0)</f>
        <v>0</v>
      </c>
      <c r="D144" s="77">
        <f>IFERROR(__xludf.DUMMYFUNCTION("""COMPUTED_VALUE"""),0.0)</f>
        <v>0</v>
      </c>
      <c r="E144" s="46" t="b">
        <f>IFERROR(__xludf.DUMMYFUNCTION("""COMPUTED_VALUE"""),TRUE)</f>
        <v>1</v>
      </c>
    </row>
    <row r="145">
      <c r="A145" s="76" t="str">
        <f>IFERROR(__xludf.DUMMYFUNCTION("""COMPUTED_VALUE"""),"Arcane Maelstrom")</f>
        <v>Arcane Maelstrom</v>
      </c>
      <c r="B145" s="76" t="str">
        <f>IFERROR(__xludf.DUMMYFUNCTION("""COMPUTED_VALUE"""),"Quick Draw")</f>
        <v>Quick Draw</v>
      </c>
      <c r="C145" s="77">
        <f>IFERROR(__xludf.DUMMYFUNCTION("""COMPUTED_VALUE"""),0.0)</f>
        <v>0</v>
      </c>
      <c r="D145" s="77">
        <f>IFERROR(__xludf.DUMMYFUNCTION("""COMPUTED_VALUE"""),0.0)</f>
        <v>0</v>
      </c>
      <c r="E145" s="46" t="b">
        <f>IFERROR(__xludf.DUMMYFUNCTION("""COMPUTED_VALUE"""),TRUE)</f>
        <v>1</v>
      </c>
    </row>
    <row r="146" hidden="1">
      <c r="A146" s="76" t="str">
        <f>IFERROR(__xludf.DUMMYFUNCTION("""COMPUTED_VALUE"""),"Arcane Maelstrom")</f>
        <v>Arcane Maelstrom</v>
      </c>
      <c r="B146" s="76" t="str">
        <f>IFERROR(__xludf.DUMMYFUNCTION("""COMPUTED_VALUE"""),"Reap the Tides")</f>
        <v>Reap the Tides</v>
      </c>
      <c r="C146" s="77">
        <f>IFERROR(__xludf.DUMMYFUNCTION("""COMPUTED_VALUE"""),0.0)</f>
        <v>0</v>
      </c>
      <c r="D146" s="77">
        <f>IFERROR(__xludf.DUMMYFUNCTION("""COMPUTED_VALUE"""),0.0)</f>
        <v>0</v>
      </c>
      <c r="E146" s="46" t="b">
        <f>IFERROR(__xludf.DUMMYFUNCTION("""COMPUTED_VALUE"""),TRUE)</f>
        <v>1</v>
      </c>
    </row>
    <row r="147" hidden="1">
      <c r="A147" s="76" t="str">
        <f>IFERROR(__xludf.DUMMYFUNCTION("""COMPUTED_VALUE"""),"Arcane Maelstrom")</f>
        <v>Arcane Maelstrom</v>
      </c>
      <c r="B147" s="76" t="str">
        <f>IFERROR(__xludf.DUMMYFUNCTION("""COMPUTED_VALUE"""),"Rebellion Rising")</f>
        <v>Rebellion Rising</v>
      </c>
      <c r="C147" s="77">
        <f>IFERROR(__xludf.DUMMYFUNCTION("""COMPUTED_VALUE"""),0.0)</f>
        <v>0</v>
      </c>
      <c r="D147" s="77">
        <f>IFERROR(__xludf.DUMMYFUNCTION("""COMPUTED_VALUE"""),0.0)</f>
        <v>0</v>
      </c>
      <c r="E147" s="46" t="b">
        <f>IFERROR(__xludf.DUMMYFUNCTION("""COMPUTED_VALUE"""),TRUE)</f>
        <v>1</v>
      </c>
    </row>
    <row r="148">
      <c r="A148" s="76" t="str">
        <f>IFERROR(__xludf.DUMMYFUNCTION("""COMPUTED_VALUE"""),"Arcane Maelstrom")</f>
        <v>Arcane Maelstrom</v>
      </c>
      <c r="B148" s="76" t="str">
        <f>IFERROR(__xludf.DUMMYFUNCTION("""COMPUTED_VALUE"""),"Revival Trance")</f>
        <v>Revival Trance</v>
      </c>
      <c r="C148" s="77">
        <f>IFERROR(__xludf.DUMMYFUNCTION("""COMPUTED_VALUE"""),0.0)</f>
        <v>0</v>
      </c>
      <c r="D148" s="77">
        <f>IFERROR(__xludf.DUMMYFUNCTION("""COMPUTED_VALUE"""),0.0)</f>
        <v>0</v>
      </c>
      <c r="E148" s="46" t="b">
        <f>IFERROR(__xludf.DUMMYFUNCTION("""COMPUTED_VALUE"""),TRUE)</f>
        <v>1</v>
      </c>
    </row>
    <row r="149" hidden="1">
      <c r="A149" s="76" t="str">
        <f>IFERROR(__xludf.DUMMYFUNCTION("""COMPUTED_VALUE"""),"Arcane Maelstrom")</f>
        <v>Arcane Maelstrom</v>
      </c>
      <c r="B149" s="76" t="str">
        <f>IFERROR(__xludf.DUMMYFUNCTION("""COMPUTED_VALUE"""),"Riders of Rohan")</f>
        <v>Riders of Rohan</v>
      </c>
      <c r="C149" s="77">
        <f>IFERROR(__xludf.DUMMYFUNCTION("""COMPUTED_VALUE"""),0.0)</f>
        <v>0</v>
      </c>
      <c r="D149" s="77">
        <f>IFERROR(__xludf.DUMMYFUNCTION("""COMPUTED_VALUE"""),0.0)</f>
        <v>0</v>
      </c>
      <c r="E149" s="46" t="b">
        <f>IFERROR(__xludf.DUMMYFUNCTION("""COMPUTED_VALUE"""),TRUE)</f>
        <v>1</v>
      </c>
    </row>
    <row r="150" hidden="1">
      <c r="A150" s="76" t="str">
        <f>IFERROR(__xludf.DUMMYFUNCTION("""COMPUTED_VALUE"""),"Arcane Maelstrom")</f>
        <v>Arcane Maelstrom</v>
      </c>
      <c r="B150" s="76" t="str">
        <f>IFERROR(__xludf.DUMMYFUNCTION("""COMPUTED_VALUE"""),"Science!")</f>
        <v>Science!</v>
      </c>
      <c r="C150" s="77">
        <f>IFERROR(__xludf.DUMMYFUNCTION("""COMPUTED_VALUE"""),0.0)</f>
        <v>0</v>
      </c>
      <c r="D150" s="77">
        <f>IFERROR(__xludf.DUMMYFUNCTION("""COMPUTED_VALUE"""),0.0)</f>
        <v>0</v>
      </c>
      <c r="E150" s="46" t="b">
        <f>IFERROR(__xludf.DUMMYFUNCTION("""COMPUTED_VALUE"""),TRUE)</f>
        <v>1</v>
      </c>
    </row>
    <row r="151" hidden="1">
      <c r="A151" s="76" t="str">
        <f>IFERROR(__xludf.DUMMYFUNCTION("""COMPUTED_VALUE"""),"Arcane Maelstrom")</f>
        <v>Arcane Maelstrom</v>
      </c>
      <c r="B151" s="76" t="str">
        <f>IFERROR(__xludf.DUMMYFUNCTION("""COMPUTED_VALUE"""),"Scions &amp; Spellcraft")</f>
        <v>Scions &amp; Spellcraft</v>
      </c>
      <c r="C151" s="77">
        <f>IFERROR(__xludf.DUMMYFUNCTION("""COMPUTED_VALUE"""),0.0)</f>
        <v>0</v>
      </c>
      <c r="D151" s="77">
        <f>IFERROR(__xludf.DUMMYFUNCTION("""COMPUTED_VALUE"""),0.0)</f>
        <v>0</v>
      </c>
      <c r="E151" s="46" t="b">
        <f>IFERROR(__xludf.DUMMYFUNCTION("""COMPUTED_VALUE"""),TRUE)</f>
        <v>1</v>
      </c>
    </row>
    <row r="152" hidden="1">
      <c r="A152" s="76" t="str">
        <f>IFERROR(__xludf.DUMMYFUNCTION("""COMPUTED_VALUE"""),"Arcane Maelstrom")</f>
        <v>Arcane Maelstrom</v>
      </c>
      <c r="B152" s="76" t="str">
        <f>IFERROR(__xludf.DUMMYFUNCTION("""COMPUTED_VALUE"""),"Scrappy Survivors")</f>
        <v>Scrappy Survivors</v>
      </c>
      <c r="C152" s="77">
        <f>IFERROR(__xludf.DUMMYFUNCTION("""COMPUTED_VALUE"""),0.0)</f>
        <v>0</v>
      </c>
      <c r="D152" s="77">
        <f>IFERROR(__xludf.DUMMYFUNCTION("""COMPUTED_VALUE"""),1.0)</f>
        <v>1</v>
      </c>
      <c r="E152" s="46" t="b">
        <f>IFERROR(__xludf.DUMMYFUNCTION("""COMPUTED_VALUE"""),FALSE)</f>
        <v>0</v>
      </c>
    </row>
    <row r="153" hidden="1">
      <c r="A153" s="76" t="str">
        <f>IFERROR(__xludf.DUMMYFUNCTION("""COMPUTED_VALUE"""),"Arcane Maelstrom")</f>
        <v>Arcane Maelstrom</v>
      </c>
      <c r="B153" s="76" t="str">
        <f>IFERROR(__xludf.DUMMYFUNCTION("""COMPUTED_VALUE"""),"Silverquill Influence")</f>
        <v>Silverquill Influence</v>
      </c>
      <c r="C153" s="77">
        <f>IFERROR(__xludf.DUMMYFUNCTION("""COMPUTED_VALUE"""),0.0)</f>
        <v>0</v>
      </c>
      <c r="D153" s="77">
        <f>IFERROR(__xludf.DUMMYFUNCTION("""COMPUTED_VALUE"""),0.0)</f>
        <v>0</v>
      </c>
      <c r="E153" s="46" t="b">
        <f>IFERROR(__xludf.DUMMYFUNCTION("""COMPUTED_VALUE"""),TRUE)</f>
        <v>1</v>
      </c>
    </row>
    <row r="154" hidden="1">
      <c r="A154" s="76" t="str">
        <f>IFERROR(__xludf.DUMMYFUNCTION("""COMPUTED_VALUE"""),"Arcane Maelstrom")</f>
        <v>Arcane Maelstrom</v>
      </c>
      <c r="B154" s="76" t="str">
        <f>IFERROR(__xludf.DUMMYFUNCTION("""COMPUTED_VALUE"""),"Spirit Squadron")</f>
        <v>Spirit Squadron</v>
      </c>
      <c r="C154" s="77">
        <f>IFERROR(__xludf.DUMMYFUNCTION("""COMPUTED_VALUE"""),0.0)</f>
        <v>0</v>
      </c>
      <c r="D154" s="77">
        <f>IFERROR(__xludf.DUMMYFUNCTION("""COMPUTED_VALUE"""),0.0)</f>
        <v>0</v>
      </c>
      <c r="E154" s="46" t="b">
        <f>IFERROR(__xludf.DUMMYFUNCTION("""COMPUTED_VALUE"""),TRUE)</f>
        <v>1</v>
      </c>
    </row>
    <row r="155" hidden="1">
      <c r="A155" s="76" t="str">
        <f>IFERROR(__xludf.DUMMYFUNCTION("""COMPUTED_VALUE"""),"Arcane Maelstrom")</f>
        <v>Arcane Maelstrom</v>
      </c>
      <c r="B155" s="76" t="str">
        <f>IFERROR(__xludf.DUMMYFUNCTION("""COMPUTED_VALUE"""),"Squirreled Away")</f>
        <v>Squirreled Away</v>
      </c>
      <c r="C155" s="77">
        <f>IFERROR(__xludf.DUMMYFUNCTION("""COMPUTED_VALUE"""),0.0)</f>
        <v>0</v>
      </c>
      <c r="D155" s="77">
        <f>IFERROR(__xludf.DUMMYFUNCTION("""COMPUTED_VALUE"""),1.0)</f>
        <v>1</v>
      </c>
      <c r="E155" s="46" t="b">
        <f>IFERROR(__xludf.DUMMYFUNCTION("""COMPUTED_VALUE"""),FALSE)</f>
        <v>0</v>
      </c>
    </row>
    <row r="156" hidden="1">
      <c r="A156" s="76" t="str">
        <f>IFERROR(__xludf.DUMMYFUNCTION("""COMPUTED_VALUE"""),"Arcane Maelstrom")</f>
        <v>Arcane Maelstrom</v>
      </c>
      <c r="B156" s="76" t="str">
        <f>IFERROR(__xludf.DUMMYFUNCTION("""COMPUTED_VALUE"""),"Sultai Arisen")</f>
        <v>Sultai Arisen</v>
      </c>
      <c r="C156" s="77">
        <f>IFERROR(__xludf.DUMMYFUNCTION("""COMPUTED_VALUE"""),0.0)</f>
        <v>0</v>
      </c>
      <c r="D156" s="77">
        <f>IFERROR(__xludf.DUMMYFUNCTION("""COMPUTED_VALUE"""),0.0)</f>
        <v>0</v>
      </c>
      <c r="E156" s="46" t="b">
        <f>IFERROR(__xludf.DUMMYFUNCTION("""COMPUTED_VALUE"""),TRUE)</f>
        <v>1</v>
      </c>
    </row>
    <row r="157" hidden="1">
      <c r="A157" s="76" t="str">
        <f>IFERROR(__xludf.DUMMYFUNCTION("""COMPUTED_VALUE"""),"Arcane Maelstrom")</f>
        <v>Arcane Maelstrom</v>
      </c>
      <c r="B157" s="76" t="str">
        <f>IFERROR(__xludf.DUMMYFUNCTION("""COMPUTED_VALUE"""),"Temur Roar")</f>
        <v>Temur Roar</v>
      </c>
      <c r="C157" s="77">
        <f>IFERROR(__xludf.DUMMYFUNCTION("""COMPUTED_VALUE"""),0.0)</f>
        <v>0</v>
      </c>
      <c r="D157" s="77">
        <f>IFERROR(__xludf.DUMMYFUNCTION("""COMPUTED_VALUE"""),1.0)</f>
        <v>1</v>
      </c>
      <c r="E157" s="46" t="b">
        <f>IFERROR(__xludf.DUMMYFUNCTION("""COMPUTED_VALUE"""),FALSE)</f>
        <v>0</v>
      </c>
    </row>
    <row r="158" hidden="1">
      <c r="A158" s="76" t="str">
        <f>IFERROR(__xludf.DUMMYFUNCTION("""COMPUTED_VALUE"""),"Arcane Maelstrom")</f>
        <v>Arcane Maelstrom</v>
      </c>
      <c r="B158" s="76" t="str">
        <f>IFERROR(__xludf.DUMMYFUNCTION("""COMPUTED_VALUE"""),"The Hosts of Mordor")</f>
        <v>The Hosts of Mordor</v>
      </c>
      <c r="C158" s="77">
        <f>IFERROR(__xludf.DUMMYFUNCTION("""COMPUTED_VALUE"""),0.0)</f>
        <v>0</v>
      </c>
      <c r="D158" s="77">
        <f>IFERROR(__xludf.DUMMYFUNCTION("""COMPUTED_VALUE"""),0.0)</f>
        <v>0</v>
      </c>
      <c r="E158" s="46" t="b">
        <f>IFERROR(__xludf.DUMMYFUNCTION("""COMPUTED_VALUE"""),TRUE)</f>
        <v>1</v>
      </c>
    </row>
    <row r="159" hidden="1">
      <c r="A159" s="78" t="str">
        <f>IFERROR(__xludf.DUMMYFUNCTION("""COMPUTED_VALUE"""),"Arcane Maelstrom")</f>
        <v>Arcane Maelstrom</v>
      </c>
      <c r="B159" s="78" t="str">
        <f>IFERROR(__xludf.DUMMYFUNCTION("""COMPUTED_VALUE"""),"The Ruinous Powers")</f>
        <v>The Ruinous Powers</v>
      </c>
      <c r="C159" s="79">
        <f>IFERROR(__xludf.DUMMYFUNCTION("""COMPUTED_VALUE"""),0.0)</f>
        <v>0</v>
      </c>
      <c r="D159" s="79">
        <f>IFERROR(__xludf.DUMMYFUNCTION("""COMPUTED_VALUE"""),0.0)</f>
        <v>0</v>
      </c>
      <c r="E159" s="69" t="b">
        <f>IFERROR(__xludf.DUMMYFUNCTION("""COMPUTED_VALUE"""),TRUE)</f>
        <v>1</v>
      </c>
    </row>
    <row r="160" hidden="1">
      <c r="A160" s="78" t="str">
        <f>IFERROR(__xludf.DUMMYFUNCTION("""COMPUTED_VALUE"""),"Arcane Maelstrom")</f>
        <v>Arcane Maelstrom</v>
      </c>
      <c r="B160" s="78" t="str">
        <f>IFERROR(__xludf.DUMMYFUNCTION("""COMPUTED_VALUE"""),"Timey-Wimey")</f>
        <v>Timey-Wimey</v>
      </c>
      <c r="C160" s="79">
        <f>IFERROR(__xludf.DUMMYFUNCTION("""COMPUTED_VALUE"""),0.0)</f>
        <v>0</v>
      </c>
      <c r="D160" s="79">
        <f>IFERROR(__xludf.DUMMYFUNCTION("""COMPUTED_VALUE"""),0.0)</f>
        <v>0</v>
      </c>
      <c r="E160" s="69" t="b">
        <f>IFERROR(__xludf.DUMMYFUNCTION("""COMPUTED_VALUE"""),TRUE)</f>
        <v>1</v>
      </c>
    </row>
    <row r="161" hidden="1">
      <c r="A161" s="76" t="str">
        <f>IFERROR(__xludf.DUMMYFUNCTION("""COMPUTED_VALUE"""),"Arcane Maelstrom")</f>
        <v>Arcane Maelstrom</v>
      </c>
      <c r="B161" s="76" t="str">
        <f>IFERROR(__xludf.DUMMYFUNCTION("""COMPUTED_VALUE"""),"Tinker Time")</f>
        <v>Tinker Time</v>
      </c>
      <c r="C161" s="77">
        <f>IFERROR(__xludf.DUMMYFUNCTION("""COMPUTED_VALUE"""),0.0)</f>
        <v>0</v>
      </c>
      <c r="D161" s="77">
        <f>IFERROR(__xludf.DUMMYFUNCTION("""COMPUTED_VALUE"""),0.0)</f>
        <v>0</v>
      </c>
      <c r="E161" s="46" t="b">
        <f>IFERROR(__xludf.DUMMYFUNCTION("""COMPUTED_VALUE"""),TRUE)</f>
        <v>1</v>
      </c>
    </row>
    <row r="162" hidden="1">
      <c r="A162" s="76" t="str">
        <f>IFERROR(__xludf.DUMMYFUNCTION("""COMPUTED_VALUE"""),"Arcane Maelstrom")</f>
        <v>Arcane Maelstrom</v>
      </c>
      <c r="B162" s="76" t="str">
        <f>IFERROR(__xludf.DUMMYFUNCTION("""COMPUTED_VALUE"""),"Turtle Power!")</f>
        <v>Turtle Power!</v>
      </c>
      <c r="C162" s="77">
        <f>IFERROR(__xludf.DUMMYFUNCTION("""COMPUTED_VALUE"""),0.0)</f>
        <v>0</v>
      </c>
      <c r="D162" s="77">
        <f>IFERROR(__xludf.DUMMYFUNCTION("""COMPUTED_VALUE"""),0.0)</f>
        <v>0</v>
      </c>
      <c r="E162" s="46" t="b">
        <f>IFERROR(__xludf.DUMMYFUNCTION("""COMPUTED_VALUE"""),TRUE)</f>
        <v>1</v>
      </c>
    </row>
    <row r="163" hidden="1">
      <c r="A163" s="76" t="str">
        <f>IFERROR(__xludf.DUMMYFUNCTION("""COMPUTED_VALUE"""),"Arcane Maelstrom")</f>
        <v>Arcane Maelstrom</v>
      </c>
      <c r="B163" s="76" t="str">
        <f>IFERROR(__xludf.DUMMYFUNCTION("""COMPUTED_VALUE"""),"Veloci-ramp-tor")</f>
        <v>Veloci-ramp-tor</v>
      </c>
      <c r="C163" s="77">
        <f>IFERROR(__xludf.DUMMYFUNCTION("""COMPUTED_VALUE"""),0.0)</f>
        <v>0</v>
      </c>
      <c r="D163" s="77">
        <f>IFERROR(__xludf.DUMMYFUNCTION("""COMPUTED_VALUE"""),0.0)</f>
        <v>0</v>
      </c>
      <c r="E163" s="46" t="b">
        <f>IFERROR(__xludf.DUMMYFUNCTION("""COMPUTED_VALUE"""),TRUE)</f>
        <v>1</v>
      </c>
    </row>
    <row r="164" hidden="1">
      <c r="A164" s="76" t="str">
        <f>IFERROR(__xludf.DUMMYFUNCTION("""COMPUTED_VALUE"""),"Blame Game")</f>
        <v>Blame Game</v>
      </c>
      <c r="B164" s="76" t="str">
        <f>IFERROR(__xludf.DUMMYFUNCTION("""COMPUTED_VALUE"""),"Ahoy Mateys")</f>
        <v>Ahoy Mateys</v>
      </c>
      <c r="C164" s="77">
        <f>IFERROR(__xludf.DUMMYFUNCTION("""COMPUTED_VALUE"""),1.0)</f>
        <v>1</v>
      </c>
      <c r="D164" s="77">
        <f>IFERROR(__xludf.DUMMYFUNCTION("""COMPUTED_VALUE"""),0.0)</f>
        <v>0</v>
      </c>
      <c r="E164" s="46" t="b">
        <f>IFERROR(__xludf.DUMMYFUNCTION("""COMPUTED_VALUE"""),FALSE)</f>
        <v>0</v>
      </c>
    </row>
    <row r="165" hidden="1">
      <c r="A165" s="78" t="str">
        <f>IFERROR(__xludf.DUMMYFUNCTION("""COMPUTED_VALUE"""),"Blame Game")</f>
        <v>Blame Game</v>
      </c>
      <c r="B165" s="78" t="str">
        <f>IFERROR(__xludf.DUMMYFUNCTION("""COMPUTED_VALUE"""),"Animated Army")</f>
        <v>Animated Army</v>
      </c>
      <c r="C165" s="79">
        <f>IFERROR(__xludf.DUMMYFUNCTION("""COMPUTED_VALUE"""),0.0)</f>
        <v>0</v>
      </c>
      <c r="D165" s="79">
        <f>IFERROR(__xludf.DUMMYFUNCTION("""COMPUTED_VALUE"""),0.0)</f>
        <v>0</v>
      </c>
      <c r="E165" s="69" t="b">
        <f>IFERROR(__xludf.DUMMYFUNCTION("""COMPUTED_VALUE"""),TRUE)</f>
        <v>1</v>
      </c>
    </row>
    <row r="166" hidden="1">
      <c r="A166" s="76" t="str">
        <f>IFERROR(__xludf.DUMMYFUNCTION("""COMPUTED_VALUE"""),"Blame Game")</f>
        <v>Blame Game</v>
      </c>
      <c r="B166" s="76" t="str">
        <f>IFERROR(__xludf.DUMMYFUNCTION("""COMPUTED_VALUE"""),"Arcane Maelstrom")</f>
        <v>Arcane Maelstrom</v>
      </c>
      <c r="C166" s="77">
        <f>IFERROR(__xludf.DUMMYFUNCTION("""COMPUTED_VALUE"""),0.0)</f>
        <v>0</v>
      </c>
      <c r="D166" s="77">
        <f>IFERROR(__xludf.DUMMYFUNCTION("""COMPUTED_VALUE"""),0.0)</f>
        <v>0</v>
      </c>
      <c r="E166" s="46" t="b">
        <f>IFERROR(__xludf.DUMMYFUNCTION("""COMPUTED_VALUE"""),TRUE)</f>
        <v>1</v>
      </c>
    </row>
    <row r="167" hidden="1">
      <c r="A167" s="76" t="str">
        <f>IFERROR(__xludf.DUMMYFUNCTION("""COMPUTED_VALUE"""),"Blame Game")</f>
        <v>Blame Game</v>
      </c>
      <c r="B167" s="76" t="str">
        <f>IFERROR(__xludf.DUMMYFUNCTION("""COMPUTED_VALUE"""),"Blame Game")</f>
        <v>Blame Game</v>
      </c>
      <c r="C167" s="77">
        <f>IFERROR(__xludf.DUMMYFUNCTION("""COMPUTED_VALUE"""),1.0)</f>
        <v>1</v>
      </c>
      <c r="D167" s="77">
        <f>IFERROR(__xludf.DUMMYFUNCTION("""COMPUTED_VALUE"""),1.0)</f>
        <v>1</v>
      </c>
      <c r="E167" s="46" t="b">
        <f>IFERROR(__xludf.DUMMYFUNCTION("""COMPUTED_VALUE"""),TRUE)</f>
        <v>1</v>
      </c>
    </row>
    <row r="168" hidden="1">
      <c r="A168" s="76" t="str">
        <f>IFERROR(__xludf.DUMMYFUNCTION("""COMPUTED_VALUE"""),"Blame Game")</f>
        <v>Blame Game</v>
      </c>
      <c r="B168" s="76" t="str">
        <f>IFERROR(__xludf.DUMMYFUNCTION("""COMPUTED_VALUE"""),"Blight Curse")</f>
        <v>Blight Curse</v>
      </c>
      <c r="C168" s="77">
        <f>IFERROR(__xludf.DUMMYFUNCTION("""COMPUTED_VALUE"""),1.0)</f>
        <v>1</v>
      </c>
      <c r="D168" s="77">
        <f>IFERROR(__xludf.DUMMYFUNCTION("""COMPUTED_VALUE"""),0.0)</f>
        <v>0</v>
      </c>
      <c r="E168" s="46" t="b">
        <f>IFERROR(__xludf.DUMMYFUNCTION("""COMPUTED_VALUE"""),FALSE)</f>
        <v>0</v>
      </c>
    </row>
    <row r="169">
      <c r="A169" s="76" t="str">
        <f>IFERROR(__xludf.DUMMYFUNCTION("""COMPUTED_VALUE"""),"Blame Game")</f>
        <v>Blame Game</v>
      </c>
      <c r="B169" s="76" t="str">
        <f>IFERROR(__xludf.DUMMYFUNCTION("""COMPUTED_VALUE"""),"Blood Rites")</f>
        <v>Blood Rites</v>
      </c>
      <c r="C169" s="77">
        <f>IFERROR(__xludf.DUMMYFUNCTION("""COMPUTED_VALUE"""),0.0)</f>
        <v>0</v>
      </c>
      <c r="D169" s="77">
        <f>IFERROR(__xludf.DUMMYFUNCTION("""COMPUTED_VALUE"""),0.0)</f>
        <v>0</v>
      </c>
      <c r="E169" s="46" t="b">
        <f>IFERROR(__xludf.DUMMYFUNCTION("""COMPUTED_VALUE"""),TRUE)</f>
        <v>1</v>
      </c>
    </row>
    <row r="170">
      <c r="A170" s="76" t="str">
        <f>IFERROR(__xludf.DUMMYFUNCTION("""COMPUTED_VALUE"""),"Blame Game")</f>
        <v>Blame Game</v>
      </c>
      <c r="B170" s="76" t="str">
        <f>IFERROR(__xludf.DUMMYFUNCTION("""COMPUTED_VALUE"""),"Buckle Up")</f>
        <v>Buckle Up</v>
      </c>
      <c r="C170" s="77">
        <f>IFERROR(__xludf.DUMMYFUNCTION("""COMPUTED_VALUE"""),0.0)</f>
        <v>0</v>
      </c>
      <c r="D170" s="77">
        <f>IFERROR(__xludf.DUMMYFUNCTION("""COMPUTED_VALUE"""),0.0)</f>
        <v>0</v>
      </c>
      <c r="E170" s="46" t="b">
        <f>IFERROR(__xludf.DUMMYFUNCTION("""COMPUTED_VALUE"""),TRUE)</f>
        <v>1</v>
      </c>
    </row>
    <row r="171" hidden="1">
      <c r="A171" s="76" t="str">
        <f>IFERROR(__xludf.DUMMYFUNCTION("""COMPUTED_VALUE"""),"Blame Game")</f>
        <v>Blame Game</v>
      </c>
      <c r="B171" s="76" t="str">
        <f>IFERROR(__xludf.DUMMYFUNCTION("""COMPUTED_VALUE"""),"Cabaretti Cacophony")</f>
        <v>Cabaretti Cacophony</v>
      </c>
      <c r="C171" s="77">
        <f>IFERROR(__xludf.DUMMYFUNCTION("""COMPUTED_VALUE"""),0.0)</f>
        <v>0</v>
      </c>
      <c r="D171" s="77">
        <f>IFERROR(__xludf.DUMMYFUNCTION("""COMPUTED_VALUE"""),0.0)</f>
        <v>0</v>
      </c>
      <c r="E171" s="46" t="b">
        <f>IFERROR(__xludf.DUMMYFUNCTION("""COMPUTED_VALUE"""),TRUE)</f>
        <v>1</v>
      </c>
    </row>
    <row r="172" hidden="1">
      <c r="A172" s="78" t="str">
        <f>IFERROR(__xludf.DUMMYFUNCTION("""COMPUTED_VALUE"""),"Blame Game")</f>
        <v>Blame Game</v>
      </c>
      <c r="B172" s="78" t="str">
        <f>IFERROR(__xludf.DUMMYFUNCTION("""COMPUTED_VALUE"""),"Cavalry Charge")</f>
        <v>Cavalry Charge</v>
      </c>
      <c r="C172" s="79">
        <f>IFERROR(__xludf.DUMMYFUNCTION("""COMPUTED_VALUE"""),1.0)</f>
        <v>1</v>
      </c>
      <c r="D172" s="79">
        <f>IFERROR(__xludf.DUMMYFUNCTION("""COMPUTED_VALUE"""),0.0)</f>
        <v>0</v>
      </c>
      <c r="E172" s="69" t="b">
        <f>IFERROR(__xludf.DUMMYFUNCTION("""COMPUTED_VALUE"""),FALSE)</f>
        <v>0</v>
      </c>
    </row>
    <row r="173" hidden="1">
      <c r="A173" s="76" t="str">
        <f>IFERROR(__xludf.DUMMYFUNCTION("""COMPUTED_VALUE"""),"Blame Game")</f>
        <v>Blame Game</v>
      </c>
      <c r="B173" s="76" t="str">
        <f>IFERROR(__xludf.DUMMYFUNCTION("""COMPUTED_VALUE"""),"Corrupting Influence")</f>
        <v>Corrupting Influence</v>
      </c>
      <c r="C173" s="77">
        <f>IFERROR(__xludf.DUMMYFUNCTION("""COMPUTED_VALUE"""),0.0)</f>
        <v>0</v>
      </c>
      <c r="D173" s="77">
        <f>IFERROR(__xludf.DUMMYFUNCTION("""COMPUTED_VALUE"""),0.0)</f>
        <v>0</v>
      </c>
      <c r="E173" s="46" t="b">
        <f>IFERROR(__xludf.DUMMYFUNCTION("""COMPUTED_VALUE"""),TRUE)</f>
        <v>1</v>
      </c>
    </row>
    <row r="174" hidden="1">
      <c r="A174" s="76" t="str">
        <f>IFERROR(__xludf.DUMMYFUNCTION("""COMPUTED_VALUE"""),"Blame Game")</f>
        <v>Blame Game</v>
      </c>
      <c r="B174" s="76" t="str">
        <f>IFERROR(__xludf.DUMMYFUNCTION("""COMPUTED_VALUE"""),"Counter Blitz")</f>
        <v>Counter Blitz</v>
      </c>
      <c r="C174" s="77">
        <f>IFERROR(__xludf.DUMMYFUNCTION("""COMPUTED_VALUE"""),0.0)</f>
        <v>0</v>
      </c>
      <c r="D174" s="77">
        <f>IFERROR(__xludf.DUMMYFUNCTION("""COMPUTED_VALUE"""),0.0)</f>
        <v>0</v>
      </c>
      <c r="E174" s="46" t="b">
        <f>IFERROR(__xludf.DUMMYFUNCTION("""COMPUTED_VALUE"""),TRUE)</f>
        <v>1</v>
      </c>
    </row>
    <row r="175">
      <c r="A175" s="76" t="str">
        <f>IFERROR(__xludf.DUMMYFUNCTION("""COMPUTED_VALUE"""),"Blame Game")</f>
        <v>Blame Game</v>
      </c>
      <c r="B175" s="76" t="str">
        <f>IFERROR(__xludf.DUMMYFUNCTION("""COMPUTED_VALUE"""),"Counter Intelligence")</f>
        <v>Counter Intelligence</v>
      </c>
      <c r="C175" s="77">
        <f>IFERROR(__xludf.DUMMYFUNCTION("""COMPUTED_VALUE"""),0.0)</f>
        <v>0</v>
      </c>
      <c r="D175" s="77">
        <f>IFERROR(__xludf.DUMMYFUNCTION("""COMPUTED_VALUE"""),0.0)</f>
        <v>0</v>
      </c>
      <c r="E175" s="46" t="b">
        <f>IFERROR(__xludf.DUMMYFUNCTION("""COMPUTED_VALUE"""),TRUE)</f>
        <v>1</v>
      </c>
    </row>
    <row r="176" hidden="1">
      <c r="A176" s="76" t="str">
        <f>IFERROR(__xludf.DUMMYFUNCTION("""COMPUTED_VALUE"""),"Blame Game")</f>
        <v>Blame Game</v>
      </c>
      <c r="B176" s="76" t="str">
        <f>IFERROR(__xludf.DUMMYFUNCTION("""COMPUTED_VALUE"""),"Creative Energy")</f>
        <v>Creative Energy</v>
      </c>
      <c r="C176" s="77">
        <f>IFERROR(__xludf.DUMMYFUNCTION("""COMPUTED_VALUE"""),0.0)</f>
        <v>0</v>
      </c>
      <c r="D176" s="77">
        <f>IFERROR(__xludf.DUMMYFUNCTION("""COMPUTED_VALUE"""),0.0)</f>
        <v>0</v>
      </c>
      <c r="E176" s="46" t="b">
        <f>IFERROR(__xludf.DUMMYFUNCTION("""COMPUTED_VALUE"""),TRUE)</f>
        <v>1</v>
      </c>
    </row>
    <row r="177" hidden="1">
      <c r="A177" s="78" t="str">
        <f>IFERROR(__xludf.DUMMYFUNCTION("""COMPUTED_VALUE"""),"Blame Game")</f>
        <v>Blame Game</v>
      </c>
      <c r="B177" s="78" t="str">
        <f>IFERROR(__xludf.DUMMYFUNCTION("""COMPUTED_VALUE"""),"Dance of the Elements")</f>
        <v>Dance of the Elements</v>
      </c>
      <c r="C177" s="79">
        <f>IFERROR(__xludf.DUMMYFUNCTION("""COMPUTED_VALUE"""),0.0)</f>
        <v>0</v>
      </c>
      <c r="D177" s="79">
        <f>IFERROR(__xludf.DUMMYFUNCTION("""COMPUTED_VALUE"""),1.0)</f>
        <v>1</v>
      </c>
      <c r="E177" s="69" t="b">
        <f>IFERROR(__xludf.DUMMYFUNCTION("""COMPUTED_VALUE"""),FALSE)</f>
        <v>0</v>
      </c>
    </row>
    <row r="178" hidden="1">
      <c r="A178" s="76" t="str">
        <f>IFERROR(__xludf.DUMMYFUNCTION("""COMPUTED_VALUE"""),"Blame Game")</f>
        <v>Blame Game</v>
      </c>
      <c r="B178" s="76" t="str">
        <f>IFERROR(__xludf.DUMMYFUNCTION("""COMPUTED_VALUE"""),"Deep Clue Sea")</f>
        <v>Deep Clue Sea</v>
      </c>
      <c r="C178" s="77">
        <f>IFERROR(__xludf.DUMMYFUNCTION("""COMPUTED_VALUE"""),0.0)</f>
        <v>0</v>
      </c>
      <c r="D178" s="77">
        <f>IFERROR(__xludf.DUMMYFUNCTION("""COMPUTED_VALUE"""),0.0)</f>
        <v>0</v>
      </c>
      <c r="E178" s="46" t="b">
        <f>IFERROR(__xludf.DUMMYFUNCTION("""COMPUTED_VALUE"""),TRUE)</f>
        <v>1</v>
      </c>
    </row>
    <row r="179" hidden="1">
      <c r="A179" s="76" t="str">
        <f>IFERROR(__xludf.DUMMYFUNCTION("""COMPUTED_VALUE"""),"Blame Game")</f>
        <v>Blame Game</v>
      </c>
      <c r="B179" s="76" t="str">
        <f>IFERROR(__xludf.DUMMYFUNCTION("""COMPUTED_VALUE"""),"Doom Prevails")</f>
        <v>Doom Prevails</v>
      </c>
      <c r="C179" s="77">
        <f>IFERROR(__xludf.DUMMYFUNCTION("""COMPUTED_VALUE"""),0.0)</f>
        <v>0</v>
      </c>
      <c r="D179" s="77">
        <f>IFERROR(__xludf.DUMMYFUNCTION("""COMPUTED_VALUE"""),0.0)</f>
        <v>0</v>
      </c>
      <c r="E179" s="46" t="b">
        <f>IFERROR(__xludf.DUMMYFUNCTION("""COMPUTED_VALUE"""),TRUE)</f>
        <v>1</v>
      </c>
    </row>
    <row r="180" hidden="1">
      <c r="A180" s="76" t="str">
        <f>IFERROR(__xludf.DUMMYFUNCTION("""COMPUTED_VALUE"""),"Blame Game")</f>
        <v>Blame Game</v>
      </c>
      <c r="B180" s="76" t="str">
        <f>IFERROR(__xludf.DUMMYFUNCTION("""COMPUTED_VALUE"""),"Eldrazi Incursion")</f>
        <v>Eldrazi Incursion</v>
      </c>
      <c r="C180" s="77">
        <f>IFERROR(__xludf.DUMMYFUNCTION("""COMPUTED_VALUE"""),0.0)</f>
        <v>0</v>
      </c>
      <c r="D180" s="77">
        <f>IFERROR(__xludf.DUMMYFUNCTION("""COMPUTED_VALUE"""),0.0)</f>
        <v>0</v>
      </c>
      <c r="E180" s="46" t="b">
        <f>IFERROR(__xludf.DUMMYFUNCTION("""COMPUTED_VALUE"""),TRUE)</f>
        <v>1</v>
      </c>
    </row>
    <row r="181" hidden="1">
      <c r="A181" s="76" t="str">
        <f>IFERROR(__xludf.DUMMYFUNCTION("""COMPUTED_VALUE"""),"Blame Game")</f>
        <v>Blame Game</v>
      </c>
      <c r="B181" s="76" t="str">
        <f>IFERROR(__xludf.DUMMYFUNCTION("""COMPUTED_VALUE"""),"Eldrazi Unbound")</f>
        <v>Eldrazi Unbound</v>
      </c>
      <c r="C181" s="77">
        <f>IFERROR(__xludf.DUMMYFUNCTION("""COMPUTED_VALUE"""),0.0)</f>
        <v>0</v>
      </c>
      <c r="D181" s="77">
        <f>IFERROR(__xludf.DUMMYFUNCTION("""COMPUTED_VALUE"""),0.0)</f>
        <v>0</v>
      </c>
      <c r="E181" s="46" t="b">
        <f>IFERROR(__xludf.DUMMYFUNCTION("""COMPUTED_VALUE"""),TRUE)</f>
        <v>1</v>
      </c>
    </row>
    <row r="182">
      <c r="A182" s="76" t="str">
        <f>IFERROR(__xludf.DUMMYFUNCTION("""COMPUTED_VALUE"""),"Blame Game")</f>
        <v>Blame Game</v>
      </c>
      <c r="B182" s="76" t="str">
        <f>IFERROR(__xludf.DUMMYFUNCTION("""COMPUTED_VALUE"""),"Endless Punishment")</f>
        <v>Endless Punishment</v>
      </c>
      <c r="C182" s="77">
        <f>IFERROR(__xludf.DUMMYFUNCTION("""COMPUTED_VALUE"""),0.0)</f>
        <v>0</v>
      </c>
      <c r="D182" s="77">
        <f>IFERROR(__xludf.DUMMYFUNCTION("""COMPUTED_VALUE"""),0.0)</f>
        <v>0</v>
      </c>
      <c r="E182" s="46" t="b">
        <f>IFERROR(__xludf.DUMMYFUNCTION("""COMPUTED_VALUE"""),TRUE)</f>
        <v>1</v>
      </c>
    </row>
    <row r="183" hidden="1">
      <c r="A183" s="76" t="str">
        <f>IFERROR(__xludf.DUMMYFUNCTION("""COMPUTED_VALUE"""),"Blame Game")</f>
        <v>Blame Game</v>
      </c>
      <c r="B183" s="76" t="str">
        <f>IFERROR(__xludf.DUMMYFUNCTION("""COMPUTED_VALUE"""),"Enduring Enchantments")</f>
        <v>Enduring Enchantments</v>
      </c>
      <c r="C183" s="77">
        <f>IFERROR(__xludf.DUMMYFUNCTION("""COMPUTED_VALUE"""),0.0)</f>
        <v>0</v>
      </c>
      <c r="D183" s="77">
        <f>IFERROR(__xludf.DUMMYFUNCTION("""COMPUTED_VALUE"""),0.0)</f>
        <v>0</v>
      </c>
      <c r="E183" s="46" t="b">
        <f>IFERROR(__xludf.DUMMYFUNCTION("""COMPUTED_VALUE"""),TRUE)</f>
        <v>1</v>
      </c>
    </row>
    <row r="184" hidden="1">
      <c r="A184" s="76" t="str">
        <f>IFERROR(__xludf.DUMMYFUNCTION("""COMPUTED_VALUE"""),"Blame Game")</f>
        <v>Blame Game</v>
      </c>
      <c r="B184" s="76" t="str">
        <f>IFERROR(__xludf.DUMMYFUNCTION("""COMPUTED_VALUE"""),"Explorers of the Deep")</f>
        <v>Explorers of the Deep</v>
      </c>
      <c r="C184" s="77">
        <f>IFERROR(__xludf.DUMMYFUNCTION("""COMPUTED_VALUE"""),0.0)</f>
        <v>0</v>
      </c>
      <c r="D184" s="77">
        <f>IFERROR(__xludf.DUMMYFUNCTION("""COMPUTED_VALUE"""),0.0)</f>
        <v>0</v>
      </c>
      <c r="E184" s="46" t="b">
        <f>IFERROR(__xludf.DUMMYFUNCTION("""COMPUTED_VALUE"""),TRUE)</f>
        <v>1</v>
      </c>
    </row>
    <row r="185" hidden="1">
      <c r="A185" s="76" t="str">
        <f>IFERROR(__xludf.DUMMYFUNCTION("""COMPUTED_VALUE"""),"Blame Game")</f>
        <v>Blame Game</v>
      </c>
      <c r="B185" s="76" t="str">
        <f>IFERROR(__xludf.DUMMYFUNCTION("""COMPUTED_VALUE"""),"Family Matters")</f>
        <v>Family Matters</v>
      </c>
      <c r="C185" s="77">
        <f>IFERROR(__xludf.DUMMYFUNCTION("""COMPUTED_VALUE"""),0.0)</f>
        <v>0</v>
      </c>
      <c r="D185" s="77">
        <f>IFERROR(__xludf.DUMMYFUNCTION("""COMPUTED_VALUE"""),0.0)</f>
        <v>0</v>
      </c>
      <c r="E185" s="46" t="b">
        <f>IFERROR(__xludf.DUMMYFUNCTION("""COMPUTED_VALUE"""),TRUE)</f>
        <v>1</v>
      </c>
    </row>
    <row r="186" hidden="1">
      <c r="A186" s="78" t="str">
        <f>IFERROR(__xludf.DUMMYFUNCTION("""COMPUTED_VALUE"""),"Blame Game")</f>
        <v>Blame Game</v>
      </c>
      <c r="B186" s="78" t="str">
        <f>IFERROR(__xludf.DUMMYFUNCTION("""COMPUTED_VALUE"""),"Food and Fellowship")</f>
        <v>Food and Fellowship</v>
      </c>
      <c r="C186" s="79">
        <f>IFERROR(__xludf.DUMMYFUNCTION("""COMPUTED_VALUE"""),0.0)</f>
        <v>0</v>
      </c>
      <c r="D186" s="79">
        <f>IFERROR(__xludf.DUMMYFUNCTION("""COMPUTED_VALUE"""),0.0)</f>
        <v>0</v>
      </c>
      <c r="E186" s="69" t="b">
        <f>IFERROR(__xludf.DUMMYFUNCTION("""COMPUTED_VALUE"""),TRUE)</f>
        <v>1</v>
      </c>
    </row>
    <row r="187">
      <c r="A187" s="76" t="str">
        <f>IFERROR(__xludf.DUMMYFUNCTION("""COMPUTED_VALUE"""),"Blame Game")</f>
        <v>Blame Game</v>
      </c>
      <c r="B187" s="76" t="str">
        <f>IFERROR(__xludf.DUMMYFUNCTION("""COMPUTED_VALUE"""),"Jeskai Striker")</f>
        <v>Jeskai Striker</v>
      </c>
      <c r="C187" s="77">
        <f>IFERROR(__xludf.DUMMYFUNCTION("""COMPUTED_VALUE"""),0.0)</f>
        <v>0</v>
      </c>
      <c r="D187" s="77">
        <f>IFERROR(__xludf.DUMMYFUNCTION("""COMPUTED_VALUE"""),0.0)</f>
        <v>0</v>
      </c>
      <c r="E187" s="46" t="b">
        <f>IFERROR(__xludf.DUMMYFUNCTION("""COMPUTED_VALUE"""),TRUE)</f>
        <v>1</v>
      </c>
    </row>
    <row r="188" hidden="1">
      <c r="A188" s="76" t="str">
        <f>IFERROR(__xludf.DUMMYFUNCTION("""COMPUTED_VALUE"""),"Blame Game")</f>
        <v>Blame Game</v>
      </c>
      <c r="B188" s="76" t="str">
        <f>IFERROR(__xludf.DUMMYFUNCTION("""COMPUTED_VALUE"""),"Legends' Legacy")</f>
        <v>Legends' Legacy</v>
      </c>
      <c r="C188" s="77">
        <f>IFERROR(__xludf.DUMMYFUNCTION("""COMPUTED_VALUE"""),0.0)</f>
        <v>0</v>
      </c>
      <c r="D188" s="77">
        <f>IFERROR(__xludf.DUMMYFUNCTION("""COMPUTED_VALUE"""),0.0)</f>
        <v>0</v>
      </c>
      <c r="E188" s="46" t="b">
        <f>IFERROR(__xludf.DUMMYFUNCTION("""COMPUTED_VALUE"""),TRUE)</f>
        <v>1</v>
      </c>
    </row>
    <row r="189" hidden="1">
      <c r="A189" s="76" t="str">
        <f>IFERROR(__xludf.DUMMYFUNCTION("""COMPUTED_VALUE"""),"Blame Game")</f>
        <v>Blame Game</v>
      </c>
      <c r="B189" s="76" t="str">
        <f>IFERROR(__xludf.DUMMYFUNCTION("""COMPUTED_VALUE"""),"Limit Break")</f>
        <v>Limit Break</v>
      </c>
      <c r="C189" s="77">
        <f>IFERROR(__xludf.DUMMYFUNCTION("""COMPUTED_VALUE"""),0.0)</f>
        <v>0</v>
      </c>
      <c r="D189" s="77">
        <f>IFERROR(__xludf.DUMMYFUNCTION("""COMPUTED_VALUE"""),0.0)</f>
        <v>0</v>
      </c>
      <c r="E189" s="46" t="b">
        <f>IFERROR(__xludf.DUMMYFUNCTION("""COMPUTED_VALUE"""),TRUE)</f>
        <v>1</v>
      </c>
    </row>
    <row r="190" hidden="1">
      <c r="A190" s="76" t="str">
        <f>IFERROR(__xludf.DUMMYFUNCTION("""COMPUTED_VALUE"""),"Blame Game")</f>
        <v>Blame Game</v>
      </c>
      <c r="B190" s="76" t="str">
        <f>IFERROR(__xludf.DUMMYFUNCTION("""COMPUTED_VALUE"""),"Lorehold Spirit")</f>
        <v>Lorehold Spirit</v>
      </c>
      <c r="C190" s="77">
        <f>IFERROR(__xludf.DUMMYFUNCTION("""COMPUTED_VALUE"""),0.0)</f>
        <v>0</v>
      </c>
      <c r="D190" s="77">
        <f>IFERROR(__xludf.DUMMYFUNCTION("""COMPUTED_VALUE"""),0.0)</f>
        <v>0</v>
      </c>
      <c r="E190" s="46" t="b">
        <f>IFERROR(__xludf.DUMMYFUNCTION("""COMPUTED_VALUE"""),TRUE)</f>
        <v>1</v>
      </c>
    </row>
    <row r="191" hidden="1">
      <c r="A191" s="76" t="str">
        <f>IFERROR(__xludf.DUMMYFUNCTION("""COMPUTED_VALUE"""),"Blame Game")</f>
        <v>Blame Game</v>
      </c>
      <c r="B191" s="76" t="str">
        <f>IFERROR(__xludf.DUMMYFUNCTION("""COMPUTED_VALUE"""),"Mutant Menace")</f>
        <v>Mutant Menace</v>
      </c>
      <c r="C191" s="77">
        <f>IFERROR(__xludf.DUMMYFUNCTION("""COMPUTED_VALUE"""),0.0)</f>
        <v>0</v>
      </c>
      <c r="D191" s="77">
        <f>IFERROR(__xludf.DUMMYFUNCTION("""COMPUTED_VALUE"""),0.0)</f>
        <v>0</v>
      </c>
      <c r="E191" s="46" t="b">
        <f>IFERROR(__xludf.DUMMYFUNCTION("""COMPUTED_VALUE"""),TRUE)</f>
        <v>1</v>
      </c>
    </row>
    <row r="192" hidden="1">
      <c r="A192" s="76" t="str">
        <f>IFERROR(__xludf.DUMMYFUNCTION("""COMPUTED_VALUE"""),"Blame Game")</f>
        <v>Blame Game</v>
      </c>
      <c r="B192" s="76" t="str">
        <f>IFERROR(__xludf.DUMMYFUNCTION("""COMPUTED_VALUE"""),"Party Time")</f>
        <v>Party Time</v>
      </c>
      <c r="C192" s="77">
        <f>IFERROR(__xludf.DUMMYFUNCTION("""COMPUTED_VALUE"""),0.0)</f>
        <v>0</v>
      </c>
      <c r="D192" s="77">
        <f>IFERROR(__xludf.DUMMYFUNCTION("""COMPUTED_VALUE"""),0.0)</f>
        <v>0</v>
      </c>
      <c r="E192" s="46" t="b">
        <f>IFERROR(__xludf.DUMMYFUNCTION("""COMPUTED_VALUE"""),TRUE)</f>
        <v>1</v>
      </c>
    </row>
    <row r="193" hidden="1">
      <c r="A193" s="76" t="str">
        <f>IFERROR(__xludf.DUMMYFUNCTION("""COMPUTED_VALUE"""),"Blame Game")</f>
        <v>Blame Game</v>
      </c>
      <c r="B193" s="76" t="str">
        <f>IFERROR(__xludf.DUMMYFUNCTION("""COMPUTED_VALUE"""),"Peace Offering")</f>
        <v>Peace Offering</v>
      </c>
      <c r="C193" s="77">
        <f>IFERROR(__xludf.DUMMYFUNCTION("""COMPUTED_VALUE"""),0.0)</f>
        <v>0</v>
      </c>
      <c r="D193" s="77">
        <f>IFERROR(__xludf.DUMMYFUNCTION("""COMPUTED_VALUE"""),0.0)</f>
        <v>0</v>
      </c>
      <c r="E193" s="46" t="b">
        <f>IFERROR(__xludf.DUMMYFUNCTION("""COMPUTED_VALUE"""),TRUE)</f>
        <v>1</v>
      </c>
    </row>
    <row r="194" hidden="1">
      <c r="A194" s="76" t="str">
        <f>IFERROR(__xludf.DUMMYFUNCTION("""COMPUTED_VALUE"""),"Blame Game")</f>
        <v>Blame Game</v>
      </c>
      <c r="B194" s="76" t="str">
        <f>IFERROR(__xludf.DUMMYFUNCTION("""COMPUTED_VALUE"""),"Power Hungry")</f>
        <v>Power Hungry</v>
      </c>
      <c r="C194" s="77">
        <f>IFERROR(__xludf.DUMMYFUNCTION("""COMPUTED_VALUE"""),0.0)</f>
        <v>0</v>
      </c>
      <c r="D194" s="77">
        <f>IFERROR(__xludf.DUMMYFUNCTION("""COMPUTED_VALUE"""),0.0)</f>
        <v>0</v>
      </c>
      <c r="E194" s="46" t="b">
        <f>IFERROR(__xludf.DUMMYFUNCTION("""COMPUTED_VALUE"""),TRUE)</f>
        <v>1</v>
      </c>
    </row>
    <row r="195" hidden="1">
      <c r="A195" s="76" t="str">
        <f>IFERROR(__xludf.DUMMYFUNCTION("""COMPUTED_VALUE"""),"Blame Game")</f>
        <v>Blame Game</v>
      </c>
      <c r="B195" s="76" t="str">
        <f>IFERROR(__xludf.DUMMYFUNCTION("""COMPUTED_VALUE"""),"Primal Genesis")</f>
        <v>Primal Genesis</v>
      </c>
      <c r="C195" s="77">
        <f>IFERROR(__xludf.DUMMYFUNCTION("""COMPUTED_VALUE"""),0.0)</f>
        <v>0</v>
      </c>
      <c r="D195" s="77">
        <f>IFERROR(__xludf.DUMMYFUNCTION("""COMPUTED_VALUE"""),0.0)</f>
        <v>0</v>
      </c>
      <c r="E195" s="46" t="b">
        <f>IFERROR(__xludf.DUMMYFUNCTION("""COMPUTED_VALUE"""),TRUE)</f>
        <v>1</v>
      </c>
    </row>
    <row r="196">
      <c r="A196" s="76" t="str">
        <f>IFERROR(__xludf.DUMMYFUNCTION("""COMPUTED_VALUE"""),"Blame Game")</f>
        <v>Blame Game</v>
      </c>
      <c r="B196" s="76" t="str">
        <f>IFERROR(__xludf.DUMMYFUNCTION("""COMPUTED_VALUE"""),"Prismari Artistry")</f>
        <v>Prismari Artistry</v>
      </c>
      <c r="C196" s="77">
        <f>IFERROR(__xludf.DUMMYFUNCTION("""COMPUTED_VALUE"""),0.0)</f>
        <v>0</v>
      </c>
      <c r="D196" s="77">
        <f>IFERROR(__xludf.DUMMYFUNCTION("""COMPUTED_VALUE"""),0.0)</f>
        <v>0</v>
      </c>
      <c r="E196" s="46" t="b">
        <f>IFERROR(__xludf.DUMMYFUNCTION("""COMPUTED_VALUE"""),TRUE)</f>
        <v>1</v>
      </c>
    </row>
    <row r="197" hidden="1">
      <c r="A197" s="76" t="str">
        <f>IFERROR(__xludf.DUMMYFUNCTION("""COMPUTED_VALUE"""),"Blame Game")</f>
        <v>Blame Game</v>
      </c>
      <c r="B197" s="76" t="str">
        <f>IFERROR(__xludf.DUMMYFUNCTION("""COMPUTED_VALUE"""),"Prismari Performance")</f>
        <v>Prismari Performance</v>
      </c>
      <c r="C197" s="77">
        <f>IFERROR(__xludf.DUMMYFUNCTION("""COMPUTED_VALUE"""),0.0)</f>
        <v>0</v>
      </c>
      <c r="D197" s="77">
        <f>IFERROR(__xludf.DUMMYFUNCTION("""COMPUTED_VALUE"""),0.0)</f>
        <v>0</v>
      </c>
      <c r="E197" s="46" t="b">
        <f>IFERROR(__xludf.DUMMYFUNCTION("""COMPUTED_VALUE"""),TRUE)</f>
        <v>1</v>
      </c>
    </row>
    <row r="198" hidden="1">
      <c r="A198" s="76" t="str">
        <f>IFERROR(__xludf.DUMMYFUNCTION("""COMPUTED_VALUE"""),"Blame Game")</f>
        <v>Blame Game</v>
      </c>
      <c r="B198" s="76" t="str">
        <f>IFERROR(__xludf.DUMMYFUNCTION("""COMPUTED_VALUE"""),"Quandrix Unlimited")</f>
        <v>Quandrix Unlimited</v>
      </c>
      <c r="C198" s="77">
        <f>IFERROR(__xludf.DUMMYFUNCTION("""COMPUTED_VALUE"""),0.0)</f>
        <v>0</v>
      </c>
      <c r="D198" s="77">
        <f>IFERROR(__xludf.DUMMYFUNCTION("""COMPUTED_VALUE"""),0.0)</f>
        <v>0</v>
      </c>
      <c r="E198" s="46" t="b">
        <f>IFERROR(__xludf.DUMMYFUNCTION("""COMPUTED_VALUE"""),TRUE)</f>
        <v>1</v>
      </c>
    </row>
    <row r="199" hidden="1">
      <c r="A199" s="76" t="str">
        <f>IFERROR(__xludf.DUMMYFUNCTION("""COMPUTED_VALUE"""),"Blame Game")</f>
        <v>Blame Game</v>
      </c>
      <c r="B199" s="76" t="str">
        <f>IFERROR(__xludf.DUMMYFUNCTION("""COMPUTED_VALUE"""),"Quick Draw")</f>
        <v>Quick Draw</v>
      </c>
      <c r="C199" s="77">
        <f>IFERROR(__xludf.DUMMYFUNCTION("""COMPUTED_VALUE"""),0.0)</f>
        <v>0</v>
      </c>
      <c r="D199" s="77">
        <f>IFERROR(__xludf.DUMMYFUNCTION("""COMPUTED_VALUE"""),0.0)</f>
        <v>0</v>
      </c>
      <c r="E199" s="46" t="b">
        <f>IFERROR(__xludf.DUMMYFUNCTION("""COMPUTED_VALUE"""),TRUE)</f>
        <v>1</v>
      </c>
    </row>
    <row r="200" hidden="1">
      <c r="A200" s="76" t="str">
        <f>IFERROR(__xludf.DUMMYFUNCTION("""COMPUTED_VALUE"""),"Blame Game")</f>
        <v>Blame Game</v>
      </c>
      <c r="B200" s="76" t="str">
        <f>IFERROR(__xludf.DUMMYFUNCTION("""COMPUTED_VALUE"""),"Reap the Tides")</f>
        <v>Reap the Tides</v>
      </c>
      <c r="C200" s="77">
        <f>IFERROR(__xludf.DUMMYFUNCTION("""COMPUTED_VALUE"""),0.0)</f>
        <v>0</v>
      </c>
      <c r="D200" s="77">
        <f>IFERROR(__xludf.DUMMYFUNCTION("""COMPUTED_VALUE"""),0.0)</f>
        <v>0</v>
      </c>
      <c r="E200" s="46" t="b">
        <f>IFERROR(__xludf.DUMMYFUNCTION("""COMPUTED_VALUE"""),TRUE)</f>
        <v>1</v>
      </c>
    </row>
    <row r="201" hidden="1">
      <c r="A201" s="76" t="str">
        <f>IFERROR(__xludf.DUMMYFUNCTION("""COMPUTED_VALUE"""),"Blame Game")</f>
        <v>Blame Game</v>
      </c>
      <c r="B201" s="76" t="str">
        <f>IFERROR(__xludf.DUMMYFUNCTION("""COMPUTED_VALUE"""),"Rebellion Rising")</f>
        <v>Rebellion Rising</v>
      </c>
      <c r="C201" s="77">
        <f>IFERROR(__xludf.DUMMYFUNCTION("""COMPUTED_VALUE"""),0.0)</f>
        <v>0</v>
      </c>
      <c r="D201" s="77">
        <f>IFERROR(__xludf.DUMMYFUNCTION("""COMPUTED_VALUE"""),1.0)</f>
        <v>1</v>
      </c>
      <c r="E201" s="46" t="b">
        <f>IFERROR(__xludf.DUMMYFUNCTION("""COMPUTED_VALUE"""),FALSE)</f>
        <v>0</v>
      </c>
    </row>
    <row r="202" hidden="1">
      <c r="A202" s="76" t="str">
        <f>IFERROR(__xludf.DUMMYFUNCTION("""COMPUTED_VALUE"""),"Blame Game")</f>
        <v>Blame Game</v>
      </c>
      <c r="B202" s="76" t="str">
        <f>IFERROR(__xludf.DUMMYFUNCTION("""COMPUTED_VALUE"""),"Revival Trance")</f>
        <v>Revival Trance</v>
      </c>
      <c r="C202" s="77">
        <f>IFERROR(__xludf.DUMMYFUNCTION("""COMPUTED_VALUE"""),0.0)</f>
        <v>0</v>
      </c>
      <c r="D202" s="77">
        <f>IFERROR(__xludf.DUMMYFUNCTION("""COMPUTED_VALUE"""),0.0)</f>
        <v>0</v>
      </c>
      <c r="E202" s="46" t="b">
        <f>IFERROR(__xludf.DUMMYFUNCTION("""COMPUTED_VALUE"""),TRUE)</f>
        <v>1</v>
      </c>
    </row>
    <row r="203" hidden="1">
      <c r="A203" s="76" t="str">
        <f>IFERROR(__xludf.DUMMYFUNCTION("""COMPUTED_VALUE"""),"Blame Game")</f>
        <v>Blame Game</v>
      </c>
      <c r="B203" s="76" t="str">
        <f>IFERROR(__xludf.DUMMYFUNCTION("""COMPUTED_VALUE"""),"Riders of Rohan")</f>
        <v>Riders of Rohan</v>
      </c>
      <c r="C203" s="77">
        <f>IFERROR(__xludf.DUMMYFUNCTION("""COMPUTED_VALUE"""),0.0)</f>
        <v>0</v>
      </c>
      <c r="D203" s="77">
        <f>IFERROR(__xludf.DUMMYFUNCTION("""COMPUTED_VALUE"""),0.0)</f>
        <v>0</v>
      </c>
      <c r="E203" s="46" t="b">
        <f>IFERROR(__xludf.DUMMYFUNCTION("""COMPUTED_VALUE"""),TRUE)</f>
        <v>1</v>
      </c>
    </row>
    <row r="204" hidden="1">
      <c r="A204" s="76" t="str">
        <f>IFERROR(__xludf.DUMMYFUNCTION("""COMPUTED_VALUE"""),"Blame Game")</f>
        <v>Blame Game</v>
      </c>
      <c r="B204" s="76" t="str">
        <f>IFERROR(__xludf.DUMMYFUNCTION("""COMPUTED_VALUE"""),"Science!")</f>
        <v>Science!</v>
      </c>
      <c r="C204" s="77">
        <f>IFERROR(__xludf.DUMMYFUNCTION("""COMPUTED_VALUE"""),0.0)</f>
        <v>0</v>
      </c>
      <c r="D204" s="77">
        <f>IFERROR(__xludf.DUMMYFUNCTION("""COMPUTED_VALUE"""),0.0)</f>
        <v>0</v>
      </c>
      <c r="E204" s="46" t="b">
        <f>IFERROR(__xludf.DUMMYFUNCTION("""COMPUTED_VALUE"""),TRUE)</f>
        <v>1</v>
      </c>
    </row>
    <row r="205" hidden="1">
      <c r="A205" s="76" t="str">
        <f>IFERROR(__xludf.DUMMYFUNCTION("""COMPUTED_VALUE"""),"Blame Game")</f>
        <v>Blame Game</v>
      </c>
      <c r="B205" s="76" t="str">
        <f>IFERROR(__xludf.DUMMYFUNCTION("""COMPUTED_VALUE"""),"Scions &amp; Spellcraft")</f>
        <v>Scions &amp; Spellcraft</v>
      </c>
      <c r="C205" s="77">
        <f>IFERROR(__xludf.DUMMYFUNCTION("""COMPUTED_VALUE"""),0.0)</f>
        <v>0</v>
      </c>
      <c r="D205" s="77">
        <f>IFERROR(__xludf.DUMMYFUNCTION("""COMPUTED_VALUE"""),0.0)</f>
        <v>0</v>
      </c>
      <c r="E205" s="46" t="b">
        <f>IFERROR(__xludf.DUMMYFUNCTION("""COMPUTED_VALUE"""),TRUE)</f>
        <v>1</v>
      </c>
    </row>
    <row r="206" hidden="1">
      <c r="A206" s="76" t="str">
        <f>IFERROR(__xludf.DUMMYFUNCTION("""COMPUTED_VALUE"""),"Blame Game")</f>
        <v>Blame Game</v>
      </c>
      <c r="B206" s="76" t="str">
        <f>IFERROR(__xludf.DUMMYFUNCTION("""COMPUTED_VALUE"""),"Scrappy Survivors")</f>
        <v>Scrappy Survivors</v>
      </c>
      <c r="C206" s="77">
        <f>IFERROR(__xludf.DUMMYFUNCTION("""COMPUTED_VALUE"""),0.0)</f>
        <v>0</v>
      </c>
      <c r="D206" s="77">
        <f>IFERROR(__xludf.DUMMYFUNCTION("""COMPUTED_VALUE"""),0.0)</f>
        <v>0</v>
      </c>
      <c r="E206" s="46" t="b">
        <f>IFERROR(__xludf.DUMMYFUNCTION("""COMPUTED_VALUE"""),TRUE)</f>
        <v>1</v>
      </c>
    </row>
    <row r="207" hidden="1">
      <c r="A207" s="76" t="str">
        <f>IFERROR(__xludf.DUMMYFUNCTION("""COMPUTED_VALUE"""),"Blame Game")</f>
        <v>Blame Game</v>
      </c>
      <c r="B207" s="76" t="str">
        <f>IFERROR(__xludf.DUMMYFUNCTION("""COMPUTED_VALUE"""),"Silverquill Influence")</f>
        <v>Silverquill Influence</v>
      </c>
      <c r="C207" s="77">
        <f>IFERROR(__xludf.DUMMYFUNCTION("""COMPUTED_VALUE"""),0.0)</f>
        <v>0</v>
      </c>
      <c r="D207" s="77">
        <f>IFERROR(__xludf.DUMMYFUNCTION("""COMPUTED_VALUE"""),0.0)</f>
        <v>0</v>
      </c>
      <c r="E207" s="46" t="b">
        <f>IFERROR(__xludf.DUMMYFUNCTION("""COMPUTED_VALUE"""),TRUE)</f>
        <v>1</v>
      </c>
    </row>
    <row r="208" hidden="1">
      <c r="A208" s="76" t="str">
        <f>IFERROR(__xludf.DUMMYFUNCTION("""COMPUTED_VALUE"""),"Blame Game")</f>
        <v>Blame Game</v>
      </c>
      <c r="B208" s="76" t="str">
        <f>IFERROR(__xludf.DUMMYFUNCTION("""COMPUTED_VALUE"""),"Spirit Squadron")</f>
        <v>Spirit Squadron</v>
      </c>
      <c r="C208" s="77">
        <f>IFERROR(__xludf.DUMMYFUNCTION("""COMPUTED_VALUE"""),0.0)</f>
        <v>0</v>
      </c>
      <c r="D208" s="77">
        <f>IFERROR(__xludf.DUMMYFUNCTION("""COMPUTED_VALUE"""),0.0)</f>
        <v>0</v>
      </c>
      <c r="E208" s="46" t="b">
        <f>IFERROR(__xludf.DUMMYFUNCTION("""COMPUTED_VALUE"""),TRUE)</f>
        <v>1</v>
      </c>
    </row>
    <row r="209" hidden="1">
      <c r="A209" s="76" t="str">
        <f>IFERROR(__xludf.DUMMYFUNCTION("""COMPUTED_VALUE"""),"Blame Game")</f>
        <v>Blame Game</v>
      </c>
      <c r="B209" s="76" t="str">
        <f>IFERROR(__xludf.DUMMYFUNCTION("""COMPUTED_VALUE"""),"Squirreled Away")</f>
        <v>Squirreled Away</v>
      </c>
      <c r="C209" s="77">
        <f>IFERROR(__xludf.DUMMYFUNCTION("""COMPUTED_VALUE"""),0.0)</f>
        <v>0</v>
      </c>
      <c r="D209" s="77">
        <f>IFERROR(__xludf.DUMMYFUNCTION("""COMPUTED_VALUE"""),0.0)</f>
        <v>0</v>
      </c>
      <c r="E209" s="46" t="b">
        <f>IFERROR(__xludf.DUMMYFUNCTION("""COMPUTED_VALUE"""),TRUE)</f>
        <v>1</v>
      </c>
    </row>
    <row r="210" hidden="1">
      <c r="A210" s="76" t="str">
        <f>IFERROR(__xludf.DUMMYFUNCTION("""COMPUTED_VALUE"""),"Blame Game")</f>
        <v>Blame Game</v>
      </c>
      <c r="B210" s="76" t="str">
        <f>IFERROR(__xludf.DUMMYFUNCTION("""COMPUTED_VALUE"""),"Sultai Arisen")</f>
        <v>Sultai Arisen</v>
      </c>
      <c r="C210" s="77">
        <f>IFERROR(__xludf.DUMMYFUNCTION("""COMPUTED_VALUE"""),0.0)</f>
        <v>0</v>
      </c>
      <c r="D210" s="77">
        <f>IFERROR(__xludf.DUMMYFUNCTION("""COMPUTED_VALUE"""),0.0)</f>
        <v>0</v>
      </c>
      <c r="E210" s="46" t="b">
        <f>IFERROR(__xludf.DUMMYFUNCTION("""COMPUTED_VALUE"""),TRUE)</f>
        <v>1</v>
      </c>
    </row>
    <row r="211" hidden="1">
      <c r="A211" s="76" t="str">
        <f>IFERROR(__xludf.DUMMYFUNCTION("""COMPUTED_VALUE"""),"Blame Game")</f>
        <v>Blame Game</v>
      </c>
      <c r="B211" s="76" t="str">
        <f>IFERROR(__xludf.DUMMYFUNCTION("""COMPUTED_VALUE"""),"Temur Roar")</f>
        <v>Temur Roar</v>
      </c>
      <c r="C211" s="77">
        <f>IFERROR(__xludf.DUMMYFUNCTION("""COMPUTED_VALUE"""),0.0)</f>
        <v>0</v>
      </c>
      <c r="D211" s="77">
        <f>IFERROR(__xludf.DUMMYFUNCTION("""COMPUTED_VALUE"""),0.0)</f>
        <v>0</v>
      </c>
      <c r="E211" s="46" t="b">
        <f>IFERROR(__xludf.DUMMYFUNCTION("""COMPUTED_VALUE"""),TRUE)</f>
        <v>1</v>
      </c>
    </row>
    <row r="212" hidden="1">
      <c r="A212" s="76" t="str">
        <f>IFERROR(__xludf.DUMMYFUNCTION("""COMPUTED_VALUE"""),"Blame Game")</f>
        <v>Blame Game</v>
      </c>
      <c r="B212" s="76" t="str">
        <f>IFERROR(__xludf.DUMMYFUNCTION("""COMPUTED_VALUE"""),"The Hosts of Mordor")</f>
        <v>The Hosts of Mordor</v>
      </c>
      <c r="C212" s="77">
        <f>IFERROR(__xludf.DUMMYFUNCTION("""COMPUTED_VALUE"""),0.0)</f>
        <v>0</v>
      </c>
      <c r="D212" s="77">
        <f>IFERROR(__xludf.DUMMYFUNCTION("""COMPUTED_VALUE"""),0.0)</f>
        <v>0</v>
      </c>
      <c r="E212" s="46" t="b">
        <f>IFERROR(__xludf.DUMMYFUNCTION("""COMPUTED_VALUE"""),TRUE)</f>
        <v>1</v>
      </c>
    </row>
    <row r="213" hidden="1">
      <c r="A213" s="76" t="str">
        <f>IFERROR(__xludf.DUMMYFUNCTION("""COMPUTED_VALUE"""),"Blame Game")</f>
        <v>Blame Game</v>
      </c>
      <c r="B213" s="76" t="str">
        <f>IFERROR(__xludf.DUMMYFUNCTION("""COMPUTED_VALUE"""),"The Ruinous Powers")</f>
        <v>The Ruinous Powers</v>
      </c>
      <c r="C213" s="77">
        <f>IFERROR(__xludf.DUMMYFUNCTION("""COMPUTED_VALUE"""),0.0)</f>
        <v>0</v>
      </c>
      <c r="D213" s="77">
        <f>IFERROR(__xludf.DUMMYFUNCTION("""COMPUTED_VALUE"""),0.0)</f>
        <v>0</v>
      </c>
      <c r="E213" s="46" t="b">
        <f>IFERROR(__xludf.DUMMYFUNCTION("""COMPUTED_VALUE"""),TRUE)</f>
        <v>1</v>
      </c>
    </row>
    <row r="214" hidden="1">
      <c r="A214" s="76" t="str">
        <f>IFERROR(__xludf.DUMMYFUNCTION("""COMPUTED_VALUE"""),"Blame Game")</f>
        <v>Blame Game</v>
      </c>
      <c r="B214" s="76" t="str">
        <f>IFERROR(__xludf.DUMMYFUNCTION("""COMPUTED_VALUE"""),"Timey-Wimey")</f>
        <v>Timey-Wimey</v>
      </c>
      <c r="C214" s="77">
        <f>IFERROR(__xludf.DUMMYFUNCTION("""COMPUTED_VALUE"""),0.0)</f>
        <v>0</v>
      </c>
      <c r="D214" s="77">
        <f>IFERROR(__xludf.DUMMYFUNCTION("""COMPUTED_VALUE"""),0.0)</f>
        <v>0</v>
      </c>
      <c r="E214" s="46" t="b">
        <f>IFERROR(__xludf.DUMMYFUNCTION("""COMPUTED_VALUE"""),TRUE)</f>
        <v>1</v>
      </c>
    </row>
    <row r="215" hidden="1">
      <c r="A215" s="76" t="str">
        <f>IFERROR(__xludf.DUMMYFUNCTION("""COMPUTED_VALUE"""),"Blame Game")</f>
        <v>Blame Game</v>
      </c>
      <c r="B215" s="76" t="str">
        <f>IFERROR(__xludf.DUMMYFUNCTION("""COMPUTED_VALUE"""),"Tinker Time")</f>
        <v>Tinker Time</v>
      </c>
      <c r="C215" s="77">
        <f>IFERROR(__xludf.DUMMYFUNCTION("""COMPUTED_VALUE"""),0.0)</f>
        <v>0</v>
      </c>
      <c r="D215" s="77">
        <f>IFERROR(__xludf.DUMMYFUNCTION("""COMPUTED_VALUE"""),0.0)</f>
        <v>0</v>
      </c>
      <c r="E215" s="46" t="b">
        <f>IFERROR(__xludf.DUMMYFUNCTION("""COMPUTED_VALUE"""),TRUE)</f>
        <v>1</v>
      </c>
    </row>
    <row r="216" hidden="1">
      <c r="A216" s="76" t="str">
        <f>IFERROR(__xludf.DUMMYFUNCTION("""COMPUTED_VALUE"""),"Blame Game")</f>
        <v>Blame Game</v>
      </c>
      <c r="B216" s="76" t="str">
        <f>IFERROR(__xludf.DUMMYFUNCTION("""COMPUTED_VALUE"""),"Turtle Power!")</f>
        <v>Turtle Power!</v>
      </c>
      <c r="C216" s="77">
        <f>IFERROR(__xludf.DUMMYFUNCTION("""COMPUTED_VALUE"""),0.0)</f>
        <v>0</v>
      </c>
      <c r="D216" s="77">
        <f>IFERROR(__xludf.DUMMYFUNCTION("""COMPUTED_VALUE"""),0.0)</f>
        <v>0</v>
      </c>
      <c r="E216" s="46" t="b">
        <f>IFERROR(__xludf.DUMMYFUNCTION("""COMPUTED_VALUE"""),TRUE)</f>
        <v>1</v>
      </c>
    </row>
    <row r="217" hidden="1">
      <c r="A217" s="76" t="str">
        <f>IFERROR(__xludf.DUMMYFUNCTION("""COMPUTED_VALUE"""),"Blame Game")</f>
        <v>Blame Game</v>
      </c>
      <c r="B217" s="76" t="str">
        <f>IFERROR(__xludf.DUMMYFUNCTION("""COMPUTED_VALUE"""),"Veloci-ramp-tor")</f>
        <v>Veloci-ramp-tor</v>
      </c>
      <c r="C217" s="77">
        <f>IFERROR(__xludf.DUMMYFUNCTION("""COMPUTED_VALUE"""),0.0)</f>
        <v>0</v>
      </c>
      <c r="D217" s="77">
        <f>IFERROR(__xludf.DUMMYFUNCTION("""COMPUTED_VALUE"""),0.0)</f>
        <v>0</v>
      </c>
      <c r="E217" s="46" t="b">
        <f>IFERROR(__xludf.DUMMYFUNCTION("""COMPUTED_VALUE"""),TRUE)</f>
        <v>1</v>
      </c>
    </row>
    <row r="218" hidden="1">
      <c r="A218" s="76" t="str">
        <f>IFERROR(__xludf.DUMMYFUNCTION("""COMPUTED_VALUE"""),"Blight Curse")</f>
        <v>Blight Curse</v>
      </c>
      <c r="B218" s="76" t="str">
        <f>IFERROR(__xludf.DUMMYFUNCTION("""COMPUTED_VALUE"""),"Ahoy Mateys")</f>
        <v>Ahoy Mateys</v>
      </c>
      <c r="C218" s="77">
        <f>IFERROR(__xludf.DUMMYFUNCTION("""COMPUTED_VALUE"""),0.0)</f>
        <v>0</v>
      </c>
      <c r="D218" s="77">
        <f>IFERROR(__xludf.DUMMYFUNCTION("""COMPUTED_VALUE"""),0.0)</f>
        <v>0</v>
      </c>
      <c r="E218" s="46" t="b">
        <f>IFERROR(__xludf.DUMMYFUNCTION("""COMPUTED_VALUE"""),TRUE)</f>
        <v>1</v>
      </c>
    </row>
    <row r="219" hidden="1">
      <c r="A219" s="76" t="str">
        <f>IFERROR(__xludf.DUMMYFUNCTION("""COMPUTED_VALUE"""),"Blight Curse")</f>
        <v>Blight Curse</v>
      </c>
      <c r="B219" s="76" t="str">
        <f>IFERROR(__xludf.DUMMYFUNCTION("""COMPUTED_VALUE"""),"Animated Army")</f>
        <v>Animated Army</v>
      </c>
      <c r="C219" s="77">
        <f>IFERROR(__xludf.DUMMYFUNCTION("""COMPUTED_VALUE"""),0.0)</f>
        <v>0</v>
      </c>
      <c r="D219" s="77">
        <f>IFERROR(__xludf.DUMMYFUNCTION("""COMPUTED_VALUE"""),0.0)</f>
        <v>0</v>
      </c>
      <c r="E219" s="46" t="b">
        <f>IFERROR(__xludf.DUMMYFUNCTION("""COMPUTED_VALUE"""),TRUE)</f>
        <v>1</v>
      </c>
    </row>
    <row r="220" hidden="1">
      <c r="A220" s="76" t="str">
        <f>IFERROR(__xludf.DUMMYFUNCTION("""COMPUTED_VALUE"""),"Blight Curse")</f>
        <v>Blight Curse</v>
      </c>
      <c r="B220" s="76" t="str">
        <f>IFERROR(__xludf.DUMMYFUNCTION("""COMPUTED_VALUE"""),"Arcane Maelstrom")</f>
        <v>Arcane Maelstrom</v>
      </c>
      <c r="C220" s="77">
        <f>IFERROR(__xludf.DUMMYFUNCTION("""COMPUTED_VALUE"""),0.0)</f>
        <v>0</v>
      </c>
      <c r="D220" s="77">
        <f>IFERROR(__xludf.DUMMYFUNCTION("""COMPUTED_VALUE"""),0.0)</f>
        <v>0</v>
      </c>
      <c r="E220" s="46" t="b">
        <f>IFERROR(__xludf.DUMMYFUNCTION("""COMPUTED_VALUE"""),TRUE)</f>
        <v>1</v>
      </c>
    </row>
    <row r="221" hidden="1">
      <c r="A221" s="76" t="str">
        <f>IFERROR(__xludf.DUMMYFUNCTION("""COMPUTED_VALUE"""),"Blight Curse")</f>
        <v>Blight Curse</v>
      </c>
      <c r="B221" s="76" t="str">
        <f>IFERROR(__xludf.DUMMYFUNCTION("""COMPUTED_VALUE"""),"Blame Game")</f>
        <v>Blame Game</v>
      </c>
      <c r="C221" s="77">
        <f>IFERROR(__xludf.DUMMYFUNCTION("""COMPUTED_VALUE"""),0.0)</f>
        <v>0</v>
      </c>
      <c r="D221" s="77">
        <f>IFERROR(__xludf.DUMMYFUNCTION("""COMPUTED_VALUE"""),1.0)</f>
        <v>1</v>
      </c>
      <c r="E221" s="46" t="b">
        <f>IFERROR(__xludf.DUMMYFUNCTION("""COMPUTED_VALUE"""),FALSE)</f>
        <v>0</v>
      </c>
    </row>
    <row r="222" hidden="1">
      <c r="A222" s="76" t="str">
        <f>IFERROR(__xludf.DUMMYFUNCTION("""COMPUTED_VALUE"""),"Blight Curse")</f>
        <v>Blight Curse</v>
      </c>
      <c r="B222" s="76" t="str">
        <f>IFERROR(__xludf.DUMMYFUNCTION("""COMPUTED_VALUE"""),"Blight Curse")</f>
        <v>Blight Curse</v>
      </c>
      <c r="C222" s="77">
        <f>IFERROR(__xludf.DUMMYFUNCTION("""COMPUTED_VALUE"""),1.0)</f>
        <v>1</v>
      </c>
      <c r="D222" s="77">
        <f>IFERROR(__xludf.DUMMYFUNCTION("""COMPUTED_VALUE"""),1.0)</f>
        <v>1</v>
      </c>
      <c r="E222" s="46" t="b">
        <f>IFERROR(__xludf.DUMMYFUNCTION("""COMPUTED_VALUE"""),TRUE)</f>
        <v>1</v>
      </c>
    </row>
    <row r="223" hidden="1">
      <c r="A223" s="78" t="str">
        <f>IFERROR(__xludf.DUMMYFUNCTION("""COMPUTED_VALUE"""),"Blight Curse")</f>
        <v>Blight Curse</v>
      </c>
      <c r="B223" s="78" t="str">
        <f>IFERROR(__xludf.DUMMYFUNCTION("""COMPUTED_VALUE"""),"Blood Rites")</f>
        <v>Blood Rites</v>
      </c>
      <c r="C223" s="79">
        <f>IFERROR(__xludf.DUMMYFUNCTION("""COMPUTED_VALUE"""),0.0)</f>
        <v>0</v>
      </c>
      <c r="D223" s="79">
        <f>IFERROR(__xludf.DUMMYFUNCTION("""COMPUTED_VALUE"""),0.0)</f>
        <v>0</v>
      </c>
      <c r="E223" s="69" t="b">
        <f>IFERROR(__xludf.DUMMYFUNCTION("""COMPUTED_VALUE"""),TRUE)</f>
        <v>1</v>
      </c>
    </row>
    <row r="224" hidden="1">
      <c r="A224" s="76" t="str">
        <f>IFERROR(__xludf.DUMMYFUNCTION("""COMPUTED_VALUE"""),"Blight Curse")</f>
        <v>Blight Curse</v>
      </c>
      <c r="B224" s="76" t="str">
        <f>IFERROR(__xludf.DUMMYFUNCTION("""COMPUTED_VALUE"""),"Buckle Up")</f>
        <v>Buckle Up</v>
      </c>
      <c r="C224" s="77">
        <f>IFERROR(__xludf.DUMMYFUNCTION("""COMPUTED_VALUE"""),0.0)</f>
        <v>0</v>
      </c>
      <c r="D224" s="77">
        <f>IFERROR(__xludf.DUMMYFUNCTION("""COMPUTED_VALUE"""),0.0)</f>
        <v>0</v>
      </c>
      <c r="E224" s="46" t="b">
        <f>IFERROR(__xludf.DUMMYFUNCTION("""COMPUTED_VALUE"""),TRUE)</f>
        <v>1</v>
      </c>
    </row>
    <row r="225" hidden="1">
      <c r="A225" s="76" t="str">
        <f>IFERROR(__xludf.DUMMYFUNCTION("""COMPUTED_VALUE"""),"Blight Curse")</f>
        <v>Blight Curse</v>
      </c>
      <c r="B225" s="76" t="str">
        <f>IFERROR(__xludf.DUMMYFUNCTION("""COMPUTED_VALUE"""),"Cabaretti Cacophony")</f>
        <v>Cabaretti Cacophony</v>
      </c>
      <c r="C225" s="77">
        <f>IFERROR(__xludf.DUMMYFUNCTION("""COMPUTED_VALUE"""),0.0)</f>
        <v>0</v>
      </c>
      <c r="D225" s="77">
        <f>IFERROR(__xludf.DUMMYFUNCTION("""COMPUTED_VALUE"""),0.0)</f>
        <v>0</v>
      </c>
      <c r="E225" s="46" t="b">
        <f>IFERROR(__xludf.DUMMYFUNCTION("""COMPUTED_VALUE"""),TRUE)</f>
        <v>1</v>
      </c>
    </row>
    <row r="226" hidden="1">
      <c r="A226" s="76" t="str">
        <f>IFERROR(__xludf.DUMMYFUNCTION("""COMPUTED_VALUE"""),"Blight Curse")</f>
        <v>Blight Curse</v>
      </c>
      <c r="B226" s="76" t="str">
        <f>IFERROR(__xludf.DUMMYFUNCTION("""COMPUTED_VALUE"""),"Cavalry Charge")</f>
        <v>Cavalry Charge</v>
      </c>
      <c r="C226" s="77">
        <f>IFERROR(__xludf.DUMMYFUNCTION("""COMPUTED_VALUE"""),0.0)</f>
        <v>0</v>
      </c>
      <c r="D226" s="77">
        <f>IFERROR(__xludf.DUMMYFUNCTION("""COMPUTED_VALUE"""),0.0)</f>
        <v>0</v>
      </c>
      <c r="E226" s="46" t="b">
        <f>IFERROR(__xludf.DUMMYFUNCTION("""COMPUTED_VALUE"""),TRUE)</f>
        <v>1</v>
      </c>
    </row>
    <row r="227" hidden="1">
      <c r="A227" s="76" t="str">
        <f>IFERROR(__xludf.DUMMYFUNCTION("""COMPUTED_VALUE"""),"Blight Curse")</f>
        <v>Blight Curse</v>
      </c>
      <c r="B227" s="76" t="str">
        <f>IFERROR(__xludf.DUMMYFUNCTION("""COMPUTED_VALUE"""),"Corrupting Influence")</f>
        <v>Corrupting Influence</v>
      </c>
      <c r="C227" s="77">
        <f>IFERROR(__xludf.DUMMYFUNCTION("""COMPUTED_VALUE"""),0.0)</f>
        <v>0</v>
      </c>
      <c r="D227" s="77">
        <f>IFERROR(__xludf.DUMMYFUNCTION("""COMPUTED_VALUE"""),1.0)</f>
        <v>1</v>
      </c>
      <c r="E227" s="46" t="b">
        <f>IFERROR(__xludf.DUMMYFUNCTION("""COMPUTED_VALUE"""),FALSE)</f>
        <v>0</v>
      </c>
    </row>
    <row r="228" hidden="1">
      <c r="A228" s="76" t="str">
        <f>IFERROR(__xludf.DUMMYFUNCTION("""COMPUTED_VALUE"""),"Blight Curse")</f>
        <v>Blight Curse</v>
      </c>
      <c r="B228" s="76" t="str">
        <f>IFERROR(__xludf.DUMMYFUNCTION("""COMPUTED_VALUE"""),"Counter Blitz")</f>
        <v>Counter Blitz</v>
      </c>
      <c r="C228" s="77">
        <f>IFERROR(__xludf.DUMMYFUNCTION("""COMPUTED_VALUE"""),0.0)</f>
        <v>0</v>
      </c>
      <c r="D228" s="77">
        <f>IFERROR(__xludf.DUMMYFUNCTION("""COMPUTED_VALUE"""),0.0)</f>
        <v>0</v>
      </c>
      <c r="E228" s="46" t="b">
        <f>IFERROR(__xludf.DUMMYFUNCTION("""COMPUTED_VALUE"""),TRUE)</f>
        <v>1</v>
      </c>
    </row>
    <row r="229" hidden="1">
      <c r="A229" s="76" t="str">
        <f>IFERROR(__xludf.DUMMYFUNCTION("""COMPUTED_VALUE"""),"Blight Curse")</f>
        <v>Blight Curse</v>
      </c>
      <c r="B229" s="76" t="str">
        <f>IFERROR(__xludf.DUMMYFUNCTION("""COMPUTED_VALUE"""),"Counter Intelligence")</f>
        <v>Counter Intelligence</v>
      </c>
      <c r="C229" s="77">
        <f>IFERROR(__xludf.DUMMYFUNCTION("""COMPUTED_VALUE"""),1.0)</f>
        <v>1</v>
      </c>
      <c r="D229" s="77">
        <f>IFERROR(__xludf.DUMMYFUNCTION("""COMPUTED_VALUE"""),0.0)</f>
        <v>0</v>
      </c>
      <c r="E229" s="46" t="b">
        <f>IFERROR(__xludf.DUMMYFUNCTION("""COMPUTED_VALUE"""),FALSE)</f>
        <v>0</v>
      </c>
    </row>
    <row r="230" hidden="1">
      <c r="A230" s="76" t="str">
        <f>IFERROR(__xludf.DUMMYFUNCTION("""COMPUTED_VALUE"""),"Blight Curse")</f>
        <v>Blight Curse</v>
      </c>
      <c r="B230" s="76" t="str">
        <f>IFERROR(__xludf.DUMMYFUNCTION("""COMPUTED_VALUE"""),"Creative Energy")</f>
        <v>Creative Energy</v>
      </c>
      <c r="C230" s="77">
        <f>IFERROR(__xludf.DUMMYFUNCTION("""COMPUTED_VALUE"""),0.0)</f>
        <v>0</v>
      </c>
      <c r="D230" s="77">
        <f>IFERROR(__xludf.DUMMYFUNCTION("""COMPUTED_VALUE"""),0.0)</f>
        <v>0</v>
      </c>
      <c r="E230" s="46" t="b">
        <f>IFERROR(__xludf.DUMMYFUNCTION("""COMPUTED_VALUE"""),TRUE)</f>
        <v>1</v>
      </c>
    </row>
    <row r="231" hidden="1">
      <c r="A231" s="76" t="str">
        <f>IFERROR(__xludf.DUMMYFUNCTION("""COMPUTED_VALUE"""),"Blight Curse")</f>
        <v>Blight Curse</v>
      </c>
      <c r="B231" s="76" t="str">
        <f>IFERROR(__xludf.DUMMYFUNCTION("""COMPUTED_VALUE"""),"Dance of the Elements")</f>
        <v>Dance of the Elements</v>
      </c>
      <c r="C231" s="77">
        <f>IFERROR(__xludf.DUMMYFUNCTION("""COMPUTED_VALUE"""),1.0)</f>
        <v>1</v>
      </c>
      <c r="D231" s="77">
        <f>IFERROR(__xludf.DUMMYFUNCTION("""COMPUTED_VALUE"""),1.0)</f>
        <v>1</v>
      </c>
      <c r="E231" s="46" t="b">
        <f>IFERROR(__xludf.DUMMYFUNCTION("""COMPUTED_VALUE"""),FALSE)</f>
        <v>0</v>
      </c>
    </row>
    <row r="232" hidden="1">
      <c r="A232" s="76" t="str">
        <f>IFERROR(__xludf.DUMMYFUNCTION("""COMPUTED_VALUE"""),"Blight Curse")</f>
        <v>Blight Curse</v>
      </c>
      <c r="B232" s="76" t="str">
        <f>IFERROR(__xludf.DUMMYFUNCTION("""COMPUTED_VALUE"""),"Deep Clue Sea")</f>
        <v>Deep Clue Sea</v>
      </c>
      <c r="C232" s="77">
        <f>IFERROR(__xludf.DUMMYFUNCTION("""COMPUTED_VALUE"""),0.0)</f>
        <v>0</v>
      </c>
      <c r="D232" s="77">
        <f>IFERROR(__xludf.DUMMYFUNCTION("""COMPUTED_VALUE"""),0.0)</f>
        <v>0</v>
      </c>
      <c r="E232" s="46" t="b">
        <f>IFERROR(__xludf.DUMMYFUNCTION("""COMPUTED_VALUE"""),TRUE)</f>
        <v>1</v>
      </c>
    </row>
    <row r="233" hidden="1">
      <c r="A233" s="76" t="str">
        <f>IFERROR(__xludf.DUMMYFUNCTION("""COMPUTED_VALUE"""),"Blight Curse")</f>
        <v>Blight Curse</v>
      </c>
      <c r="B233" s="76" t="str">
        <f>IFERROR(__xludf.DUMMYFUNCTION("""COMPUTED_VALUE"""),"Doom Prevails")</f>
        <v>Doom Prevails</v>
      </c>
      <c r="C233" s="77">
        <f>IFERROR(__xludf.DUMMYFUNCTION("""COMPUTED_VALUE"""),0.0)</f>
        <v>0</v>
      </c>
      <c r="D233" s="77">
        <f>IFERROR(__xludf.DUMMYFUNCTION("""COMPUTED_VALUE"""),0.0)</f>
        <v>0</v>
      </c>
      <c r="E233" s="46" t="b">
        <f>IFERROR(__xludf.DUMMYFUNCTION("""COMPUTED_VALUE"""),TRUE)</f>
        <v>1</v>
      </c>
    </row>
    <row r="234" hidden="1">
      <c r="A234" s="76" t="str">
        <f>IFERROR(__xludf.DUMMYFUNCTION("""COMPUTED_VALUE"""),"Blight Curse")</f>
        <v>Blight Curse</v>
      </c>
      <c r="B234" s="76" t="str">
        <f>IFERROR(__xludf.DUMMYFUNCTION("""COMPUTED_VALUE"""),"Eldrazi Incursion")</f>
        <v>Eldrazi Incursion</v>
      </c>
      <c r="C234" s="77">
        <f>IFERROR(__xludf.DUMMYFUNCTION("""COMPUTED_VALUE"""),0.0)</f>
        <v>0</v>
      </c>
      <c r="D234" s="77">
        <f>IFERROR(__xludf.DUMMYFUNCTION("""COMPUTED_VALUE"""),0.0)</f>
        <v>0</v>
      </c>
      <c r="E234" s="46" t="b">
        <f>IFERROR(__xludf.DUMMYFUNCTION("""COMPUTED_VALUE"""),TRUE)</f>
        <v>1</v>
      </c>
    </row>
    <row r="235" hidden="1">
      <c r="A235" s="76" t="str">
        <f>IFERROR(__xludf.DUMMYFUNCTION("""COMPUTED_VALUE"""),"Blight Curse")</f>
        <v>Blight Curse</v>
      </c>
      <c r="B235" s="76" t="str">
        <f>IFERROR(__xludf.DUMMYFUNCTION("""COMPUTED_VALUE"""),"Eldrazi Unbound")</f>
        <v>Eldrazi Unbound</v>
      </c>
      <c r="C235" s="77">
        <f>IFERROR(__xludf.DUMMYFUNCTION("""COMPUTED_VALUE"""),0.0)</f>
        <v>0</v>
      </c>
      <c r="D235" s="77">
        <f>IFERROR(__xludf.DUMMYFUNCTION("""COMPUTED_VALUE"""),0.0)</f>
        <v>0</v>
      </c>
      <c r="E235" s="46" t="b">
        <f>IFERROR(__xludf.DUMMYFUNCTION("""COMPUTED_VALUE"""),TRUE)</f>
        <v>1</v>
      </c>
    </row>
    <row r="236" hidden="1">
      <c r="A236" s="76" t="str">
        <f>IFERROR(__xludf.DUMMYFUNCTION("""COMPUTED_VALUE"""),"Blight Curse")</f>
        <v>Blight Curse</v>
      </c>
      <c r="B236" s="76" t="str">
        <f>IFERROR(__xludf.DUMMYFUNCTION("""COMPUTED_VALUE"""),"Endless Punishment")</f>
        <v>Endless Punishment</v>
      </c>
      <c r="C236" s="77">
        <f>IFERROR(__xludf.DUMMYFUNCTION("""COMPUTED_VALUE"""),0.0)</f>
        <v>0</v>
      </c>
      <c r="D236" s="77">
        <f>IFERROR(__xludf.DUMMYFUNCTION("""COMPUTED_VALUE"""),2.0)</f>
        <v>2</v>
      </c>
      <c r="E236" s="46" t="b">
        <f>IFERROR(__xludf.DUMMYFUNCTION("""COMPUTED_VALUE"""),FALSE)</f>
        <v>0</v>
      </c>
    </row>
    <row r="237" hidden="1">
      <c r="A237" s="76" t="str">
        <f>IFERROR(__xludf.DUMMYFUNCTION("""COMPUTED_VALUE"""),"Blight Curse")</f>
        <v>Blight Curse</v>
      </c>
      <c r="B237" s="76" t="str">
        <f>IFERROR(__xludf.DUMMYFUNCTION("""COMPUTED_VALUE"""),"Enduring Enchantments")</f>
        <v>Enduring Enchantments</v>
      </c>
      <c r="C237" s="77">
        <f>IFERROR(__xludf.DUMMYFUNCTION("""COMPUTED_VALUE"""),0.0)</f>
        <v>0</v>
      </c>
      <c r="D237" s="77">
        <f>IFERROR(__xludf.DUMMYFUNCTION("""COMPUTED_VALUE"""),0.0)</f>
        <v>0</v>
      </c>
      <c r="E237" s="46" t="b">
        <f>IFERROR(__xludf.DUMMYFUNCTION("""COMPUTED_VALUE"""),TRUE)</f>
        <v>1</v>
      </c>
    </row>
    <row r="238">
      <c r="A238" s="76" t="str">
        <f>IFERROR(__xludf.DUMMYFUNCTION("""COMPUTED_VALUE"""),"Blight Curse")</f>
        <v>Blight Curse</v>
      </c>
      <c r="B238" s="76" t="str">
        <f>IFERROR(__xludf.DUMMYFUNCTION("""COMPUTED_VALUE"""),"Explorers of the Deep")</f>
        <v>Explorers of the Deep</v>
      </c>
      <c r="C238" s="77">
        <f>IFERROR(__xludf.DUMMYFUNCTION("""COMPUTED_VALUE"""),0.0)</f>
        <v>0</v>
      </c>
      <c r="D238" s="77">
        <f>IFERROR(__xludf.DUMMYFUNCTION("""COMPUTED_VALUE"""),0.0)</f>
        <v>0</v>
      </c>
      <c r="E238" s="46" t="b">
        <f>IFERROR(__xludf.DUMMYFUNCTION("""COMPUTED_VALUE"""),TRUE)</f>
        <v>1</v>
      </c>
    </row>
    <row r="239" hidden="1">
      <c r="A239" s="76" t="str">
        <f>IFERROR(__xludf.DUMMYFUNCTION("""COMPUTED_VALUE"""),"Blight Curse")</f>
        <v>Blight Curse</v>
      </c>
      <c r="B239" s="76" t="str">
        <f>IFERROR(__xludf.DUMMYFUNCTION("""COMPUTED_VALUE"""),"Family Matters")</f>
        <v>Family Matters</v>
      </c>
      <c r="C239" s="77">
        <f>IFERROR(__xludf.DUMMYFUNCTION("""COMPUTED_VALUE"""),0.0)</f>
        <v>0</v>
      </c>
      <c r="D239" s="77">
        <f>IFERROR(__xludf.DUMMYFUNCTION("""COMPUTED_VALUE"""),0.0)</f>
        <v>0</v>
      </c>
      <c r="E239" s="46" t="b">
        <f>IFERROR(__xludf.DUMMYFUNCTION("""COMPUTED_VALUE"""),TRUE)</f>
        <v>1</v>
      </c>
    </row>
    <row r="240" hidden="1">
      <c r="A240" s="76" t="str">
        <f>IFERROR(__xludf.DUMMYFUNCTION("""COMPUTED_VALUE"""),"Blight Curse")</f>
        <v>Blight Curse</v>
      </c>
      <c r="B240" s="76" t="str">
        <f>IFERROR(__xludf.DUMMYFUNCTION("""COMPUTED_VALUE"""),"Food and Fellowship")</f>
        <v>Food and Fellowship</v>
      </c>
      <c r="C240" s="77">
        <f>IFERROR(__xludf.DUMMYFUNCTION("""COMPUTED_VALUE"""),0.0)</f>
        <v>0</v>
      </c>
      <c r="D240" s="77">
        <f>IFERROR(__xludf.DUMMYFUNCTION("""COMPUTED_VALUE"""),0.0)</f>
        <v>0</v>
      </c>
      <c r="E240" s="46" t="b">
        <f>IFERROR(__xludf.DUMMYFUNCTION("""COMPUTED_VALUE"""),TRUE)</f>
        <v>1</v>
      </c>
    </row>
    <row r="241" hidden="1">
      <c r="A241" s="76" t="str">
        <f>IFERROR(__xludf.DUMMYFUNCTION("""COMPUTED_VALUE"""),"Blight Curse")</f>
        <v>Blight Curse</v>
      </c>
      <c r="B241" s="76" t="str">
        <f>IFERROR(__xludf.DUMMYFUNCTION("""COMPUTED_VALUE"""),"Jeskai Striker")</f>
        <v>Jeskai Striker</v>
      </c>
      <c r="C241" s="77">
        <f>IFERROR(__xludf.DUMMYFUNCTION("""COMPUTED_VALUE"""),0.0)</f>
        <v>0</v>
      </c>
      <c r="D241" s="77">
        <f>IFERROR(__xludf.DUMMYFUNCTION("""COMPUTED_VALUE"""),1.0)</f>
        <v>1</v>
      </c>
      <c r="E241" s="46" t="b">
        <f>IFERROR(__xludf.DUMMYFUNCTION("""COMPUTED_VALUE"""),FALSE)</f>
        <v>0</v>
      </c>
    </row>
    <row r="242" hidden="1">
      <c r="A242" s="76" t="str">
        <f>IFERROR(__xludf.DUMMYFUNCTION("""COMPUTED_VALUE"""),"Blight Curse")</f>
        <v>Blight Curse</v>
      </c>
      <c r="B242" s="76" t="str">
        <f>IFERROR(__xludf.DUMMYFUNCTION("""COMPUTED_VALUE"""),"Legends' Legacy")</f>
        <v>Legends' Legacy</v>
      </c>
      <c r="C242" s="77">
        <f>IFERROR(__xludf.DUMMYFUNCTION("""COMPUTED_VALUE"""),0.0)</f>
        <v>0</v>
      </c>
      <c r="D242" s="77">
        <f>IFERROR(__xludf.DUMMYFUNCTION("""COMPUTED_VALUE"""),0.0)</f>
        <v>0</v>
      </c>
      <c r="E242" s="46" t="b">
        <f>IFERROR(__xludf.DUMMYFUNCTION("""COMPUTED_VALUE"""),TRUE)</f>
        <v>1</v>
      </c>
    </row>
    <row r="243" hidden="1">
      <c r="A243" s="76" t="str">
        <f>IFERROR(__xludf.DUMMYFUNCTION("""COMPUTED_VALUE"""),"Blight Curse")</f>
        <v>Blight Curse</v>
      </c>
      <c r="B243" s="76" t="str">
        <f>IFERROR(__xludf.DUMMYFUNCTION("""COMPUTED_VALUE"""),"Limit Break")</f>
        <v>Limit Break</v>
      </c>
      <c r="C243" s="77">
        <f>IFERROR(__xludf.DUMMYFUNCTION("""COMPUTED_VALUE"""),0.0)</f>
        <v>0</v>
      </c>
      <c r="D243" s="77">
        <f>IFERROR(__xludf.DUMMYFUNCTION("""COMPUTED_VALUE"""),0.0)</f>
        <v>0</v>
      </c>
      <c r="E243" s="46" t="b">
        <f>IFERROR(__xludf.DUMMYFUNCTION("""COMPUTED_VALUE"""),TRUE)</f>
        <v>1</v>
      </c>
    </row>
    <row r="244" hidden="1">
      <c r="A244" s="76" t="str">
        <f>IFERROR(__xludf.DUMMYFUNCTION("""COMPUTED_VALUE"""),"Blight Curse")</f>
        <v>Blight Curse</v>
      </c>
      <c r="B244" s="76" t="str">
        <f>IFERROR(__xludf.DUMMYFUNCTION("""COMPUTED_VALUE"""),"Lorehold Spirit")</f>
        <v>Lorehold Spirit</v>
      </c>
      <c r="C244" s="77">
        <f>IFERROR(__xludf.DUMMYFUNCTION("""COMPUTED_VALUE"""),0.0)</f>
        <v>0</v>
      </c>
      <c r="D244" s="77">
        <f>IFERROR(__xludf.DUMMYFUNCTION("""COMPUTED_VALUE"""),1.0)</f>
        <v>1</v>
      </c>
      <c r="E244" s="46" t="b">
        <f>IFERROR(__xludf.DUMMYFUNCTION("""COMPUTED_VALUE"""),FALSE)</f>
        <v>0</v>
      </c>
    </row>
    <row r="245" hidden="1">
      <c r="A245" s="76" t="str">
        <f>IFERROR(__xludf.DUMMYFUNCTION("""COMPUTED_VALUE"""),"Blight Curse")</f>
        <v>Blight Curse</v>
      </c>
      <c r="B245" s="76" t="str">
        <f>IFERROR(__xludf.DUMMYFUNCTION("""COMPUTED_VALUE"""),"Mutant Menace")</f>
        <v>Mutant Menace</v>
      </c>
      <c r="C245" s="77">
        <f>IFERROR(__xludf.DUMMYFUNCTION("""COMPUTED_VALUE"""),0.0)</f>
        <v>0</v>
      </c>
      <c r="D245" s="77">
        <f>IFERROR(__xludf.DUMMYFUNCTION("""COMPUTED_VALUE"""),0.0)</f>
        <v>0</v>
      </c>
      <c r="E245" s="46" t="b">
        <f>IFERROR(__xludf.DUMMYFUNCTION("""COMPUTED_VALUE"""),TRUE)</f>
        <v>1</v>
      </c>
    </row>
    <row r="246" hidden="1">
      <c r="A246" s="76" t="str">
        <f>IFERROR(__xludf.DUMMYFUNCTION("""COMPUTED_VALUE"""),"Blight Curse")</f>
        <v>Blight Curse</v>
      </c>
      <c r="B246" s="76" t="str">
        <f>IFERROR(__xludf.DUMMYFUNCTION("""COMPUTED_VALUE"""),"Party Time")</f>
        <v>Party Time</v>
      </c>
      <c r="C246" s="77">
        <f>IFERROR(__xludf.DUMMYFUNCTION("""COMPUTED_VALUE"""),0.0)</f>
        <v>0</v>
      </c>
      <c r="D246" s="77">
        <f>IFERROR(__xludf.DUMMYFUNCTION("""COMPUTED_VALUE"""),0.0)</f>
        <v>0</v>
      </c>
      <c r="E246" s="46" t="b">
        <f>IFERROR(__xludf.DUMMYFUNCTION("""COMPUTED_VALUE"""),TRUE)</f>
        <v>1</v>
      </c>
    </row>
    <row r="247" hidden="1">
      <c r="A247" s="76" t="str">
        <f>IFERROR(__xludf.DUMMYFUNCTION("""COMPUTED_VALUE"""),"Blight Curse")</f>
        <v>Blight Curse</v>
      </c>
      <c r="B247" s="76" t="str">
        <f>IFERROR(__xludf.DUMMYFUNCTION("""COMPUTED_VALUE"""),"Peace Offering")</f>
        <v>Peace Offering</v>
      </c>
      <c r="C247" s="77">
        <f>IFERROR(__xludf.DUMMYFUNCTION("""COMPUTED_VALUE"""),0.0)</f>
        <v>0</v>
      </c>
      <c r="D247" s="77">
        <f>IFERROR(__xludf.DUMMYFUNCTION("""COMPUTED_VALUE"""),0.0)</f>
        <v>0</v>
      </c>
      <c r="E247" s="46" t="b">
        <f>IFERROR(__xludf.DUMMYFUNCTION("""COMPUTED_VALUE"""),TRUE)</f>
        <v>1</v>
      </c>
    </row>
    <row r="248" hidden="1">
      <c r="A248" s="76" t="str">
        <f>IFERROR(__xludf.DUMMYFUNCTION("""COMPUTED_VALUE"""),"Blight Curse")</f>
        <v>Blight Curse</v>
      </c>
      <c r="B248" s="76" t="str">
        <f>IFERROR(__xludf.DUMMYFUNCTION("""COMPUTED_VALUE"""),"Power Hungry")</f>
        <v>Power Hungry</v>
      </c>
      <c r="C248" s="77">
        <f>IFERROR(__xludf.DUMMYFUNCTION("""COMPUTED_VALUE"""),0.0)</f>
        <v>0</v>
      </c>
      <c r="D248" s="77">
        <f>IFERROR(__xludf.DUMMYFUNCTION("""COMPUTED_VALUE"""),0.0)</f>
        <v>0</v>
      </c>
      <c r="E248" s="46" t="b">
        <f>IFERROR(__xludf.DUMMYFUNCTION("""COMPUTED_VALUE"""),TRUE)</f>
        <v>1</v>
      </c>
    </row>
    <row r="249" hidden="1">
      <c r="A249" s="76" t="str">
        <f>IFERROR(__xludf.DUMMYFUNCTION("""COMPUTED_VALUE"""),"Blight Curse")</f>
        <v>Blight Curse</v>
      </c>
      <c r="B249" s="76" t="str">
        <f>IFERROR(__xludf.DUMMYFUNCTION("""COMPUTED_VALUE"""),"Primal Genesis")</f>
        <v>Primal Genesis</v>
      </c>
      <c r="C249" s="77">
        <f>IFERROR(__xludf.DUMMYFUNCTION("""COMPUTED_VALUE"""),0.0)</f>
        <v>0</v>
      </c>
      <c r="D249" s="77">
        <f>IFERROR(__xludf.DUMMYFUNCTION("""COMPUTED_VALUE"""),0.0)</f>
        <v>0</v>
      </c>
      <c r="E249" s="46" t="b">
        <f>IFERROR(__xludf.DUMMYFUNCTION("""COMPUTED_VALUE"""),TRUE)</f>
        <v>1</v>
      </c>
    </row>
    <row r="250" hidden="1">
      <c r="A250" s="76" t="str">
        <f>IFERROR(__xludf.DUMMYFUNCTION("""COMPUTED_VALUE"""),"Blight Curse")</f>
        <v>Blight Curse</v>
      </c>
      <c r="B250" s="76" t="str">
        <f>IFERROR(__xludf.DUMMYFUNCTION("""COMPUTED_VALUE"""),"Prismari Artistry")</f>
        <v>Prismari Artistry</v>
      </c>
      <c r="C250" s="77">
        <f>IFERROR(__xludf.DUMMYFUNCTION("""COMPUTED_VALUE"""),0.0)</f>
        <v>0</v>
      </c>
      <c r="D250" s="77">
        <f>IFERROR(__xludf.DUMMYFUNCTION("""COMPUTED_VALUE"""),0.0)</f>
        <v>0</v>
      </c>
      <c r="E250" s="46" t="b">
        <f>IFERROR(__xludf.DUMMYFUNCTION("""COMPUTED_VALUE"""),TRUE)</f>
        <v>1</v>
      </c>
    </row>
    <row r="251" hidden="1">
      <c r="A251" s="76" t="str">
        <f>IFERROR(__xludf.DUMMYFUNCTION("""COMPUTED_VALUE"""),"Blight Curse")</f>
        <v>Blight Curse</v>
      </c>
      <c r="B251" s="76" t="str">
        <f>IFERROR(__xludf.DUMMYFUNCTION("""COMPUTED_VALUE"""),"Prismari Performance")</f>
        <v>Prismari Performance</v>
      </c>
      <c r="C251" s="77">
        <f>IFERROR(__xludf.DUMMYFUNCTION("""COMPUTED_VALUE"""),0.0)</f>
        <v>0</v>
      </c>
      <c r="D251" s="77">
        <f>IFERROR(__xludf.DUMMYFUNCTION("""COMPUTED_VALUE"""),0.0)</f>
        <v>0</v>
      </c>
      <c r="E251" s="46" t="b">
        <f>IFERROR(__xludf.DUMMYFUNCTION("""COMPUTED_VALUE"""),TRUE)</f>
        <v>1</v>
      </c>
    </row>
    <row r="252" hidden="1">
      <c r="A252" s="76" t="str">
        <f>IFERROR(__xludf.DUMMYFUNCTION("""COMPUTED_VALUE"""),"Blight Curse")</f>
        <v>Blight Curse</v>
      </c>
      <c r="B252" s="76" t="str">
        <f>IFERROR(__xludf.DUMMYFUNCTION("""COMPUTED_VALUE"""),"Quandrix Unlimited")</f>
        <v>Quandrix Unlimited</v>
      </c>
      <c r="C252" s="77">
        <f>IFERROR(__xludf.DUMMYFUNCTION("""COMPUTED_VALUE"""),0.0)</f>
        <v>0</v>
      </c>
      <c r="D252" s="77">
        <f>IFERROR(__xludf.DUMMYFUNCTION("""COMPUTED_VALUE"""),1.0)</f>
        <v>1</v>
      </c>
      <c r="E252" s="46" t="b">
        <f>IFERROR(__xludf.DUMMYFUNCTION("""COMPUTED_VALUE"""),FALSE)</f>
        <v>0</v>
      </c>
    </row>
    <row r="253" hidden="1">
      <c r="A253" s="76" t="str">
        <f>IFERROR(__xludf.DUMMYFUNCTION("""COMPUTED_VALUE"""),"Blight Curse")</f>
        <v>Blight Curse</v>
      </c>
      <c r="B253" s="76" t="str">
        <f>IFERROR(__xludf.DUMMYFUNCTION("""COMPUTED_VALUE"""),"Quick Draw")</f>
        <v>Quick Draw</v>
      </c>
      <c r="C253" s="77">
        <f>IFERROR(__xludf.DUMMYFUNCTION("""COMPUTED_VALUE"""),0.0)</f>
        <v>0</v>
      </c>
      <c r="D253" s="77">
        <f>IFERROR(__xludf.DUMMYFUNCTION("""COMPUTED_VALUE"""),0.0)</f>
        <v>0</v>
      </c>
      <c r="E253" s="46" t="b">
        <f>IFERROR(__xludf.DUMMYFUNCTION("""COMPUTED_VALUE"""),TRUE)</f>
        <v>1</v>
      </c>
    </row>
    <row r="254" hidden="1">
      <c r="A254" s="76" t="str">
        <f>IFERROR(__xludf.DUMMYFUNCTION("""COMPUTED_VALUE"""),"Blight Curse")</f>
        <v>Blight Curse</v>
      </c>
      <c r="B254" s="76" t="str">
        <f>IFERROR(__xludf.DUMMYFUNCTION("""COMPUTED_VALUE"""),"Reap the Tides")</f>
        <v>Reap the Tides</v>
      </c>
      <c r="C254" s="77">
        <f>IFERROR(__xludf.DUMMYFUNCTION("""COMPUTED_VALUE"""),0.0)</f>
        <v>0</v>
      </c>
      <c r="D254" s="77">
        <f>IFERROR(__xludf.DUMMYFUNCTION("""COMPUTED_VALUE"""),0.0)</f>
        <v>0</v>
      </c>
      <c r="E254" s="46" t="b">
        <f>IFERROR(__xludf.DUMMYFUNCTION("""COMPUTED_VALUE"""),TRUE)</f>
        <v>1</v>
      </c>
    </row>
    <row r="255" hidden="1">
      <c r="A255" s="76" t="str">
        <f>IFERROR(__xludf.DUMMYFUNCTION("""COMPUTED_VALUE"""),"Blight Curse")</f>
        <v>Blight Curse</v>
      </c>
      <c r="B255" s="76" t="str">
        <f>IFERROR(__xludf.DUMMYFUNCTION("""COMPUTED_VALUE"""),"Rebellion Rising")</f>
        <v>Rebellion Rising</v>
      </c>
      <c r="C255" s="77">
        <f>IFERROR(__xludf.DUMMYFUNCTION("""COMPUTED_VALUE"""),0.0)</f>
        <v>0</v>
      </c>
      <c r="D255" s="77">
        <f>IFERROR(__xludf.DUMMYFUNCTION("""COMPUTED_VALUE"""),0.0)</f>
        <v>0</v>
      </c>
      <c r="E255" s="46" t="b">
        <f>IFERROR(__xludf.DUMMYFUNCTION("""COMPUTED_VALUE"""),TRUE)</f>
        <v>1</v>
      </c>
    </row>
    <row r="256" hidden="1">
      <c r="A256" s="76" t="str">
        <f>IFERROR(__xludf.DUMMYFUNCTION("""COMPUTED_VALUE"""),"Blight Curse")</f>
        <v>Blight Curse</v>
      </c>
      <c r="B256" s="76" t="str">
        <f>IFERROR(__xludf.DUMMYFUNCTION("""COMPUTED_VALUE"""),"Revival Trance")</f>
        <v>Revival Trance</v>
      </c>
      <c r="C256" s="77">
        <f>IFERROR(__xludf.DUMMYFUNCTION("""COMPUTED_VALUE"""),0.0)</f>
        <v>0</v>
      </c>
      <c r="D256" s="77">
        <f>IFERROR(__xludf.DUMMYFUNCTION("""COMPUTED_VALUE"""),1.0)</f>
        <v>1</v>
      </c>
      <c r="E256" s="46" t="b">
        <f>IFERROR(__xludf.DUMMYFUNCTION("""COMPUTED_VALUE"""),FALSE)</f>
        <v>0</v>
      </c>
    </row>
    <row r="257" hidden="1">
      <c r="A257" s="76" t="str">
        <f>IFERROR(__xludf.DUMMYFUNCTION("""COMPUTED_VALUE"""),"Blight Curse")</f>
        <v>Blight Curse</v>
      </c>
      <c r="B257" s="76" t="str">
        <f>IFERROR(__xludf.DUMMYFUNCTION("""COMPUTED_VALUE"""),"Riders of Rohan")</f>
        <v>Riders of Rohan</v>
      </c>
      <c r="C257" s="77">
        <f>IFERROR(__xludf.DUMMYFUNCTION("""COMPUTED_VALUE"""),0.0)</f>
        <v>0</v>
      </c>
      <c r="D257" s="77">
        <f>IFERROR(__xludf.DUMMYFUNCTION("""COMPUTED_VALUE"""),0.0)</f>
        <v>0</v>
      </c>
      <c r="E257" s="46" t="b">
        <f>IFERROR(__xludf.DUMMYFUNCTION("""COMPUTED_VALUE"""),TRUE)</f>
        <v>1</v>
      </c>
    </row>
    <row r="258" hidden="1">
      <c r="A258" s="76" t="str">
        <f>IFERROR(__xludf.DUMMYFUNCTION("""COMPUTED_VALUE"""),"Blight Curse")</f>
        <v>Blight Curse</v>
      </c>
      <c r="B258" s="76" t="str">
        <f>IFERROR(__xludf.DUMMYFUNCTION("""COMPUTED_VALUE"""),"Science!")</f>
        <v>Science!</v>
      </c>
      <c r="C258" s="77">
        <f>IFERROR(__xludf.DUMMYFUNCTION("""COMPUTED_VALUE"""),0.0)</f>
        <v>0</v>
      </c>
      <c r="D258" s="77">
        <f>IFERROR(__xludf.DUMMYFUNCTION("""COMPUTED_VALUE"""),0.0)</f>
        <v>0</v>
      </c>
      <c r="E258" s="46" t="b">
        <f>IFERROR(__xludf.DUMMYFUNCTION("""COMPUTED_VALUE"""),TRUE)</f>
        <v>1</v>
      </c>
    </row>
    <row r="259" hidden="1">
      <c r="A259" s="76" t="str">
        <f>IFERROR(__xludf.DUMMYFUNCTION("""COMPUTED_VALUE"""),"Blight Curse")</f>
        <v>Blight Curse</v>
      </c>
      <c r="B259" s="76" t="str">
        <f>IFERROR(__xludf.DUMMYFUNCTION("""COMPUTED_VALUE"""),"Scions &amp; Spellcraft")</f>
        <v>Scions &amp; Spellcraft</v>
      </c>
      <c r="C259" s="77">
        <f>IFERROR(__xludf.DUMMYFUNCTION("""COMPUTED_VALUE"""),1.0)</f>
        <v>1</v>
      </c>
      <c r="D259" s="77">
        <f>IFERROR(__xludf.DUMMYFUNCTION("""COMPUTED_VALUE"""),0.0)</f>
        <v>0</v>
      </c>
      <c r="E259" s="46" t="b">
        <f>IFERROR(__xludf.DUMMYFUNCTION("""COMPUTED_VALUE"""),FALSE)</f>
        <v>0</v>
      </c>
    </row>
    <row r="260" hidden="1">
      <c r="A260" s="78" t="str">
        <f>IFERROR(__xludf.DUMMYFUNCTION("""COMPUTED_VALUE"""),"Blight Curse")</f>
        <v>Blight Curse</v>
      </c>
      <c r="B260" s="78" t="str">
        <f>IFERROR(__xludf.DUMMYFUNCTION("""COMPUTED_VALUE"""),"Scrappy Survivors")</f>
        <v>Scrappy Survivors</v>
      </c>
      <c r="C260" s="79">
        <f>IFERROR(__xludf.DUMMYFUNCTION("""COMPUTED_VALUE"""),0.0)</f>
        <v>0</v>
      </c>
      <c r="D260" s="79">
        <f>IFERROR(__xludf.DUMMYFUNCTION("""COMPUTED_VALUE"""),0.0)</f>
        <v>0</v>
      </c>
      <c r="E260" s="69" t="b">
        <f>IFERROR(__xludf.DUMMYFUNCTION("""COMPUTED_VALUE"""),TRUE)</f>
        <v>1</v>
      </c>
    </row>
    <row r="261" hidden="1">
      <c r="A261" s="76" t="str">
        <f>IFERROR(__xludf.DUMMYFUNCTION("""COMPUTED_VALUE"""),"Blight Curse")</f>
        <v>Blight Curse</v>
      </c>
      <c r="B261" s="76" t="str">
        <f>IFERROR(__xludf.DUMMYFUNCTION("""COMPUTED_VALUE"""),"Silverquill Influence")</f>
        <v>Silverquill Influence</v>
      </c>
      <c r="C261" s="77">
        <f>IFERROR(__xludf.DUMMYFUNCTION("""COMPUTED_VALUE"""),0.0)</f>
        <v>0</v>
      </c>
      <c r="D261" s="77">
        <f>IFERROR(__xludf.DUMMYFUNCTION("""COMPUTED_VALUE"""),0.0)</f>
        <v>0</v>
      </c>
      <c r="E261" s="46" t="b">
        <f>IFERROR(__xludf.DUMMYFUNCTION("""COMPUTED_VALUE"""),TRUE)</f>
        <v>1</v>
      </c>
    </row>
    <row r="262" hidden="1">
      <c r="A262" s="76" t="str">
        <f>IFERROR(__xludf.DUMMYFUNCTION("""COMPUTED_VALUE"""),"Blight Curse")</f>
        <v>Blight Curse</v>
      </c>
      <c r="B262" s="76" t="str">
        <f>IFERROR(__xludf.DUMMYFUNCTION("""COMPUTED_VALUE"""),"Spirit Squadron")</f>
        <v>Spirit Squadron</v>
      </c>
      <c r="C262" s="77">
        <f>IFERROR(__xludf.DUMMYFUNCTION("""COMPUTED_VALUE"""),0.0)</f>
        <v>0</v>
      </c>
      <c r="D262" s="77">
        <f>IFERROR(__xludf.DUMMYFUNCTION("""COMPUTED_VALUE"""),0.0)</f>
        <v>0</v>
      </c>
      <c r="E262" s="46" t="b">
        <f>IFERROR(__xludf.DUMMYFUNCTION("""COMPUTED_VALUE"""),TRUE)</f>
        <v>1</v>
      </c>
    </row>
    <row r="263" hidden="1">
      <c r="A263" s="76" t="str">
        <f>IFERROR(__xludf.DUMMYFUNCTION("""COMPUTED_VALUE"""),"Blight Curse")</f>
        <v>Blight Curse</v>
      </c>
      <c r="B263" s="76" t="str">
        <f>IFERROR(__xludf.DUMMYFUNCTION("""COMPUTED_VALUE"""),"Squirreled Away")</f>
        <v>Squirreled Away</v>
      </c>
      <c r="C263" s="77">
        <f>IFERROR(__xludf.DUMMYFUNCTION("""COMPUTED_VALUE"""),0.0)</f>
        <v>0</v>
      </c>
      <c r="D263" s="77">
        <f>IFERROR(__xludf.DUMMYFUNCTION("""COMPUTED_VALUE"""),0.0)</f>
        <v>0</v>
      </c>
      <c r="E263" s="46" t="b">
        <f>IFERROR(__xludf.DUMMYFUNCTION("""COMPUTED_VALUE"""),TRUE)</f>
        <v>1</v>
      </c>
    </row>
    <row r="264" hidden="1">
      <c r="A264" s="76" t="str">
        <f>IFERROR(__xludf.DUMMYFUNCTION("""COMPUTED_VALUE"""),"Blight Curse")</f>
        <v>Blight Curse</v>
      </c>
      <c r="B264" s="76" t="str">
        <f>IFERROR(__xludf.DUMMYFUNCTION("""COMPUTED_VALUE"""),"Sultai Arisen")</f>
        <v>Sultai Arisen</v>
      </c>
      <c r="C264" s="77">
        <f>IFERROR(__xludf.DUMMYFUNCTION("""COMPUTED_VALUE"""),0.0)</f>
        <v>0</v>
      </c>
      <c r="D264" s="77">
        <f>IFERROR(__xludf.DUMMYFUNCTION("""COMPUTED_VALUE"""),0.0)</f>
        <v>0</v>
      </c>
      <c r="E264" s="46" t="b">
        <f>IFERROR(__xludf.DUMMYFUNCTION("""COMPUTED_VALUE"""),TRUE)</f>
        <v>1</v>
      </c>
    </row>
    <row r="265" hidden="1">
      <c r="A265" s="76" t="str">
        <f>IFERROR(__xludf.DUMMYFUNCTION("""COMPUTED_VALUE"""),"Blight Curse")</f>
        <v>Blight Curse</v>
      </c>
      <c r="B265" s="76" t="str">
        <f>IFERROR(__xludf.DUMMYFUNCTION("""COMPUTED_VALUE"""),"Temur Roar")</f>
        <v>Temur Roar</v>
      </c>
      <c r="C265" s="77">
        <f>IFERROR(__xludf.DUMMYFUNCTION("""COMPUTED_VALUE"""),0.0)</f>
        <v>0</v>
      </c>
      <c r="D265" s="77">
        <f>IFERROR(__xludf.DUMMYFUNCTION("""COMPUTED_VALUE"""),0.0)</f>
        <v>0</v>
      </c>
      <c r="E265" s="46" t="b">
        <f>IFERROR(__xludf.DUMMYFUNCTION("""COMPUTED_VALUE"""),TRUE)</f>
        <v>1</v>
      </c>
    </row>
    <row r="266" hidden="1">
      <c r="A266" s="76" t="str">
        <f>IFERROR(__xludf.DUMMYFUNCTION("""COMPUTED_VALUE"""),"Blight Curse")</f>
        <v>Blight Curse</v>
      </c>
      <c r="B266" s="76" t="str">
        <f>IFERROR(__xludf.DUMMYFUNCTION("""COMPUTED_VALUE"""),"The Hosts of Mordor")</f>
        <v>The Hosts of Mordor</v>
      </c>
      <c r="C266" s="77">
        <f>IFERROR(__xludf.DUMMYFUNCTION("""COMPUTED_VALUE"""),0.0)</f>
        <v>0</v>
      </c>
      <c r="D266" s="77">
        <f>IFERROR(__xludf.DUMMYFUNCTION("""COMPUTED_VALUE"""),0.0)</f>
        <v>0</v>
      </c>
      <c r="E266" s="46" t="b">
        <f>IFERROR(__xludf.DUMMYFUNCTION("""COMPUTED_VALUE"""),TRUE)</f>
        <v>1</v>
      </c>
    </row>
    <row r="267" hidden="1">
      <c r="A267" s="76" t="str">
        <f>IFERROR(__xludf.DUMMYFUNCTION("""COMPUTED_VALUE"""),"Blight Curse")</f>
        <v>Blight Curse</v>
      </c>
      <c r="B267" s="76" t="str">
        <f>IFERROR(__xludf.DUMMYFUNCTION("""COMPUTED_VALUE"""),"The Ruinous Powers")</f>
        <v>The Ruinous Powers</v>
      </c>
      <c r="C267" s="77">
        <f>IFERROR(__xludf.DUMMYFUNCTION("""COMPUTED_VALUE"""),0.0)</f>
        <v>0</v>
      </c>
      <c r="D267" s="77">
        <f>IFERROR(__xludf.DUMMYFUNCTION("""COMPUTED_VALUE"""),0.0)</f>
        <v>0</v>
      </c>
      <c r="E267" s="46" t="b">
        <f>IFERROR(__xludf.DUMMYFUNCTION("""COMPUTED_VALUE"""),TRUE)</f>
        <v>1</v>
      </c>
    </row>
    <row r="268" hidden="1">
      <c r="A268" s="76" t="str">
        <f>IFERROR(__xludf.DUMMYFUNCTION("""COMPUTED_VALUE"""),"Blight Curse")</f>
        <v>Blight Curse</v>
      </c>
      <c r="B268" s="76" t="str">
        <f>IFERROR(__xludf.DUMMYFUNCTION("""COMPUTED_VALUE"""),"Timey-Wimey")</f>
        <v>Timey-Wimey</v>
      </c>
      <c r="C268" s="77">
        <f>IFERROR(__xludf.DUMMYFUNCTION("""COMPUTED_VALUE"""),0.0)</f>
        <v>0</v>
      </c>
      <c r="D268" s="77">
        <f>IFERROR(__xludf.DUMMYFUNCTION("""COMPUTED_VALUE"""),0.0)</f>
        <v>0</v>
      </c>
      <c r="E268" s="46" t="b">
        <f>IFERROR(__xludf.DUMMYFUNCTION("""COMPUTED_VALUE"""),TRUE)</f>
        <v>1</v>
      </c>
    </row>
    <row r="269" hidden="1">
      <c r="A269" s="76" t="str">
        <f>IFERROR(__xludf.DUMMYFUNCTION("""COMPUTED_VALUE"""),"Blight Curse")</f>
        <v>Blight Curse</v>
      </c>
      <c r="B269" s="76" t="str">
        <f>IFERROR(__xludf.DUMMYFUNCTION("""COMPUTED_VALUE"""),"Tinker Time")</f>
        <v>Tinker Time</v>
      </c>
      <c r="C269" s="77">
        <f>IFERROR(__xludf.DUMMYFUNCTION("""COMPUTED_VALUE"""),0.0)</f>
        <v>0</v>
      </c>
      <c r="D269" s="77">
        <f>IFERROR(__xludf.DUMMYFUNCTION("""COMPUTED_VALUE"""),0.0)</f>
        <v>0</v>
      </c>
      <c r="E269" s="46" t="b">
        <f>IFERROR(__xludf.DUMMYFUNCTION("""COMPUTED_VALUE"""),TRUE)</f>
        <v>1</v>
      </c>
    </row>
    <row r="270" hidden="1">
      <c r="A270" s="76" t="str">
        <f>IFERROR(__xludf.DUMMYFUNCTION("""COMPUTED_VALUE"""),"Blight Curse")</f>
        <v>Blight Curse</v>
      </c>
      <c r="B270" s="76" t="str">
        <f>IFERROR(__xludf.DUMMYFUNCTION("""COMPUTED_VALUE"""),"Turtle Power!")</f>
        <v>Turtle Power!</v>
      </c>
      <c r="C270" s="77">
        <f>IFERROR(__xludf.DUMMYFUNCTION("""COMPUTED_VALUE"""),0.0)</f>
        <v>0</v>
      </c>
      <c r="D270" s="77">
        <f>IFERROR(__xludf.DUMMYFUNCTION("""COMPUTED_VALUE"""),0.0)</f>
        <v>0</v>
      </c>
      <c r="E270" s="46" t="b">
        <f>IFERROR(__xludf.DUMMYFUNCTION("""COMPUTED_VALUE"""),TRUE)</f>
        <v>1</v>
      </c>
    </row>
    <row r="271" hidden="1">
      <c r="A271" s="76" t="str">
        <f>IFERROR(__xludf.DUMMYFUNCTION("""COMPUTED_VALUE"""),"Blight Curse")</f>
        <v>Blight Curse</v>
      </c>
      <c r="B271" s="76" t="str">
        <f>IFERROR(__xludf.DUMMYFUNCTION("""COMPUTED_VALUE"""),"Veloci-ramp-tor")</f>
        <v>Veloci-ramp-tor</v>
      </c>
      <c r="C271" s="77">
        <f>IFERROR(__xludf.DUMMYFUNCTION("""COMPUTED_VALUE"""),0.0)</f>
        <v>0</v>
      </c>
      <c r="D271" s="77">
        <f>IFERROR(__xludf.DUMMYFUNCTION("""COMPUTED_VALUE"""),0.0)</f>
        <v>0</v>
      </c>
      <c r="E271" s="46" t="b">
        <f>IFERROR(__xludf.DUMMYFUNCTION("""COMPUTED_VALUE"""),TRUE)</f>
        <v>1</v>
      </c>
    </row>
    <row r="272" hidden="1">
      <c r="A272" s="76" t="str">
        <f>IFERROR(__xludf.DUMMYFUNCTION("""COMPUTED_VALUE"""),"Blood Rites")</f>
        <v>Blood Rites</v>
      </c>
      <c r="B272" s="76" t="str">
        <f>IFERROR(__xludf.DUMMYFUNCTION("""COMPUTED_VALUE"""),"Ahoy Mateys")</f>
        <v>Ahoy Mateys</v>
      </c>
      <c r="C272" s="77">
        <f>IFERROR(__xludf.DUMMYFUNCTION("""COMPUTED_VALUE"""),0.0)</f>
        <v>0</v>
      </c>
      <c r="D272" s="77">
        <f>IFERROR(__xludf.DUMMYFUNCTION("""COMPUTED_VALUE"""),0.0)</f>
        <v>0</v>
      </c>
      <c r="E272" s="46" t="b">
        <f>IFERROR(__xludf.DUMMYFUNCTION("""COMPUTED_VALUE"""),TRUE)</f>
        <v>1</v>
      </c>
    </row>
    <row r="273" hidden="1">
      <c r="A273" s="76" t="str">
        <f>IFERROR(__xludf.DUMMYFUNCTION("""COMPUTED_VALUE"""),"Blood Rites")</f>
        <v>Blood Rites</v>
      </c>
      <c r="B273" s="76" t="str">
        <f>IFERROR(__xludf.DUMMYFUNCTION("""COMPUTED_VALUE"""),"Animated Army")</f>
        <v>Animated Army</v>
      </c>
      <c r="C273" s="77">
        <f>IFERROR(__xludf.DUMMYFUNCTION("""COMPUTED_VALUE"""),0.0)</f>
        <v>0</v>
      </c>
      <c r="D273" s="77">
        <f>IFERROR(__xludf.DUMMYFUNCTION("""COMPUTED_VALUE"""),0.0)</f>
        <v>0</v>
      </c>
      <c r="E273" s="46" t="b">
        <f>IFERROR(__xludf.DUMMYFUNCTION("""COMPUTED_VALUE"""),TRUE)</f>
        <v>1</v>
      </c>
    </row>
    <row r="274" hidden="1">
      <c r="A274" s="76" t="str">
        <f>IFERROR(__xludf.DUMMYFUNCTION("""COMPUTED_VALUE"""),"Blood Rites")</f>
        <v>Blood Rites</v>
      </c>
      <c r="B274" s="76" t="str">
        <f>IFERROR(__xludf.DUMMYFUNCTION("""COMPUTED_VALUE"""),"Arcane Maelstrom")</f>
        <v>Arcane Maelstrom</v>
      </c>
      <c r="C274" s="77">
        <f>IFERROR(__xludf.DUMMYFUNCTION("""COMPUTED_VALUE"""),0.0)</f>
        <v>0</v>
      </c>
      <c r="D274" s="77">
        <f>IFERROR(__xludf.DUMMYFUNCTION("""COMPUTED_VALUE"""),0.0)</f>
        <v>0</v>
      </c>
      <c r="E274" s="46" t="b">
        <f>IFERROR(__xludf.DUMMYFUNCTION("""COMPUTED_VALUE"""),TRUE)</f>
        <v>1</v>
      </c>
    </row>
    <row r="275">
      <c r="A275" s="76" t="str">
        <f>IFERROR(__xludf.DUMMYFUNCTION("""COMPUTED_VALUE"""),"Blood Rites")</f>
        <v>Blood Rites</v>
      </c>
      <c r="B275" s="76" t="str">
        <f>IFERROR(__xludf.DUMMYFUNCTION("""COMPUTED_VALUE"""),"Blame Game")</f>
        <v>Blame Game</v>
      </c>
      <c r="C275" s="77">
        <f>IFERROR(__xludf.DUMMYFUNCTION("""COMPUTED_VALUE"""),0.0)</f>
        <v>0</v>
      </c>
      <c r="D275" s="77">
        <f>IFERROR(__xludf.DUMMYFUNCTION("""COMPUTED_VALUE"""),0.0)</f>
        <v>0</v>
      </c>
      <c r="E275" s="46" t="b">
        <f>IFERROR(__xludf.DUMMYFUNCTION("""COMPUTED_VALUE"""),TRUE)</f>
        <v>1</v>
      </c>
    </row>
    <row r="276" hidden="1">
      <c r="A276" s="76" t="str">
        <f>IFERROR(__xludf.DUMMYFUNCTION("""COMPUTED_VALUE"""),"Blood Rites")</f>
        <v>Blood Rites</v>
      </c>
      <c r="B276" s="76" t="str">
        <f>IFERROR(__xludf.DUMMYFUNCTION("""COMPUTED_VALUE"""),"Blight Curse")</f>
        <v>Blight Curse</v>
      </c>
      <c r="C276" s="77">
        <f>IFERROR(__xludf.DUMMYFUNCTION("""COMPUTED_VALUE"""),0.0)</f>
        <v>0</v>
      </c>
      <c r="D276" s="77">
        <f>IFERROR(__xludf.DUMMYFUNCTION("""COMPUTED_VALUE"""),0.0)</f>
        <v>0</v>
      </c>
      <c r="E276" s="46" t="b">
        <f>IFERROR(__xludf.DUMMYFUNCTION("""COMPUTED_VALUE"""),TRUE)</f>
        <v>1</v>
      </c>
    </row>
    <row r="277" hidden="1">
      <c r="A277" s="76" t="str">
        <f>IFERROR(__xludf.DUMMYFUNCTION("""COMPUTED_VALUE"""),"Blood Rites")</f>
        <v>Blood Rites</v>
      </c>
      <c r="B277" s="76" t="str">
        <f>IFERROR(__xludf.DUMMYFUNCTION("""COMPUTED_VALUE"""),"Blood Rites")</f>
        <v>Blood Rites</v>
      </c>
      <c r="C277" s="77">
        <f>IFERROR(__xludf.DUMMYFUNCTION("""COMPUTED_VALUE"""),0.0)</f>
        <v>0</v>
      </c>
      <c r="D277" s="77">
        <f>IFERROR(__xludf.DUMMYFUNCTION("""COMPUTED_VALUE"""),0.0)</f>
        <v>0</v>
      </c>
      <c r="E277" s="46" t="b">
        <f>IFERROR(__xludf.DUMMYFUNCTION("""COMPUTED_VALUE"""),TRUE)</f>
        <v>1</v>
      </c>
    </row>
    <row r="278" hidden="1">
      <c r="A278" s="76" t="str">
        <f>IFERROR(__xludf.DUMMYFUNCTION("""COMPUTED_VALUE"""),"Blood Rites")</f>
        <v>Blood Rites</v>
      </c>
      <c r="B278" s="76" t="str">
        <f>IFERROR(__xludf.DUMMYFUNCTION("""COMPUTED_VALUE"""),"Buckle Up")</f>
        <v>Buckle Up</v>
      </c>
      <c r="C278" s="77">
        <f>IFERROR(__xludf.DUMMYFUNCTION("""COMPUTED_VALUE"""),0.0)</f>
        <v>0</v>
      </c>
      <c r="D278" s="77">
        <f>IFERROR(__xludf.DUMMYFUNCTION("""COMPUTED_VALUE"""),0.0)</f>
        <v>0</v>
      </c>
      <c r="E278" s="46" t="b">
        <f>IFERROR(__xludf.DUMMYFUNCTION("""COMPUTED_VALUE"""),TRUE)</f>
        <v>1</v>
      </c>
    </row>
    <row r="279" hidden="1">
      <c r="A279" s="76" t="str">
        <f>IFERROR(__xludf.DUMMYFUNCTION("""COMPUTED_VALUE"""),"Blood Rites")</f>
        <v>Blood Rites</v>
      </c>
      <c r="B279" s="76" t="str">
        <f>IFERROR(__xludf.DUMMYFUNCTION("""COMPUTED_VALUE"""),"Cabaretti Cacophony")</f>
        <v>Cabaretti Cacophony</v>
      </c>
      <c r="C279" s="77">
        <f>IFERROR(__xludf.DUMMYFUNCTION("""COMPUTED_VALUE"""),0.0)</f>
        <v>0</v>
      </c>
      <c r="D279" s="77">
        <f>IFERROR(__xludf.DUMMYFUNCTION("""COMPUTED_VALUE"""),1.0)</f>
        <v>1</v>
      </c>
      <c r="E279" s="46" t="b">
        <f>IFERROR(__xludf.DUMMYFUNCTION("""COMPUTED_VALUE"""),FALSE)</f>
        <v>0</v>
      </c>
    </row>
    <row r="280" hidden="1">
      <c r="A280" s="78" t="str">
        <f>IFERROR(__xludf.DUMMYFUNCTION("""COMPUTED_VALUE"""),"Blood Rites")</f>
        <v>Blood Rites</v>
      </c>
      <c r="B280" s="78" t="str">
        <f>IFERROR(__xludf.DUMMYFUNCTION("""COMPUTED_VALUE"""),"Cavalry Charge")</f>
        <v>Cavalry Charge</v>
      </c>
      <c r="C280" s="79">
        <f>IFERROR(__xludf.DUMMYFUNCTION("""COMPUTED_VALUE"""),0.0)</f>
        <v>0</v>
      </c>
      <c r="D280" s="79">
        <f>IFERROR(__xludf.DUMMYFUNCTION("""COMPUTED_VALUE"""),1.0)</f>
        <v>1</v>
      </c>
      <c r="E280" s="69" t="b">
        <f>IFERROR(__xludf.DUMMYFUNCTION("""COMPUTED_VALUE"""),FALSE)</f>
        <v>0</v>
      </c>
    </row>
    <row r="281">
      <c r="A281" s="76" t="str">
        <f>IFERROR(__xludf.DUMMYFUNCTION("""COMPUTED_VALUE"""),"Blood Rites")</f>
        <v>Blood Rites</v>
      </c>
      <c r="B281" s="76" t="str">
        <f>IFERROR(__xludf.DUMMYFUNCTION("""COMPUTED_VALUE"""),"Corrupting Influence")</f>
        <v>Corrupting Influence</v>
      </c>
      <c r="C281" s="77">
        <f>IFERROR(__xludf.DUMMYFUNCTION("""COMPUTED_VALUE"""),0.0)</f>
        <v>0</v>
      </c>
      <c r="D281" s="77">
        <f>IFERROR(__xludf.DUMMYFUNCTION("""COMPUTED_VALUE"""),0.0)</f>
        <v>0</v>
      </c>
      <c r="E281" s="46" t="b">
        <f>IFERROR(__xludf.DUMMYFUNCTION("""COMPUTED_VALUE"""),TRUE)</f>
        <v>1</v>
      </c>
    </row>
    <row r="282" hidden="1">
      <c r="A282" s="76" t="str">
        <f>IFERROR(__xludf.DUMMYFUNCTION("""COMPUTED_VALUE"""),"Blood Rites")</f>
        <v>Blood Rites</v>
      </c>
      <c r="B282" s="76" t="str">
        <f>IFERROR(__xludf.DUMMYFUNCTION("""COMPUTED_VALUE"""),"Counter Blitz")</f>
        <v>Counter Blitz</v>
      </c>
      <c r="C282" s="77">
        <f>IFERROR(__xludf.DUMMYFUNCTION("""COMPUTED_VALUE"""),0.0)</f>
        <v>0</v>
      </c>
      <c r="D282" s="77">
        <f>IFERROR(__xludf.DUMMYFUNCTION("""COMPUTED_VALUE"""),0.0)</f>
        <v>0</v>
      </c>
      <c r="E282" s="46" t="b">
        <f>IFERROR(__xludf.DUMMYFUNCTION("""COMPUTED_VALUE"""),TRUE)</f>
        <v>1</v>
      </c>
    </row>
    <row r="283" hidden="1">
      <c r="A283" s="76" t="str">
        <f>IFERROR(__xludf.DUMMYFUNCTION("""COMPUTED_VALUE"""),"Blood Rites")</f>
        <v>Blood Rites</v>
      </c>
      <c r="B283" s="76" t="str">
        <f>IFERROR(__xludf.DUMMYFUNCTION("""COMPUTED_VALUE"""),"Counter Intelligence")</f>
        <v>Counter Intelligence</v>
      </c>
      <c r="C283" s="77">
        <f>IFERROR(__xludf.DUMMYFUNCTION("""COMPUTED_VALUE"""),0.0)</f>
        <v>0</v>
      </c>
      <c r="D283" s="77">
        <f>IFERROR(__xludf.DUMMYFUNCTION("""COMPUTED_VALUE"""),0.0)</f>
        <v>0</v>
      </c>
      <c r="E283" s="46" t="b">
        <f>IFERROR(__xludf.DUMMYFUNCTION("""COMPUTED_VALUE"""),TRUE)</f>
        <v>1</v>
      </c>
    </row>
    <row r="284" hidden="1">
      <c r="A284" s="76" t="str">
        <f>IFERROR(__xludf.DUMMYFUNCTION("""COMPUTED_VALUE"""),"Blood Rites")</f>
        <v>Blood Rites</v>
      </c>
      <c r="B284" s="76" t="str">
        <f>IFERROR(__xludf.DUMMYFUNCTION("""COMPUTED_VALUE"""),"Creative Energy")</f>
        <v>Creative Energy</v>
      </c>
      <c r="C284" s="77">
        <f>IFERROR(__xludf.DUMMYFUNCTION("""COMPUTED_VALUE"""),0.0)</f>
        <v>0</v>
      </c>
      <c r="D284" s="77">
        <f>IFERROR(__xludf.DUMMYFUNCTION("""COMPUTED_VALUE"""),0.0)</f>
        <v>0</v>
      </c>
      <c r="E284" s="46" t="b">
        <f>IFERROR(__xludf.DUMMYFUNCTION("""COMPUTED_VALUE"""),TRUE)</f>
        <v>1</v>
      </c>
    </row>
    <row r="285" hidden="1">
      <c r="A285" s="76" t="str">
        <f>IFERROR(__xludf.DUMMYFUNCTION("""COMPUTED_VALUE"""),"Blood Rites")</f>
        <v>Blood Rites</v>
      </c>
      <c r="B285" s="76" t="str">
        <f>IFERROR(__xludf.DUMMYFUNCTION("""COMPUTED_VALUE"""),"Dance of the Elements")</f>
        <v>Dance of the Elements</v>
      </c>
      <c r="C285" s="77">
        <f>IFERROR(__xludf.DUMMYFUNCTION("""COMPUTED_VALUE"""),0.0)</f>
        <v>0</v>
      </c>
      <c r="D285" s="77">
        <f>IFERROR(__xludf.DUMMYFUNCTION("""COMPUTED_VALUE"""),1.0)</f>
        <v>1</v>
      </c>
      <c r="E285" s="46" t="b">
        <f>IFERROR(__xludf.DUMMYFUNCTION("""COMPUTED_VALUE"""),FALSE)</f>
        <v>0</v>
      </c>
    </row>
    <row r="286" hidden="1">
      <c r="A286" s="76" t="str">
        <f>IFERROR(__xludf.DUMMYFUNCTION("""COMPUTED_VALUE"""),"Blood Rites")</f>
        <v>Blood Rites</v>
      </c>
      <c r="B286" s="76" t="str">
        <f>IFERROR(__xludf.DUMMYFUNCTION("""COMPUTED_VALUE"""),"Deep Clue Sea")</f>
        <v>Deep Clue Sea</v>
      </c>
      <c r="C286" s="77">
        <f>IFERROR(__xludf.DUMMYFUNCTION("""COMPUTED_VALUE"""),0.0)</f>
        <v>0</v>
      </c>
      <c r="D286" s="77">
        <f>IFERROR(__xludf.DUMMYFUNCTION("""COMPUTED_VALUE"""),0.0)</f>
        <v>0</v>
      </c>
      <c r="E286" s="46" t="b">
        <f>IFERROR(__xludf.DUMMYFUNCTION("""COMPUTED_VALUE"""),TRUE)</f>
        <v>1</v>
      </c>
    </row>
    <row r="287" hidden="1">
      <c r="A287" s="78" t="str">
        <f>IFERROR(__xludf.DUMMYFUNCTION("""COMPUTED_VALUE"""),"Blood Rites")</f>
        <v>Blood Rites</v>
      </c>
      <c r="B287" s="78" t="str">
        <f>IFERROR(__xludf.DUMMYFUNCTION("""COMPUTED_VALUE"""),"Doom Prevails")</f>
        <v>Doom Prevails</v>
      </c>
      <c r="C287" s="79">
        <f>IFERROR(__xludf.DUMMYFUNCTION("""COMPUTED_VALUE"""),0.0)</f>
        <v>0</v>
      </c>
      <c r="D287" s="79">
        <f>IFERROR(__xludf.DUMMYFUNCTION("""COMPUTED_VALUE"""),0.0)</f>
        <v>0</v>
      </c>
      <c r="E287" s="69" t="b">
        <f>IFERROR(__xludf.DUMMYFUNCTION("""COMPUTED_VALUE"""),TRUE)</f>
        <v>1</v>
      </c>
    </row>
    <row r="288" hidden="1">
      <c r="A288" s="76" t="str">
        <f>IFERROR(__xludf.DUMMYFUNCTION("""COMPUTED_VALUE"""),"Blood Rites")</f>
        <v>Blood Rites</v>
      </c>
      <c r="B288" s="76" t="str">
        <f>IFERROR(__xludf.DUMMYFUNCTION("""COMPUTED_VALUE"""),"Eldrazi Incursion")</f>
        <v>Eldrazi Incursion</v>
      </c>
      <c r="C288" s="77">
        <f>IFERROR(__xludf.DUMMYFUNCTION("""COMPUTED_VALUE"""),0.0)</f>
        <v>0</v>
      </c>
      <c r="D288" s="77">
        <f>IFERROR(__xludf.DUMMYFUNCTION("""COMPUTED_VALUE"""),0.0)</f>
        <v>0</v>
      </c>
      <c r="E288" s="46" t="b">
        <f>IFERROR(__xludf.DUMMYFUNCTION("""COMPUTED_VALUE"""),TRUE)</f>
        <v>1</v>
      </c>
    </row>
    <row r="289" hidden="1">
      <c r="A289" s="76" t="str">
        <f>IFERROR(__xludf.DUMMYFUNCTION("""COMPUTED_VALUE"""),"Blood Rites")</f>
        <v>Blood Rites</v>
      </c>
      <c r="B289" s="76" t="str">
        <f>IFERROR(__xludf.DUMMYFUNCTION("""COMPUTED_VALUE"""),"Eldrazi Unbound")</f>
        <v>Eldrazi Unbound</v>
      </c>
      <c r="C289" s="77">
        <f>IFERROR(__xludf.DUMMYFUNCTION("""COMPUTED_VALUE"""),0.0)</f>
        <v>0</v>
      </c>
      <c r="D289" s="77">
        <f>IFERROR(__xludf.DUMMYFUNCTION("""COMPUTED_VALUE"""),0.0)</f>
        <v>0</v>
      </c>
      <c r="E289" s="46" t="b">
        <f>IFERROR(__xludf.DUMMYFUNCTION("""COMPUTED_VALUE"""),TRUE)</f>
        <v>1</v>
      </c>
    </row>
    <row r="290" hidden="1">
      <c r="A290" s="76" t="str">
        <f>IFERROR(__xludf.DUMMYFUNCTION("""COMPUTED_VALUE"""),"Blood Rites")</f>
        <v>Blood Rites</v>
      </c>
      <c r="B290" s="76" t="str">
        <f>IFERROR(__xludf.DUMMYFUNCTION("""COMPUTED_VALUE"""),"Endless Punishment")</f>
        <v>Endless Punishment</v>
      </c>
      <c r="C290" s="77">
        <f>IFERROR(__xludf.DUMMYFUNCTION("""COMPUTED_VALUE"""),0.0)</f>
        <v>0</v>
      </c>
      <c r="D290" s="77">
        <f>IFERROR(__xludf.DUMMYFUNCTION("""COMPUTED_VALUE"""),0.0)</f>
        <v>0</v>
      </c>
      <c r="E290" s="46" t="b">
        <f>IFERROR(__xludf.DUMMYFUNCTION("""COMPUTED_VALUE"""),TRUE)</f>
        <v>1</v>
      </c>
    </row>
    <row r="291" hidden="1">
      <c r="A291" s="76" t="str">
        <f>IFERROR(__xludf.DUMMYFUNCTION("""COMPUTED_VALUE"""),"Blood Rites")</f>
        <v>Blood Rites</v>
      </c>
      <c r="B291" s="76" t="str">
        <f>IFERROR(__xludf.DUMMYFUNCTION("""COMPUTED_VALUE"""),"Enduring Enchantments")</f>
        <v>Enduring Enchantments</v>
      </c>
      <c r="C291" s="77">
        <f>IFERROR(__xludf.DUMMYFUNCTION("""COMPUTED_VALUE"""),0.0)</f>
        <v>0</v>
      </c>
      <c r="D291" s="77">
        <f>IFERROR(__xludf.DUMMYFUNCTION("""COMPUTED_VALUE"""),0.0)</f>
        <v>0</v>
      </c>
      <c r="E291" s="46" t="b">
        <f>IFERROR(__xludf.DUMMYFUNCTION("""COMPUTED_VALUE"""),TRUE)</f>
        <v>1</v>
      </c>
    </row>
    <row r="292" hidden="1">
      <c r="A292" s="76" t="str">
        <f>IFERROR(__xludf.DUMMYFUNCTION("""COMPUTED_VALUE"""),"Blood Rites")</f>
        <v>Blood Rites</v>
      </c>
      <c r="B292" s="76" t="str">
        <f>IFERROR(__xludf.DUMMYFUNCTION("""COMPUTED_VALUE"""),"Explorers of the Deep")</f>
        <v>Explorers of the Deep</v>
      </c>
      <c r="C292" s="77">
        <f>IFERROR(__xludf.DUMMYFUNCTION("""COMPUTED_VALUE"""),0.0)</f>
        <v>0</v>
      </c>
      <c r="D292" s="77">
        <f>IFERROR(__xludf.DUMMYFUNCTION("""COMPUTED_VALUE"""),0.0)</f>
        <v>0</v>
      </c>
      <c r="E292" s="46" t="b">
        <f>IFERROR(__xludf.DUMMYFUNCTION("""COMPUTED_VALUE"""),TRUE)</f>
        <v>1</v>
      </c>
    </row>
    <row r="293" hidden="1">
      <c r="A293" s="76" t="str">
        <f>IFERROR(__xludf.DUMMYFUNCTION("""COMPUTED_VALUE"""),"Blood Rites")</f>
        <v>Blood Rites</v>
      </c>
      <c r="B293" s="76" t="str">
        <f>IFERROR(__xludf.DUMMYFUNCTION("""COMPUTED_VALUE"""),"Family Matters")</f>
        <v>Family Matters</v>
      </c>
      <c r="C293" s="77">
        <f>IFERROR(__xludf.DUMMYFUNCTION("""COMPUTED_VALUE"""),0.0)</f>
        <v>0</v>
      </c>
      <c r="D293" s="77">
        <f>IFERROR(__xludf.DUMMYFUNCTION("""COMPUTED_VALUE"""),1.0)</f>
        <v>1</v>
      </c>
      <c r="E293" s="46" t="b">
        <f>IFERROR(__xludf.DUMMYFUNCTION("""COMPUTED_VALUE"""),FALSE)</f>
        <v>0</v>
      </c>
    </row>
    <row r="294" hidden="1">
      <c r="A294" s="76" t="str">
        <f>IFERROR(__xludf.DUMMYFUNCTION("""COMPUTED_VALUE"""),"Blood Rites")</f>
        <v>Blood Rites</v>
      </c>
      <c r="B294" s="76" t="str">
        <f>IFERROR(__xludf.DUMMYFUNCTION("""COMPUTED_VALUE"""),"Food and Fellowship")</f>
        <v>Food and Fellowship</v>
      </c>
      <c r="C294" s="77">
        <f>IFERROR(__xludf.DUMMYFUNCTION("""COMPUTED_VALUE"""),0.0)</f>
        <v>0</v>
      </c>
      <c r="D294" s="77">
        <f>IFERROR(__xludf.DUMMYFUNCTION("""COMPUTED_VALUE"""),0.0)</f>
        <v>0</v>
      </c>
      <c r="E294" s="46" t="b">
        <f>IFERROR(__xludf.DUMMYFUNCTION("""COMPUTED_VALUE"""),TRUE)</f>
        <v>1</v>
      </c>
    </row>
    <row r="295" hidden="1">
      <c r="A295" s="76" t="str">
        <f>IFERROR(__xludf.DUMMYFUNCTION("""COMPUTED_VALUE"""),"Blood Rites")</f>
        <v>Blood Rites</v>
      </c>
      <c r="B295" s="76" t="str">
        <f>IFERROR(__xludf.DUMMYFUNCTION("""COMPUTED_VALUE"""),"Jeskai Striker")</f>
        <v>Jeskai Striker</v>
      </c>
      <c r="C295" s="77">
        <f>IFERROR(__xludf.DUMMYFUNCTION("""COMPUTED_VALUE"""),0.0)</f>
        <v>0</v>
      </c>
      <c r="D295" s="77">
        <f>IFERROR(__xludf.DUMMYFUNCTION("""COMPUTED_VALUE"""),0.0)</f>
        <v>0</v>
      </c>
      <c r="E295" s="46" t="b">
        <f>IFERROR(__xludf.DUMMYFUNCTION("""COMPUTED_VALUE"""),TRUE)</f>
        <v>1</v>
      </c>
    </row>
    <row r="296" hidden="1">
      <c r="A296" s="76" t="str">
        <f>IFERROR(__xludf.DUMMYFUNCTION("""COMPUTED_VALUE"""),"Blood Rites")</f>
        <v>Blood Rites</v>
      </c>
      <c r="B296" s="76" t="str">
        <f>IFERROR(__xludf.DUMMYFUNCTION("""COMPUTED_VALUE"""),"Legends' Legacy")</f>
        <v>Legends' Legacy</v>
      </c>
      <c r="C296" s="77">
        <f>IFERROR(__xludf.DUMMYFUNCTION("""COMPUTED_VALUE"""),0.0)</f>
        <v>0</v>
      </c>
      <c r="D296" s="77">
        <f>IFERROR(__xludf.DUMMYFUNCTION("""COMPUTED_VALUE"""),0.0)</f>
        <v>0</v>
      </c>
      <c r="E296" s="46" t="b">
        <f>IFERROR(__xludf.DUMMYFUNCTION("""COMPUTED_VALUE"""),TRUE)</f>
        <v>1</v>
      </c>
    </row>
    <row r="297" hidden="1">
      <c r="A297" s="76" t="str">
        <f>IFERROR(__xludf.DUMMYFUNCTION("""COMPUTED_VALUE"""),"Blood Rites")</f>
        <v>Blood Rites</v>
      </c>
      <c r="B297" s="76" t="str">
        <f>IFERROR(__xludf.DUMMYFUNCTION("""COMPUTED_VALUE"""),"Limit Break")</f>
        <v>Limit Break</v>
      </c>
      <c r="C297" s="77">
        <f>IFERROR(__xludf.DUMMYFUNCTION("""COMPUTED_VALUE"""),0.0)</f>
        <v>0</v>
      </c>
      <c r="D297" s="77">
        <f>IFERROR(__xludf.DUMMYFUNCTION("""COMPUTED_VALUE"""),0.0)</f>
        <v>0</v>
      </c>
      <c r="E297" s="46" t="b">
        <f>IFERROR(__xludf.DUMMYFUNCTION("""COMPUTED_VALUE"""),TRUE)</f>
        <v>1</v>
      </c>
    </row>
    <row r="298" hidden="1">
      <c r="A298" s="76" t="str">
        <f>IFERROR(__xludf.DUMMYFUNCTION("""COMPUTED_VALUE"""),"Blood Rites")</f>
        <v>Blood Rites</v>
      </c>
      <c r="B298" s="76" t="str">
        <f>IFERROR(__xludf.DUMMYFUNCTION("""COMPUTED_VALUE"""),"Lorehold Spirit")</f>
        <v>Lorehold Spirit</v>
      </c>
      <c r="C298" s="77">
        <f>IFERROR(__xludf.DUMMYFUNCTION("""COMPUTED_VALUE"""),0.0)</f>
        <v>0</v>
      </c>
      <c r="D298" s="77">
        <f>IFERROR(__xludf.DUMMYFUNCTION("""COMPUTED_VALUE"""),2.0)</f>
        <v>2</v>
      </c>
      <c r="E298" s="46" t="b">
        <f>IFERROR(__xludf.DUMMYFUNCTION("""COMPUTED_VALUE"""),FALSE)</f>
        <v>0</v>
      </c>
    </row>
    <row r="299" hidden="1">
      <c r="A299" s="76" t="str">
        <f>IFERROR(__xludf.DUMMYFUNCTION("""COMPUTED_VALUE"""),"Blood Rites")</f>
        <v>Blood Rites</v>
      </c>
      <c r="B299" s="76" t="str">
        <f>IFERROR(__xludf.DUMMYFUNCTION("""COMPUTED_VALUE"""),"Mutant Menace")</f>
        <v>Mutant Menace</v>
      </c>
      <c r="C299" s="77">
        <f>IFERROR(__xludf.DUMMYFUNCTION("""COMPUTED_VALUE"""),0.0)</f>
        <v>0</v>
      </c>
      <c r="D299" s="77">
        <f>IFERROR(__xludf.DUMMYFUNCTION("""COMPUTED_VALUE"""),0.0)</f>
        <v>0</v>
      </c>
      <c r="E299" s="46" t="b">
        <f>IFERROR(__xludf.DUMMYFUNCTION("""COMPUTED_VALUE"""),TRUE)</f>
        <v>1</v>
      </c>
    </row>
    <row r="300" hidden="1">
      <c r="A300" s="76" t="str">
        <f>IFERROR(__xludf.DUMMYFUNCTION("""COMPUTED_VALUE"""),"Blood Rites")</f>
        <v>Blood Rites</v>
      </c>
      <c r="B300" s="76" t="str">
        <f>IFERROR(__xludf.DUMMYFUNCTION("""COMPUTED_VALUE"""),"Party Time")</f>
        <v>Party Time</v>
      </c>
      <c r="C300" s="77">
        <f>IFERROR(__xludf.DUMMYFUNCTION("""COMPUTED_VALUE"""),0.0)</f>
        <v>0</v>
      </c>
      <c r="D300" s="77">
        <f>IFERROR(__xludf.DUMMYFUNCTION("""COMPUTED_VALUE"""),0.0)</f>
        <v>0</v>
      </c>
      <c r="E300" s="46" t="b">
        <f>IFERROR(__xludf.DUMMYFUNCTION("""COMPUTED_VALUE"""),TRUE)</f>
        <v>1</v>
      </c>
    </row>
    <row r="301">
      <c r="A301" s="76" t="str">
        <f>IFERROR(__xludf.DUMMYFUNCTION("""COMPUTED_VALUE"""),"Blood Rites")</f>
        <v>Blood Rites</v>
      </c>
      <c r="B301" s="76" t="str">
        <f>IFERROR(__xludf.DUMMYFUNCTION("""COMPUTED_VALUE"""),"Peace Offering")</f>
        <v>Peace Offering</v>
      </c>
      <c r="C301" s="77">
        <f>IFERROR(__xludf.DUMMYFUNCTION("""COMPUTED_VALUE"""),0.0)</f>
        <v>0</v>
      </c>
      <c r="D301" s="77">
        <f>IFERROR(__xludf.DUMMYFUNCTION("""COMPUTED_VALUE"""),0.0)</f>
        <v>0</v>
      </c>
      <c r="E301" s="46" t="b">
        <f>IFERROR(__xludf.DUMMYFUNCTION("""COMPUTED_VALUE"""),TRUE)</f>
        <v>1</v>
      </c>
    </row>
    <row r="302" hidden="1">
      <c r="A302" s="76" t="str">
        <f>IFERROR(__xludf.DUMMYFUNCTION("""COMPUTED_VALUE"""),"Blood Rites")</f>
        <v>Blood Rites</v>
      </c>
      <c r="B302" s="76" t="str">
        <f>IFERROR(__xludf.DUMMYFUNCTION("""COMPUTED_VALUE"""),"Power Hungry")</f>
        <v>Power Hungry</v>
      </c>
      <c r="C302" s="77">
        <f>IFERROR(__xludf.DUMMYFUNCTION("""COMPUTED_VALUE"""),0.0)</f>
        <v>0</v>
      </c>
      <c r="D302" s="77">
        <f>IFERROR(__xludf.DUMMYFUNCTION("""COMPUTED_VALUE"""),0.0)</f>
        <v>0</v>
      </c>
      <c r="E302" s="46" t="b">
        <f>IFERROR(__xludf.DUMMYFUNCTION("""COMPUTED_VALUE"""),TRUE)</f>
        <v>1</v>
      </c>
    </row>
    <row r="303" hidden="1">
      <c r="A303" s="76" t="str">
        <f>IFERROR(__xludf.DUMMYFUNCTION("""COMPUTED_VALUE"""),"Blood Rites")</f>
        <v>Blood Rites</v>
      </c>
      <c r="B303" s="76" t="str">
        <f>IFERROR(__xludf.DUMMYFUNCTION("""COMPUTED_VALUE"""),"Primal Genesis")</f>
        <v>Primal Genesis</v>
      </c>
      <c r="C303" s="77">
        <f>IFERROR(__xludf.DUMMYFUNCTION("""COMPUTED_VALUE"""),0.0)</f>
        <v>0</v>
      </c>
      <c r="D303" s="77">
        <f>IFERROR(__xludf.DUMMYFUNCTION("""COMPUTED_VALUE"""),0.0)</f>
        <v>0</v>
      </c>
      <c r="E303" s="46" t="b">
        <f>IFERROR(__xludf.DUMMYFUNCTION("""COMPUTED_VALUE"""),TRUE)</f>
        <v>1</v>
      </c>
    </row>
    <row r="304" hidden="1">
      <c r="A304" s="76" t="str">
        <f>IFERROR(__xludf.DUMMYFUNCTION("""COMPUTED_VALUE"""),"Blood Rites")</f>
        <v>Blood Rites</v>
      </c>
      <c r="B304" s="76" t="str">
        <f>IFERROR(__xludf.DUMMYFUNCTION("""COMPUTED_VALUE"""),"Prismari Artistry")</f>
        <v>Prismari Artistry</v>
      </c>
      <c r="C304" s="77">
        <f>IFERROR(__xludf.DUMMYFUNCTION("""COMPUTED_VALUE"""),0.0)</f>
        <v>0</v>
      </c>
      <c r="D304" s="77">
        <f>IFERROR(__xludf.DUMMYFUNCTION("""COMPUTED_VALUE"""),0.0)</f>
        <v>0</v>
      </c>
      <c r="E304" s="46" t="b">
        <f>IFERROR(__xludf.DUMMYFUNCTION("""COMPUTED_VALUE"""),TRUE)</f>
        <v>1</v>
      </c>
    </row>
    <row r="305" hidden="1">
      <c r="A305" s="76" t="str">
        <f>IFERROR(__xludf.DUMMYFUNCTION("""COMPUTED_VALUE"""),"Blood Rites")</f>
        <v>Blood Rites</v>
      </c>
      <c r="B305" s="76" t="str">
        <f>IFERROR(__xludf.DUMMYFUNCTION("""COMPUTED_VALUE"""),"Prismari Performance")</f>
        <v>Prismari Performance</v>
      </c>
      <c r="C305" s="77">
        <f>IFERROR(__xludf.DUMMYFUNCTION("""COMPUTED_VALUE"""),0.0)</f>
        <v>0</v>
      </c>
      <c r="D305" s="77">
        <f>IFERROR(__xludf.DUMMYFUNCTION("""COMPUTED_VALUE"""),0.0)</f>
        <v>0</v>
      </c>
      <c r="E305" s="46" t="b">
        <f>IFERROR(__xludf.DUMMYFUNCTION("""COMPUTED_VALUE"""),TRUE)</f>
        <v>1</v>
      </c>
    </row>
    <row r="306" hidden="1">
      <c r="A306" s="76" t="str">
        <f>IFERROR(__xludf.DUMMYFUNCTION("""COMPUTED_VALUE"""),"Blood Rites")</f>
        <v>Blood Rites</v>
      </c>
      <c r="B306" s="76" t="str">
        <f>IFERROR(__xludf.DUMMYFUNCTION("""COMPUTED_VALUE"""),"Quandrix Unlimited")</f>
        <v>Quandrix Unlimited</v>
      </c>
      <c r="C306" s="77">
        <f>IFERROR(__xludf.DUMMYFUNCTION("""COMPUTED_VALUE"""),0.0)</f>
        <v>0</v>
      </c>
      <c r="D306" s="77">
        <f>IFERROR(__xludf.DUMMYFUNCTION("""COMPUTED_VALUE"""),0.0)</f>
        <v>0</v>
      </c>
      <c r="E306" s="46" t="b">
        <f>IFERROR(__xludf.DUMMYFUNCTION("""COMPUTED_VALUE"""),TRUE)</f>
        <v>1</v>
      </c>
    </row>
    <row r="307" hidden="1">
      <c r="A307" s="76" t="str">
        <f>IFERROR(__xludf.DUMMYFUNCTION("""COMPUTED_VALUE"""),"Blood Rites")</f>
        <v>Blood Rites</v>
      </c>
      <c r="B307" s="76" t="str">
        <f>IFERROR(__xludf.DUMMYFUNCTION("""COMPUTED_VALUE"""),"Quick Draw")</f>
        <v>Quick Draw</v>
      </c>
      <c r="C307" s="77">
        <f>IFERROR(__xludf.DUMMYFUNCTION("""COMPUTED_VALUE"""),0.0)</f>
        <v>0</v>
      </c>
      <c r="D307" s="77">
        <f>IFERROR(__xludf.DUMMYFUNCTION("""COMPUTED_VALUE"""),2.0)</f>
        <v>2</v>
      </c>
      <c r="E307" s="46" t="b">
        <f>IFERROR(__xludf.DUMMYFUNCTION("""COMPUTED_VALUE"""),FALSE)</f>
        <v>0</v>
      </c>
    </row>
    <row r="308">
      <c r="A308" s="76" t="str">
        <f>IFERROR(__xludf.DUMMYFUNCTION("""COMPUTED_VALUE"""),"Blood Rites")</f>
        <v>Blood Rites</v>
      </c>
      <c r="B308" s="76" t="str">
        <f>IFERROR(__xludf.DUMMYFUNCTION("""COMPUTED_VALUE"""),"Reap the Tides")</f>
        <v>Reap the Tides</v>
      </c>
      <c r="C308" s="77">
        <f>IFERROR(__xludf.DUMMYFUNCTION("""COMPUTED_VALUE"""),0.0)</f>
        <v>0</v>
      </c>
      <c r="D308" s="77">
        <f>IFERROR(__xludf.DUMMYFUNCTION("""COMPUTED_VALUE"""),0.0)</f>
        <v>0</v>
      </c>
      <c r="E308" s="46" t="b">
        <f>IFERROR(__xludf.DUMMYFUNCTION("""COMPUTED_VALUE"""),TRUE)</f>
        <v>1</v>
      </c>
    </row>
    <row r="309" hidden="1">
      <c r="A309" s="78" t="str">
        <f>IFERROR(__xludf.DUMMYFUNCTION("""COMPUTED_VALUE"""),"Blood Rites")</f>
        <v>Blood Rites</v>
      </c>
      <c r="B309" s="78" t="str">
        <f>IFERROR(__xludf.DUMMYFUNCTION("""COMPUTED_VALUE"""),"Rebellion Rising")</f>
        <v>Rebellion Rising</v>
      </c>
      <c r="C309" s="79">
        <f>IFERROR(__xludf.DUMMYFUNCTION("""COMPUTED_VALUE"""),0.0)</f>
        <v>0</v>
      </c>
      <c r="D309" s="79">
        <f>IFERROR(__xludf.DUMMYFUNCTION("""COMPUTED_VALUE"""),0.0)</f>
        <v>0</v>
      </c>
      <c r="E309" s="69" t="b">
        <f>IFERROR(__xludf.DUMMYFUNCTION("""COMPUTED_VALUE"""),TRUE)</f>
        <v>1</v>
      </c>
    </row>
    <row r="310" hidden="1">
      <c r="A310" s="76" t="str">
        <f>IFERROR(__xludf.DUMMYFUNCTION("""COMPUTED_VALUE"""),"Blood Rites")</f>
        <v>Blood Rites</v>
      </c>
      <c r="B310" s="76" t="str">
        <f>IFERROR(__xludf.DUMMYFUNCTION("""COMPUTED_VALUE"""),"Revival Trance")</f>
        <v>Revival Trance</v>
      </c>
      <c r="C310" s="77">
        <f>IFERROR(__xludf.DUMMYFUNCTION("""COMPUTED_VALUE"""),0.0)</f>
        <v>0</v>
      </c>
      <c r="D310" s="77">
        <f>IFERROR(__xludf.DUMMYFUNCTION("""COMPUTED_VALUE"""),0.0)</f>
        <v>0</v>
      </c>
      <c r="E310" s="46" t="b">
        <f>IFERROR(__xludf.DUMMYFUNCTION("""COMPUTED_VALUE"""),TRUE)</f>
        <v>1</v>
      </c>
    </row>
    <row r="311" hidden="1">
      <c r="A311" s="76" t="str">
        <f>IFERROR(__xludf.DUMMYFUNCTION("""COMPUTED_VALUE"""),"Blood Rites")</f>
        <v>Blood Rites</v>
      </c>
      <c r="B311" s="76" t="str">
        <f>IFERROR(__xludf.DUMMYFUNCTION("""COMPUTED_VALUE"""),"Riders of Rohan")</f>
        <v>Riders of Rohan</v>
      </c>
      <c r="C311" s="77">
        <f>IFERROR(__xludf.DUMMYFUNCTION("""COMPUTED_VALUE"""),0.0)</f>
        <v>0</v>
      </c>
      <c r="D311" s="77">
        <f>IFERROR(__xludf.DUMMYFUNCTION("""COMPUTED_VALUE"""),0.0)</f>
        <v>0</v>
      </c>
      <c r="E311" s="46" t="b">
        <f>IFERROR(__xludf.DUMMYFUNCTION("""COMPUTED_VALUE"""),TRUE)</f>
        <v>1</v>
      </c>
    </row>
    <row r="312" hidden="1">
      <c r="A312" s="76" t="str">
        <f>IFERROR(__xludf.DUMMYFUNCTION("""COMPUTED_VALUE"""),"Blood Rites")</f>
        <v>Blood Rites</v>
      </c>
      <c r="B312" s="76" t="str">
        <f>IFERROR(__xludf.DUMMYFUNCTION("""COMPUTED_VALUE"""),"Science!")</f>
        <v>Science!</v>
      </c>
      <c r="C312" s="77">
        <f>IFERROR(__xludf.DUMMYFUNCTION("""COMPUTED_VALUE"""),0.0)</f>
        <v>0</v>
      </c>
      <c r="D312" s="77">
        <f>IFERROR(__xludf.DUMMYFUNCTION("""COMPUTED_VALUE"""),0.0)</f>
        <v>0</v>
      </c>
      <c r="E312" s="46" t="b">
        <f>IFERROR(__xludf.DUMMYFUNCTION("""COMPUTED_VALUE"""),TRUE)</f>
        <v>1</v>
      </c>
    </row>
    <row r="313" hidden="1">
      <c r="A313" s="76" t="str">
        <f>IFERROR(__xludf.DUMMYFUNCTION("""COMPUTED_VALUE"""),"Blood Rites")</f>
        <v>Blood Rites</v>
      </c>
      <c r="B313" s="76" t="str">
        <f>IFERROR(__xludf.DUMMYFUNCTION("""COMPUTED_VALUE"""),"Scions &amp; Spellcraft")</f>
        <v>Scions &amp; Spellcraft</v>
      </c>
      <c r="C313" s="77">
        <f>IFERROR(__xludf.DUMMYFUNCTION("""COMPUTED_VALUE"""),0.0)</f>
        <v>0</v>
      </c>
      <c r="D313" s="77">
        <f>IFERROR(__xludf.DUMMYFUNCTION("""COMPUTED_VALUE"""),0.0)</f>
        <v>0</v>
      </c>
      <c r="E313" s="46" t="b">
        <f>IFERROR(__xludf.DUMMYFUNCTION("""COMPUTED_VALUE"""),TRUE)</f>
        <v>1</v>
      </c>
    </row>
    <row r="314" hidden="1">
      <c r="A314" s="78" t="str">
        <f>IFERROR(__xludf.DUMMYFUNCTION("""COMPUTED_VALUE"""),"Blood Rites")</f>
        <v>Blood Rites</v>
      </c>
      <c r="B314" s="78" t="str">
        <f>IFERROR(__xludf.DUMMYFUNCTION("""COMPUTED_VALUE"""),"Scrappy Survivors")</f>
        <v>Scrappy Survivors</v>
      </c>
      <c r="C314" s="79">
        <f>IFERROR(__xludf.DUMMYFUNCTION("""COMPUTED_VALUE"""),0.0)</f>
        <v>0</v>
      </c>
      <c r="D314" s="79">
        <f>IFERROR(__xludf.DUMMYFUNCTION("""COMPUTED_VALUE"""),0.0)</f>
        <v>0</v>
      </c>
      <c r="E314" s="69" t="b">
        <f>IFERROR(__xludf.DUMMYFUNCTION("""COMPUTED_VALUE"""),TRUE)</f>
        <v>1</v>
      </c>
    </row>
    <row r="315" hidden="1">
      <c r="A315" s="76" t="str">
        <f>IFERROR(__xludf.DUMMYFUNCTION("""COMPUTED_VALUE"""),"Blood Rites")</f>
        <v>Blood Rites</v>
      </c>
      <c r="B315" s="76" t="str">
        <f>IFERROR(__xludf.DUMMYFUNCTION("""COMPUTED_VALUE"""),"Silverquill Influence")</f>
        <v>Silverquill Influence</v>
      </c>
      <c r="C315" s="77">
        <f>IFERROR(__xludf.DUMMYFUNCTION("""COMPUTED_VALUE"""),0.0)</f>
        <v>0</v>
      </c>
      <c r="D315" s="77">
        <f>IFERROR(__xludf.DUMMYFUNCTION("""COMPUTED_VALUE"""),0.0)</f>
        <v>0</v>
      </c>
      <c r="E315" s="46" t="b">
        <f>IFERROR(__xludf.DUMMYFUNCTION("""COMPUTED_VALUE"""),TRUE)</f>
        <v>1</v>
      </c>
    </row>
    <row r="316" hidden="1">
      <c r="A316" s="76" t="str">
        <f>IFERROR(__xludf.DUMMYFUNCTION("""COMPUTED_VALUE"""),"Blood Rites")</f>
        <v>Blood Rites</v>
      </c>
      <c r="B316" s="76" t="str">
        <f>IFERROR(__xludf.DUMMYFUNCTION("""COMPUTED_VALUE"""),"Spirit Squadron")</f>
        <v>Spirit Squadron</v>
      </c>
      <c r="C316" s="77">
        <f>IFERROR(__xludf.DUMMYFUNCTION("""COMPUTED_VALUE"""),0.0)</f>
        <v>0</v>
      </c>
      <c r="D316" s="77">
        <f>IFERROR(__xludf.DUMMYFUNCTION("""COMPUTED_VALUE"""),0.0)</f>
        <v>0</v>
      </c>
      <c r="E316" s="46" t="b">
        <f>IFERROR(__xludf.DUMMYFUNCTION("""COMPUTED_VALUE"""),TRUE)</f>
        <v>1</v>
      </c>
    </row>
    <row r="317" hidden="1">
      <c r="A317" s="76" t="str">
        <f>IFERROR(__xludf.DUMMYFUNCTION("""COMPUTED_VALUE"""),"Blood Rites")</f>
        <v>Blood Rites</v>
      </c>
      <c r="B317" s="76" t="str">
        <f>IFERROR(__xludf.DUMMYFUNCTION("""COMPUTED_VALUE"""),"Squirreled Away")</f>
        <v>Squirreled Away</v>
      </c>
      <c r="C317" s="77">
        <f>IFERROR(__xludf.DUMMYFUNCTION("""COMPUTED_VALUE"""),0.0)</f>
        <v>0</v>
      </c>
      <c r="D317" s="77">
        <f>IFERROR(__xludf.DUMMYFUNCTION("""COMPUTED_VALUE"""),0.0)</f>
        <v>0</v>
      </c>
      <c r="E317" s="46" t="b">
        <f>IFERROR(__xludf.DUMMYFUNCTION("""COMPUTED_VALUE"""),TRUE)</f>
        <v>1</v>
      </c>
    </row>
    <row r="318" hidden="1">
      <c r="A318" s="76" t="str">
        <f>IFERROR(__xludf.DUMMYFUNCTION("""COMPUTED_VALUE"""),"Blood Rites")</f>
        <v>Blood Rites</v>
      </c>
      <c r="B318" s="76" t="str">
        <f>IFERROR(__xludf.DUMMYFUNCTION("""COMPUTED_VALUE"""),"Sultai Arisen")</f>
        <v>Sultai Arisen</v>
      </c>
      <c r="C318" s="77">
        <f>IFERROR(__xludf.DUMMYFUNCTION("""COMPUTED_VALUE"""),0.0)</f>
        <v>0</v>
      </c>
      <c r="D318" s="77">
        <f>IFERROR(__xludf.DUMMYFUNCTION("""COMPUTED_VALUE"""),0.0)</f>
        <v>0</v>
      </c>
      <c r="E318" s="46" t="b">
        <f>IFERROR(__xludf.DUMMYFUNCTION("""COMPUTED_VALUE"""),TRUE)</f>
        <v>1</v>
      </c>
    </row>
    <row r="319" hidden="1">
      <c r="A319" s="76" t="str">
        <f>IFERROR(__xludf.DUMMYFUNCTION("""COMPUTED_VALUE"""),"Blood Rites")</f>
        <v>Blood Rites</v>
      </c>
      <c r="B319" s="76" t="str">
        <f>IFERROR(__xludf.DUMMYFUNCTION("""COMPUTED_VALUE"""),"Temur Roar")</f>
        <v>Temur Roar</v>
      </c>
      <c r="C319" s="77">
        <f>IFERROR(__xludf.DUMMYFUNCTION("""COMPUTED_VALUE"""),0.0)</f>
        <v>0</v>
      </c>
      <c r="D319" s="77">
        <f>IFERROR(__xludf.DUMMYFUNCTION("""COMPUTED_VALUE"""),0.0)</f>
        <v>0</v>
      </c>
      <c r="E319" s="46" t="b">
        <f>IFERROR(__xludf.DUMMYFUNCTION("""COMPUTED_VALUE"""),TRUE)</f>
        <v>1</v>
      </c>
    </row>
    <row r="320" hidden="1">
      <c r="A320" s="76" t="str">
        <f>IFERROR(__xludf.DUMMYFUNCTION("""COMPUTED_VALUE"""),"Blood Rites")</f>
        <v>Blood Rites</v>
      </c>
      <c r="B320" s="76" t="str">
        <f>IFERROR(__xludf.DUMMYFUNCTION("""COMPUTED_VALUE"""),"The Hosts of Mordor")</f>
        <v>The Hosts of Mordor</v>
      </c>
      <c r="C320" s="77">
        <f>IFERROR(__xludf.DUMMYFUNCTION("""COMPUTED_VALUE"""),0.0)</f>
        <v>0</v>
      </c>
      <c r="D320" s="77">
        <f>IFERROR(__xludf.DUMMYFUNCTION("""COMPUTED_VALUE"""),0.0)</f>
        <v>0</v>
      </c>
      <c r="E320" s="46" t="b">
        <f>IFERROR(__xludf.DUMMYFUNCTION("""COMPUTED_VALUE"""),TRUE)</f>
        <v>1</v>
      </c>
    </row>
    <row r="321" hidden="1">
      <c r="A321" s="78" t="str">
        <f>IFERROR(__xludf.DUMMYFUNCTION("""COMPUTED_VALUE"""),"Blood Rites")</f>
        <v>Blood Rites</v>
      </c>
      <c r="B321" s="78" t="str">
        <f>IFERROR(__xludf.DUMMYFUNCTION("""COMPUTED_VALUE"""),"The Ruinous Powers")</f>
        <v>The Ruinous Powers</v>
      </c>
      <c r="C321" s="79">
        <f>IFERROR(__xludf.DUMMYFUNCTION("""COMPUTED_VALUE"""),0.0)</f>
        <v>0</v>
      </c>
      <c r="D321" s="79">
        <f>IFERROR(__xludf.DUMMYFUNCTION("""COMPUTED_VALUE"""),0.0)</f>
        <v>0</v>
      </c>
      <c r="E321" s="69" t="b">
        <f>IFERROR(__xludf.DUMMYFUNCTION("""COMPUTED_VALUE"""),TRUE)</f>
        <v>1</v>
      </c>
    </row>
    <row r="322" hidden="1">
      <c r="A322" s="78" t="str">
        <f>IFERROR(__xludf.DUMMYFUNCTION("""COMPUTED_VALUE"""),"Blood Rites")</f>
        <v>Blood Rites</v>
      </c>
      <c r="B322" s="78" t="str">
        <f>IFERROR(__xludf.DUMMYFUNCTION("""COMPUTED_VALUE"""),"Timey-Wimey")</f>
        <v>Timey-Wimey</v>
      </c>
      <c r="C322" s="79">
        <f>IFERROR(__xludf.DUMMYFUNCTION("""COMPUTED_VALUE"""),0.0)</f>
        <v>0</v>
      </c>
      <c r="D322" s="79">
        <f>IFERROR(__xludf.DUMMYFUNCTION("""COMPUTED_VALUE"""),0.0)</f>
        <v>0</v>
      </c>
      <c r="E322" s="69" t="b">
        <f>IFERROR(__xludf.DUMMYFUNCTION("""COMPUTED_VALUE"""),TRUE)</f>
        <v>1</v>
      </c>
    </row>
    <row r="323" hidden="1">
      <c r="A323" s="76" t="str">
        <f>IFERROR(__xludf.DUMMYFUNCTION("""COMPUTED_VALUE"""),"Blood Rites")</f>
        <v>Blood Rites</v>
      </c>
      <c r="B323" s="76" t="str">
        <f>IFERROR(__xludf.DUMMYFUNCTION("""COMPUTED_VALUE"""),"Tinker Time")</f>
        <v>Tinker Time</v>
      </c>
      <c r="C323" s="77">
        <f>IFERROR(__xludf.DUMMYFUNCTION("""COMPUTED_VALUE"""),0.0)</f>
        <v>0</v>
      </c>
      <c r="D323" s="77">
        <f>IFERROR(__xludf.DUMMYFUNCTION("""COMPUTED_VALUE"""),0.0)</f>
        <v>0</v>
      </c>
      <c r="E323" s="46" t="b">
        <f>IFERROR(__xludf.DUMMYFUNCTION("""COMPUTED_VALUE"""),TRUE)</f>
        <v>1</v>
      </c>
    </row>
    <row r="324" hidden="1">
      <c r="A324" s="76" t="str">
        <f>IFERROR(__xludf.DUMMYFUNCTION("""COMPUTED_VALUE"""),"Blood Rites")</f>
        <v>Blood Rites</v>
      </c>
      <c r="B324" s="76" t="str">
        <f>IFERROR(__xludf.DUMMYFUNCTION("""COMPUTED_VALUE"""),"Turtle Power!")</f>
        <v>Turtle Power!</v>
      </c>
      <c r="C324" s="77">
        <f>IFERROR(__xludf.DUMMYFUNCTION("""COMPUTED_VALUE"""),0.0)</f>
        <v>0</v>
      </c>
      <c r="D324" s="77">
        <f>IFERROR(__xludf.DUMMYFUNCTION("""COMPUTED_VALUE"""),0.0)</f>
        <v>0</v>
      </c>
      <c r="E324" s="46" t="b">
        <f>IFERROR(__xludf.DUMMYFUNCTION("""COMPUTED_VALUE"""),TRUE)</f>
        <v>1</v>
      </c>
    </row>
    <row r="325" hidden="1">
      <c r="A325" s="76" t="str">
        <f>IFERROR(__xludf.DUMMYFUNCTION("""COMPUTED_VALUE"""),"Blood Rites")</f>
        <v>Blood Rites</v>
      </c>
      <c r="B325" s="76" t="str">
        <f>IFERROR(__xludf.DUMMYFUNCTION("""COMPUTED_VALUE"""),"Veloci-ramp-tor")</f>
        <v>Veloci-ramp-tor</v>
      </c>
      <c r="C325" s="77">
        <f>IFERROR(__xludf.DUMMYFUNCTION("""COMPUTED_VALUE"""),0.0)</f>
        <v>0</v>
      </c>
      <c r="D325" s="77">
        <f>IFERROR(__xludf.DUMMYFUNCTION("""COMPUTED_VALUE"""),0.0)</f>
        <v>0</v>
      </c>
      <c r="E325" s="46" t="b">
        <f>IFERROR(__xludf.DUMMYFUNCTION("""COMPUTED_VALUE"""),TRUE)</f>
        <v>1</v>
      </c>
    </row>
    <row r="326" hidden="1">
      <c r="A326" s="76" t="str">
        <f>IFERROR(__xludf.DUMMYFUNCTION("""COMPUTED_VALUE"""),"Buckle Up")</f>
        <v>Buckle Up</v>
      </c>
      <c r="B326" s="76" t="str">
        <f>IFERROR(__xludf.DUMMYFUNCTION("""COMPUTED_VALUE"""),"Ahoy Mateys")</f>
        <v>Ahoy Mateys</v>
      </c>
      <c r="C326" s="77">
        <f>IFERROR(__xludf.DUMMYFUNCTION("""COMPUTED_VALUE"""),0.0)</f>
        <v>0</v>
      </c>
      <c r="D326" s="77">
        <f>IFERROR(__xludf.DUMMYFUNCTION("""COMPUTED_VALUE"""),0.0)</f>
        <v>0</v>
      </c>
      <c r="E326" s="46" t="b">
        <f>IFERROR(__xludf.DUMMYFUNCTION("""COMPUTED_VALUE"""),TRUE)</f>
        <v>1</v>
      </c>
    </row>
    <row r="327" hidden="1">
      <c r="A327" s="76" t="str">
        <f>IFERROR(__xludf.DUMMYFUNCTION("""COMPUTED_VALUE"""),"Buckle Up")</f>
        <v>Buckle Up</v>
      </c>
      <c r="B327" s="76" t="str">
        <f>IFERROR(__xludf.DUMMYFUNCTION("""COMPUTED_VALUE"""),"Animated Army")</f>
        <v>Animated Army</v>
      </c>
      <c r="C327" s="77">
        <f>IFERROR(__xludf.DUMMYFUNCTION("""COMPUTED_VALUE"""),0.0)</f>
        <v>0</v>
      </c>
      <c r="D327" s="77">
        <f>IFERROR(__xludf.DUMMYFUNCTION("""COMPUTED_VALUE"""),0.0)</f>
        <v>0</v>
      </c>
      <c r="E327" s="46" t="b">
        <f>IFERROR(__xludf.DUMMYFUNCTION("""COMPUTED_VALUE"""),TRUE)</f>
        <v>1</v>
      </c>
    </row>
    <row r="328" hidden="1">
      <c r="A328" s="76" t="str">
        <f>IFERROR(__xludf.DUMMYFUNCTION("""COMPUTED_VALUE"""),"Buckle Up")</f>
        <v>Buckle Up</v>
      </c>
      <c r="B328" s="76" t="str">
        <f>IFERROR(__xludf.DUMMYFUNCTION("""COMPUTED_VALUE"""),"Arcane Maelstrom")</f>
        <v>Arcane Maelstrom</v>
      </c>
      <c r="C328" s="77">
        <f>IFERROR(__xludf.DUMMYFUNCTION("""COMPUTED_VALUE"""),0.0)</f>
        <v>0</v>
      </c>
      <c r="D328" s="77">
        <f>IFERROR(__xludf.DUMMYFUNCTION("""COMPUTED_VALUE"""),0.0)</f>
        <v>0</v>
      </c>
      <c r="E328" s="46" t="b">
        <f>IFERROR(__xludf.DUMMYFUNCTION("""COMPUTED_VALUE"""),TRUE)</f>
        <v>1</v>
      </c>
    </row>
    <row r="329">
      <c r="A329" s="76" t="str">
        <f>IFERROR(__xludf.DUMMYFUNCTION("""COMPUTED_VALUE"""),"Buckle Up")</f>
        <v>Buckle Up</v>
      </c>
      <c r="B329" s="76" t="str">
        <f>IFERROR(__xludf.DUMMYFUNCTION("""COMPUTED_VALUE"""),"Blame Game")</f>
        <v>Blame Game</v>
      </c>
      <c r="C329" s="77">
        <f>IFERROR(__xludf.DUMMYFUNCTION("""COMPUTED_VALUE"""),0.0)</f>
        <v>0</v>
      </c>
      <c r="D329" s="77">
        <f>IFERROR(__xludf.DUMMYFUNCTION("""COMPUTED_VALUE"""),0.0)</f>
        <v>0</v>
      </c>
      <c r="E329" s="46" t="b">
        <f>IFERROR(__xludf.DUMMYFUNCTION("""COMPUTED_VALUE"""),TRUE)</f>
        <v>1</v>
      </c>
    </row>
    <row r="330" hidden="1">
      <c r="A330" s="78" t="str">
        <f>IFERROR(__xludf.DUMMYFUNCTION("""COMPUTED_VALUE"""),"Buckle Up")</f>
        <v>Buckle Up</v>
      </c>
      <c r="B330" s="78" t="str">
        <f>IFERROR(__xludf.DUMMYFUNCTION("""COMPUTED_VALUE"""),"Blight Curse")</f>
        <v>Blight Curse</v>
      </c>
      <c r="C330" s="79">
        <f>IFERROR(__xludf.DUMMYFUNCTION("""COMPUTED_VALUE"""),0.0)</f>
        <v>0</v>
      </c>
      <c r="D330" s="79">
        <f>IFERROR(__xludf.DUMMYFUNCTION("""COMPUTED_VALUE"""),0.0)</f>
        <v>0</v>
      </c>
      <c r="E330" s="69" t="b">
        <f>IFERROR(__xludf.DUMMYFUNCTION("""COMPUTED_VALUE"""),TRUE)</f>
        <v>1</v>
      </c>
    </row>
    <row r="331" hidden="1">
      <c r="A331" s="76" t="str">
        <f>IFERROR(__xludf.DUMMYFUNCTION("""COMPUTED_VALUE"""),"Buckle Up")</f>
        <v>Buckle Up</v>
      </c>
      <c r="B331" s="76" t="str">
        <f>IFERROR(__xludf.DUMMYFUNCTION("""COMPUTED_VALUE"""),"Blood Rites")</f>
        <v>Blood Rites</v>
      </c>
      <c r="C331" s="77">
        <f>IFERROR(__xludf.DUMMYFUNCTION("""COMPUTED_VALUE"""),0.0)</f>
        <v>0</v>
      </c>
      <c r="D331" s="77">
        <f>IFERROR(__xludf.DUMMYFUNCTION("""COMPUTED_VALUE"""),0.0)</f>
        <v>0</v>
      </c>
      <c r="E331" s="46" t="b">
        <f>IFERROR(__xludf.DUMMYFUNCTION("""COMPUTED_VALUE"""),TRUE)</f>
        <v>1</v>
      </c>
    </row>
    <row r="332" hidden="1">
      <c r="A332" s="76" t="str">
        <f>IFERROR(__xludf.DUMMYFUNCTION("""COMPUTED_VALUE"""),"Buckle Up")</f>
        <v>Buckle Up</v>
      </c>
      <c r="B332" s="76" t="str">
        <f>IFERROR(__xludf.DUMMYFUNCTION("""COMPUTED_VALUE"""),"Buckle Up")</f>
        <v>Buckle Up</v>
      </c>
      <c r="C332" s="77">
        <f>IFERROR(__xludf.DUMMYFUNCTION("""COMPUTED_VALUE"""),0.0)</f>
        <v>0</v>
      </c>
      <c r="D332" s="77">
        <f>IFERROR(__xludf.DUMMYFUNCTION("""COMPUTED_VALUE"""),0.0)</f>
        <v>0</v>
      </c>
      <c r="E332" s="46" t="b">
        <f>IFERROR(__xludf.DUMMYFUNCTION("""COMPUTED_VALUE"""),TRUE)</f>
        <v>1</v>
      </c>
    </row>
    <row r="333" hidden="1">
      <c r="A333" s="76" t="str">
        <f>IFERROR(__xludf.DUMMYFUNCTION("""COMPUTED_VALUE"""),"Buckle Up")</f>
        <v>Buckle Up</v>
      </c>
      <c r="B333" s="76" t="str">
        <f>IFERROR(__xludf.DUMMYFUNCTION("""COMPUTED_VALUE"""),"Cabaretti Cacophony")</f>
        <v>Cabaretti Cacophony</v>
      </c>
      <c r="C333" s="77">
        <f>IFERROR(__xludf.DUMMYFUNCTION("""COMPUTED_VALUE"""),0.0)</f>
        <v>0</v>
      </c>
      <c r="D333" s="77">
        <f>IFERROR(__xludf.DUMMYFUNCTION("""COMPUTED_VALUE"""),0.0)</f>
        <v>0</v>
      </c>
      <c r="E333" s="46" t="b">
        <f>IFERROR(__xludf.DUMMYFUNCTION("""COMPUTED_VALUE"""),TRUE)</f>
        <v>1</v>
      </c>
    </row>
    <row r="334" hidden="1">
      <c r="A334" s="76" t="str">
        <f>IFERROR(__xludf.DUMMYFUNCTION("""COMPUTED_VALUE"""),"Buckle Up")</f>
        <v>Buckle Up</v>
      </c>
      <c r="B334" s="76" t="str">
        <f>IFERROR(__xludf.DUMMYFUNCTION("""COMPUTED_VALUE"""),"Cavalry Charge")</f>
        <v>Cavalry Charge</v>
      </c>
      <c r="C334" s="77">
        <f>IFERROR(__xludf.DUMMYFUNCTION("""COMPUTED_VALUE"""),0.0)</f>
        <v>0</v>
      </c>
      <c r="D334" s="77">
        <f>IFERROR(__xludf.DUMMYFUNCTION("""COMPUTED_VALUE"""),0.0)</f>
        <v>0</v>
      </c>
      <c r="E334" s="46" t="b">
        <f>IFERROR(__xludf.DUMMYFUNCTION("""COMPUTED_VALUE"""),TRUE)</f>
        <v>1</v>
      </c>
    </row>
    <row r="335" hidden="1">
      <c r="A335" s="78" t="str">
        <f>IFERROR(__xludf.DUMMYFUNCTION("""COMPUTED_VALUE"""),"Buckle Up")</f>
        <v>Buckle Up</v>
      </c>
      <c r="B335" s="78" t="str">
        <f>IFERROR(__xludf.DUMMYFUNCTION("""COMPUTED_VALUE"""),"Corrupting Influence")</f>
        <v>Corrupting Influence</v>
      </c>
      <c r="C335" s="79">
        <f>IFERROR(__xludf.DUMMYFUNCTION("""COMPUTED_VALUE"""),0.0)</f>
        <v>0</v>
      </c>
      <c r="D335" s="79">
        <f>IFERROR(__xludf.DUMMYFUNCTION("""COMPUTED_VALUE"""),0.0)</f>
        <v>0</v>
      </c>
      <c r="E335" s="69" t="b">
        <f>IFERROR(__xludf.DUMMYFUNCTION("""COMPUTED_VALUE"""),TRUE)</f>
        <v>1</v>
      </c>
    </row>
    <row r="336" hidden="1">
      <c r="A336" s="76" t="str">
        <f>IFERROR(__xludf.DUMMYFUNCTION("""COMPUTED_VALUE"""),"Buckle Up")</f>
        <v>Buckle Up</v>
      </c>
      <c r="B336" s="76" t="str">
        <f>IFERROR(__xludf.DUMMYFUNCTION("""COMPUTED_VALUE"""),"Counter Blitz")</f>
        <v>Counter Blitz</v>
      </c>
      <c r="C336" s="77">
        <f>IFERROR(__xludf.DUMMYFUNCTION("""COMPUTED_VALUE"""),0.0)</f>
        <v>0</v>
      </c>
      <c r="D336" s="77">
        <f>IFERROR(__xludf.DUMMYFUNCTION("""COMPUTED_VALUE"""),0.0)</f>
        <v>0</v>
      </c>
      <c r="E336" s="46" t="b">
        <f>IFERROR(__xludf.DUMMYFUNCTION("""COMPUTED_VALUE"""),TRUE)</f>
        <v>1</v>
      </c>
    </row>
    <row r="337">
      <c r="A337" s="76" t="str">
        <f>IFERROR(__xludf.DUMMYFUNCTION("""COMPUTED_VALUE"""),"Buckle Up")</f>
        <v>Buckle Up</v>
      </c>
      <c r="B337" s="76" t="str">
        <f>IFERROR(__xludf.DUMMYFUNCTION("""COMPUTED_VALUE"""),"Counter Intelligence")</f>
        <v>Counter Intelligence</v>
      </c>
      <c r="C337" s="77">
        <f>IFERROR(__xludf.DUMMYFUNCTION("""COMPUTED_VALUE"""),0.0)</f>
        <v>0</v>
      </c>
      <c r="D337" s="77">
        <f>IFERROR(__xludf.DUMMYFUNCTION("""COMPUTED_VALUE"""),0.0)</f>
        <v>0</v>
      </c>
      <c r="E337" s="46" t="b">
        <f>IFERROR(__xludf.DUMMYFUNCTION("""COMPUTED_VALUE"""),TRUE)</f>
        <v>1</v>
      </c>
    </row>
    <row r="338" hidden="1">
      <c r="A338" s="76" t="str">
        <f>IFERROR(__xludf.DUMMYFUNCTION("""COMPUTED_VALUE"""),"Buckle Up")</f>
        <v>Buckle Up</v>
      </c>
      <c r="B338" s="76" t="str">
        <f>IFERROR(__xludf.DUMMYFUNCTION("""COMPUTED_VALUE"""),"Creative Energy")</f>
        <v>Creative Energy</v>
      </c>
      <c r="C338" s="77">
        <f>IFERROR(__xludf.DUMMYFUNCTION("""COMPUTED_VALUE"""),0.0)</f>
        <v>0</v>
      </c>
      <c r="D338" s="77">
        <f>IFERROR(__xludf.DUMMYFUNCTION("""COMPUTED_VALUE"""),0.0)</f>
        <v>0</v>
      </c>
      <c r="E338" s="46" t="b">
        <f>IFERROR(__xludf.DUMMYFUNCTION("""COMPUTED_VALUE"""),TRUE)</f>
        <v>1</v>
      </c>
    </row>
    <row r="339" hidden="1">
      <c r="A339" s="76" t="str">
        <f>IFERROR(__xludf.DUMMYFUNCTION("""COMPUTED_VALUE"""),"Buckle Up")</f>
        <v>Buckle Up</v>
      </c>
      <c r="B339" s="76" t="str">
        <f>IFERROR(__xludf.DUMMYFUNCTION("""COMPUTED_VALUE"""),"Dance of the Elements")</f>
        <v>Dance of the Elements</v>
      </c>
      <c r="C339" s="77">
        <f>IFERROR(__xludf.DUMMYFUNCTION("""COMPUTED_VALUE"""),0.0)</f>
        <v>0</v>
      </c>
      <c r="D339" s="77">
        <f>IFERROR(__xludf.DUMMYFUNCTION("""COMPUTED_VALUE"""),0.0)</f>
        <v>0</v>
      </c>
      <c r="E339" s="46" t="b">
        <f>IFERROR(__xludf.DUMMYFUNCTION("""COMPUTED_VALUE"""),TRUE)</f>
        <v>1</v>
      </c>
    </row>
    <row r="340" hidden="1">
      <c r="A340" s="78" t="str">
        <f>IFERROR(__xludf.DUMMYFUNCTION("""COMPUTED_VALUE"""),"Buckle Up")</f>
        <v>Buckle Up</v>
      </c>
      <c r="B340" s="78" t="str">
        <f>IFERROR(__xludf.DUMMYFUNCTION("""COMPUTED_VALUE"""),"Deep Clue Sea")</f>
        <v>Deep Clue Sea</v>
      </c>
      <c r="C340" s="79">
        <f>IFERROR(__xludf.DUMMYFUNCTION("""COMPUTED_VALUE"""),0.0)</f>
        <v>0</v>
      </c>
      <c r="D340" s="79">
        <f>IFERROR(__xludf.DUMMYFUNCTION("""COMPUTED_VALUE"""),0.0)</f>
        <v>0</v>
      </c>
      <c r="E340" s="69" t="b">
        <f>IFERROR(__xludf.DUMMYFUNCTION("""COMPUTED_VALUE"""),TRUE)</f>
        <v>1</v>
      </c>
    </row>
    <row r="341" hidden="1">
      <c r="A341" s="76" t="str">
        <f>IFERROR(__xludf.DUMMYFUNCTION("""COMPUTED_VALUE"""),"Buckle Up")</f>
        <v>Buckle Up</v>
      </c>
      <c r="B341" s="76" t="str">
        <f>IFERROR(__xludf.DUMMYFUNCTION("""COMPUTED_VALUE"""),"Doom Prevails")</f>
        <v>Doom Prevails</v>
      </c>
      <c r="C341" s="77">
        <f>IFERROR(__xludf.DUMMYFUNCTION("""COMPUTED_VALUE"""),0.0)</f>
        <v>0</v>
      </c>
      <c r="D341" s="77">
        <f>IFERROR(__xludf.DUMMYFUNCTION("""COMPUTED_VALUE"""),0.0)</f>
        <v>0</v>
      </c>
      <c r="E341" s="46" t="b">
        <f>IFERROR(__xludf.DUMMYFUNCTION("""COMPUTED_VALUE"""),TRUE)</f>
        <v>1</v>
      </c>
    </row>
    <row r="342">
      <c r="A342" s="76" t="str">
        <f>IFERROR(__xludf.DUMMYFUNCTION("""COMPUTED_VALUE"""),"Buckle Up")</f>
        <v>Buckle Up</v>
      </c>
      <c r="B342" s="76" t="str">
        <f>IFERROR(__xludf.DUMMYFUNCTION("""COMPUTED_VALUE"""),"Eldrazi Incursion")</f>
        <v>Eldrazi Incursion</v>
      </c>
      <c r="C342" s="77">
        <f>IFERROR(__xludf.DUMMYFUNCTION("""COMPUTED_VALUE"""),0.0)</f>
        <v>0</v>
      </c>
      <c r="D342" s="77">
        <f>IFERROR(__xludf.DUMMYFUNCTION("""COMPUTED_VALUE"""),0.0)</f>
        <v>0</v>
      </c>
      <c r="E342" s="46" t="b">
        <f>IFERROR(__xludf.DUMMYFUNCTION("""COMPUTED_VALUE"""),TRUE)</f>
        <v>1</v>
      </c>
    </row>
    <row r="343" hidden="1">
      <c r="A343" s="76" t="str">
        <f>IFERROR(__xludf.DUMMYFUNCTION("""COMPUTED_VALUE"""),"Buckle Up")</f>
        <v>Buckle Up</v>
      </c>
      <c r="B343" s="76" t="str">
        <f>IFERROR(__xludf.DUMMYFUNCTION("""COMPUTED_VALUE"""),"Eldrazi Unbound")</f>
        <v>Eldrazi Unbound</v>
      </c>
      <c r="C343" s="77">
        <f>IFERROR(__xludf.DUMMYFUNCTION("""COMPUTED_VALUE"""),0.0)</f>
        <v>0</v>
      </c>
      <c r="D343" s="77">
        <f>IFERROR(__xludf.DUMMYFUNCTION("""COMPUTED_VALUE"""),0.0)</f>
        <v>0</v>
      </c>
      <c r="E343" s="46" t="b">
        <f>IFERROR(__xludf.DUMMYFUNCTION("""COMPUTED_VALUE"""),TRUE)</f>
        <v>1</v>
      </c>
    </row>
    <row r="344" hidden="1">
      <c r="A344" s="76" t="str">
        <f>IFERROR(__xludf.DUMMYFUNCTION("""COMPUTED_VALUE"""),"Buckle Up")</f>
        <v>Buckle Up</v>
      </c>
      <c r="B344" s="76" t="str">
        <f>IFERROR(__xludf.DUMMYFUNCTION("""COMPUTED_VALUE"""),"Endless Punishment")</f>
        <v>Endless Punishment</v>
      </c>
      <c r="C344" s="77">
        <f>IFERROR(__xludf.DUMMYFUNCTION("""COMPUTED_VALUE"""),0.0)</f>
        <v>0</v>
      </c>
      <c r="D344" s="77">
        <f>IFERROR(__xludf.DUMMYFUNCTION("""COMPUTED_VALUE"""),0.0)</f>
        <v>0</v>
      </c>
      <c r="E344" s="46" t="b">
        <f>IFERROR(__xludf.DUMMYFUNCTION("""COMPUTED_VALUE"""),TRUE)</f>
        <v>1</v>
      </c>
    </row>
    <row r="345" hidden="1">
      <c r="A345" s="76" t="str">
        <f>IFERROR(__xludf.DUMMYFUNCTION("""COMPUTED_VALUE"""),"Buckle Up")</f>
        <v>Buckle Up</v>
      </c>
      <c r="B345" s="76" t="str">
        <f>IFERROR(__xludf.DUMMYFUNCTION("""COMPUTED_VALUE"""),"Enduring Enchantments")</f>
        <v>Enduring Enchantments</v>
      </c>
      <c r="C345" s="77">
        <f>IFERROR(__xludf.DUMMYFUNCTION("""COMPUTED_VALUE"""),0.0)</f>
        <v>0</v>
      </c>
      <c r="D345" s="77">
        <f>IFERROR(__xludf.DUMMYFUNCTION("""COMPUTED_VALUE"""),0.0)</f>
        <v>0</v>
      </c>
      <c r="E345" s="46" t="b">
        <f>IFERROR(__xludf.DUMMYFUNCTION("""COMPUTED_VALUE"""),TRUE)</f>
        <v>1</v>
      </c>
    </row>
    <row r="346" hidden="1">
      <c r="A346" s="76" t="str">
        <f>IFERROR(__xludf.DUMMYFUNCTION("""COMPUTED_VALUE"""),"Buckle Up")</f>
        <v>Buckle Up</v>
      </c>
      <c r="B346" s="76" t="str">
        <f>IFERROR(__xludf.DUMMYFUNCTION("""COMPUTED_VALUE"""),"Explorers of the Deep")</f>
        <v>Explorers of the Deep</v>
      </c>
      <c r="C346" s="77">
        <f>IFERROR(__xludf.DUMMYFUNCTION("""COMPUTED_VALUE"""),0.0)</f>
        <v>0</v>
      </c>
      <c r="D346" s="77">
        <f>IFERROR(__xludf.DUMMYFUNCTION("""COMPUTED_VALUE"""),0.0)</f>
        <v>0</v>
      </c>
      <c r="E346" s="46" t="b">
        <f>IFERROR(__xludf.DUMMYFUNCTION("""COMPUTED_VALUE"""),TRUE)</f>
        <v>1</v>
      </c>
    </row>
    <row r="347" hidden="1">
      <c r="A347" s="76" t="str">
        <f>IFERROR(__xludf.DUMMYFUNCTION("""COMPUTED_VALUE"""),"Buckle Up")</f>
        <v>Buckle Up</v>
      </c>
      <c r="B347" s="76" t="str">
        <f>IFERROR(__xludf.DUMMYFUNCTION("""COMPUTED_VALUE"""),"Family Matters")</f>
        <v>Family Matters</v>
      </c>
      <c r="C347" s="77">
        <f>IFERROR(__xludf.DUMMYFUNCTION("""COMPUTED_VALUE"""),0.0)</f>
        <v>0</v>
      </c>
      <c r="D347" s="77">
        <f>IFERROR(__xludf.DUMMYFUNCTION("""COMPUTED_VALUE"""),0.0)</f>
        <v>0</v>
      </c>
      <c r="E347" s="46" t="b">
        <f>IFERROR(__xludf.DUMMYFUNCTION("""COMPUTED_VALUE"""),TRUE)</f>
        <v>1</v>
      </c>
    </row>
    <row r="348" hidden="1">
      <c r="A348" s="76" t="str">
        <f>IFERROR(__xludf.DUMMYFUNCTION("""COMPUTED_VALUE"""),"Buckle Up")</f>
        <v>Buckle Up</v>
      </c>
      <c r="B348" s="76" t="str">
        <f>IFERROR(__xludf.DUMMYFUNCTION("""COMPUTED_VALUE"""),"Food and Fellowship")</f>
        <v>Food and Fellowship</v>
      </c>
      <c r="C348" s="77">
        <f>IFERROR(__xludf.DUMMYFUNCTION("""COMPUTED_VALUE"""),0.0)</f>
        <v>0</v>
      </c>
      <c r="D348" s="77">
        <f>IFERROR(__xludf.DUMMYFUNCTION("""COMPUTED_VALUE"""),0.0)</f>
        <v>0</v>
      </c>
      <c r="E348" s="46" t="b">
        <f>IFERROR(__xludf.DUMMYFUNCTION("""COMPUTED_VALUE"""),TRUE)</f>
        <v>1</v>
      </c>
    </row>
    <row r="349">
      <c r="A349" s="76" t="str">
        <f>IFERROR(__xludf.DUMMYFUNCTION("""COMPUTED_VALUE"""),"Buckle Up")</f>
        <v>Buckle Up</v>
      </c>
      <c r="B349" s="76" t="str">
        <f>IFERROR(__xludf.DUMMYFUNCTION("""COMPUTED_VALUE"""),"Jeskai Striker")</f>
        <v>Jeskai Striker</v>
      </c>
      <c r="C349" s="77">
        <f>IFERROR(__xludf.DUMMYFUNCTION("""COMPUTED_VALUE"""),0.0)</f>
        <v>0</v>
      </c>
      <c r="D349" s="77">
        <f>IFERROR(__xludf.DUMMYFUNCTION("""COMPUTED_VALUE"""),1.0)</f>
        <v>1</v>
      </c>
      <c r="E349" s="46" t="b">
        <f>IFERROR(__xludf.DUMMYFUNCTION("""COMPUTED_VALUE"""),FALSE)</f>
        <v>0</v>
      </c>
    </row>
    <row r="350">
      <c r="A350" s="78" t="str">
        <f>IFERROR(__xludf.DUMMYFUNCTION("""COMPUTED_VALUE"""),"Buckle Up")</f>
        <v>Buckle Up</v>
      </c>
      <c r="B350" s="78" t="str">
        <f>IFERROR(__xludf.DUMMYFUNCTION("""COMPUTED_VALUE"""),"Legends' Legacy")</f>
        <v>Legends' Legacy</v>
      </c>
      <c r="C350" s="79">
        <f>IFERROR(__xludf.DUMMYFUNCTION("""COMPUTED_VALUE"""),0.0)</f>
        <v>0</v>
      </c>
      <c r="D350" s="79">
        <f>IFERROR(__xludf.DUMMYFUNCTION("""COMPUTED_VALUE"""),0.0)</f>
        <v>0</v>
      </c>
      <c r="E350" s="69" t="b">
        <f>IFERROR(__xludf.DUMMYFUNCTION("""COMPUTED_VALUE"""),TRUE)</f>
        <v>1</v>
      </c>
    </row>
    <row r="351" hidden="1">
      <c r="A351" s="76" t="str">
        <f>IFERROR(__xludf.DUMMYFUNCTION("""COMPUTED_VALUE"""),"Buckle Up")</f>
        <v>Buckle Up</v>
      </c>
      <c r="B351" s="76" t="str">
        <f>IFERROR(__xludf.DUMMYFUNCTION("""COMPUTED_VALUE"""),"Limit Break")</f>
        <v>Limit Break</v>
      </c>
      <c r="C351" s="77">
        <f>IFERROR(__xludf.DUMMYFUNCTION("""COMPUTED_VALUE"""),0.0)</f>
        <v>0</v>
      </c>
      <c r="D351" s="77">
        <f>IFERROR(__xludf.DUMMYFUNCTION("""COMPUTED_VALUE"""),0.0)</f>
        <v>0</v>
      </c>
      <c r="E351" s="46" t="b">
        <f>IFERROR(__xludf.DUMMYFUNCTION("""COMPUTED_VALUE"""),TRUE)</f>
        <v>1</v>
      </c>
    </row>
    <row r="352" hidden="1">
      <c r="A352" s="78" t="str">
        <f>IFERROR(__xludf.DUMMYFUNCTION("""COMPUTED_VALUE"""),"Buckle Up")</f>
        <v>Buckle Up</v>
      </c>
      <c r="B352" s="78" t="str">
        <f>IFERROR(__xludf.DUMMYFUNCTION("""COMPUTED_VALUE"""),"Lorehold Spirit")</f>
        <v>Lorehold Spirit</v>
      </c>
      <c r="C352" s="79">
        <f>IFERROR(__xludf.DUMMYFUNCTION("""COMPUTED_VALUE"""),0.0)</f>
        <v>0</v>
      </c>
      <c r="D352" s="79">
        <f>IFERROR(__xludf.DUMMYFUNCTION("""COMPUTED_VALUE"""),0.0)</f>
        <v>0</v>
      </c>
      <c r="E352" s="69" t="b">
        <f>IFERROR(__xludf.DUMMYFUNCTION("""COMPUTED_VALUE"""),TRUE)</f>
        <v>1</v>
      </c>
    </row>
    <row r="353" hidden="1">
      <c r="A353" s="76" t="str">
        <f>IFERROR(__xludf.DUMMYFUNCTION("""COMPUTED_VALUE"""),"Buckle Up")</f>
        <v>Buckle Up</v>
      </c>
      <c r="B353" s="76" t="str">
        <f>IFERROR(__xludf.DUMMYFUNCTION("""COMPUTED_VALUE"""),"Mutant Menace")</f>
        <v>Mutant Menace</v>
      </c>
      <c r="C353" s="77">
        <f>IFERROR(__xludf.DUMMYFUNCTION("""COMPUTED_VALUE"""),0.0)</f>
        <v>0</v>
      </c>
      <c r="D353" s="77">
        <f>IFERROR(__xludf.DUMMYFUNCTION("""COMPUTED_VALUE"""),0.0)</f>
        <v>0</v>
      </c>
      <c r="E353" s="46" t="b">
        <f>IFERROR(__xludf.DUMMYFUNCTION("""COMPUTED_VALUE"""),TRUE)</f>
        <v>1</v>
      </c>
    </row>
    <row r="354" hidden="1">
      <c r="A354" s="76" t="str">
        <f>IFERROR(__xludf.DUMMYFUNCTION("""COMPUTED_VALUE"""),"Buckle Up")</f>
        <v>Buckle Up</v>
      </c>
      <c r="B354" s="76" t="str">
        <f>IFERROR(__xludf.DUMMYFUNCTION("""COMPUTED_VALUE"""),"Party Time")</f>
        <v>Party Time</v>
      </c>
      <c r="C354" s="77">
        <f>IFERROR(__xludf.DUMMYFUNCTION("""COMPUTED_VALUE"""),0.0)</f>
        <v>0</v>
      </c>
      <c r="D354" s="77">
        <f>IFERROR(__xludf.DUMMYFUNCTION("""COMPUTED_VALUE"""),0.0)</f>
        <v>0</v>
      </c>
      <c r="E354" s="46" t="b">
        <f>IFERROR(__xludf.DUMMYFUNCTION("""COMPUTED_VALUE"""),TRUE)</f>
        <v>1</v>
      </c>
    </row>
    <row r="355" hidden="1">
      <c r="A355" s="78" t="str">
        <f>IFERROR(__xludf.DUMMYFUNCTION("""COMPUTED_VALUE"""),"Buckle Up")</f>
        <v>Buckle Up</v>
      </c>
      <c r="B355" s="78" t="str">
        <f>IFERROR(__xludf.DUMMYFUNCTION("""COMPUTED_VALUE"""),"Peace Offering")</f>
        <v>Peace Offering</v>
      </c>
      <c r="C355" s="79">
        <f>IFERROR(__xludf.DUMMYFUNCTION("""COMPUTED_VALUE"""),0.0)</f>
        <v>0</v>
      </c>
      <c r="D355" s="79">
        <f>IFERROR(__xludf.DUMMYFUNCTION("""COMPUTED_VALUE"""),0.0)</f>
        <v>0</v>
      </c>
      <c r="E355" s="69" t="b">
        <f>IFERROR(__xludf.DUMMYFUNCTION("""COMPUTED_VALUE"""),TRUE)</f>
        <v>1</v>
      </c>
    </row>
    <row r="356" hidden="1">
      <c r="A356" s="76" t="str">
        <f>IFERROR(__xludf.DUMMYFUNCTION("""COMPUTED_VALUE"""),"Buckle Up")</f>
        <v>Buckle Up</v>
      </c>
      <c r="B356" s="76" t="str">
        <f>IFERROR(__xludf.DUMMYFUNCTION("""COMPUTED_VALUE"""),"Power Hungry")</f>
        <v>Power Hungry</v>
      </c>
      <c r="C356" s="77">
        <f>IFERROR(__xludf.DUMMYFUNCTION("""COMPUTED_VALUE"""),0.0)</f>
        <v>0</v>
      </c>
      <c r="D356" s="77">
        <f>IFERROR(__xludf.DUMMYFUNCTION("""COMPUTED_VALUE"""),0.0)</f>
        <v>0</v>
      </c>
      <c r="E356" s="46" t="b">
        <f>IFERROR(__xludf.DUMMYFUNCTION("""COMPUTED_VALUE"""),TRUE)</f>
        <v>1</v>
      </c>
    </row>
    <row r="357" hidden="1">
      <c r="A357" s="76" t="str">
        <f>IFERROR(__xludf.DUMMYFUNCTION("""COMPUTED_VALUE"""),"Buckle Up")</f>
        <v>Buckle Up</v>
      </c>
      <c r="B357" s="76" t="str">
        <f>IFERROR(__xludf.DUMMYFUNCTION("""COMPUTED_VALUE"""),"Primal Genesis")</f>
        <v>Primal Genesis</v>
      </c>
      <c r="C357" s="77">
        <f>IFERROR(__xludf.DUMMYFUNCTION("""COMPUTED_VALUE"""),0.0)</f>
        <v>0</v>
      </c>
      <c r="D357" s="77">
        <f>IFERROR(__xludf.DUMMYFUNCTION("""COMPUTED_VALUE"""),0.0)</f>
        <v>0</v>
      </c>
      <c r="E357" s="46" t="b">
        <f>IFERROR(__xludf.DUMMYFUNCTION("""COMPUTED_VALUE"""),TRUE)</f>
        <v>1</v>
      </c>
    </row>
    <row r="358">
      <c r="A358" s="76" t="str">
        <f>IFERROR(__xludf.DUMMYFUNCTION("""COMPUTED_VALUE"""),"Buckle Up")</f>
        <v>Buckle Up</v>
      </c>
      <c r="B358" s="76" t="str">
        <f>IFERROR(__xludf.DUMMYFUNCTION("""COMPUTED_VALUE"""),"Prismari Artistry")</f>
        <v>Prismari Artistry</v>
      </c>
      <c r="C358" s="77">
        <f>IFERROR(__xludf.DUMMYFUNCTION("""COMPUTED_VALUE"""),0.0)</f>
        <v>0</v>
      </c>
      <c r="D358" s="77">
        <f>IFERROR(__xludf.DUMMYFUNCTION("""COMPUTED_VALUE"""),0.0)</f>
        <v>0</v>
      </c>
      <c r="E358" s="46" t="b">
        <f>IFERROR(__xludf.DUMMYFUNCTION("""COMPUTED_VALUE"""),TRUE)</f>
        <v>1</v>
      </c>
    </row>
    <row r="359" hidden="1">
      <c r="A359" s="76" t="str">
        <f>IFERROR(__xludf.DUMMYFUNCTION("""COMPUTED_VALUE"""),"Buckle Up")</f>
        <v>Buckle Up</v>
      </c>
      <c r="B359" s="76" t="str">
        <f>IFERROR(__xludf.DUMMYFUNCTION("""COMPUTED_VALUE"""),"Prismari Performance")</f>
        <v>Prismari Performance</v>
      </c>
      <c r="C359" s="77">
        <f>IFERROR(__xludf.DUMMYFUNCTION("""COMPUTED_VALUE"""),0.0)</f>
        <v>0</v>
      </c>
      <c r="D359" s="77">
        <f>IFERROR(__xludf.DUMMYFUNCTION("""COMPUTED_VALUE"""),0.0)</f>
        <v>0</v>
      </c>
      <c r="E359" s="46" t="b">
        <f>IFERROR(__xludf.DUMMYFUNCTION("""COMPUTED_VALUE"""),TRUE)</f>
        <v>1</v>
      </c>
    </row>
    <row r="360" hidden="1">
      <c r="A360" s="78" t="str">
        <f>IFERROR(__xludf.DUMMYFUNCTION("""COMPUTED_VALUE"""),"Buckle Up")</f>
        <v>Buckle Up</v>
      </c>
      <c r="B360" s="78" t="str">
        <f>IFERROR(__xludf.DUMMYFUNCTION("""COMPUTED_VALUE"""),"Quandrix Unlimited")</f>
        <v>Quandrix Unlimited</v>
      </c>
      <c r="C360" s="79">
        <f>IFERROR(__xludf.DUMMYFUNCTION("""COMPUTED_VALUE"""),0.0)</f>
        <v>0</v>
      </c>
      <c r="D360" s="79">
        <f>IFERROR(__xludf.DUMMYFUNCTION("""COMPUTED_VALUE"""),0.0)</f>
        <v>0</v>
      </c>
      <c r="E360" s="69" t="b">
        <f>IFERROR(__xludf.DUMMYFUNCTION("""COMPUTED_VALUE"""),TRUE)</f>
        <v>1</v>
      </c>
    </row>
    <row r="361" hidden="1">
      <c r="A361" s="76" t="str">
        <f>IFERROR(__xludf.DUMMYFUNCTION("""COMPUTED_VALUE"""),"Buckle Up")</f>
        <v>Buckle Up</v>
      </c>
      <c r="B361" s="76" t="str">
        <f>IFERROR(__xludf.DUMMYFUNCTION("""COMPUTED_VALUE"""),"Quick Draw")</f>
        <v>Quick Draw</v>
      </c>
      <c r="C361" s="77">
        <f>IFERROR(__xludf.DUMMYFUNCTION("""COMPUTED_VALUE"""),0.0)</f>
        <v>0</v>
      </c>
      <c r="D361" s="77">
        <f>IFERROR(__xludf.DUMMYFUNCTION("""COMPUTED_VALUE"""),0.0)</f>
        <v>0</v>
      </c>
      <c r="E361" s="46" t="b">
        <f>IFERROR(__xludf.DUMMYFUNCTION("""COMPUTED_VALUE"""),TRUE)</f>
        <v>1</v>
      </c>
    </row>
    <row r="362" hidden="1">
      <c r="A362" s="76" t="str">
        <f>IFERROR(__xludf.DUMMYFUNCTION("""COMPUTED_VALUE"""),"Buckle Up")</f>
        <v>Buckle Up</v>
      </c>
      <c r="B362" s="76" t="str">
        <f>IFERROR(__xludf.DUMMYFUNCTION("""COMPUTED_VALUE"""),"Reap the Tides")</f>
        <v>Reap the Tides</v>
      </c>
      <c r="C362" s="77">
        <f>IFERROR(__xludf.DUMMYFUNCTION("""COMPUTED_VALUE"""),0.0)</f>
        <v>0</v>
      </c>
      <c r="D362" s="77">
        <f>IFERROR(__xludf.DUMMYFUNCTION("""COMPUTED_VALUE"""),0.0)</f>
        <v>0</v>
      </c>
      <c r="E362" s="46" t="b">
        <f>IFERROR(__xludf.DUMMYFUNCTION("""COMPUTED_VALUE"""),TRUE)</f>
        <v>1</v>
      </c>
    </row>
    <row r="363">
      <c r="A363" s="76" t="str">
        <f>IFERROR(__xludf.DUMMYFUNCTION("""COMPUTED_VALUE"""),"Buckle Up")</f>
        <v>Buckle Up</v>
      </c>
      <c r="B363" s="76" t="str">
        <f>IFERROR(__xludf.DUMMYFUNCTION("""COMPUTED_VALUE"""),"Rebellion Rising")</f>
        <v>Rebellion Rising</v>
      </c>
      <c r="C363" s="77">
        <f>IFERROR(__xludf.DUMMYFUNCTION("""COMPUTED_VALUE"""),0.0)</f>
        <v>0</v>
      </c>
      <c r="D363" s="77">
        <f>IFERROR(__xludf.DUMMYFUNCTION("""COMPUTED_VALUE"""),0.0)</f>
        <v>0</v>
      </c>
      <c r="E363" s="46" t="b">
        <f>IFERROR(__xludf.DUMMYFUNCTION("""COMPUTED_VALUE"""),TRUE)</f>
        <v>1</v>
      </c>
    </row>
    <row r="364" hidden="1">
      <c r="A364" s="78" t="str">
        <f>IFERROR(__xludf.DUMMYFUNCTION("""COMPUTED_VALUE"""),"Buckle Up")</f>
        <v>Buckle Up</v>
      </c>
      <c r="B364" s="78" t="str">
        <f>IFERROR(__xludf.DUMMYFUNCTION("""COMPUTED_VALUE"""),"Revival Trance")</f>
        <v>Revival Trance</v>
      </c>
      <c r="C364" s="79">
        <f>IFERROR(__xludf.DUMMYFUNCTION("""COMPUTED_VALUE"""),0.0)</f>
        <v>0</v>
      </c>
      <c r="D364" s="79">
        <f>IFERROR(__xludf.DUMMYFUNCTION("""COMPUTED_VALUE"""),0.0)</f>
        <v>0</v>
      </c>
      <c r="E364" s="69" t="b">
        <f>IFERROR(__xludf.DUMMYFUNCTION("""COMPUTED_VALUE"""),TRUE)</f>
        <v>1</v>
      </c>
    </row>
    <row r="365" hidden="1">
      <c r="A365" s="78" t="str">
        <f>IFERROR(__xludf.DUMMYFUNCTION("""COMPUTED_VALUE"""),"Buckle Up")</f>
        <v>Buckle Up</v>
      </c>
      <c r="B365" s="78" t="str">
        <f>IFERROR(__xludf.DUMMYFUNCTION("""COMPUTED_VALUE"""),"Riders of Rohan")</f>
        <v>Riders of Rohan</v>
      </c>
      <c r="C365" s="79">
        <f>IFERROR(__xludf.DUMMYFUNCTION("""COMPUTED_VALUE"""),0.0)</f>
        <v>0</v>
      </c>
      <c r="D365" s="79">
        <f>IFERROR(__xludf.DUMMYFUNCTION("""COMPUTED_VALUE"""),0.0)</f>
        <v>0</v>
      </c>
      <c r="E365" s="69" t="b">
        <f>IFERROR(__xludf.DUMMYFUNCTION("""COMPUTED_VALUE"""),TRUE)</f>
        <v>1</v>
      </c>
    </row>
    <row r="366" hidden="1">
      <c r="A366" s="76" t="str">
        <f>IFERROR(__xludf.DUMMYFUNCTION("""COMPUTED_VALUE"""),"Buckle Up")</f>
        <v>Buckle Up</v>
      </c>
      <c r="B366" s="76" t="str">
        <f>IFERROR(__xludf.DUMMYFUNCTION("""COMPUTED_VALUE"""),"Science!")</f>
        <v>Science!</v>
      </c>
      <c r="C366" s="77">
        <f>IFERROR(__xludf.DUMMYFUNCTION("""COMPUTED_VALUE"""),0.0)</f>
        <v>0</v>
      </c>
      <c r="D366" s="77">
        <f>IFERROR(__xludf.DUMMYFUNCTION("""COMPUTED_VALUE"""),0.0)</f>
        <v>0</v>
      </c>
      <c r="E366" s="46" t="b">
        <f>IFERROR(__xludf.DUMMYFUNCTION("""COMPUTED_VALUE"""),TRUE)</f>
        <v>1</v>
      </c>
    </row>
    <row r="367" hidden="1">
      <c r="A367" s="78" t="str">
        <f>IFERROR(__xludf.DUMMYFUNCTION("""COMPUTED_VALUE"""),"Buckle Up")</f>
        <v>Buckle Up</v>
      </c>
      <c r="B367" s="78" t="str">
        <f>IFERROR(__xludf.DUMMYFUNCTION("""COMPUTED_VALUE"""),"Scions &amp; Spellcraft")</f>
        <v>Scions &amp; Spellcraft</v>
      </c>
      <c r="C367" s="79">
        <f>IFERROR(__xludf.DUMMYFUNCTION("""COMPUTED_VALUE"""),0.0)</f>
        <v>0</v>
      </c>
      <c r="D367" s="79">
        <f>IFERROR(__xludf.DUMMYFUNCTION("""COMPUTED_VALUE"""),0.0)</f>
        <v>0</v>
      </c>
      <c r="E367" s="69" t="b">
        <f>IFERROR(__xludf.DUMMYFUNCTION("""COMPUTED_VALUE"""),TRUE)</f>
        <v>1</v>
      </c>
    </row>
    <row r="368">
      <c r="A368" s="76" t="str">
        <f>IFERROR(__xludf.DUMMYFUNCTION("""COMPUTED_VALUE"""),"Buckle Up")</f>
        <v>Buckle Up</v>
      </c>
      <c r="B368" s="76" t="str">
        <f>IFERROR(__xludf.DUMMYFUNCTION("""COMPUTED_VALUE"""),"Scrappy Survivors")</f>
        <v>Scrappy Survivors</v>
      </c>
      <c r="C368" s="77">
        <f>IFERROR(__xludf.DUMMYFUNCTION("""COMPUTED_VALUE"""),0.0)</f>
        <v>0</v>
      </c>
      <c r="D368" s="77">
        <f>IFERROR(__xludf.DUMMYFUNCTION("""COMPUTED_VALUE"""),0.0)</f>
        <v>0</v>
      </c>
      <c r="E368" s="46" t="b">
        <f>IFERROR(__xludf.DUMMYFUNCTION("""COMPUTED_VALUE"""),TRUE)</f>
        <v>1</v>
      </c>
    </row>
    <row r="369" hidden="1">
      <c r="A369" s="76" t="str">
        <f>IFERROR(__xludf.DUMMYFUNCTION("""COMPUTED_VALUE"""),"Buckle Up")</f>
        <v>Buckle Up</v>
      </c>
      <c r="B369" s="76" t="str">
        <f>IFERROR(__xludf.DUMMYFUNCTION("""COMPUTED_VALUE"""),"Silverquill Influence")</f>
        <v>Silverquill Influence</v>
      </c>
      <c r="C369" s="77">
        <f>IFERROR(__xludf.DUMMYFUNCTION("""COMPUTED_VALUE"""),0.0)</f>
        <v>0</v>
      </c>
      <c r="D369" s="77">
        <f>IFERROR(__xludf.DUMMYFUNCTION("""COMPUTED_VALUE"""),0.0)</f>
        <v>0</v>
      </c>
      <c r="E369" s="46" t="b">
        <f>IFERROR(__xludf.DUMMYFUNCTION("""COMPUTED_VALUE"""),TRUE)</f>
        <v>1</v>
      </c>
    </row>
    <row r="370" hidden="1">
      <c r="A370" s="76" t="str">
        <f>IFERROR(__xludf.DUMMYFUNCTION("""COMPUTED_VALUE"""),"Buckle Up")</f>
        <v>Buckle Up</v>
      </c>
      <c r="B370" s="76" t="str">
        <f>IFERROR(__xludf.DUMMYFUNCTION("""COMPUTED_VALUE"""),"Spirit Squadron")</f>
        <v>Spirit Squadron</v>
      </c>
      <c r="C370" s="77">
        <f>IFERROR(__xludf.DUMMYFUNCTION("""COMPUTED_VALUE"""),0.0)</f>
        <v>0</v>
      </c>
      <c r="D370" s="77">
        <f>IFERROR(__xludf.DUMMYFUNCTION("""COMPUTED_VALUE"""),0.0)</f>
        <v>0</v>
      </c>
      <c r="E370" s="46" t="b">
        <f>IFERROR(__xludf.DUMMYFUNCTION("""COMPUTED_VALUE"""),TRUE)</f>
        <v>1</v>
      </c>
    </row>
    <row r="371" hidden="1">
      <c r="A371" s="76" t="str">
        <f>IFERROR(__xludf.DUMMYFUNCTION("""COMPUTED_VALUE"""),"Buckle Up")</f>
        <v>Buckle Up</v>
      </c>
      <c r="B371" s="76" t="str">
        <f>IFERROR(__xludf.DUMMYFUNCTION("""COMPUTED_VALUE"""),"Squirreled Away")</f>
        <v>Squirreled Away</v>
      </c>
      <c r="C371" s="77">
        <f>IFERROR(__xludf.DUMMYFUNCTION("""COMPUTED_VALUE"""),0.0)</f>
        <v>0</v>
      </c>
      <c r="D371" s="77">
        <f>IFERROR(__xludf.DUMMYFUNCTION("""COMPUTED_VALUE"""),0.0)</f>
        <v>0</v>
      </c>
      <c r="E371" s="46" t="b">
        <f>IFERROR(__xludf.DUMMYFUNCTION("""COMPUTED_VALUE"""),TRUE)</f>
        <v>1</v>
      </c>
    </row>
    <row r="372" hidden="1">
      <c r="A372" s="76" t="str">
        <f>IFERROR(__xludf.DUMMYFUNCTION("""COMPUTED_VALUE"""),"Buckle Up")</f>
        <v>Buckle Up</v>
      </c>
      <c r="B372" s="76" t="str">
        <f>IFERROR(__xludf.DUMMYFUNCTION("""COMPUTED_VALUE"""),"Sultai Arisen")</f>
        <v>Sultai Arisen</v>
      </c>
      <c r="C372" s="77">
        <f>IFERROR(__xludf.DUMMYFUNCTION("""COMPUTED_VALUE"""),0.0)</f>
        <v>0</v>
      </c>
      <c r="D372" s="77">
        <f>IFERROR(__xludf.DUMMYFUNCTION("""COMPUTED_VALUE"""),0.0)</f>
        <v>0</v>
      </c>
      <c r="E372" s="46" t="b">
        <f>IFERROR(__xludf.DUMMYFUNCTION("""COMPUTED_VALUE"""),TRUE)</f>
        <v>1</v>
      </c>
    </row>
    <row r="373" hidden="1">
      <c r="A373" s="76" t="str">
        <f>IFERROR(__xludf.DUMMYFUNCTION("""COMPUTED_VALUE"""),"Buckle Up")</f>
        <v>Buckle Up</v>
      </c>
      <c r="B373" s="76" t="str">
        <f>IFERROR(__xludf.DUMMYFUNCTION("""COMPUTED_VALUE"""),"Temur Roar")</f>
        <v>Temur Roar</v>
      </c>
      <c r="C373" s="77">
        <f>IFERROR(__xludf.DUMMYFUNCTION("""COMPUTED_VALUE"""),0.0)</f>
        <v>0</v>
      </c>
      <c r="D373" s="77">
        <f>IFERROR(__xludf.DUMMYFUNCTION("""COMPUTED_VALUE"""),0.0)</f>
        <v>0</v>
      </c>
      <c r="E373" s="46" t="b">
        <f>IFERROR(__xludf.DUMMYFUNCTION("""COMPUTED_VALUE"""),TRUE)</f>
        <v>1</v>
      </c>
    </row>
    <row r="374" hidden="1">
      <c r="A374" s="78" t="str">
        <f>IFERROR(__xludf.DUMMYFUNCTION("""COMPUTED_VALUE"""),"Buckle Up")</f>
        <v>Buckle Up</v>
      </c>
      <c r="B374" s="78" t="str">
        <f>IFERROR(__xludf.DUMMYFUNCTION("""COMPUTED_VALUE"""),"The Hosts of Mordor")</f>
        <v>The Hosts of Mordor</v>
      </c>
      <c r="C374" s="79">
        <f>IFERROR(__xludf.DUMMYFUNCTION("""COMPUTED_VALUE"""),0.0)</f>
        <v>0</v>
      </c>
      <c r="D374" s="79">
        <f>IFERROR(__xludf.DUMMYFUNCTION("""COMPUTED_VALUE"""),0.0)</f>
        <v>0</v>
      </c>
      <c r="E374" s="69" t="b">
        <f>IFERROR(__xludf.DUMMYFUNCTION("""COMPUTED_VALUE"""),TRUE)</f>
        <v>1</v>
      </c>
    </row>
    <row r="375" hidden="1">
      <c r="A375" s="78" t="str">
        <f>IFERROR(__xludf.DUMMYFUNCTION("""COMPUTED_VALUE"""),"Buckle Up")</f>
        <v>Buckle Up</v>
      </c>
      <c r="B375" s="78" t="str">
        <f>IFERROR(__xludf.DUMMYFUNCTION("""COMPUTED_VALUE"""),"The Ruinous Powers")</f>
        <v>The Ruinous Powers</v>
      </c>
      <c r="C375" s="79">
        <f>IFERROR(__xludf.DUMMYFUNCTION("""COMPUTED_VALUE"""),0.0)</f>
        <v>0</v>
      </c>
      <c r="D375" s="79">
        <f>IFERROR(__xludf.DUMMYFUNCTION("""COMPUTED_VALUE"""),0.0)</f>
        <v>0</v>
      </c>
      <c r="E375" s="69" t="b">
        <f>IFERROR(__xludf.DUMMYFUNCTION("""COMPUTED_VALUE"""),TRUE)</f>
        <v>1</v>
      </c>
    </row>
    <row r="376" hidden="1">
      <c r="A376" s="78" t="str">
        <f>IFERROR(__xludf.DUMMYFUNCTION("""COMPUTED_VALUE"""),"Buckle Up")</f>
        <v>Buckle Up</v>
      </c>
      <c r="B376" s="78" t="str">
        <f>IFERROR(__xludf.DUMMYFUNCTION("""COMPUTED_VALUE"""),"Timey-Wimey")</f>
        <v>Timey-Wimey</v>
      </c>
      <c r="C376" s="79">
        <f>IFERROR(__xludf.DUMMYFUNCTION("""COMPUTED_VALUE"""),0.0)</f>
        <v>0</v>
      </c>
      <c r="D376" s="79">
        <f>IFERROR(__xludf.DUMMYFUNCTION("""COMPUTED_VALUE"""),0.0)</f>
        <v>0</v>
      </c>
      <c r="E376" s="69" t="b">
        <f>IFERROR(__xludf.DUMMYFUNCTION("""COMPUTED_VALUE"""),TRUE)</f>
        <v>1</v>
      </c>
    </row>
    <row r="377" hidden="1">
      <c r="A377" s="78" t="str">
        <f>IFERROR(__xludf.DUMMYFUNCTION("""COMPUTED_VALUE"""),"Buckle Up")</f>
        <v>Buckle Up</v>
      </c>
      <c r="B377" s="78" t="str">
        <f>IFERROR(__xludf.DUMMYFUNCTION("""COMPUTED_VALUE"""),"Tinker Time")</f>
        <v>Tinker Time</v>
      </c>
      <c r="C377" s="79">
        <f>IFERROR(__xludf.DUMMYFUNCTION("""COMPUTED_VALUE"""),0.0)</f>
        <v>0</v>
      </c>
      <c r="D377" s="79">
        <f>IFERROR(__xludf.DUMMYFUNCTION("""COMPUTED_VALUE"""),0.0)</f>
        <v>0</v>
      </c>
      <c r="E377" s="69" t="b">
        <f>IFERROR(__xludf.DUMMYFUNCTION("""COMPUTED_VALUE"""),TRUE)</f>
        <v>1</v>
      </c>
    </row>
    <row r="378">
      <c r="A378" s="78" t="str">
        <f>IFERROR(__xludf.DUMMYFUNCTION("""COMPUTED_VALUE"""),"Buckle Up")</f>
        <v>Buckle Up</v>
      </c>
      <c r="B378" s="78" t="str">
        <f>IFERROR(__xludf.DUMMYFUNCTION("""COMPUTED_VALUE"""),"Turtle Power!")</f>
        <v>Turtle Power!</v>
      </c>
      <c r="C378" s="79">
        <f>IFERROR(__xludf.DUMMYFUNCTION("""COMPUTED_VALUE"""),0.0)</f>
        <v>0</v>
      </c>
      <c r="D378" s="79">
        <f>IFERROR(__xludf.DUMMYFUNCTION("""COMPUTED_VALUE"""),0.0)</f>
        <v>0</v>
      </c>
      <c r="E378" s="69" t="b">
        <f>IFERROR(__xludf.DUMMYFUNCTION("""COMPUTED_VALUE"""),TRUE)</f>
        <v>1</v>
      </c>
    </row>
    <row r="379" hidden="1">
      <c r="A379" s="76" t="str">
        <f>IFERROR(__xludf.DUMMYFUNCTION("""COMPUTED_VALUE"""),"Buckle Up")</f>
        <v>Buckle Up</v>
      </c>
      <c r="B379" s="76" t="str">
        <f>IFERROR(__xludf.DUMMYFUNCTION("""COMPUTED_VALUE"""),"Veloci-ramp-tor")</f>
        <v>Veloci-ramp-tor</v>
      </c>
      <c r="C379" s="77">
        <f>IFERROR(__xludf.DUMMYFUNCTION("""COMPUTED_VALUE"""),0.0)</f>
        <v>0</v>
      </c>
      <c r="D379" s="77">
        <f>IFERROR(__xludf.DUMMYFUNCTION("""COMPUTED_VALUE"""),0.0)</f>
        <v>0</v>
      </c>
      <c r="E379" s="46" t="b">
        <f>IFERROR(__xludf.DUMMYFUNCTION("""COMPUTED_VALUE"""),TRUE)</f>
        <v>1</v>
      </c>
    </row>
    <row r="380" hidden="1">
      <c r="A380" s="76" t="str">
        <f>IFERROR(__xludf.DUMMYFUNCTION("""COMPUTED_VALUE"""),"Cabaretti Cacophony")</f>
        <v>Cabaretti Cacophony</v>
      </c>
      <c r="B380" s="76" t="str">
        <f>IFERROR(__xludf.DUMMYFUNCTION("""COMPUTED_VALUE"""),"Ahoy Mateys")</f>
        <v>Ahoy Mateys</v>
      </c>
      <c r="C380" s="77">
        <f>IFERROR(__xludf.DUMMYFUNCTION("""COMPUTED_VALUE"""),0.0)</f>
        <v>0</v>
      </c>
      <c r="D380" s="77">
        <f>IFERROR(__xludf.DUMMYFUNCTION("""COMPUTED_VALUE"""),0.0)</f>
        <v>0</v>
      </c>
      <c r="E380" s="46" t="b">
        <f>IFERROR(__xludf.DUMMYFUNCTION("""COMPUTED_VALUE"""),TRUE)</f>
        <v>1</v>
      </c>
    </row>
    <row r="381" hidden="1">
      <c r="A381" s="76" t="str">
        <f>IFERROR(__xludf.DUMMYFUNCTION("""COMPUTED_VALUE"""),"Cabaretti Cacophony")</f>
        <v>Cabaretti Cacophony</v>
      </c>
      <c r="B381" s="76" t="str">
        <f>IFERROR(__xludf.DUMMYFUNCTION("""COMPUTED_VALUE"""),"Animated Army")</f>
        <v>Animated Army</v>
      </c>
      <c r="C381" s="77">
        <f>IFERROR(__xludf.DUMMYFUNCTION("""COMPUTED_VALUE"""),0.0)</f>
        <v>0</v>
      </c>
      <c r="D381" s="77">
        <f>IFERROR(__xludf.DUMMYFUNCTION("""COMPUTED_VALUE"""),0.0)</f>
        <v>0</v>
      </c>
      <c r="E381" s="46" t="b">
        <f>IFERROR(__xludf.DUMMYFUNCTION("""COMPUTED_VALUE"""),TRUE)</f>
        <v>1</v>
      </c>
    </row>
    <row r="382">
      <c r="A382" s="76" t="str">
        <f>IFERROR(__xludf.DUMMYFUNCTION("""COMPUTED_VALUE"""),"Cabaretti Cacophony")</f>
        <v>Cabaretti Cacophony</v>
      </c>
      <c r="B382" s="76" t="str">
        <f>IFERROR(__xludf.DUMMYFUNCTION("""COMPUTED_VALUE"""),"Arcane Maelstrom")</f>
        <v>Arcane Maelstrom</v>
      </c>
      <c r="C382" s="77">
        <f>IFERROR(__xludf.DUMMYFUNCTION("""COMPUTED_VALUE"""),0.0)</f>
        <v>0</v>
      </c>
      <c r="D382" s="77">
        <f>IFERROR(__xludf.DUMMYFUNCTION("""COMPUTED_VALUE"""),0.0)</f>
        <v>0</v>
      </c>
      <c r="E382" s="46" t="b">
        <f>IFERROR(__xludf.DUMMYFUNCTION("""COMPUTED_VALUE"""),TRUE)</f>
        <v>1</v>
      </c>
    </row>
    <row r="383" hidden="1">
      <c r="A383" s="76" t="str">
        <f>IFERROR(__xludf.DUMMYFUNCTION("""COMPUTED_VALUE"""),"Cabaretti Cacophony")</f>
        <v>Cabaretti Cacophony</v>
      </c>
      <c r="B383" s="76" t="str">
        <f>IFERROR(__xludf.DUMMYFUNCTION("""COMPUTED_VALUE"""),"Blame Game")</f>
        <v>Blame Game</v>
      </c>
      <c r="C383" s="77">
        <f>IFERROR(__xludf.DUMMYFUNCTION("""COMPUTED_VALUE"""),0.0)</f>
        <v>0</v>
      </c>
      <c r="D383" s="77">
        <f>IFERROR(__xludf.DUMMYFUNCTION("""COMPUTED_VALUE"""),0.0)</f>
        <v>0</v>
      </c>
      <c r="E383" s="46" t="b">
        <f>IFERROR(__xludf.DUMMYFUNCTION("""COMPUTED_VALUE"""),TRUE)</f>
        <v>1</v>
      </c>
    </row>
    <row r="384" hidden="1">
      <c r="A384" s="76" t="str">
        <f>IFERROR(__xludf.DUMMYFUNCTION("""COMPUTED_VALUE"""),"Cabaretti Cacophony")</f>
        <v>Cabaretti Cacophony</v>
      </c>
      <c r="B384" s="76" t="str">
        <f>IFERROR(__xludf.DUMMYFUNCTION("""COMPUTED_VALUE"""),"Blight Curse")</f>
        <v>Blight Curse</v>
      </c>
      <c r="C384" s="77">
        <f>IFERROR(__xludf.DUMMYFUNCTION("""COMPUTED_VALUE"""),0.0)</f>
        <v>0</v>
      </c>
      <c r="D384" s="77">
        <f>IFERROR(__xludf.DUMMYFUNCTION("""COMPUTED_VALUE"""),0.0)</f>
        <v>0</v>
      </c>
      <c r="E384" s="46" t="b">
        <f>IFERROR(__xludf.DUMMYFUNCTION("""COMPUTED_VALUE"""),TRUE)</f>
        <v>1</v>
      </c>
    </row>
    <row r="385" hidden="1">
      <c r="A385" s="76" t="str">
        <f>IFERROR(__xludf.DUMMYFUNCTION("""COMPUTED_VALUE"""),"Cabaretti Cacophony")</f>
        <v>Cabaretti Cacophony</v>
      </c>
      <c r="B385" s="76" t="str">
        <f>IFERROR(__xludf.DUMMYFUNCTION("""COMPUTED_VALUE"""),"Blood Rites")</f>
        <v>Blood Rites</v>
      </c>
      <c r="C385" s="77">
        <f>IFERROR(__xludf.DUMMYFUNCTION("""COMPUTED_VALUE"""),1.0)</f>
        <v>1</v>
      </c>
      <c r="D385" s="77">
        <f>IFERROR(__xludf.DUMMYFUNCTION("""COMPUTED_VALUE"""),0.0)</f>
        <v>0</v>
      </c>
      <c r="E385" s="46" t="b">
        <f>IFERROR(__xludf.DUMMYFUNCTION("""COMPUTED_VALUE"""),FALSE)</f>
        <v>0</v>
      </c>
    </row>
    <row r="386" hidden="1">
      <c r="A386" s="76" t="str">
        <f>IFERROR(__xludf.DUMMYFUNCTION("""COMPUTED_VALUE"""),"Cabaretti Cacophony")</f>
        <v>Cabaretti Cacophony</v>
      </c>
      <c r="B386" s="76" t="str">
        <f>IFERROR(__xludf.DUMMYFUNCTION("""COMPUTED_VALUE"""),"Buckle Up")</f>
        <v>Buckle Up</v>
      </c>
      <c r="C386" s="77">
        <f>IFERROR(__xludf.DUMMYFUNCTION("""COMPUTED_VALUE"""),0.0)</f>
        <v>0</v>
      </c>
      <c r="D386" s="77">
        <f>IFERROR(__xludf.DUMMYFUNCTION("""COMPUTED_VALUE"""),0.0)</f>
        <v>0</v>
      </c>
      <c r="E386" s="46" t="b">
        <f>IFERROR(__xludf.DUMMYFUNCTION("""COMPUTED_VALUE"""),TRUE)</f>
        <v>1</v>
      </c>
    </row>
    <row r="387" hidden="1">
      <c r="A387" s="78" t="str">
        <f>IFERROR(__xludf.DUMMYFUNCTION("""COMPUTED_VALUE"""),"Cabaretti Cacophony")</f>
        <v>Cabaretti Cacophony</v>
      </c>
      <c r="B387" s="78" t="str">
        <f>IFERROR(__xludf.DUMMYFUNCTION("""COMPUTED_VALUE"""),"Cabaretti Cacophony")</f>
        <v>Cabaretti Cacophony</v>
      </c>
      <c r="C387" s="79">
        <f>IFERROR(__xludf.DUMMYFUNCTION("""COMPUTED_VALUE"""),1.0)</f>
        <v>1</v>
      </c>
      <c r="D387" s="79">
        <f>IFERROR(__xludf.DUMMYFUNCTION("""COMPUTED_VALUE"""),1.0)</f>
        <v>1</v>
      </c>
      <c r="E387" s="69" t="b">
        <f>IFERROR(__xludf.DUMMYFUNCTION("""COMPUTED_VALUE"""),TRUE)</f>
        <v>1</v>
      </c>
    </row>
    <row r="388">
      <c r="A388" s="76" t="str">
        <f>IFERROR(__xludf.DUMMYFUNCTION("""COMPUTED_VALUE"""),"Cabaretti Cacophony")</f>
        <v>Cabaretti Cacophony</v>
      </c>
      <c r="B388" s="76" t="str">
        <f>IFERROR(__xludf.DUMMYFUNCTION("""COMPUTED_VALUE"""),"Cavalry Charge")</f>
        <v>Cavalry Charge</v>
      </c>
      <c r="C388" s="77">
        <f>IFERROR(__xludf.DUMMYFUNCTION("""COMPUTED_VALUE"""),0.0)</f>
        <v>0</v>
      </c>
      <c r="D388" s="77">
        <f>IFERROR(__xludf.DUMMYFUNCTION("""COMPUTED_VALUE"""),0.0)</f>
        <v>0</v>
      </c>
      <c r="E388" s="46" t="b">
        <f>IFERROR(__xludf.DUMMYFUNCTION("""COMPUTED_VALUE"""),TRUE)</f>
        <v>1</v>
      </c>
    </row>
    <row r="389" hidden="1">
      <c r="A389" s="76" t="str">
        <f>IFERROR(__xludf.DUMMYFUNCTION("""COMPUTED_VALUE"""),"Cabaretti Cacophony")</f>
        <v>Cabaretti Cacophony</v>
      </c>
      <c r="B389" s="76" t="str">
        <f>IFERROR(__xludf.DUMMYFUNCTION("""COMPUTED_VALUE"""),"Corrupting Influence")</f>
        <v>Corrupting Influence</v>
      </c>
      <c r="C389" s="77">
        <f>IFERROR(__xludf.DUMMYFUNCTION("""COMPUTED_VALUE"""),0.0)</f>
        <v>0</v>
      </c>
      <c r="D389" s="77">
        <f>IFERROR(__xludf.DUMMYFUNCTION("""COMPUTED_VALUE"""),0.0)</f>
        <v>0</v>
      </c>
      <c r="E389" s="46" t="b">
        <f>IFERROR(__xludf.DUMMYFUNCTION("""COMPUTED_VALUE"""),TRUE)</f>
        <v>1</v>
      </c>
    </row>
    <row r="390" hidden="1">
      <c r="A390" s="76" t="str">
        <f>IFERROR(__xludf.DUMMYFUNCTION("""COMPUTED_VALUE"""),"Cabaretti Cacophony")</f>
        <v>Cabaretti Cacophony</v>
      </c>
      <c r="B390" s="76" t="str">
        <f>IFERROR(__xludf.DUMMYFUNCTION("""COMPUTED_VALUE"""),"Counter Blitz")</f>
        <v>Counter Blitz</v>
      </c>
      <c r="C390" s="77">
        <f>IFERROR(__xludf.DUMMYFUNCTION("""COMPUTED_VALUE"""),0.0)</f>
        <v>0</v>
      </c>
      <c r="D390" s="77">
        <f>IFERROR(__xludf.DUMMYFUNCTION("""COMPUTED_VALUE"""),0.0)</f>
        <v>0</v>
      </c>
      <c r="E390" s="46" t="b">
        <f>IFERROR(__xludf.DUMMYFUNCTION("""COMPUTED_VALUE"""),TRUE)</f>
        <v>1</v>
      </c>
    </row>
    <row r="391">
      <c r="A391" s="76" t="str">
        <f>IFERROR(__xludf.DUMMYFUNCTION("""COMPUTED_VALUE"""),"Cabaretti Cacophony")</f>
        <v>Cabaretti Cacophony</v>
      </c>
      <c r="B391" s="76" t="str">
        <f>IFERROR(__xludf.DUMMYFUNCTION("""COMPUTED_VALUE"""),"Counter Intelligence")</f>
        <v>Counter Intelligence</v>
      </c>
      <c r="C391" s="77">
        <f>IFERROR(__xludf.DUMMYFUNCTION("""COMPUTED_VALUE"""),1.0)</f>
        <v>1</v>
      </c>
      <c r="D391" s="77">
        <f>IFERROR(__xludf.DUMMYFUNCTION("""COMPUTED_VALUE"""),0.0)</f>
        <v>0</v>
      </c>
      <c r="E391" s="46" t="b">
        <f>IFERROR(__xludf.DUMMYFUNCTION("""COMPUTED_VALUE"""),FALSE)</f>
        <v>0</v>
      </c>
    </row>
    <row r="392" hidden="1">
      <c r="A392" s="78" t="str">
        <f>IFERROR(__xludf.DUMMYFUNCTION("""COMPUTED_VALUE"""),"Cabaretti Cacophony")</f>
        <v>Cabaretti Cacophony</v>
      </c>
      <c r="B392" s="78" t="str">
        <f>IFERROR(__xludf.DUMMYFUNCTION("""COMPUTED_VALUE"""),"Creative Energy")</f>
        <v>Creative Energy</v>
      </c>
      <c r="C392" s="79">
        <f>IFERROR(__xludf.DUMMYFUNCTION("""COMPUTED_VALUE"""),0.0)</f>
        <v>0</v>
      </c>
      <c r="D392" s="79">
        <f>IFERROR(__xludf.DUMMYFUNCTION("""COMPUTED_VALUE"""),0.0)</f>
        <v>0</v>
      </c>
      <c r="E392" s="69" t="b">
        <f>IFERROR(__xludf.DUMMYFUNCTION("""COMPUTED_VALUE"""),TRUE)</f>
        <v>1</v>
      </c>
    </row>
    <row r="393" hidden="1">
      <c r="A393" s="78" t="str">
        <f>IFERROR(__xludf.DUMMYFUNCTION("""COMPUTED_VALUE"""),"Cabaretti Cacophony")</f>
        <v>Cabaretti Cacophony</v>
      </c>
      <c r="B393" s="78" t="str">
        <f>IFERROR(__xludf.DUMMYFUNCTION("""COMPUTED_VALUE"""),"Dance of the Elements")</f>
        <v>Dance of the Elements</v>
      </c>
      <c r="C393" s="79">
        <f>IFERROR(__xludf.DUMMYFUNCTION("""COMPUTED_VALUE"""),0.0)</f>
        <v>0</v>
      </c>
      <c r="D393" s="79">
        <f>IFERROR(__xludf.DUMMYFUNCTION("""COMPUTED_VALUE"""),0.0)</f>
        <v>0</v>
      </c>
      <c r="E393" s="69" t="b">
        <f>IFERROR(__xludf.DUMMYFUNCTION("""COMPUTED_VALUE"""),TRUE)</f>
        <v>1</v>
      </c>
    </row>
    <row r="394" hidden="1">
      <c r="A394" s="76" t="str">
        <f>IFERROR(__xludf.DUMMYFUNCTION("""COMPUTED_VALUE"""),"Cabaretti Cacophony")</f>
        <v>Cabaretti Cacophony</v>
      </c>
      <c r="B394" s="76" t="str">
        <f>IFERROR(__xludf.DUMMYFUNCTION("""COMPUTED_VALUE"""),"Deep Clue Sea")</f>
        <v>Deep Clue Sea</v>
      </c>
      <c r="C394" s="77">
        <f>IFERROR(__xludf.DUMMYFUNCTION("""COMPUTED_VALUE"""),0.0)</f>
        <v>0</v>
      </c>
      <c r="D394" s="77">
        <f>IFERROR(__xludf.DUMMYFUNCTION("""COMPUTED_VALUE"""),0.0)</f>
        <v>0</v>
      </c>
      <c r="E394" s="46" t="b">
        <f>IFERROR(__xludf.DUMMYFUNCTION("""COMPUTED_VALUE"""),TRUE)</f>
        <v>1</v>
      </c>
    </row>
    <row r="395" hidden="1">
      <c r="A395" s="76" t="str">
        <f>IFERROR(__xludf.DUMMYFUNCTION("""COMPUTED_VALUE"""),"Cabaretti Cacophony")</f>
        <v>Cabaretti Cacophony</v>
      </c>
      <c r="B395" s="76" t="str">
        <f>IFERROR(__xludf.DUMMYFUNCTION("""COMPUTED_VALUE"""),"Doom Prevails")</f>
        <v>Doom Prevails</v>
      </c>
      <c r="C395" s="77">
        <f>IFERROR(__xludf.DUMMYFUNCTION("""COMPUTED_VALUE"""),0.0)</f>
        <v>0</v>
      </c>
      <c r="D395" s="77">
        <f>IFERROR(__xludf.DUMMYFUNCTION("""COMPUTED_VALUE"""),0.0)</f>
        <v>0</v>
      </c>
      <c r="E395" s="46" t="b">
        <f>IFERROR(__xludf.DUMMYFUNCTION("""COMPUTED_VALUE"""),TRUE)</f>
        <v>1</v>
      </c>
    </row>
    <row r="396">
      <c r="A396" s="76" t="str">
        <f>IFERROR(__xludf.DUMMYFUNCTION("""COMPUTED_VALUE"""),"Cabaretti Cacophony")</f>
        <v>Cabaretti Cacophony</v>
      </c>
      <c r="B396" s="76" t="str">
        <f>IFERROR(__xludf.DUMMYFUNCTION("""COMPUTED_VALUE"""),"Eldrazi Incursion")</f>
        <v>Eldrazi Incursion</v>
      </c>
      <c r="C396" s="77">
        <f>IFERROR(__xludf.DUMMYFUNCTION("""COMPUTED_VALUE"""),0.0)</f>
        <v>0</v>
      </c>
      <c r="D396" s="77">
        <f>IFERROR(__xludf.DUMMYFUNCTION("""COMPUTED_VALUE"""),0.0)</f>
        <v>0</v>
      </c>
      <c r="E396" s="46" t="b">
        <f>IFERROR(__xludf.DUMMYFUNCTION("""COMPUTED_VALUE"""),TRUE)</f>
        <v>1</v>
      </c>
    </row>
    <row r="397" hidden="1">
      <c r="A397" s="76" t="str">
        <f>IFERROR(__xludf.DUMMYFUNCTION("""COMPUTED_VALUE"""),"Cabaretti Cacophony")</f>
        <v>Cabaretti Cacophony</v>
      </c>
      <c r="B397" s="76" t="str">
        <f>IFERROR(__xludf.DUMMYFUNCTION("""COMPUTED_VALUE"""),"Eldrazi Unbound")</f>
        <v>Eldrazi Unbound</v>
      </c>
      <c r="C397" s="77">
        <f>IFERROR(__xludf.DUMMYFUNCTION("""COMPUTED_VALUE"""),0.0)</f>
        <v>0</v>
      </c>
      <c r="D397" s="77">
        <f>IFERROR(__xludf.DUMMYFUNCTION("""COMPUTED_VALUE"""),0.0)</f>
        <v>0</v>
      </c>
      <c r="E397" s="46" t="b">
        <f>IFERROR(__xludf.DUMMYFUNCTION("""COMPUTED_VALUE"""),TRUE)</f>
        <v>1</v>
      </c>
    </row>
    <row r="398" hidden="1">
      <c r="A398" s="76" t="str">
        <f>IFERROR(__xludf.DUMMYFUNCTION("""COMPUTED_VALUE"""),"Cabaretti Cacophony")</f>
        <v>Cabaretti Cacophony</v>
      </c>
      <c r="B398" s="76" t="str">
        <f>IFERROR(__xludf.DUMMYFUNCTION("""COMPUTED_VALUE"""),"Endless Punishment")</f>
        <v>Endless Punishment</v>
      </c>
      <c r="C398" s="77">
        <f>IFERROR(__xludf.DUMMYFUNCTION("""COMPUTED_VALUE"""),0.0)</f>
        <v>0</v>
      </c>
      <c r="D398" s="77">
        <f>IFERROR(__xludf.DUMMYFUNCTION("""COMPUTED_VALUE"""),0.0)</f>
        <v>0</v>
      </c>
      <c r="E398" s="46" t="b">
        <f>IFERROR(__xludf.DUMMYFUNCTION("""COMPUTED_VALUE"""),TRUE)</f>
        <v>1</v>
      </c>
    </row>
    <row r="399" hidden="1">
      <c r="A399" s="76" t="str">
        <f>IFERROR(__xludf.DUMMYFUNCTION("""COMPUTED_VALUE"""),"Cabaretti Cacophony")</f>
        <v>Cabaretti Cacophony</v>
      </c>
      <c r="B399" s="76" t="str">
        <f>IFERROR(__xludf.DUMMYFUNCTION("""COMPUTED_VALUE"""),"Enduring Enchantments")</f>
        <v>Enduring Enchantments</v>
      </c>
      <c r="C399" s="77">
        <f>IFERROR(__xludf.DUMMYFUNCTION("""COMPUTED_VALUE"""),0.0)</f>
        <v>0</v>
      </c>
      <c r="D399" s="77">
        <f>IFERROR(__xludf.DUMMYFUNCTION("""COMPUTED_VALUE"""),0.0)</f>
        <v>0</v>
      </c>
      <c r="E399" s="46" t="b">
        <f>IFERROR(__xludf.DUMMYFUNCTION("""COMPUTED_VALUE"""),TRUE)</f>
        <v>1</v>
      </c>
    </row>
    <row r="400">
      <c r="A400" s="76" t="str">
        <f>IFERROR(__xludf.DUMMYFUNCTION("""COMPUTED_VALUE"""),"Cabaretti Cacophony")</f>
        <v>Cabaretti Cacophony</v>
      </c>
      <c r="B400" s="76" t="str">
        <f>IFERROR(__xludf.DUMMYFUNCTION("""COMPUTED_VALUE"""),"Explorers of the Deep")</f>
        <v>Explorers of the Deep</v>
      </c>
      <c r="C400" s="77">
        <f>IFERROR(__xludf.DUMMYFUNCTION("""COMPUTED_VALUE"""),0.0)</f>
        <v>0</v>
      </c>
      <c r="D400" s="77">
        <f>IFERROR(__xludf.DUMMYFUNCTION("""COMPUTED_VALUE"""),0.0)</f>
        <v>0</v>
      </c>
      <c r="E400" s="46" t="b">
        <f>IFERROR(__xludf.DUMMYFUNCTION("""COMPUTED_VALUE"""),TRUE)</f>
        <v>1</v>
      </c>
    </row>
    <row r="401">
      <c r="A401" s="76" t="str">
        <f>IFERROR(__xludf.DUMMYFUNCTION("""COMPUTED_VALUE"""),"Cabaretti Cacophony")</f>
        <v>Cabaretti Cacophony</v>
      </c>
      <c r="B401" s="76" t="str">
        <f>IFERROR(__xludf.DUMMYFUNCTION("""COMPUTED_VALUE"""),"Family Matters")</f>
        <v>Family Matters</v>
      </c>
      <c r="C401" s="77">
        <f>IFERROR(__xludf.DUMMYFUNCTION("""COMPUTED_VALUE"""),0.0)</f>
        <v>0</v>
      </c>
      <c r="D401" s="77">
        <f>IFERROR(__xludf.DUMMYFUNCTION("""COMPUTED_VALUE"""),0.0)</f>
        <v>0</v>
      </c>
      <c r="E401" s="46" t="b">
        <f>IFERROR(__xludf.DUMMYFUNCTION("""COMPUTED_VALUE"""),TRUE)</f>
        <v>1</v>
      </c>
    </row>
    <row r="402" hidden="1">
      <c r="A402" s="76" t="str">
        <f>IFERROR(__xludf.DUMMYFUNCTION("""COMPUTED_VALUE"""),"Cabaretti Cacophony")</f>
        <v>Cabaretti Cacophony</v>
      </c>
      <c r="B402" s="76" t="str">
        <f>IFERROR(__xludf.DUMMYFUNCTION("""COMPUTED_VALUE"""),"Food and Fellowship")</f>
        <v>Food and Fellowship</v>
      </c>
      <c r="C402" s="77">
        <f>IFERROR(__xludf.DUMMYFUNCTION("""COMPUTED_VALUE"""),0.0)</f>
        <v>0</v>
      </c>
      <c r="D402" s="77">
        <f>IFERROR(__xludf.DUMMYFUNCTION("""COMPUTED_VALUE"""),0.0)</f>
        <v>0</v>
      </c>
      <c r="E402" s="46" t="b">
        <f>IFERROR(__xludf.DUMMYFUNCTION("""COMPUTED_VALUE"""),TRUE)</f>
        <v>1</v>
      </c>
    </row>
    <row r="403">
      <c r="A403" s="76" t="str">
        <f>IFERROR(__xludf.DUMMYFUNCTION("""COMPUTED_VALUE"""),"Cabaretti Cacophony")</f>
        <v>Cabaretti Cacophony</v>
      </c>
      <c r="B403" s="76" t="str">
        <f>IFERROR(__xludf.DUMMYFUNCTION("""COMPUTED_VALUE"""),"Jeskai Striker")</f>
        <v>Jeskai Striker</v>
      </c>
      <c r="C403" s="77">
        <f>IFERROR(__xludf.DUMMYFUNCTION("""COMPUTED_VALUE"""),0.0)</f>
        <v>0</v>
      </c>
      <c r="D403" s="77">
        <f>IFERROR(__xludf.DUMMYFUNCTION("""COMPUTED_VALUE"""),0.0)</f>
        <v>0</v>
      </c>
      <c r="E403" s="46" t="b">
        <f>IFERROR(__xludf.DUMMYFUNCTION("""COMPUTED_VALUE"""),TRUE)</f>
        <v>1</v>
      </c>
    </row>
    <row r="404" hidden="1">
      <c r="A404" s="76" t="str">
        <f>IFERROR(__xludf.DUMMYFUNCTION("""COMPUTED_VALUE"""),"Cabaretti Cacophony")</f>
        <v>Cabaretti Cacophony</v>
      </c>
      <c r="B404" s="76" t="str">
        <f>IFERROR(__xludf.DUMMYFUNCTION("""COMPUTED_VALUE"""),"Legends' Legacy")</f>
        <v>Legends' Legacy</v>
      </c>
      <c r="C404" s="77">
        <f>IFERROR(__xludf.DUMMYFUNCTION("""COMPUTED_VALUE"""),0.0)</f>
        <v>0</v>
      </c>
      <c r="D404" s="77">
        <f>IFERROR(__xludf.DUMMYFUNCTION("""COMPUTED_VALUE"""),0.0)</f>
        <v>0</v>
      </c>
      <c r="E404" s="46" t="b">
        <f>IFERROR(__xludf.DUMMYFUNCTION("""COMPUTED_VALUE"""),TRUE)</f>
        <v>1</v>
      </c>
    </row>
    <row r="405" hidden="1">
      <c r="A405" s="76" t="str">
        <f>IFERROR(__xludf.DUMMYFUNCTION("""COMPUTED_VALUE"""),"Cabaretti Cacophony")</f>
        <v>Cabaretti Cacophony</v>
      </c>
      <c r="B405" s="76" t="str">
        <f>IFERROR(__xludf.DUMMYFUNCTION("""COMPUTED_VALUE"""),"Limit Break")</f>
        <v>Limit Break</v>
      </c>
      <c r="C405" s="77">
        <f>IFERROR(__xludf.DUMMYFUNCTION("""COMPUTED_VALUE"""),0.0)</f>
        <v>0</v>
      </c>
      <c r="D405" s="77">
        <f>IFERROR(__xludf.DUMMYFUNCTION("""COMPUTED_VALUE"""),0.0)</f>
        <v>0</v>
      </c>
      <c r="E405" s="46" t="b">
        <f>IFERROR(__xludf.DUMMYFUNCTION("""COMPUTED_VALUE"""),TRUE)</f>
        <v>1</v>
      </c>
    </row>
    <row r="406" hidden="1">
      <c r="A406" s="76" t="str">
        <f>IFERROR(__xludf.DUMMYFUNCTION("""COMPUTED_VALUE"""),"Cabaretti Cacophony")</f>
        <v>Cabaretti Cacophony</v>
      </c>
      <c r="B406" s="76" t="str">
        <f>IFERROR(__xludf.DUMMYFUNCTION("""COMPUTED_VALUE"""),"Lorehold Spirit")</f>
        <v>Lorehold Spirit</v>
      </c>
      <c r="C406" s="77">
        <f>IFERROR(__xludf.DUMMYFUNCTION("""COMPUTED_VALUE"""),0.0)</f>
        <v>0</v>
      </c>
      <c r="D406" s="77">
        <f>IFERROR(__xludf.DUMMYFUNCTION("""COMPUTED_VALUE"""),0.0)</f>
        <v>0</v>
      </c>
      <c r="E406" s="46" t="b">
        <f>IFERROR(__xludf.DUMMYFUNCTION("""COMPUTED_VALUE"""),TRUE)</f>
        <v>1</v>
      </c>
    </row>
    <row r="407" hidden="1">
      <c r="A407" s="76" t="str">
        <f>IFERROR(__xludf.DUMMYFUNCTION("""COMPUTED_VALUE"""),"Cabaretti Cacophony")</f>
        <v>Cabaretti Cacophony</v>
      </c>
      <c r="B407" s="76" t="str">
        <f>IFERROR(__xludf.DUMMYFUNCTION("""COMPUTED_VALUE"""),"Mutant Menace")</f>
        <v>Mutant Menace</v>
      </c>
      <c r="C407" s="77">
        <f>IFERROR(__xludf.DUMMYFUNCTION("""COMPUTED_VALUE"""),0.0)</f>
        <v>0</v>
      </c>
      <c r="D407" s="77">
        <f>IFERROR(__xludf.DUMMYFUNCTION("""COMPUTED_VALUE"""),0.0)</f>
        <v>0</v>
      </c>
      <c r="E407" s="46" t="b">
        <f>IFERROR(__xludf.DUMMYFUNCTION("""COMPUTED_VALUE"""),TRUE)</f>
        <v>1</v>
      </c>
    </row>
    <row r="408" hidden="1">
      <c r="A408" s="76" t="str">
        <f>IFERROR(__xludf.DUMMYFUNCTION("""COMPUTED_VALUE"""),"Cabaretti Cacophony")</f>
        <v>Cabaretti Cacophony</v>
      </c>
      <c r="B408" s="76" t="str">
        <f>IFERROR(__xludf.DUMMYFUNCTION("""COMPUTED_VALUE"""),"Party Time")</f>
        <v>Party Time</v>
      </c>
      <c r="C408" s="77">
        <f>IFERROR(__xludf.DUMMYFUNCTION("""COMPUTED_VALUE"""),0.0)</f>
        <v>0</v>
      </c>
      <c r="D408" s="77">
        <f>IFERROR(__xludf.DUMMYFUNCTION("""COMPUTED_VALUE"""),0.0)</f>
        <v>0</v>
      </c>
      <c r="E408" s="46" t="b">
        <f>IFERROR(__xludf.DUMMYFUNCTION("""COMPUTED_VALUE"""),TRUE)</f>
        <v>1</v>
      </c>
    </row>
    <row r="409" hidden="1">
      <c r="A409" s="76" t="str">
        <f>IFERROR(__xludf.DUMMYFUNCTION("""COMPUTED_VALUE"""),"Cabaretti Cacophony")</f>
        <v>Cabaretti Cacophony</v>
      </c>
      <c r="B409" s="76" t="str">
        <f>IFERROR(__xludf.DUMMYFUNCTION("""COMPUTED_VALUE"""),"Peace Offering")</f>
        <v>Peace Offering</v>
      </c>
      <c r="C409" s="77">
        <f>IFERROR(__xludf.DUMMYFUNCTION("""COMPUTED_VALUE"""),0.0)</f>
        <v>0</v>
      </c>
      <c r="D409" s="77">
        <f>IFERROR(__xludf.DUMMYFUNCTION("""COMPUTED_VALUE"""),0.0)</f>
        <v>0</v>
      </c>
      <c r="E409" s="46" t="b">
        <f>IFERROR(__xludf.DUMMYFUNCTION("""COMPUTED_VALUE"""),TRUE)</f>
        <v>1</v>
      </c>
    </row>
    <row r="410">
      <c r="A410" s="76" t="str">
        <f>IFERROR(__xludf.DUMMYFUNCTION("""COMPUTED_VALUE"""),"Cabaretti Cacophony")</f>
        <v>Cabaretti Cacophony</v>
      </c>
      <c r="B410" s="76" t="str">
        <f>IFERROR(__xludf.DUMMYFUNCTION("""COMPUTED_VALUE"""),"Power Hungry")</f>
        <v>Power Hungry</v>
      </c>
      <c r="C410" s="77">
        <f>IFERROR(__xludf.DUMMYFUNCTION("""COMPUTED_VALUE"""),0.0)</f>
        <v>0</v>
      </c>
      <c r="D410" s="77">
        <f>IFERROR(__xludf.DUMMYFUNCTION("""COMPUTED_VALUE"""),0.0)</f>
        <v>0</v>
      </c>
      <c r="E410" s="46" t="b">
        <f>IFERROR(__xludf.DUMMYFUNCTION("""COMPUTED_VALUE"""),TRUE)</f>
        <v>1</v>
      </c>
    </row>
    <row r="411">
      <c r="A411" s="76" t="str">
        <f>IFERROR(__xludf.DUMMYFUNCTION("""COMPUTED_VALUE"""),"Cabaretti Cacophony")</f>
        <v>Cabaretti Cacophony</v>
      </c>
      <c r="B411" s="76" t="str">
        <f>IFERROR(__xludf.DUMMYFUNCTION("""COMPUTED_VALUE"""),"Primal Genesis")</f>
        <v>Primal Genesis</v>
      </c>
      <c r="C411" s="77">
        <f>IFERROR(__xludf.DUMMYFUNCTION("""COMPUTED_VALUE"""),0.0)</f>
        <v>0</v>
      </c>
      <c r="D411" s="77">
        <f>IFERROR(__xludf.DUMMYFUNCTION("""COMPUTED_VALUE"""),0.0)</f>
        <v>0</v>
      </c>
      <c r="E411" s="46" t="b">
        <f>IFERROR(__xludf.DUMMYFUNCTION("""COMPUTED_VALUE"""),TRUE)</f>
        <v>1</v>
      </c>
    </row>
    <row r="412">
      <c r="A412" s="78" t="str">
        <f>IFERROR(__xludf.DUMMYFUNCTION("""COMPUTED_VALUE"""),"Cabaretti Cacophony")</f>
        <v>Cabaretti Cacophony</v>
      </c>
      <c r="B412" s="78" t="str">
        <f>IFERROR(__xludf.DUMMYFUNCTION("""COMPUTED_VALUE"""),"Prismari Artistry")</f>
        <v>Prismari Artistry</v>
      </c>
      <c r="C412" s="79">
        <f>IFERROR(__xludf.DUMMYFUNCTION("""COMPUTED_VALUE"""),1.0)</f>
        <v>1</v>
      </c>
      <c r="D412" s="79">
        <f>IFERROR(__xludf.DUMMYFUNCTION("""COMPUTED_VALUE"""),0.0)</f>
        <v>0</v>
      </c>
      <c r="E412" s="69" t="b">
        <f>IFERROR(__xludf.DUMMYFUNCTION("""COMPUTED_VALUE"""),FALSE)</f>
        <v>0</v>
      </c>
    </row>
    <row r="413">
      <c r="A413" s="76" t="str">
        <f>IFERROR(__xludf.DUMMYFUNCTION("""COMPUTED_VALUE"""),"Cabaretti Cacophony")</f>
        <v>Cabaretti Cacophony</v>
      </c>
      <c r="B413" s="76" t="str">
        <f>IFERROR(__xludf.DUMMYFUNCTION("""COMPUTED_VALUE"""),"Prismari Performance")</f>
        <v>Prismari Performance</v>
      </c>
      <c r="C413" s="77">
        <f>IFERROR(__xludf.DUMMYFUNCTION("""COMPUTED_VALUE"""),0.0)</f>
        <v>0</v>
      </c>
      <c r="D413" s="77">
        <f>IFERROR(__xludf.DUMMYFUNCTION("""COMPUTED_VALUE"""),0.0)</f>
        <v>0</v>
      </c>
      <c r="E413" s="46" t="b">
        <f>IFERROR(__xludf.DUMMYFUNCTION("""COMPUTED_VALUE"""),TRUE)</f>
        <v>1</v>
      </c>
    </row>
    <row r="414">
      <c r="A414" s="76" t="str">
        <f>IFERROR(__xludf.DUMMYFUNCTION("""COMPUTED_VALUE"""),"Cabaretti Cacophony")</f>
        <v>Cabaretti Cacophony</v>
      </c>
      <c r="B414" s="76" t="str">
        <f>IFERROR(__xludf.DUMMYFUNCTION("""COMPUTED_VALUE"""),"Quandrix Unlimited")</f>
        <v>Quandrix Unlimited</v>
      </c>
      <c r="C414" s="77">
        <f>IFERROR(__xludf.DUMMYFUNCTION("""COMPUTED_VALUE"""),0.0)</f>
        <v>0</v>
      </c>
      <c r="D414" s="77">
        <f>IFERROR(__xludf.DUMMYFUNCTION("""COMPUTED_VALUE"""),0.0)</f>
        <v>0</v>
      </c>
      <c r="E414" s="46" t="b">
        <f>IFERROR(__xludf.DUMMYFUNCTION("""COMPUTED_VALUE"""),TRUE)</f>
        <v>1</v>
      </c>
    </row>
    <row r="415" hidden="1">
      <c r="A415" s="76" t="str">
        <f>IFERROR(__xludf.DUMMYFUNCTION("""COMPUTED_VALUE"""),"Cabaretti Cacophony")</f>
        <v>Cabaretti Cacophony</v>
      </c>
      <c r="B415" s="76" t="str">
        <f>IFERROR(__xludf.DUMMYFUNCTION("""COMPUTED_VALUE"""),"Quick Draw")</f>
        <v>Quick Draw</v>
      </c>
      <c r="C415" s="77">
        <f>IFERROR(__xludf.DUMMYFUNCTION("""COMPUTED_VALUE"""),0.0)</f>
        <v>0</v>
      </c>
      <c r="D415" s="77">
        <f>IFERROR(__xludf.DUMMYFUNCTION("""COMPUTED_VALUE"""),0.0)</f>
        <v>0</v>
      </c>
      <c r="E415" s="46" t="b">
        <f>IFERROR(__xludf.DUMMYFUNCTION("""COMPUTED_VALUE"""),TRUE)</f>
        <v>1</v>
      </c>
    </row>
    <row r="416" hidden="1">
      <c r="A416" s="76" t="str">
        <f>IFERROR(__xludf.DUMMYFUNCTION("""COMPUTED_VALUE"""),"Cabaretti Cacophony")</f>
        <v>Cabaretti Cacophony</v>
      </c>
      <c r="B416" s="76" t="str">
        <f>IFERROR(__xludf.DUMMYFUNCTION("""COMPUTED_VALUE"""),"Reap the Tides")</f>
        <v>Reap the Tides</v>
      </c>
      <c r="C416" s="77">
        <f>IFERROR(__xludf.DUMMYFUNCTION("""COMPUTED_VALUE"""),0.0)</f>
        <v>0</v>
      </c>
      <c r="D416" s="77">
        <f>IFERROR(__xludf.DUMMYFUNCTION("""COMPUTED_VALUE"""),0.0)</f>
        <v>0</v>
      </c>
      <c r="E416" s="46" t="b">
        <f>IFERROR(__xludf.DUMMYFUNCTION("""COMPUTED_VALUE"""),TRUE)</f>
        <v>1</v>
      </c>
    </row>
    <row r="417" hidden="1">
      <c r="A417" s="76" t="str">
        <f>IFERROR(__xludf.DUMMYFUNCTION("""COMPUTED_VALUE"""),"Cabaretti Cacophony")</f>
        <v>Cabaretti Cacophony</v>
      </c>
      <c r="B417" s="76" t="str">
        <f>IFERROR(__xludf.DUMMYFUNCTION("""COMPUTED_VALUE"""),"Rebellion Rising")</f>
        <v>Rebellion Rising</v>
      </c>
      <c r="C417" s="77">
        <f>IFERROR(__xludf.DUMMYFUNCTION("""COMPUTED_VALUE"""),0.0)</f>
        <v>0</v>
      </c>
      <c r="D417" s="77">
        <f>IFERROR(__xludf.DUMMYFUNCTION("""COMPUTED_VALUE"""),0.0)</f>
        <v>0</v>
      </c>
      <c r="E417" s="46" t="b">
        <f>IFERROR(__xludf.DUMMYFUNCTION("""COMPUTED_VALUE"""),TRUE)</f>
        <v>1</v>
      </c>
    </row>
    <row r="418" hidden="1">
      <c r="A418" s="76" t="str">
        <f>IFERROR(__xludf.DUMMYFUNCTION("""COMPUTED_VALUE"""),"Cabaretti Cacophony")</f>
        <v>Cabaretti Cacophony</v>
      </c>
      <c r="B418" s="76" t="str">
        <f>IFERROR(__xludf.DUMMYFUNCTION("""COMPUTED_VALUE"""),"Revival Trance")</f>
        <v>Revival Trance</v>
      </c>
      <c r="C418" s="77">
        <f>IFERROR(__xludf.DUMMYFUNCTION("""COMPUTED_VALUE"""),0.0)</f>
        <v>0</v>
      </c>
      <c r="D418" s="77">
        <f>IFERROR(__xludf.DUMMYFUNCTION("""COMPUTED_VALUE"""),0.0)</f>
        <v>0</v>
      </c>
      <c r="E418" s="46" t="b">
        <f>IFERROR(__xludf.DUMMYFUNCTION("""COMPUTED_VALUE"""),TRUE)</f>
        <v>1</v>
      </c>
    </row>
    <row r="419" hidden="1">
      <c r="A419" s="76" t="str">
        <f>IFERROR(__xludf.DUMMYFUNCTION("""COMPUTED_VALUE"""),"Cabaretti Cacophony")</f>
        <v>Cabaretti Cacophony</v>
      </c>
      <c r="B419" s="76" t="str">
        <f>IFERROR(__xludf.DUMMYFUNCTION("""COMPUTED_VALUE"""),"Riders of Rohan")</f>
        <v>Riders of Rohan</v>
      </c>
      <c r="C419" s="77">
        <f>IFERROR(__xludf.DUMMYFUNCTION("""COMPUTED_VALUE"""),0.0)</f>
        <v>0</v>
      </c>
      <c r="D419" s="77">
        <f>IFERROR(__xludf.DUMMYFUNCTION("""COMPUTED_VALUE"""),2.0)</f>
        <v>2</v>
      </c>
      <c r="E419" s="46" t="b">
        <f>IFERROR(__xludf.DUMMYFUNCTION("""COMPUTED_VALUE"""),FALSE)</f>
        <v>0</v>
      </c>
    </row>
    <row r="420" hidden="1">
      <c r="A420" s="78" t="str">
        <f>IFERROR(__xludf.DUMMYFUNCTION("""COMPUTED_VALUE"""),"Cabaretti Cacophony")</f>
        <v>Cabaretti Cacophony</v>
      </c>
      <c r="B420" s="78" t="str">
        <f>IFERROR(__xludf.DUMMYFUNCTION("""COMPUTED_VALUE"""),"Science!")</f>
        <v>Science!</v>
      </c>
      <c r="C420" s="79">
        <f>IFERROR(__xludf.DUMMYFUNCTION("""COMPUTED_VALUE"""),0.0)</f>
        <v>0</v>
      </c>
      <c r="D420" s="79">
        <f>IFERROR(__xludf.DUMMYFUNCTION("""COMPUTED_VALUE"""),0.0)</f>
        <v>0</v>
      </c>
      <c r="E420" s="69" t="b">
        <f>IFERROR(__xludf.DUMMYFUNCTION("""COMPUTED_VALUE"""),TRUE)</f>
        <v>1</v>
      </c>
    </row>
    <row r="421" hidden="1">
      <c r="A421" s="78" t="str">
        <f>IFERROR(__xludf.DUMMYFUNCTION("""COMPUTED_VALUE"""),"Cabaretti Cacophony")</f>
        <v>Cabaretti Cacophony</v>
      </c>
      <c r="B421" s="78" t="str">
        <f>IFERROR(__xludf.DUMMYFUNCTION("""COMPUTED_VALUE"""),"Scions &amp; Spellcraft")</f>
        <v>Scions &amp; Spellcraft</v>
      </c>
      <c r="C421" s="79">
        <f>IFERROR(__xludf.DUMMYFUNCTION("""COMPUTED_VALUE"""),0.0)</f>
        <v>0</v>
      </c>
      <c r="D421" s="79">
        <f>IFERROR(__xludf.DUMMYFUNCTION("""COMPUTED_VALUE"""),0.0)</f>
        <v>0</v>
      </c>
      <c r="E421" s="69" t="b">
        <f>IFERROR(__xludf.DUMMYFUNCTION("""COMPUTED_VALUE"""),TRUE)</f>
        <v>1</v>
      </c>
    </row>
    <row r="422" hidden="1">
      <c r="A422" s="78" t="str">
        <f>IFERROR(__xludf.DUMMYFUNCTION("""COMPUTED_VALUE"""),"Cabaretti Cacophony")</f>
        <v>Cabaretti Cacophony</v>
      </c>
      <c r="B422" s="78" t="str">
        <f>IFERROR(__xludf.DUMMYFUNCTION("""COMPUTED_VALUE"""),"Scrappy Survivors")</f>
        <v>Scrappy Survivors</v>
      </c>
      <c r="C422" s="79">
        <f>IFERROR(__xludf.DUMMYFUNCTION("""COMPUTED_VALUE"""),0.0)</f>
        <v>0</v>
      </c>
      <c r="D422" s="79">
        <f>IFERROR(__xludf.DUMMYFUNCTION("""COMPUTED_VALUE"""),0.0)</f>
        <v>0</v>
      </c>
      <c r="E422" s="69" t="b">
        <f>IFERROR(__xludf.DUMMYFUNCTION("""COMPUTED_VALUE"""),TRUE)</f>
        <v>1</v>
      </c>
    </row>
    <row r="423">
      <c r="A423" s="76" t="str">
        <f>IFERROR(__xludf.DUMMYFUNCTION("""COMPUTED_VALUE"""),"Cabaretti Cacophony")</f>
        <v>Cabaretti Cacophony</v>
      </c>
      <c r="B423" s="76" t="str">
        <f>IFERROR(__xludf.DUMMYFUNCTION("""COMPUTED_VALUE"""),"Silverquill Influence")</f>
        <v>Silverquill Influence</v>
      </c>
      <c r="C423" s="77">
        <f>IFERROR(__xludf.DUMMYFUNCTION("""COMPUTED_VALUE"""),0.0)</f>
        <v>0</v>
      </c>
      <c r="D423" s="77">
        <f>IFERROR(__xludf.DUMMYFUNCTION("""COMPUTED_VALUE"""),0.0)</f>
        <v>0</v>
      </c>
      <c r="E423" s="46" t="b">
        <f>IFERROR(__xludf.DUMMYFUNCTION("""COMPUTED_VALUE"""),TRUE)</f>
        <v>1</v>
      </c>
    </row>
    <row r="424" hidden="1">
      <c r="A424" s="76" t="str">
        <f>IFERROR(__xludf.DUMMYFUNCTION("""COMPUTED_VALUE"""),"Cabaretti Cacophony")</f>
        <v>Cabaretti Cacophony</v>
      </c>
      <c r="B424" s="76" t="str">
        <f>IFERROR(__xludf.DUMMYFUNCTION("""COMPUTED_VALUE"""),"Spirit Squadron")</f>
        <v>Spirit Squadron</v>
      </c>
      <c r="C424" s="77">
        <f>IFERROR(__xludf.DUMMYFUNCTION("""COMPUTED_VALUE"""),0.0)</f>
        <v>0</v>
      </c>
      <c r="D424" s="77">
        <f>IFERROR(__xludf.DUMMYFUNCTION("""COMPUTED_VALUE"""),0.0)</f>
        <v>0</v>
      </c>
      <c r="E424" s="46" t="b">
        <f>IFERROR(__xludf.DUMMYFUNCTION("""COMPUTED_VALUE"""),TRUE)</f>
        <v>1</v>
      </c>
    </row>
    <row r="425" hidden="1">
      <c r="A425" s="76" t="str">
        <f>IFERROR(__xludf.DUMMYFUNCTION("""COMPUTED_VALUE"""),"Cabaretti Cacophony")</f>
        <v>Cabaretti Cacophony</v>
      </c>
      <c r="B425" s="76" t="str">
        <f>IFERROR(__xludf.DUMMYFUNCTION("""COMPUTED_VALUE"""),"Squirreled Away")</f>
        <v>Squirreled Away</v>
      </c>
      <c r="C425" s="77">
        <f>IFERROR(__xludf.DUMMYFUNCTION("""COMPUTED_VALUE"""),0.0)</f>
        <v>0</v>
      </c>
      <c r="D425" s="77">
        <f>IFERROR(__xludf.DUMMYFUNCTION("""COMPUTED_VALUE"""),0.0)</f>
        <v>0</v>
      </c>
      <c r="E425" s="46" t="b">
        <f>IFERROR(__xludf.DUMMYFUNCTION("""COMPUTED_VALUE"""),TRUE)</f>
        <v>1</v>
      </c>
    </row>
    <row r="426" hidden="1">
      <c r="A426" s="76" t="str">
        <f>IFERROR(__xludf.DUMMYFUNCTION("""COMPUTED_VALUE"""),"Cabaretti Cacophony")</f>
        <v>Cabaretti Cacophony</v>
      </c>
      <c r="B426" s="76" t="str">
        <f>IFERROR(__xludf.DUMMYFUNCTION("""COMPUTED_VALUE"""),"Sultai Arisen")</f>
        <v>Sultai Arisen</v>
      </c>
      <c r="C426" s="77">
        <f>IFERROR(__xludf.DUMMYFUNCTION("""COMPUTED_VALUE"""),0.0)</f>
        <v>0</v>
      </c>
      <c r="D426" s="77">
        <f>IFERROR(__xludf.DUMMYFUNCTION("""COMPUTED_VALUE"""),0.0)</f>
        <v>0</v>
      </c>
      <c r="E426" s="46" t="b">
        <f>IFERROR(__xludf.DUMMYFUNCTION("""COMPUTED_VALUE"""),TRUE)</f>
        <v>1</v>
      </c>
    </row>
    <row r="427" hidden="1">
      <c r="A427" s="76" t="str">
        <f>IFERROR(__xludf.DUMMYFUNCTION("""COMPUTED_VALUE"""),"Cabaretti Cacophony")</f>
        <v>Cabaretti Cacophony</v>
      </c>
      <c r="B427" s="76" t="str">
        <f>IFERROR(__xludf.DUMMYFUNCTION("""COMPUTED_VALUE"""),"Temur Roar")</f>
        <v>Temur Roar</v>
      </c>
      <c r="C427" s="77">
        <f>IFERROR(__xludf.DUMMYFUNCTION("""COMPUTED_VALUE"""),0.0)</f>
        <v>0</v>
      </c>
      <c r="D427" s="77">
        <f>IFERROR(__xludf.DUMMYFUNCTION("""COMPUTED_VALUE"""),0.0)</f>
        <v>0</v>
      </c>
      <c r="E427" s="46" t="b">
        <f>IFERROR(__xludf.DUMMYFUNCTION("""COMPUTED_VALUE"""),TRUE)</f>
        <v>1</v>
      </c>
    </row>
    <row r="428">
      <c r="A428" s="78" t="str">
        <f>IFERROR(__xludf.DUMMYFUNCTION("""COMPUTED_VALUE"""),"Cabaretti Cacophony")</f>
        <v>Cabaretti Cacophony</v>
      </c>
      <c r="B428" s="78" t="str">
        <f>IFERROR(__xludf.DUMMYFUNCTION("""COMPUTED_VALUE"""),"The Hosts of Mordor")</f>
        <v>The Hosts of Mordor</v>
      </c>
      <c r="C428" s="79">
        <f>IFERROR(__xludf.DUMMYFUNCTION("""COMPUTED_VALUE"""),0.0)</f>
        <v>0</v>
      </c>
      <c r="D428" s="79">
        <f>IFERROR(__xludf.DUMMYFUNCTION("""COMPUTED_VALUE"""),0.0)</f>
        <v>0</v>
      </c>
      <c r="E428" s="69" t="b">
        <f>IFERROR(__xludf.DUMMYFUNCTION("""COMPUTED_VALUE"""),TRUE)</f>
        <v>1</v>
      </c>
    </row>
    <row r="429">
      <c r="A429" s="78" t="str">
        <f>IFERROR(__xludf.DUMMYFUNCTION("""COMPUTED_VALUE"""),"Cabaretti Cacophony")</f>
        <v>Cabaretti Cacophony</v>
      </c>
      <c r="B429" s="78" t="str">
        <f>IFERROR(__xludf.DUMMYFUNCTION("""COMPUTED_VALUE"""),"The Ruinous Powers")</f>
        <v>The Ruinous Powers</v>
      </c>
      <c r="C429" s="79">
        <f>IFERROR(__xludf.DUMMYFUNCTION("""COMPUTED_VALUE"""),0.0)</f>
        <v>0</v>
      </c>
      <c r="D429" s="79">
        <f>IFERROR(__xludf.DUMMYFUNCTION("""COMPUTED_VALUE"""),0.0)</f>
        <v>0</v>
      </c>
      <c r="E429" s="69" t="b">
        <f>IFERROR(__xludf.DUMMYFUNCTION("""COMPUTED_VALUE"""),TRUE)</f>
        <v>1</v>
      </c>
    </row>
    <row r="430" hidden="1">
      <c r="A430" s="76" t="str">
        <f>IFERROR(__xludf.DUMMYFUNCTION("""COMPUTED_VALUE"""),"Cabaretti Cacophony")</f>
        <v>Cabaretti Cacophony</v>
      </c>
      <c r="B430" s="76" t="str">
        <f>IFERROR(__xludf.DUMMYFUNCTION("""COMPUTED_VALUE"""),"Timey-Wimey")</f>
        <v>Timey-Wimey</v>
      </c>
      <c r="C430" s="77">
        <f>IFERROR(__xludf.DUMMYFUNCTION("""COMPUTED_VALUE"""),0.0)</f>
        <v>0</v>
      </c>
      <c r="D430" s="77">
        <f>IFERROR(__xludf.DUMMYFUNCTION("""COMPUTED_VALUE"""),0.0)</f>
        <v>0</v>
      </c>
      <c r="E430" s="46" t="b">
        <f>IFERROR(__xludf.DUMMYFUNCTION("""COMPUTED_VALUE"""),TRUE)</f>
        <v>1</v>
      </c>
    </row>
    <row r="431" hidden="1">
      <c r="A431" s="76" t="str">
        <f>IFERROR(__xludf.DUMMYFUNCTION("""COMPUTED_VALUE"""),"Cabaretti Cacophony")</f>
        <v>Cabaretti Cacophony</v>
      </c>
      <c r="B431" s="76" t="str">
        <f>IFERROR(__xludf.DUMMYFUNCTION("""COMPUTED_VALUE"""),"Tinker Time")</f>
        <v>Tinker Time</v>
      </c>
      <c r="C431" s="77">
        <f>IFERROR(__xludf.DUMMYFUNCTION("""COMPUTED_VALUE"""),0.0)</f>
        <v>0</v>
      </c>
      <c r="D431" s="77">
        <f>IFERROR(__xludf.DUMMYFUNCTION("""COMPUTED_VALUE"""),0.0)</f>
        <v>0</v>
      </c>
      <c r="E431" s="46" t="b">
        <f>IFERROR(__xludf.DUMMYFUNCTION("""COMPUTED_VALUE"""),TRUE)</f>
        <v>1</v>
      </c>
    </row>
    <row r="432" hidden="1">
      <c r="A432" s="76" t="str">
        <f>IFERROR(__xludf.DUMMYFUNCTION("""COMPUTED_VALUE"""),"Cabaretti Cacophony")</f>
        <v>Cabaretti Cacophony</v>
      </c>
      <c r="B432" s="76" t="str">
        <f>IFERROR(__xludf.DUMMYFUNCTION("""COMPUTED_VALUE"""),"Turtle Power!")</f>
        <v>Turtle Power!</v>
      </c>
      <c r="C432" s="77">
        <f>IFERROR(__xludf.DUMMYFUNCTION("""COMPUTED_VALUE"""),0.0)</f>
        <v>0</v>
      </c>
      <c r="D432" s="77">
        <f>IFERROR(__xludf.DUMMYFUNCTION("""COMPUTED_VALUE"""),0.0)</f>
        <v>0</v>
      </c>
      <c r="E432" s="46" t="b">
        <f>IFERROR(__xludf.DUMMYFUNCTION("""COMPUTED_VALUE"""),TRUE)</f>
        <v>1</v>
      </c>
    </row>
    <row r="433" hidden="1">
      <c r="A433" s="76" t="str">
        <f>IFERROR(__xludf.DUMMYFUNCTION("""COMPUTED_VALUE"""),"Cabaretti Cacophony")</f>
        <v>Cabaretti Cacophony</v>
      </c>
      <c r="B433" s="76" t="str">
        <f>IFERROR(__xludf.DUMMYFUNCTION("""COMPUTED_VALUE"""),"Veloci-ramp-tor")</f>
        <v>Veloci-ramp-tor</v>
      </c>
      <c r="C433" s="77">
        <f>IFERROR(__xludf.DUMMYFUNCTION("""COMPUTED_VALUE"""),0.0)</f>
        <v>0</v>
      </c>
      <c r="D433" s="77">
        <f>IFERROR(__xludf.DUMMYFUNCTION("""COMPUTED_VALUE"""),0.0)</f>
        <v>0</v>
      </c>
      <c r="E433" s="46" t="b">
        <f>IFERROR(__xludf.DUMMYFUNCTION("""COMPUTED_VALUE"""),TRUE)</f>
        <v>1</v>
      </c>
    </row>
    <row r="434" hidden="1">
      <c r="A434" s="76" t="str">
        <f>IFERROR(__xludf.DUMMYFUNCTION("""COMPUTED_VALUE"""),"Cavalry Charge")</f>
        <v>Cavalry Charge</v>
      </c>
      <c r="B434" s="76" t="str">
        <f>IFERROR(__xludf.DUMMYFUNCTION("""COMPUTED_VALUE"""),"Ahoy Mateys")</f>
        <v>Ahoy Mateys</v>
      </c>
      <c r="C434" s="77">
        <f>IFERROR(__xludf.DUMMYFUNCTION("""COMPUTED_VALUE"""),0.0)</f>
        <v>0</v>
      </c>
      <c r="D434" s="77">
        <f>IFERROR(__xludf.DUMMYFUNCTION("""COMPUTED_VALUE"""),0.0)</f>
        <v>0</v>
      </c>
      <c r="E434" s="46" t="b">
        <f>IFERROR(__xludf.DUMMYFUNCTION("""COMPUTED_VALUE"""),TRUE)</f>
        <v>1</v>
      </c>
    </row>
    <row r="435" hidden="1">
      <c r="A435" s="76" t="str">
        <f>IFERROR(__xludf.DUMMYFUNCTION("""COMPUTED_VALUE"""),"Cavalry Charge")</f>
        <v>Cavalry Charge</v>
      </c>
      <c r="B435" s="76" t="str">
        <f>IFERROR(__xludf.DUMMYFUNCTION("""COMPUTED_VALUE"""),"Animated Army")</f>
        <v>Animated Army</v>
      </c>
      <c r="C435" s="77">
        <f>IFERROR(__xludf.DUMMYFUNCTION("""COMPUTED_VALUE"""),0.0)</f>
        <v>0</v>
      </c>
      <c r="D435" s="77">
        <f>IFERROR(__xludf.DUMMYFUNCTION("""COMPUTED_VALUE"""),0.0)</f>
        <v>0</v>
      </c>
      <c r="E435" s="46" t="b">
        <f>IFERROR(__xludf.DUMMYFUNCTION("""COMPUTED_VALUE"""),TRUE)</f>
        <v>1</v>
      </c>
    </row>
    <row r="436" hidden="1">
      <c r="A436" s="76" t="str">
        <f>IFERROR(__xludf.DUMMYFUNCTION("""COMPUTED_VALUE"""),"Cavalry Charge")</f>
        <v>Cavalry Charge</v>
      </c>
      <c r="B436" s="76" t="str">
        <f>IFERROR(__xludf.DUMMYFUNCTION("""COMPUTED_VALUE"""),"Arcane Maelstrom")</f>
        <v>Arcane Maelstrom</v>
      </c>
      <c r="C436" s="77">
        <f>IFERROR(__xludf.DUMMYFUNCTION("""COMPUTED_VALUE"""),0.0)</f>
        <v>0</v>
      </c>
      <c r="D436" s="77">
        <f>IFERROR(__xludf.DUMMYFUNCTION("""COMPUTED_VALUE"""),0.0)</f>
        <v>0</v>
      </c>
      <c r="E436" s="46" t="b">
        <f>IFERROR(__xludf.DUMMYFUNCTION("""COMPUTED_VALUE"""),TRUE)</f>
        <v>1</v>
      </c>
    </row>
    <row r="437" hidden="1">
      <c r="A437" s="76" t="str">
        <f>IFERROR(__xludf.DUMMYFUNCTION("""COMPUTED_VALUE"""),"Cavalry Charge")</f>
        <v>Cavalry Charge</v>
      </c>
      <c r="B437" s="76" t="str">
        <f>IFERROR(__xludf.DUMMYFUNCTION("""COMPUTED_VALUE"""),"Blame Game")</f>
        <v>Blame Game</v>
      </c>
      <c r="C437" s="77">
        <f>IFERROR(__xludf.DUMMYFUNCTION("""COMPUTED_VALUE"""),0.0)</f>
        <v>0</v>
      </c>
      <c r="D437" s="77">
        <f>IFERROR(__xludf.DUMMYFUNCTION("""COMPUTED_VALUE"""),1.0)</f>
        <v>1</v>
      </c>
      <c r="E437" s="46" t="b">
        <f>IFERROR(__xludf.DUMMYFUNCTION("""COMPUTED_VALUE"""),FALSE)</f>
        <v>0</v>
      </c>
    </row>
    <row r="438" hidden="1">
      <c r="A438" s="78" t="str">
        <f>IFERROR(__xludf.DUMMYFUNCTION("""COMPUTED_VALUE"""),"Cavalry Charge")</f>
        <v>Cavalry Charge</v>
      </c>
      <c r="B438" s="78" t="str">
        <f>IFERROR(__xludf.DUMMYFUNCTION("""COMPUTED_VALUE"""),"Blight Curse")</f>
        <v>Blight Curse</v>
      </c>
      <c r="C438" s="79">
        <f>IFERROR(__xludf.DUMMYFUNCTION("""COMPUTED_VALUE"""),0.0)</f>
        <v>0</v>
      </c>
      <c r="D438" s="79">
        <f>IFERROR(__xludf.DUMMYFUNCTION("""COMPUTED_VALUE"""),0.0)</f>
        <v>0</v>
      </c>
      <c r="E438" s="69" t="b">
        <f>IFERROR(__xludf.DUMMYFUNCTION("""COMPUTED_VALUE"""),TRUE)</f>
        <v>1</v>
      </c>
    </row>
    <row r="439" hidden="1">
      <c r="A439" s="78" t="str">
        <f>IFERROR(__xludf.DUMMYFUNCTION("""COMPUTED_VALUE"""),"Cavalry Charge")</f>
        <v>Cavalry Charge</v>
      </c>
      <c r="B439" s="78" t="str">
        <f>IFERROR(__xludf.DUMMYFUNCTION("""COMPUTED_VALUE"""),"Blood Rites")</f>
        <v>Blood Rites</v>
      </c>
      <c r="C439" s="79">
        <f>IFERROR(__xludf.DUMMYFUNCTION("""COMPUTED_VALUE"""),1.0)</f>
        <v>1</v>
      </c>
      <c r="D439" s="79">
        <f>IFERROR(__xludf.DUMMYFUNCTION("""COMPUTED_VALUE"""),0.0)</f>
        <v>0</v>
      </c>
      <c r="E439" s="69" t="b">
        <f>IFERROR(__xludf.DUMMYFUNCTION("""COMPUTED_VALUE"""),FALSE)</f>
        <v>0</v>
      </c>
    </row>
    <row r="440" hidden="1">
      <c r="A440" s="76" t="str">
        <f>IFERROR(__xludf.DUMMYFUNCTION("""COMPUTED_VALUE"""),"Cavalry Charge")</f>
        <v>Cavalry Charge</v>
      </c>
      <c r="B440" s="76" t="str">
        <f>IFERROR(__xludf.DUMMYFUNCTION("""COMPUTED_VALUE"""),"Buckle Up")</f>
        <v>Buckle Up</v>
      </c>
      <c r="C440" s="77">
        <f>IFERROR(__xludf.DUMMYFUNCTION("""COMPUTED_VALUE"""),0.0)</f>
        <v>0</v>
      </c>
      <c r="D440" s="77">
        <f>IFERROR(__xludf.DUMMYFUNCTION("""COMPUTED_VALUE"""),0.0)</f>
        <v>0</v>
      </c>
      <c r="E440" s="46" t="b">
        <f>IFERROR(__xludf.DUMMYFUNCTION("""COMPUTED_VALUE"""),TRUE)</f>
        <v>1</v>
      </c>
    </row>
    <row r="441">
      <c r="A441" s="76" t="str">
        <f>IFERROR(__xludf.DUMMYFUNCTION("""COMPUTED_VALUE"""),"Cavalry Charge")</f>
        <v>Cavalry Charge</v>
      </c>
      <c r="B441" s="76" t="str">
        <f>IFERROR(__xludf.DUMMYFUNCTION("""COMPUTED_VALUE"""),"Cabaretti Cacophony")</f>
        <v>Cabaretti Cacophony</v>
      </c>
      <c r="C441" s="77">
        <f>IFERROR(__xludf.DUMMYFUNCTION("""COMPUTED_VALUE"""),0.0)</f>
        <v>0</v>
      </c>
      <c r="D441" s="77">
        <f>IFERROR(__xludf.DUMMYFUNCTION("""COMPUTED_VALUE"""),0.0)</f>
        <v>0</v>
      </c>
      <c r="E441" s="46" t="b">
        <f>IFERROR(__xludf.DUMMYFUNCTION("""COMPUTED_VALUE"""),TRUE)</f>
        <v>1</v>
      </c>
    </row>
    <row r="442" hidden="1">
      <c r="A442" s="76" t="str">
        <f>IFERROR(__xludf.DUMMYFUNCTION("""COMPUTED_VALUE"""),"Cavalry Charge")</f>
        <v>Cavalry Charge</v>
      </c>
      <c r="B442" s="76" t="str">
        <f>IFERROR(__xludf.DUMMYFUNCTION("""COMPUTED_VALUE"""),"Cavalry Charge")</f>
        <v>Cavalry Charge</v>
      </c>
      <c r="C442" s="77">
        <f>IFERROR(__xludf.DUMMYFUNCTION("""COMPUTED_VALUE"""),4.0)</f>
        <v>4</v>
      </c>
      <c r="D442" s="77">
        <f>IFERROR(__xludf.DUMMYFUNCTION("""COMPUTED_VALUE"""),4.0)</f>
        <v>4</v>
      </c>
      <c r="E442" s="46" t="b">
        <f>IFERROR(__xludf.DUMMYFUNCTION("""COMPUTED_VALUE"""),TRUE)</f>
        <v>1</v>
      </c>
    </row>
    <row r="443" hidden="1">
      <c r="A443" s="76" t="str">
        <f>IFERROR(__xludf.DUMMYFUNCTION("""COMPUTED_VALUE"""),"Cavalry Charge")</f>
        <v>Cavalry Charge</v>
      </c>
      <c r="B443" s="76" t="str">
        <f>IFERROR(__xludf.DUMMYFUNCTION("""COMPUTED_VALUE"""),"Corrupting Influence")</f>
        <v>Corrupting Influence</v>
      </c>
      <c r="C443" s="77">
        <f>IFERROR(__xludf.DUMMYFUNCTION("""COMPUTED_VALUE"""),0.0)</f>
        <v>0</v>
      </c>
      <c r="D443" s="77">
        <f>IFERROR(__xludf.DUMMYFUNCTION("""COMPUTED_VALUE"""),0.0)</f>
        <v>0</v>
      </c>
      <c r="E443" s="46" t="b">
        <f>IFERROR(__xludf.DUMMYFUNCTION("""COMPUTED_VALUE"""),TRUE)</f>
        <v>1</v>
      </c>
    </row>
    <row r="444" hidden="1">
      <c r="A444" s="76" t="str">
        <f>IFERROR(__xludf.DUMMYFUNCTION("""COMPUTED_VALUE"""),"Cavalry Charge")</f>
        <v>Cavalry Charge</v>
      </c>
      <c r="B444" s="76" t="str">
        <f>IFERROR(__xludf.DUMMYFUNCTION("""COMPUTED_VALUE"""),"Counter Blitz")</f>
        <v>Counter Blitz</v>
      </c>
      <c r="C444" s="77">
        <f>IFERROR(__xludf.DUMMYFUNCTION("""COMPUTED_VALUE"""),0.0)</f>
        <v>0</v>
      </c>
      <c r="D444" s="77">
        <f>IFERROR(__xludf.DUMMYFUNCTION("""COMPUTED_VALUE"""),0.0)</f>
        <v>0</v>
      </c>
      <c r="E444" s="46" t="b">
        <f>IFERROR(__xludf.DUMMYFUNCTION("""COMPUTED_VALUE"""),TRUE)</f>
        <v>1</v>
      </c>
    </row>
    <row r="445" hidden="1">
      <c r="A445" s="76" t="str">
        <f>IFERROR(__xludf.DUMMYFUNCTION("""COMPUTED_VALUE"""),"Cavalry Charge")</f>
        <v>Cavalry Charge</v>
      </c>
      <c r="B445" s="76" t="str">
        <f>IFERROR(__xludf.DUMMYFUNCTION("""COMPUTED_VALUE"""),"Counter Intelligence")</f>
        <v>Counter Intelligence</v>
      </c>
      <c r="C445" s="77">
        <f>IFERROR(__xludf.DUMMYFUNCTION("""COMPUTED_VALUE"""),0.0)</f>
        <v>0</v>
      </c>
      <c r="D445" s="77">
        <f>IFERROR(__xludf.DUMMYFUNCTION("""COMPUTED_VALUE"""),0.0)</f>
        <v>0</v>
      </c>
      <c r="E445" s="46" t="b">
        <f>IFERROR(__xludf.DUMMYFUNCTION("""COMPUTED_VALUE"""),TRUE)</f>
        <v>1</v>
      </c>
    </row>
    <row r="446" hidden="1">
      <c r="A446" s="76" t="str">
        <f>IFERROR(__xludf.DUMMYFUNCTION("""COMPUTED_VALUE"""),"Cavalry Charge")</f>
        <v>Cavalry Charge</v>
      </c>
      <c r="B446" s="76" t="str">
        <f>IFERROR(__xludf.DUMMYFUNCTION("""COMPUTED_VALUE"""),"Creative Energy")</f>
        <v>Creative Energy</v>
      </c>
      <c r="C446" s="77">
        <f>IFERROR(__xludf.DUMMYFUNCTION("""COMPUTED_VALUE"""),0.0)</f>
        <v>0</v>
      </c>
      <c r="D446" s="77">
        <f>IFERROR(__xludf.DUMMYFUNCTION("""COMPUTED_VALUE"""),0.0)</f>
        <v>0</v>
      </c>
      <c r="E446" s="46" t="b">
        <f>IFERROR(__xludf.DUMMYFUNCTION("""COMPUTED_VALUE"""),TRUE)</f>
        <v>1</v>
      </c>
    </row>
    <row r="447" hidden="1">
      <c r="A447" s="76" t="str">
        <f>IFERROR(__xludf.DUMMYFUNCTION("""COMPUTED_VALUE"""),"Cavalry Charge")</f>
        <v>Cavalry Charge</v>
      </c>
      <c r="B447" s="76" t="str">
        <f>IFERROR(__xludf.DUMMYFUNCTION("""COMPUTED_VALUE"""),"Dance of the Elements")</f>
        <v>Dance of the Elements</v>
      </c>
      <c r="C447" s="77">
        <f>IFERROR(__xludf.DUMMYFUNCTION("""COMPUTED_VALUE"""),1.0)</f>
        <v>1</v>
      </c>
      <c r="D447" s="77">
        <f>IFERROR(__xludf.DUMMYFUNCTION("""COMPUTED_VALUE"""),1.0)</f>
        <v>1</v>
      </c>
      <c r="E447" s="46" t="b">
        <f>IFERROR(__xludf.DUMMYFUNCTION("""COMPUTED_VALUE"""),FALSE)</f>
        <v>0</v>
      </c>
    </row>
    <row r="448" hidden="1">
      <c r="A448" s="76" t="str">
        <f>IFERROR(__xludf.DUMMYFUNCTION("""COMPUTED_VALUE"""),"Cavalry Charge")</f>
        <v>Cavalry Charge</v>
      </c>
      <c r="B448" s="76" t="str">
        <f>IFERROR(__xludf.DUMMYFUNCTION("""COMPUTED_VALUE"""),"Deep Clue Sea")</f>
        <v>Deep Clue Sea</v>
      </c>
      <c r="C448" s="77">
        <f>IFERROR(__xludf.DUMMYFUNCTION("""COMPUTED_VALUE"""),0.0)</f>
        <v>0</v>
      </c>
      <c r="D448" s="77">
        <f>IFERROR(__xludf.DUMMYFUNCTION("""COMPUTED_VALUE"""),0.0)</f>
        <v>0</v>
      </c>
      <c r="E448" s="46" t="b">
        <f>IFERROR(__xludf.DUMMYFUNCTION("""COMPUTED_VALUE"""),TRUE)</f>
        <v>1</v>
      </c>
    </row>
    <row r="449" hidden="1">
      <c r="A449" s="76" t="str">
        <f>IFERROR(__xludf.DUMMYFUNCTION("""COMPUTED_VALUE"""),"Cavalry Charge")</f>
        <v>Cavalry Charge</v>
      </c>
      <c r="B449" s="76" t="str">
        <f>IFERROR(__xludf.DUMMYFUNCTION("""COMPUTED_VALUE"""),"Doom Prevails")</f>
        <v>Doom Prevails</v>
      </c>
      <c r="C449" s="77">
        <f>IFERROR(__xludf.DUMMYFUNCTION("""COMPUTED_VALUE"""),0.0)</f>
        <v>0</v>
      </c>
      <c r="D449" s="77">
        <f>IFERROR(__xludf.DUMMYFUNCTION("""COMPUTED_VALUE"""),0.0)</f>
        <v>0</v>
      </c>
      <c r="E449" s="46" t="b">
        <f>IFERROR(__xludf.DUMMYFUNCTION("""COMPUTED_VALUE"""),TRUE)</f>
        <v>1</v>
      </c>
    </row>
    <row r="450" hidden="1">
      <c r="A450" s="76" t="str">
        <f>IFERROR(__xludf.DUMMYFUNCTION("""COMPUTED_VALUE"""),"Cavalry Charge")</f>
        <v>Cavalry Charge</v>
      </c>
      <c r="B450" s="76" t="str">
        <f>IFERROR(__xludf.DUMMYFUNCTION("""COMPUTED_VALUE"""),"Eldrazi Incursion")</f>
        <v>Eldrazi Incursion</v>
      </c>
      <c r="C450" s="77">
        <f>IFERROR(__xludf.DUMMYFUNCTION("""COMPUTED_VALUE"""),0.0)</f>
        <v>0</v>
      </c>
      <c r="D450" s="77">
        <f>IFERROR(__xludf.DUMMYFUNCTION("""COMPUTED_VALUE"""),0.0)</f>
        <v>0</v>
      </c>
      <c r="E450" s="46" t="b">
        <f>IFERROR(__xludf.DUMMYFUNCTION("""COMPUTED_VALUE"""),TRUE)</f>
        <v>1</v>
      </c>
    </row>
    <row r="451" hidden="1">
      <c r="A451" s="76" t="str">
        <f>IFERROR(__xludf.DUMMYFUNCTION("""COMPUTED_VALUE"""),"Cavalry Charge")</f>
        <v>Cavalry Charge</v>
      </c>
      <c r="B451" s="76" t="str">
        <f>IFERROR(__xludf.DUMMYFUNCTION("""COMPUTED_VALUE"""),"Eldrazi Unbound")</f>
        <v>Eldrazi Unbound</v>
      </c>
      <c r="C451" s="77">
        <f>IFERROR(__xludf.DUMMYFUNCTION("""COMPUTED_VALUE"""),0.0)</f>
        <v>0</v>
      </c>
      <c r="D451" s="77">
        <f>IFERROR(__xludf.DUMMYFUNCTION("""COMPUTED_VALUE"""),0.0)</f>
        <v>0</v>
      </c>
      <c r="E451" s="46" t="b">
        <f>IFERROR(__xludf.DUMMYFUNCTION("""COMPUTED_VALUE"""),TRUE)</f>
        <v>1</v>
      </c>
    </row>
    <row r="452" hidden="1">
      <c r="A452" s="76" t="str">
        <f>IFERROR(__xludf.DUMMYFUNCTION("""COMPUTED_VALUE"""),"Cavalry Charge")</f>
        <v>Cavalry Charge</v>
      </c>
      <c r="B452" s="76" t="str">
        <f>IFERROR(__xludf.DUMMYFUNCTION("""COMPUTED_VALUE"""),"Endless Punishment")</f>
        <v>Endless Punishment</v>
      </c>
      <c r="C452" s="77">
        <f>IFERROR(__xludf.DUMMYFUNCTION("""COMPUTED_VALUE"""),2.0)</f>
        <v>2</v>
      </c>
      <c r="D452" s="77">
        <f>IFERROR(__xludf.DUMMYFUNCTION("""COMPUTED_VALUE"""),2.0)</f>
        <v>2</v>
      </c>
      <c r="E452" s="46" t="b">
        <f>IFERROR(__xludf.DUMMYFUNCTION("""COMPUTED_VALUE"""),FALSE)</f>
        <v>0</v>
      </c>
    </row>
    <row r="453" hidden="1">
      <c r="A453" s="76" t="str">
        <f>IFERROR(__xludf.DUMMYFUNCTION("""COMPUTED_VALUE"""),"Cavalry Charge")</f>
        <v>Cavalry Charge</v>
      </c>
      <c r="B453" s="76" t="str">
        <f>IFERROR(__xludf.DUMMYFUNCTION("""COMPUTED_VALUE"""),"Enduring Enchantments")</f>
        <v>Enduring Enchantments</v>
      </c>
      <c r="C453" s="77">
        <f>IFERROR(__xludf.DUMMYFUNCTION("""COMPUTED_VALUE"""),0.0)</f>
        <v>0</v>
      </c>
      <c r="D453" s="77">
        <f>IFERROR(__xludf.DUMMYFUNCTION("""COMPUTED_VALUE"""),0.0)</f>
        <v>0</v>
      </c>
      <c r="E453" s="46" t="b">
        <f>IFERROR(__xludf.DUMMYFUNCTION("""COMPUTED_VALUE"""),TRUE)</f>
        <v>1</v>
      </c>
    </row>
    <row r="454" hidden="1">
      <c r="A454" s="76" t="str">
        <f>IFERROR(__xludf.DUMMYFUNCTION("""COMPUTED_VALUE"""),"Cavalry Charge")</f>
        <v>Cavalry Charge</v>
      </c>
      <c r="B454" s="76" t="str">
        <f>IFERROR(__xludf.DUMMYFUNCTION("""COMPUTED_VALUE"""),"Explorers of the Deep")</f>
        <v>Explorers of the Deep</v>
      </c>
      <c r="C454" s="77">
        <f>IFERROR(__xludf.DUMMYFUNCTION("""COMPUTED_VALUE"""),0.0)</f>
        <v>0</v>
      </c>
      <c r="D454" s="77">
        <f>IFERROR(__xludf.DUMMYFUNCTION("""COMPUTED_VALUE"""),0.0)</f>
        <v>0</v>
      </c>
      <c r="E454" s="46" t="b">
        <f>IFERROR(__xludf.DUMMYFUNCTION("""COMPUTED_VALUE"""),TRUE)</f>
        <v>1</v>
      </c>
    </row>
    <row r="455" hidden="1">
      <c r="A455" s="76" t="str">
        <f>IFERROR(__xludf.DUMMYFUNCTION("""COMPUTED_VALUE"""),"Cavalry Charge")</f>
        <v>Cavalry Charge</v>
      </c>
      <c r="B455" s="76" t="str">
        <f>IFERROR(__xludf.DUMMYFUNCTION("""COMPUTED_VALUE"""),"Family Matters")</f>
        <v>Family Matters</v>
      </c>
      <c r="C455" s="77">
        <f>IFERROR(__xludf.DUMMYFUNCTION("""COMPUTED_VALUE"""),0.0)</f>
        <v>0</v>
      </c>
      <c r="D455" s="77">
        <f>IFERROR(__xludf.DUMMYFUNCTION("""COMPUTED_VALUE"""),0.0)</f>
        <v>0</v>
      </c>
      <c r="E455" s="46" t="b">
        <f>IFERROR(__xludf.DUMMYFUNCTION("""COMPUTED_VALUE"""),TRUE)</f>
        <v>1</v>
      </c>
    </row>
    <row r="456" hidden="1">
      <c r="A456" s="78" t="str">
        <f>IFERROR(__xludf.DUMMYFUNCTION("""COMPUTED_VALUE"""),"Cavalry Charge")</f>
        <v>Cavalry Charge</v>
      </c>
      <c r="B456" s="78" t="str">
        <f>IFERROR(__xludf.DUMMYFUNCTION("""COMPUTED_VALUE"""),"Food and Fellowship")</f>
        <v>Food and Fellowship</v>
      </c>
      <c r="C456" s="79">
        <f>IFERROR(__xludf.DUMMYFUNCTION("""COMPUTED_VALUE"""),0.0)</f>
        <v>0</v>
      </c>
      <c r="D456" s="79">
        <f>IFERROR(__xludf.DUMMYFUNCTION("""COMPUTED_VALUE"""),0.0)</f>
        <v>0</v>
      </c>
      <c r="E456" s="69" t="b">
        <f>IFERROR(__xludf.DUMMYFUNCTION("""COMPUTED_VALUE"""),TRUE)</f>
        <v>1</v>
      </c>
    </row>
    <row r="457">
      <c r="A457" s="76" t="str">
        <f>IFERROR(__xludf.DUMMYFUNCTION("""COMPUTED_VALUE"""),"Cavalry Charge")</f>
        <v>Cavalry Charge</v>
      </c>
      <c r="B457" s="76" t="str">
        <f>IFERROR(__xludf.DUMMYFUNCTION("""COMPUTED_VALUE"""),"Jeskai Striker")</f>
        <v>Jeskai Striker</v>
      </c>
      <c r="C457" s="77">
        <f>IFERROR(__xludf.DUMMYFUNCTION("""COMPUTED_VALUE"""),0.0)</f>
        <v>0</v>
      </c>
      <c r="D457" s="77">
        <f>IFERROR(__xludf.DUMMYFUNCTION("""COMPUTED_VALUE"""),1.0)</f>
        <v>1</v>
      </c>
      <c r="E457" s="46" t="b">
        <f>IFERROR(__xludf.DUMMYFUNCTION("""COMPUTED_VALUE"""),FALSE)</f>
        <v>0</v>
      </c>
    </row>
    <row r="458" hidden="1">
      <c r="A458" s="76" t="str">
        <f>IFERROR(__xludf.DUMMYFUNCTION("""COMPUTED_VALUE"""),"Cavalry Charge")</f>
        <v>Cavalry Charge</v>
      </c>
      <c r="B458" s="76" t="str">
        <f>IFERROR(__xludf.DUMMYFUNCTION("""COMPUTED_VALUE"""),"Legends' Legacy")</f>
        <v>Legends' Legacy</v>
      </c>
      <c r="C458" s="77">
        <f>IFERROR(__xludf.DUMMYFUNCTION("""COMPUTED_VALUE"""),0.0)</f>
        <v>0</v>
      </c>
      <c r="D458" s="77">
        <f>IFERROR(__xludf.DUMMYFUNCTION("""COMPUTED_VALUE"""),0.0)</f>
        <v>0</v>
      </c>
      <c r="E458" s="46" t="b">
        <f>IFERROR(__xludf.DUMMYFUNCTION("""COMPUTED_VALUE"""),TRUE)</f>
        <v>1</v>
      </c>
    </row>
    <row r="459" hidden="1">
      <c r="A459" s="76" t="str">
        <f>IFERROR(__xludf.DUMMYFUNCTION("""COMPUTED_VALUE"""),"Cavalry Charge")</f>
        <v>Cavalry Charge</v>
      </c>
      <c r="B459" s="76" t="str">
        <f>IFERROR(__xludf.DUMMYFUNCTION("""COMPUTED_VALUE"""),"Limit Break")</f>
        <v>Limit Break</v>
      </c>
      <c r="C459" s="77">
        <f>IFERROR(__xludf.DUMMYFUNCTION("""COMPUTED_VALUE"""),0.0)</f>
        <v>0</v>
      </c>
      <c r="D459" s="77">
        <f>IFERROR(__xludf.DUMMYFUNCTION("""COMPUTED_VALUE"""),0.0)</f>
        <v>0</v>
      </c>
      <c r="E459" s="46" t="b">
        <f>IFERROR(__xludf.DUMMYFUNCTION("""COMPUTED_VALUE"""),TRUE)</f>
        <v>1</v>
      </c>
    </row>
    <row r="460" hidden="1">
      <c r="A460" s="76" t="str">
        <f>IFERROR(__xludf.DUMMYFUNCTION("""COMPUTED_VALUE"""),"Cavalry Charge")</f>
        <v>Cavalry Charge</v>
      </c>
      <c r="B460" s="76" t="str">
        <f>IFERROR(__xludf.DUMMYFUNCTION("""COMPUTED_VALUE"""),"Lorehold Spirit")</f>
        <v>Lorehold Spirit</v>
      </c>
      <c r="C460" s="77">
        <f>IFERROR(__xludf.DUMMYFUNCTION("""COMPUTED_VALUE"""),1.0)</f>
        <v>1</v>
      </c>
      <c r="D460" s="77">
        <f>IFERROR(__xludf.DUMMYFUNCTION("""COMPUTED_VALUE"""),1.0)</f>
        <v>1</v>
      </c>
      <c r="E460" s="46" t="b">
        <f>IFERROR(__xludf.DUMMYFUNCTION("""COMPUTED_VALUE"""),FALSE)</f>
        <v>0</v>
      </c>
    </row>
    <row r="461" hidden="1">
      <c r="A461" s="76" t="str">
        <f>IFERROR(__xludf.DUMMYFUNCTION("""COMPUTED_VALUE"""),"Cavalry Charge")</f>
        <v>Cavalry Charge</v>
      </c>
      <c r="B461" s="76" t="str">
        <f>IFERROR(__xludf.DUMMYFUNCTION("""COMPUTED_VALUE"""),"Mutant Menace")</f>
        <v>Mutant Menace</v>
      </c>
      <c r="C461" s="77">
        <f>IFERROR(__xludf.DUMMYFUNCTION("""COMPUTED_VALUE"""),1.0)</f>
        <v>1</v>
      </c>
      <c r="D461" s="77">
        <f>IFERROR(__xludf.DUMMYFUNCTION("""COMPUTED_VALUE"""),0.0)</f>
        <v>0</v>
      </c>
      <c r="E461" s="46" t="b">
        <f>IFERROR(__xludf.DUMMYFUNCTION("""COMPUTED_VALUE"""),FALSE)</f>
        <v>0</v>
      </c>
    </row>
    <row r="462" hidden="1">
      <c r="A462" s="76" t="str">
        <f>IFERROR(__xludf.DUMMYFUNCTION("""COMPUTED_VALUE"""),"Cavalry Charge")</f>
        <v>Cavalry Charge</v>
      </c>
      <c r="B462" s="76" t="str">
        <f>IFERROR(__xludf.DUMMYFUNCTION("""COMPUTED_VALUE"""),"Party Time")</f>
        <v>Party Time</v>
      </c>
      <c r="C462" s="77">
        <f>IFERROR(__xludf.DUMMYFUNCTION("""COMPUTED_VALUE"""),0.0)</f>
        <v>0</v>
      </c>
      <c r="D462" s="77">
        <f>IFERROR(__xludf.DUMMYFUNCTION("""COMPUTED_VALUE"""),0.0)</f>
        <v>0</v>
      </c>
      <c r="E462" s="46" t="b">
        <f>IFERROR(__xludf.DUMMYFUNCTION("""COMPUTED_VALUE"""),TRUE)</f>
        <v>1</v>
      </c>
    </row>
    <row r="463" hidden="1">
      <c r="A463" s="76" t="str">
        <f>IFERROR(__xludf.DUMMYFUNCTION("""COMPUTED_VALUE"""),"Cavalry Charge")</f>
        <v>Cavalry Charge</v>
      </c>
      <c r="B463" s="76" t="str">
        <f>IFERROR(__xludf.DUMMYFUNCTION("""COMPUTED_VALUE"""),"Peace Offering")</f>
        <v>Peace Offering</v>
      </c>
      <c r="C463" s="77">
        <f>IFERROR(__xludf.DUMMYFUNCTION("""COMPUTED_VALUE"""),0.0)</f>
        <v>0</v>
      </c>
      <c r="D463" s="77">
        <f>IFERROR(__xludf.DUMMYFUNCTION("""COMPUTED_VALUE"""),0.0)</f>
        <v>0</v>
      </c>
      <c r="E463" s="46" t="b">
        <f>IFERROR(__xludf.DUMMYFUNCTION("""COMPUTED_VALUE"""),TRUE)</f>
        <v>1</v>
      </c>
    </row>
    <row r="464" hidden="1">
      <c r="A464" s="76" t="str">
        <f>IFERROR(__xludf.DUMMYFUNCTION("""COMPUTED_VALUE"""),"Cavalry Charge")</f>
        <v>Cavalry Charge</v>
      </c>
      <c r="B464" s="76" t="str">
        <f>IFERROR(__xludf.DUMMYFUNCTION("""COMPUTED_VALUE"""),"Power Hungry")</f>
        <v>Power Hungry</v>
      </c>
      <c r="C464" s="77">
        <f>IFERROR(__xludf.DUMMYFUNCTION("""COMPUTED_VALUE"""),0.0)</f>
        <v>0</v>
      </c>
      <c r="D464" s="77">
        <f>IFERROR(__xludf.DUMMYFUNCTION("""COMPUTED_VALUE"""),0.0)</f>
        <v>0</v>
      </c>
      <c r="E464" s="46" t="b">
        <f>IFERROR(__xludf.DUMMYFUNCTION("""COMPUTED_VALUE"""),TRUE)</f>
        <v>1</v>
      </c>
    </row>
    <row r="465">
      <c r="A465" s="78" t="str">
        <f>IFERROR(__xludf.DUMMYFUNCTION("""COMPUTED_VALUE"""),"Cavalry Charge")</f>
        <v>Cavalry Charge</v>
      </c>
      <c r="B465" s="78" t="str">
        <f>IFERROR(__xludf.DUMMYFUNCTION("""COMPUTED_VALUE"""),"Primal Genesis")</f>
        <v>Primal Genesis</v>
      </c>
      <c r="C465" s="79">
        <f>IFERROR(__xludf.DUMMYFUNCTION("""COMPUTED_VALUE"""),0.0)</f>
        <v>0</v>
      </c>
      <c r="D465" s="79">
        <f>IFERROR(__xludf.DUMMYFUNCTION("""COMPUTED_VALUE"""),0.0)</f>
        <v>0</v>
      </c>
      <c r="E465" s="69" t="b">
        <f>IFERROR(__xludf.DUMMYFUNCTION("""COMPUTED_VALUE"""),TRUE)</f>
        <v>1</v>
      </c>
    </row>
    <row r="466">
      <c r="A466" s="76" t="str">
        <f>IFERROR(__xludf.DUMMYFUNCTION("""COMPUTED_VALUE"""),"Cavalry Charge")</f>
        <v>Cavalry Charge</v>
      </c>
      <c r="B466" s="76" t="str">
        <f>IFERROR(__xludf.DUMMYFUNCTION("""COMPUTED_VALUE"""),"Prismari Artistry")</f>
        <v>Prismari Artistry</v>
      </c>
      <c r="C466" s="77">
        <f>IFERROR(__xludf.DUMMYFUNCTION("""COMPUTED_VALUE"""),0.0)</f>
        <v>0</v>
      </c>
      <c r="D466" s="77">
        <f>IFERROR(__xludf.DUMMYFUNCTION("""COMPUTED_VALUE"""),0.0)</f>
        <v>0</v>
      </c>
      <c r="E466" s="46" t="b">
        <f>IFERROR(__xludf.DUMMYFUNCTION("""COMPUTED_VALUE"""),TRUE)</f>
        <v>1</v>
      </c>
    </row>
    <row r="467">
      <c r="A467" s="76" t="str">
        <f>IFERROR(__xludf.DUMMYFUNCTION("""COMPUTED_VALUE"""),"Cavalry Charge")</f>
        <v>Cavalry Charge</v>
      </c>
      <c r="B467" s="76" t="str">
        <f>IFERROR(__xludf.DUMMYFUNCTION("""COMPUTED_VALUE"""),"Prismari Performance")</f>
        <v>Prismari Performance</v>
      </c>
      <c r="C467" s="77">
        <f>IFERROR(__xludf.DUMMYFUNCTION("""COMPUTED_VALUE"""),0.0)</f>
        <v>0</v>
      </c>
      <c r="D467" s="77">
        <f>IFERROR(__xludf.DUMMYFUNCTION("""COMPUTED_VALUE"""),0.0)</f>
        <v>0</v>
      </c>
      <c r="E467" s="46" t="b">
        <f>IFERROR(__xludf.DUMMYFUNCTION("""COMPUTED_VALUE"""),TRUE)</f>
        <v>1</v>
      </c>
    </row>
    <row r="468" hidden="1">
      <c r="A468" s="76" t="str">
        <f>IFERROR(__xludf.DUMMYFUNCTION("""COMPUTED_VALUE"""),"Cavalry Charge")</f>
        <v>Cavalry Charge</v>
      </c>
      <c r="B468" s="76" t="str">
        <f>IFERROR(__xludf.DUMMYFUNCTION("""COMPUTED_VALUE"""),"Quandrix Unlimited")</f>
        <v>Quandrix Unlimited</v>
      </c>
      <c r="C468" s="77">
        <f>IFERROR(__xludf.DUMMYFUNCTION("""COMPUTED_VALUE"""),0.0)</f>
        <v>0</v>
      </c>
      <c r="D468" s="77">
        <f>IFERROR(__xludf.DUMMYFUNCTION("""COMPUTED_VALUE"""),0.0)</f>
        <v>0</v>
      </c>
      <c r="E468" s="46" t="b">
        <f>IFERROR(__xludf.DUMMYFUNCTION("""COMPUTED_VALUE"""),TRUE)</f>
        <v>1</v>
      </c>
    </row>
    <row r="469" hidden="1">
      <c r="A469" s="78" t="str">
        <f>IFERROR(__xludf.DUMMYFUNCTION("""COMPUTED_VALUE"""),"Cavalry Charge")</f>
        <v>Cavalry Charge</v>
      </c>
      <c r="B469" s="78" t="str">
        <f>IFERROR(__xludf.DUMMYFUNCTION("""COMPUTED_VALUE"""),"Quick Draw")</f>
        <v>Quick Draw</v>
      </c>
      <c r="C469" s="79">
        <f>IFERROR(__xludf.DUMMYFUNCTION("""COMPUTED_VALUE"""),2.0)</f>
        <v>2</v>
      </c>
      <c r="D469" s="79">
        <f>IFERROR(__xludf.DUMMYFUNCTION("""COMPUTED_VALUE"""),2.0)</f>
        <v>2</v>
      </c>
      <c r="E469" s="69" t="b">
        <f>IFERROR(__xludf.DUMMYFUNCTION("""COMPUTED_VALUE"""),FALSE)</f>
        <v>0</v>
      </c>
    </row>
    <row r="470" hidden="1">
      <c r="A470" s="76" t="str">
        <f>IFERROR(__xludf.DUMMYFUNCTION("""COMPUTED_VALUE"""),"Cavalry Charge")</f>
        <v>Cavalry Charge</v>
      </c>
      <c r="B470" s="76" t="str">
        <f>IFERROR(__xludf.DUMMYFUNCTION("""COMPUTED_VALUE"""),"Reap the Tides")</f>
        <v>Reap the Tides</v>
      </c>
      <c r="C470" s="77">
        <f>IFERROR(__xludf.DUMMYFUNCTION("""COMPUTED_VALUE"""),0.0)</f>
        <v>0</v>
      </c>
      <c r="D470" s="77">
        <f>IFERROR(__xludf.DUMMYFUNCTION("""COMPUTED_VALUE"""),0.0)</f>
        <v>0</v>
      </c>
      <c r="E470" s="46" t="b">
        <f>IFERROR(__xludf.DUMMYFUNCTION("""COMPUTED_VALUE"""),TRUE)</f>
        <v>1</v>
      </c>
    </row>
    <row r="471" hidden="1">
      <c r="A471" s="76" t="str">
        <f>IFERROR(__xludf.DUMMYFUNCTION("""COMPUTED_VALUE"""),"Cavalry Charge")</f>
        <v>Cavalry Charge</v>
      </c>
      <c r="B471" s="76" t="str">
        <f>IFERROR(__xludf.DUMMYFUNCTION("""COMPUTED_VALUE"""),"Rebellion Rising")</f>
        <v>Rebellion Rising</v>
      </c>
      <c r="C471" s="77">
        <f>IFERROR(__xludf.DUMMYFUNCTION("""COMPUTED_VALUE"""),0.0)</f>
        <v>0</v>
      </c>
      <c r="D471" s="77">
        <f>IFERROR(__xludf.DUMMYFUNCTION("""COMPUTED_VALUE"""),0.0)</f>
        <v>0</v>
      </c>
      <c r="E471" s="46" t="b">
        <f>IFERROR(__xludf.DUMMYFUNCTION("""COMPUTED_VALUE"""),TRUE)</f>
        <v>1</v>
      </c>
    </row>
    <row r="472" hidden="1">
      <c r="A472" s="76" t="str">
        <f>IFERROR(__xludf.DUMMYFUNCTION("""COMPUTED_VALUE"""),"Cavalry Charge")</f>
        <v>Cavalry Charge</v>
      </c>
      <c r="B472" s="76" t="str">
        <f>IFERROR(__xludf.DUMMYFUNCTION("""COMPUTED_VALUE"""),"Revival Trance")</f>
        <v>Revival Trance</v>
      </c>
      <c r="C472" s="77">
        <f>IFERROR(__xludf.DUMMYFUNCTION("""COMPUTED_VALUE"""),0.0)</f>
        <v>0</v>
      </c>
      <c r="D472" s="77">
        <f>IFERROR(__xludf.DUMMYFUNCTION("""COMPUTED_VALUE"""),0.0)</f>
        <v>0</v>
      </c>
      <c r="E472" s="46" t="b">
        <f>IFERROR(__xludf.DUMMYFUNCTION("""COMPUTED_VALUE"""),TRUE)</f>
        <v>1</v>
      </c>
    </row>
    <row r="473">
      <c r="A473" s="76" t="str">
        <f>IFERROR(__xludf.DUMMYFUNCTION("""COMPUTED_VALUE"""),"Cavalry Charge")</f>
        <v>Cavalry Charge</v>
      </c>
      <c r="B473" s="76" t="str">
        <f>IFERROR(__xludf.DUMMYFUNCTION("""COMPUTED_VALUE"""),"Riders of Rohan")</f>
        <v>Riders of Rohan</v>
      </c>
      <c r="C473" s="77">
        <f>IFERROR(__xludf.DUMMYFUNCTION("""COMPUTED_VALUE"""),0.0)</f>
        <v>0</v>
      </c>
      <c r="D473" s="77">
        <f>IFERROR(__xludf.DUMMYFUNCTION("""COMPUTED_VALUE"""),0.0)</f>
        <v>0</v>
      </c>
      <c r="E473" s="46" t="b">
        <f>IFERROR(__xludf.DUMMYFUNCTION("""COMPUTED_VALUE"""),TRUE)</f>
        <v>1</v>
      </c>
    </row>
    <row r="474">
      <c r="A474" s="76" t="str">
        <f>IFERROR(__xludf.DUMMYFUNCTION("""COMPUTED_VALUE"""),"Cavalry Charge")</f>
        <v>Cavalry Charge</v>
      </c>
      <c r="B474" s="76" t="str">
        <f>IFERROR(__xludf.DUMMYFUNCTION("""COMPUTED_VALUE"""),"Science!")</f>
        <v>Science!</v>
      </c>
      <c r="C474" s="77">
        <f>IFERROR(__xludf.DUMMYFUNCTION("""COMPUTED_VALUE"""),1.0)</f>
        <v>1</v>
      </c>
      <c r="D474" s="77">
        <f>IFERROR(__xludf.DUMMYFUNCTION("""COMPUTED_VALUE"""),0.0)</f>
        <v>0</v>
      </c>
      <c r="E474" s="46" t="b">
        <f>IFERROR(__xludf.DUMMYFUNCTION("""COMPUTED_VALUE"""),FALSE)</f>
        <v>0</v>
      </c>
    </row>
    <row r="475" hidden="1">
      <c r="A475" s="76" t="str">
        <f>IFERROR(__xludf.DUMMYFUNCTION("""COMPUTED_VALUE"""),"Cavalry Charge")</f>
        <v>Cavalry Charge</v>
      </c>
      <c r="B475" s="76" t="str">
        <f>IFERROR(__xludf.DUMMYFUNCTION("""COMPUTED_VALUE"""),"Scions &amp; Spellcraft")</f>
        <v>Scions &amp; Spellcraft</v>
      </c>
      <c r="C475" s="77">
        <f>IFERROR(__xludf.DUMMYFUNCTION("""COMPUTED_VALUE"""),0.0)</f>
        <v>0</v>
      </c>
      <c r="D475" s="77">
        <f>IFERROR(__xludf.DUMMYFUNCTION("""COMPUTED_VALUE"""),0.0)</f>
        <v>0</v>
      </c>
      <c r="E475" s="46" t="b">
        <f>IFERROR(__xludf.DUMMYFUNCTION("""COMPUTED_VALUE"""),TRUE)</f>
        <v>1</v>
      </c>
    </row>
    <row r="476" hidden="1">
      <c r="A476" s="76" t="str">
        <f>IFERROR(__xludf.DUMMYFUNCTION("""COMPUTED_VALUE"""),"Cavalry Charge")</f>
        <v>Cavalry Charge</v>
      </c>
      <c r="B476" s="76" t="str">
        <f>IFERROR(__xludf.DUMMYFUNCTION("""COMPUTED_VALUE"""),"Scrappy Survivors")</f>
        <v>Scrappy Survivors</v>
      </c>
      <c r="C476" s="77">
        <f>IFERROR(__xludf.DUMMYFUNCTION("""COMPUTED_VALUE"""),0.0)</f>
        <v>0</v>
      </c>
      <c r="D476" s="77">
        <f>IFERROR(__xludf.DUMMYFUNCTION("""COMPUTED_VALUE"""),0.0)</f>
        <v>0</v>
      </c>
      <c r="E476" s="46" t="b">
        <f>IFERROR(__xludf.DUMMYFUNCTION("""COMPUTED_VALUE"""),TRUE)</f>
        <v>1</v>
      </c>
    </row>
    <row r="477" hidden="1">
      <c r="A477" s="76" t="str">
        <f>IFERROR(__xludf.DUMMYFUNCTION("""COMPUTED_VALUE"""),"Cavalry Charge")</f>
        <v>Cavalry Charge</v>
      </c>
      <c r="B477" s="76" t="str">
        <f>IFERROR(__xludf.DUMMYFUNCTION("""COMPUTED_VALUE"""),"Silverquill Influence")</f>
        <v>Silverquill Influence</v>
      </c>
      <c r="C477" s="77">
        <f>IFERROR(__xludf.DUMMYFUNCTION("""COMPUTED_VALUE"""),0.0)</f>
        <v>0</v>
      </c>
      <c r="D477" s="77">
        <f>IFERROR(__xludf.DUMMYFUNCTION("""COMPUTED_VALUE"""),0.0)</f>
        <v>0</v>
      </c>
      <c r="E477" s="46" t="b">
        <f>IFERROR(__xludf.DUMMYFUNCTION("""COMPUTED_VALUE"""),TRUE)</f>
        <v>1</v>
      </c>
    </row>
    <row r="478" hidden="1">
      <c r="A478" s="76" t="str">
        <f>IFERROR(__xludf.DUMMYFUNCTION("""COMPUTED_VALUE"""),"Cavalry Charge")</f>
        <v>Cavalry Charge</v>
      </c>
      <c r="B478" s="76" t="str">
        <f>IFERROR(__xludf.DUMMYFUNCTION("""COMPUTED_VALUE"""),"Spirit Squadron")</f>
        <v>Spirit Squadron</v>
      </c>
      <c r="C478" s="77">
        <f>IFERROR(__xludf.DUMMYFUNCTION("""COMPUTED_VALUE"""),0.0)</f>
        <v>0</v>
      </c>
      <c r="D478" s="77">
        <f>IFERROR(__xludf.DUMMYFUNCTION("""COMPUTED_VALUE"""),0.0)</f>
        <v>0</v>
      </c>
      <c r="E478" s="46" t="b">
        <f>IFERROR(__xludf.DUMMYFUNCTION("""COMPUTED_VALUE"""),TRUE)</f>
        <v>1</v>
      </c>
    </row>
    <row r="479" hidden="1">
      <c r="A479" s="76" t="str">
        <f>IFERROR(__xludf.DUMMYFUNCTION("""COMPUTED_VALUE"""),"Cavalry Charge")</f>
        <v>Cavalry Charge</v>
      </c>
      <c r="B479" s="76" t="str">
        <f>IFERROR(__xludf.DUMMYFUNCTION("""COMPUTED_VALUE"""),"Squirreled Away")</f>
        <v>Squirreled Away</v>
      </c>
      <c r="C479" s="77">
        <f>IFERROR(__xludf.DUMMYFUNCTION("""COMPUTED_VALUE"""),2.0)</f>
        <v>2</v>
      </c>
      <c r="D479" s="77">
        <f>IFERROR(__xludf.DUMMYFUNCTION("""COMPUTED_VALUE"""),1.0)</f>
        <v>1</v>
      </c>
      <c r="E479" s="46" t="b">
        <f>IFERROR(__xludf.DUMMYFUNCTION("""COMPUTED_VALUE"""),FALSE)</f>
        <v>0</v>
      </c>
    </row>
    <row r="480" hidden="1">
      <c r="A480" s="76" t="str">
        <f>IFERROR(__xludf.DUMMYFUNCTION("""COMPUTED_VALUE"""),"Cavalry Charge")</f>
        <v>Cavalry Charge</v>
      </c>
      <c r="B480" s="76" t="str">
        <f>IFERROR(__xludf.DUMMYFUNCTION("""COMPUTED_VALUE"""),"Sultai Arisen")</f>
        <v>Sultai Arisen</v>
      </c>
      <c r="C480" s="77">
        <f>IFERROR(__xludf.DUMMYFUNCTION("""COMPUTED_VALUE"""),0.0)</f>
        <v>0</v>
      </c>
      <c r="D480" s="77">
        <f>IFERROR(__xludf.DUMMYFUNCTION("""COMPUTED_VALUE"""),0.0)</f>
        <v>0</v>
      </c>
      <c r="E480" s="46" t="b">
        <f>IFERROR(__xludf.DUMMYFUNCTION("""COMPUTED_VALUE"""),TRUE)</f>
        <v>1</v>
      </c>
    </row>
    <row r="481" hidden="1">
      <c r="A481" s="76" t="str">
        <f>IFERROR(__xludf.DUMMYFUNCTION("""COMPUTED_VALUE"""),"Cavalry Charge")</f>
        <v>Cavalry Charge</v>
      </c>
      <c r="B481" s="76" t="str">
        <f>IFERROR(__xludf.DUMMYFUNCTION("""COMPUTED_VALUE"""),"Temur Roar")</f>
        <v>Temur Roar</v>
      </c>
      <c r="C481" s="77">
        <f>IFERROR(__xludf.DUMMYFUNCTION("""COMPUTED_VALUE"""),0.0)</f>
        <v>0</v>
      </c>
      <c r="D481" s="77">
        <f>IFERROR(__xludf.DUMMYFUNCTION("""COMPUTED_VALUE"""),0.0)</f>
        <v>0</v>
      </c>
      <c r="E481" s="46" t="b">
        <f>IFERROR(__xludf.DUMMYFUNCTION("""COMPUTED_VALUE"""),TRUE)</f>
        <v>1</v>
      </c>
    </row>
    <row r="482" hidden="1">
      <c r="A482" s="76" t="str">
        <f>IFERROR(__xludf.DUMMYFUNCTION("""COMPUTED_VALUE"""),"Cavalry Charge")</f>
        <v>Cavalry Charge</v>
      </c>
      <c r="B482" s="76" t="str">
        <f>IFERROR(__xludf.DUMMYFUNCTION("""COMPUTED_VALUE"""),"The Hosts of Mordor")</f>
        <v>The Hosts of Mordor</v>
      </c>
      <c r="C482" s="77">
        <f>IFERROR(__xludf.DUMMYFUNCTION("""COMPUTED_VALUE"""),0.0)</f>
        <v>0</v>
      </c>
      <c r="D482" s="77">
        <f>IFERROR(__xludf.DUMMYFUNCTION("""COMPUTED_VALUE"""),0.0)</f>
        <v>0</v>
      </c>
      <c r="E482" s="46" t="b">
        <f>IFERROR(__xludf.DUMMYFUNCTION("""COMPUTED_VALUE"""),TRUE)</f>
        <v>1</v>
      </c>
    </row>
    <row r="483">
      <c r="A483" s="76" t="str">
        <f>IFERROR(__xludf.DUMMYFUNCTION("""COMPUTED_VALUE"""),"Cavalry Charge")</f>
        <v>Cavalry Charge</v>
      </c>
      <c r="B483" s="76" t="str">
        <f>IFERROR(__xludf.DUMMYFUNCTION("""COMPUTED_VALUE"""),"The Ruinous Powers")</f>
        <v>The Ruinous Powers</v>
      </c>
      <c r="C483" s="77">
        <f>IFERROR(__xludf.DUMMYFUNCTION("""COMPUTED_VALUE"""),0.0)</f>
        <v>0</v>
      </c>
      <c r="D483" s="77">
        <f>IFERROR(__xludf.DUMMYFUNCTION("""COMPUTED_VALUE"""),0.0)</f>
        <v>0</v>
      </c>
      <c r="E483" s="46" t="b">
        <f>IFERROR(__xludf.DUMMYFUNCTION("""COMPUTED_VALUE"""),TRUE)</f>
        <v>1</v>
      </c>
    </row>
    <row r="484">
      <c r="A484" s="76" t="str">
        <f>IFERROR(__xludf.DUMMYFUNCTION("""COMPUTED_VALUE"""),"Cavalry Charge")</f>
        <v>Cavalry Charge</v>
      </c>
      <c r="B484" s="76" t="str">
        <f>IFERROR(__xludf.DUMMYFUNCTION("""COMPUTED_VALUE"""),"Timey-Wimey")</f>
        <v>Timey-Wimey</v>
      </c>
      <c r="C484" s="77">
        <f>IFERROR(__xludf.DUMMYFUNCTION("""COMPUTED_VALUE"""),0.0)</f>
        <v>0</v>
      </c>
      <c r="D484" s="77">
        <f>IFERROR(__xludf.DUMMYFUNCTION("""COMPUTED_VALUE"""),0.0)</f>
        <v>0</v>
      </c>
      <c r="E484" s="46" t="b">
        <f>IFERROR(__xludf.DUMMYFUNCTION("""COMPUTED_VALUE"""),TRUE)</f>
        <v>1</v>
      </c>
    </row>
    <row r="485" hidden="1">
      <c r="A485" s="76" t="str">
        <f>IFERROR(__xludf.DUMMYFUNCTION("""COMPUTED_VALUE"""),"Cavalry Charge")</f>
        <v>Cavalry Charge</v>
      </c>
      <c r="B485" s="76" t="str">
        <f>IFERROR(__xludf.DUMMYFUNCTION("""COMPUTED_VALUE"""),"Tinker Time")</f>
        <v>Tinker Time</v>
      </c>
      <c r="C485" s="77">
        <f>IFERROR(__xludf.DUMMYFUNCTION("""COMPUTED_VALUE"""),0.0)</f>
        <v>0</v>
      </c>
      <c r="D485" s="77">
        <f>IFERROR(__xludf.DUMMYFUNCTION("""COMPUTED_VALUE"""),0.0)</f>
        <v>0</v>
      </c>
      <c r="E485" s="46" t="b">
        <f>IFERROR(__xludf.DUMMYFUNCTION("""COMPUTED_VALUE"""),TRUE)</f>
        <v>1</v>
      </c>
    </row>
    <row r="486" hidden="1">
      <c r="A486" s="76" t="str">
        <f>IFERROR(__xludf.DUMMYFUNCTION("""COMPUTED_VALUE"""),"Cavalry Charge")</f>
        <v>Cavalry Charge</v>
      </c>
      <c r="B486" s="76" t="str">
        <f>IFERROR(__xludf.DUMMYFUNCTION("""COMPUTED_VALUE"""),"Turtle Power!")</f>
        <v>Turtle Power!</v>
      </c>
      <c r="C486" s="77">
        <f>IFERROR(__xludf.DUMMYFUNCTION("""COMPUTED_VALUE"""),0.0)</f>
        <v>0</v>
      </c>
      <c r="D486" s="77">
        <f>IFERROR(__xludf.DUMMYFUNCTION("""COMPUTED_VALUE"""),0.0)</f>
        <v>0</v>
      </c>
      <c r="E486" s="46" t="b">
        <f>IFERROR(__xludf.DUMMYFUNCTION("""COMPUTED_VALUE"""),TRUE)</f>
        <v>1</v>
      </c>
    </row>
    <row r="487" hidden="1">
      <c r="A487" s="78" t="str">
        <f>IFERROR(__xludf.DUMMYFUNCTION("""COMPUTED_VALUE"""),"Cavalry Charge")</f>
        <v>Cavalry Charge</v>
      </c>
      <c r="B487" s="78" t="str">
        <f>IFERROR(__xludf.DUMMYFUNCTION("""COMPUTED_VALUE"""),"Veloci-ramp-tor")</f>
        <v>Veloci-ramp-tor</v>
      </c>
      <c r="C487" s="79">
        <f>IFERROR(__xludf.DUMMYFUNCTION("""COMPUTED_VALUE"""),0.0)</f>
        <v>0</v>
      </c>
      <c r="D487" s="79">
        <f>IFERROR(__xludf.DUMMYFUNCTION("""COMPUTED_VALUE"""),0.0)</f>
        <v>0</v>
      </c>
      <c r="E487" s="69" t="b">
        <f>IFERROR(__xludf.DUMMYFUNCTION("""COMPUTED_VALUE"""),TRUE)</f>
        <v>1</v>
      </c>
    </row>
    <row r="488" hidden="1">
      <c r="A488" s="76" t="str">
        <f>IFERROR(__xludf.DUMMYFUNCTION("""COMPUTED_VALUE"""),"Corrupting Influence")</f>
        <v>Corrupting Influence</v>
      </c>
      <c r="B488" s="76" t="str">
        <f>IFERROR(__xludf.DUMMYFUNCTION("""COMPUTED_VALUE"""),"Ahoy Mateys")</f>
        <v>Ahoy Mateys</v>
      </c>
      <c r="C488" s="77">
        <f>IFERROR(__xludf.DUMMYFUNCTION("""COMPUTED_VALUE"""),0.0)</f>
        <v>0</v>
      </c>
      <c r="D488" s="77">
        <f>IFERROR(__xludf.DUMMYFUNCTION("""COMPUTED_VALUE"""),0.0)</f>
        <v>0</v>
      </c>
      <c r="E488" s="46" t="b">
        <f>IFERROR(__xludf.DUMMYFUNCTION("""COMPUTED_VALUE"""),TRUE)</f>
        <v>1</v>
      </c>
    </row>
    <row r="489" hidden="1">
      <c r="A489" s="76" t="str">
        <f>IFERROR(__xludf.DUMMYFUNCTION("""COMPUTED_VALUE"""),"Corrupting Influence")</f>
        <v>Corrupting Influence</v>
      </c>
      <c r="B489" s="76" t="str">
        <f>IFERROR(__xludf.DUMMYFUNCTION("""COMPUTED_VALUE"""),"Animated Army")</f>
        <v>Animated Army</v>
      </c>
      <c r="C489" s="77">
        <f>IFERROR(__xludf.DUMMYFUNCTION("""COMPUTED_VALUE"""),0.0)</f>
        <v>0</v>
      </c>
      <c r="D489" s="77">
        <f>IFERROR(__xludf.DUMMYFUNCTION("""COMPUTED_VALUE"""),0.0)</f>
        <v>0</v>
      </c>
      <c r="E489" s="46" t="b">
        <f>IFERROR(__xludf.DUMMYFUNCTION("""COMPUTED_VALUE"""),TRUE)</f>
        <v>1</v>
      </c>
    </row>
    <row r="490">
      <c r="A490" s="78" t="str">
        <f>IFERROR(__xludf.DUMMYFUNCTION("""COMPUTED_VALUE"""),"Corrupting Influence")</f>
        <v>Corrupting Influence</v>
      </c>
      <c r="B490" s="78" t="str">
        <f>IFERROR(__xludf.DUMMYFUNCTION("""COMPUTED_VALUE"""),"Arcane Maelstrom")</f>
        <v>Arcane Maelstrom</v>
      </c>
      <c r="C490" s="79">
        <f>IFERROR(__xludf.DUMMYFUNCTION("""COMPUTED_VALUE"""),0.0)</f>
        <v>0</v>
      </c>
      <c r="D490" s="79">
        <f>IFERROR(__xludf.DUMMYFUNCTION("""COMPUTED_VALUE"""),0.0)</f>
        <v>0</v>
      </c>
      <c r="E490" s="69" t="b">
        <f>IFERROR(__xludf.DUMMYFUNCTION("""COMPUTED_VALUE"""),TRUE)</f>
        <v>1</v>
      </c>
    </row>
    <row r="491" hidden="1">
      <c r="A491" s="76" t="str">
        <f>IFERROR(__xludf.DUMMYFUNCTION("""COMPUTED_VALUE"""),"Corrupting Influence")</f>
        <v>Corrupting Influence</v>
      </c>
      <c r="B491" s="76" t="str">
        <f>IFERROR(__xludf.DUMMYFUNCTION("""COMPUTED_VALUE"""),"Blame Game")</f>
        <v>Blame Game</v>
      </c>
      <c r="C491" s="77">
        <f>IFERROR(__xludf.DUMMYFUNCTION("""COMPUTED_VALUE"""),0.0)</f>
        <v>0</v>
      </c>
      <c r="D491" s="77">
        <f>IFERROR(__xludf.DUMMYFUNCTION("""COMPUTED_VALUE"""),0.0)</f>
        <v>0</v>
      </c>
      <c r="E491" s="46" t="b">
        <f>IFERROR(__xludf.DUMMYFUNCTION("""COMPUTED_VALUE"""),TRUE)</f>
        <v>1</v>
      </c>
    </row>
    <row r="492" hidden="1">
      <c r="A492" s="78" t="str">
        <f>IFERROR(__xludf.DUMMYFUNCTION("""COMPUTED_VALUE"""),"Corrupting Influence")</f>
        <v>Corrupting Influence</v>
      </c>
      <c r="B492" s="78" t="str">
        <f>IFERROR(__xludf.DUMMYFUNCTION("""COMPUTED_VALUE"""),"Blight Curse")</f>
        <v>Blight Curse</v>
      </c>
      <c r="C492" s="79">
        <f>IFERROR(__xludf.DUMMYFUNCTION("""COMPUTED_VALUE"""),1.0)</f>
        <v>1</v>
      </c>
      <c r="D492" s="79">
        <f>IFERROR(__xludf.DUMMYFUNCTION("""COMPUTED_VALUE"""),0.0)</f>
        <v>0</v>
      </c>
      <c r="E492" s="69" t="b">
        <f>IFERROR(__xludf.DUMMYFUNCTION("""COMPUTED_VALUE"""),FALSE)</f>
        <v>0</v>
      </c>
    </row>
    <row r="493">
      <c r="A493" s="76" t="str">
        <f>IFERROR(__xludf.DUMMYFUNCTION("""COMPUTED_VALUE"""),"Corrupting Influence")</f>
        <v>Corrupting Influence</v>
      </c>
      <c r="B493" s="76" t="str">
        <f>IFERROR(__xludf.DUMMYFUNCTION("""COMPUTED_VALUE"""),"Blood Rites")</f>
        <v>Blood Rites</v>
      </c>
      <c r="C493" s="77">
        <f>IFERROR(__xludf.DUMMYFUNCTION("""COMPUTED_VALUE"""),0.0)</f>
        <v>0</v>
      </c>
      <c r="D493" s="77">
        <f>IFERROR(__xludf.DUMMYFUNCTION("""COMPUTED_VALUE"""),0.0)</f>
        <v>0</v>
      </c>
      <c r="E493" s="46" t="b">
        <f>IFERROR(__xludf.DUMMYFUNCTION("""COMPUTED_VALUE"""),TRUE)</f>
        <v>1</v>
      </c>
    </row>
    <row r="494" hidden="1">
      <c r="A494" s="78" t="str">
        <f>IFERROR(__xludf.DUMMYFUNCTION("""COMPUTED_VALUE"""),"Corrupting Influence")</f>
        <v>Corrupting Influence</v>
      </c>
      <c r="B494" s="78" t="str">
        <f>IFERROR(__xludf.DUMMYFUNCTION("""COMPUTED_VALUE"""),"Buckle Up")</f>
        <v>Buckle Up</v>
      </c>
      <c r="C494" s="79">
        <f>IFERROR(__xludf.DUMMYFUNCTION("""COMPUTED_VALUE"""),0.0)</f>
        <v>0</v>
      </c>
      <c r="D494" s="79">
        <f>IFERROR(__xludf.DUMMYFUNCTION("""COMPUTED_VALUE"""),0.0)</f>
        <v>0</v>
      </c>
      <c r="E494" s="69" t="b">
        <f>IFERROR(__xludf.DUMMYFUNCTION("""COMPUTED_VALUE"""),TRUE)</f>
        <v>1</v>
      </c>
    </row>
    <row r="495" hidden="1">
      <c r="A495" s="76" t="str">
        <f>IFERROR(__xludf.DUMMYFUNCTION("""COMPUTED_VALUE"""),"Corrupting Influence")</f>
        <v>Corrupting Influence</v>
      </c>
      <c r="B495" s="76" t="str">
        <f>IFERROR(__xludf.DUMMYFUNCTION("""COMPUTED_VALUE"""),"Cabaretti Cacophony")</f>
        <v>Cabaretti Cacophony</v>
      </c>
      <c r="C495" s="77">
        <f>IFERROR(__xludf.DUMMYFUNCTION("""COMPUTED_VALUE"""),0.0)</f>
        <v>0</v>
      </c>
      <c r="D495" s="77">
        <f>IFERROR(__xludf.DUMMYFUNCTION("""COMPUTED_VALUE"""),0.0)</f>
        <v>0</v>
      </c>
      <c r="E495" s="46" t="b">
        <f>IFERROR(__xludf.DUMMYFUNCTION("""COMPUTED_VALUE"""),TRUE)</f>
        <v>1</v>
      </c>
    </row>
    <row r="496" hidden="1">
      <c r="A496" s="78" t="str">
        <f>IFERROR(__xludf.DUMMYFUNCTION("""COMPUTED_VALUE"""),"Corrupting Influence")</f>
        <v>Corrupting Influence</v>
      </c>
      <c r="B496" s="78" t="str">
        <f>IFERROR(__xludf.DUMMYFUNCTION("""COMPUTED_VALUE"""),"Cavalry Charge")</f>
        <v>Cavalry Charge</v>
      </c>
      <c r="C496" s="79">
        <f>IFERROR(__xludf.DUMMYFUNCTION("""COMPUTED_VALUE"""),0.0)</f>
        <v>0</v>
      </c>
      <c r="D496" s="79">
        <f>IFERROR(__xludf.DUMMYFUNCTION("""COMPUTED_VALUE"""),0.0)</f>
        <v>0</v>
      </c>
      <c r="E496" s="69" t="b">
        <f>IFERROR(__xludf.DUMMYFUNCTION("""COMPUTED_VALUE"""),TRUE)</f>
        <v>1</v>
      </c>
    </row>
    <row r="497" hidden="1">
      <c r="A497" s="76" t="str">
        <f>IFERROR(__xludf.DUMMYFUNCTION("""COMPUTED_VALUE"""),"Corrupting Influence")</f>
        <v>Corrupting Influence</v>
      </c>
      <c r="B497" s="76" t="str">
        <f>IFERROR(__xludf.DUMMYFUNCTION("""COMPUTED_VALUE"""),"Corrupting Influence")</f>
        <v>Corrupting Influence</v>
      </c>
      <c r="C497" s="77">
        <f>IFERROR(__xludf.DUMMYFUNCTION("""COMPUTED_VALUE"""),5.0)</f>
        <v>5</v>
      </c>
      <c r="D497" s="77">
        <f>IFERROR(__xludf.DUMMYFUNCTION("""COMPUTED_VALUE"""),5.0)</f>
        <v>5</v>
      </c>
      <c r="E497" s="46" t="b">
        <f>IFERROR(__xludf.DUMMYFUNCTION("""COMPUTED_VALUE"""),TRUE)</f>
        <v>1</v>
      </c>
    </row>
    <row r="498" hidden="1">
      <c r="A498" s="76" t="str">
        <f>IFERROR(__xludf.DUMMYFUNCTION("""COMPUTED_VALUE"""),"Corrupting Influence")</f>
        <v>Corrupting Influence</v>
      </c>
      <c r="B498" s="76" t="str">
        <f>IFERROR(__xludf.DUMMYFUNCTION("""COMPUTED_VALUE"""),"Counter Blitz")</f>
        <v>Counter Blitz</v>
      </c>
      <c r="C498" s="77">
        <f>IFERROR(__xludf.DUMMYFUNCTION("""COMPUTED_VALUE"""),1.0)</f>
        <v>1</v>
      </c>
      <c r="D498" s="77">
        <f>IFERROR(__xludf.DUMMYFUNCTION("""COMPUTED_VALUE"""),0.0)</f>
        <v>0</v>
      </c>
      <c r="E498" s="46" t="b">
        <f>IFERROR(__xludf.DUMMYFUNCTION("""COMPUTED_VALUE"""),FALSE)</f>
        <v>0</v>
      </c>
    </row>
    <row r="499" hidden="1">
      <c r="A499" s="78" t="str">
        <f>IFERROR(__xludf.DUMMYFUNCTION("""COMPUTED_VALUE"""),"Corrupting Influence")</f>
        <v>Corrupting Influence</v>
      </c>
      <c r="B499" s="78" t="str">
        <f>IFERROR(__xludf.DUMMYFUNCTION("""COMPUTED_VALUE"""),"Counter Intelligence")</f>
        <v>Counter Intelligence</v>
      </c>
      <c r="C499" s="79">
        <f>IFERROR(__xludf.DUMMYFUNCTION("""COMPUTED_VALUE"""),0.0)</f>
        <v>0</v>
      </c>
      <c r="D499" s="79">
        <f>IFERROR(__xludf.DUMMYFUNCTION("""COMPUTED_VALUE"""),0.0)</f>
        <v>0</v>
      </c>
      <c r="E499" s="69" t="b">
        <f>IFERROR(__xludf.DUMMYFUNCTION("""COMPUTED_VALUE"""),TRUE)</f>
        <v>1</v>
      </c>
    </row>
    <row r="500" hidden="1">
      <c r="A500" s="76" t="str">
        <f>IFERROR(__xludf.DUMMYFUNCTION("""COMPUTED_VALUE"""),"Corrupting Influence")</f>
        <v>Corrupting Influence</v>
      </c>
      <c r="B500" s="76" t="str">
        <f>IFERROR(__xludf.DUMMYFUNCTION("""COMPUTED_VALUE"""),"Creative Energy")</f>
        <v>Creative Energy</v>
      </c>
      <c r="C500" s="77">
        <f>IFERROR(__xludf.DUMMYFUNCTION("""COMPUTED_VALUE"""),0.0)</f>
        <v>0</v>
      </c>
      <c r="D500" s="77">
        <f>IFERROR(__xludf.DUMMYFUNCTION("""COMPUTED_VALUE"""),0.0)</f>
        <v>0</v>
      </c>
      <c r="E500" s="46" t="b">
        <f>IFERROR(__xludf.DUMMYFUNCTION("""COMPUTED_VALUE"""),TRUE)</f>
        <v>1</v>
      </c>
    </row>
    <row r="501" hidden="1">
      <c r="A501" s="78" t="str">
        <f>IFERROR(__xludf.DUMMYFUNCTION("""COMPUTED_VALUE"""),"Corrupting Influence")</f>
        <v>Corrupting Influence</v>
      </c>
      <c r="B501" s="78" t="str">
        <f>IFERROR(__xludf.DUMMYFUNCTION("""COMPUTED_VALUE"""),"Dance of the Elements")</f>
        <v>Dance of the Elements</v>
      </c>
      <c r="C501" s="79">
        <f>IFERROR(__xludf.DUMMYFUNCTION("""COMPUTED_VALUE"""),2.0)</f>
        <v>2</v>
      </c>
      <c r="D501" s="79">
        <f>IFERROR(__xludf.DUMMYFUNCTION("""COMPUTED_VALUE"""),1.0)</f>
        <v>1</v>
      </c>
      <c r="E501" s="69" t="b">
        <f>IFERROR(__xludf.DUMMYFUNCTION("""COMPUTED_VALUE"""),FALSE)</f>
        <v>0</v>
      </c>
    </row>
    <row r="502" hidden="1">
      <c r="A502" s="76" t="str">
        <f>IFERROR(__xludf.DUMMYFUNCTION("""COMPUTED_VALUE"""),"Corrupting Influence")</f>
        <v>Corrupting Influence</v>
      </c>
      <c r="B502" s="76" t="str">
        <f>IFERROR(__xludf.DUMMYFUNCTION("""COMPUTED_VALUE"""),"Deep Clue Sea")</f>
        <v>Deep Clue Sea</v>
      </c>
      <c r="C502" s="77">
        <f>IFERROR(__xludf.DUMMYFUNCTION("""COMPUTED_VALUE"""),0.0)</f>
        <v>0</v>
      </c>
      <c r="D502" s="77">
        <f>IFERROR(__xludf.DUMMYFUNCTION("""COMPUTED_VALUE"""),0.0)</f>
        <v>0</v>
      </c>
      <c r="E502" s="46" t="b">
        <f>IFERROR(__xludf.DUMMYFUNCTION("""COMPUTED_VALUE"""),TRUE)</f>
        <v>1</v>
      </c>
    </row>
    <row r="503" hidden="1">
      <c r="A503" s="76" t="str">
        <f>IFERROR(__xludf.DUMMYFUNCTION("""COMPUTED_VALUE"""),"Corrupting Influence")</f>
        <v>Corrupting Influence</v>
      </c>
      <c r="B503" s="76" t="str">
        <f>IFERROR(__xludf.DUMMYFUNCTION("""COMPUTED_VALUE"""),"Doom Prevails")</f>
        <v>Doom Prevails</v>
      </c>
      <c r="C503" s="77">
        <f>IFERROR(__xludf.DUMMYFUNCTION("""COMPUTED_VALUE"""),0.0)</f>
        <v>0</v>
      </c>
      <c r="D503" s="77">
        <f>IFERROR(__xludf.DUMMYFUNCTION("""COMPUTED_VALUE"""),0.0)</f>
        <v>0</v>
      </c>
      <c r="E503" s="46" t="b">
        <f>IFERROR(__xludf.DUMMYFUNCTION("""COMPUTED_VALUE"""),TRUE)</f>
        <v>1</v>
      </c>
    </row>
    <row r="504" hidden="1">
      <c r="A504" s="76" t="str">
        <f>IFERROR(__xludf.DUMMYFUNCTION("""COMPUTED_VALUE"""),"Corrupting Influence")</f>
        <v>Corrupting Influence</v>
      </c>
      <c r="B504" s="76" t="str">
        <f>IFERROR(__xludf.DUMMYFUNCTION("""COMPUTED_VALUE"""),"Eldrazi Incursion")</f>
        <v>Eldrazi Incursion</v>
      </c>
      <c r="C504" s="77">
        <f>IFERROR(__xludf.DUMMYFUNCTION("""COMPUTED_VALUE"""),0.0)</f>
        <v>0</v>
      </c>
      <c r="D504" s="77">
        <f>IFERROR(__xludf.DUMMYFUNCTION("""COMPUTED_VALUE"""),0.0)</f>
        <v>0</v>
      </c>
      <c r="E504" s="46" t="b">
        <f>IFERROR(__xludf.DUMMYFUNCTION("""COMPUTED_VALUE"""),TRUE)</f>
        <v>1</v>
      </c>
    </row>
    <row r="505" hidden="1">
      <c r="A505" s="76" t="str">
        <f>IFERROR(__xludf.DUMMYFUNCTION("""COMPUTED_VALUE"""),"Corrupting Influence")</f>
        <v>Corrupting Influence</v>
      </c>
      <c r="B505" s="76" t="str">
        <f>IFERROR(__xludf.DUMMYFUNCTION("""COMPUTED_VALUE"""),"Eldrazi Unbound")</f>
        <v>Eldrazi Unbound</v>
      </c>
      <c r="C505" s="77">
        <f>IFERROR(__xludf.DUMMYFUNCTION("""COMPUTED_VALUE"""),0.0)</f>
        <v>0</v>
      </c>
      <c r="D505" s="77">
        <f>IFERROR(__xludf.DUMMYFUNCTION("""COMPUTED_VALUE"""),0.0)</f>
        <v>0</v>
      </c>
      <c r="E505" s="46" t="b">
        <f>IFERROR(__xludf.DUMMYFUNCTION("""COMPUTED_VALUE"""),TRUE)</f>
        <v>1</v>
      </c>
    </row>
    <row r="506" hidden="1">
      <c r="A506" s="76" t="str">
        <f>IFERROR(__xludf.DUMMYFUNCTION("""COMPUTED_VALUE"""),"Corrupting Influence")</f>
        <v>Corrupting Influence</v>
      </c>
      <c r="B506" s="76" t="str">
        <f>IFERROR(__xludf.DUMMYFUNCTION("""COMPUTED_VALUE"""),"Endless Punishment")</f>
        <v>Endless Punishment</v>
      </c>
      <c r="C506" s="77">
        <f>IFERROR(__xludf.DUMMYFUNCTION("""COMPUTED_VALUE"""),1.0)</f>
        <v>1</v>
      </c>
      <c r="D506" s="77">
        <f>IFERROR(__xludf.DUMMYFUNCTION("""COMPUTED_VALUE"""),1.0)</f>
        <v>1</v>
      </c>
      <c r="E506" s="46" t="b">
        <f>IFERROR(__xludf.DUMMYFUNCTION("""COMPUTED_VALUE"""),FALSE)</f>
        <v>0</v>
      </c>
    </row>
    <row r="507" hidden="1">
      <c r="A507" s="78" t="str">
        <f>IFERROR(__xludf.DUMMYFUNCTION("""COMPUTED_VALUE"""),"Corrupting Influence")</f>
        <v>Corrupting Influence</v>
      </c>
      <c r="B507" s="78" t="str">
        <f>IFERROR(__xludf.DUMMYFUNCTION("""COMPUTED_VALUE"""),"Enduring Enchantments")</f>
        <v>Enduring Enchantments</v>
      </c>
      <c r="C507" s="79">
        <f>IFERROR(__xludf.DUMMYFUNCTION("""COMPUTED_VALUE"""),0.0)</f>
        <v>0</v>
      </c>
      <c r="D507" s="79">
        <f>IFERROR(__xludf.DUMMYFUNCTION("""COMPUTED_VALUE"""),0.0)</f>
        <v>0</v>
      </c>
      <c r="E507" s="69" t="b">
        <f>IFERROR(__xludf.DUMMYFUNCTION("""COMPUTED_VALUE"""),TRUE)</f>
        <v>1</v>
      </c>
    </row>
    <row r="508" hidden="1">
      <c r="A508" s="76" t="str">
        <f>IFERROR(__xludf.DUMMYFUNCTION("""COMPUTED_VALUE"""),"Corrupting Influence")</f>
        <v>Corrupting Influence</v>
      </c>
      <c r="B508" s="76" t="str">
        <f>IFERROR(__xludf.DUMMYFUNCTION("""COMPUTED_VALUE"""),"Explorers of the Deep")</f>
        <v>Explorers of the Deep</v>
      </c>
      <c r="C508" s="77">
        <f>IFERROR(__xludf.DUMMYFUNCTION("""COMPUTED_VALUE"""),0.0)</f>
        <v>0</v>
      </c>
      <c r="D508" s="77">
        <f>IFERROR(__xludf.DUMMYFUNCTION("""COMPUTED_VALUE"""),0.0)</f>
        <v>0</v>
      </c>
      <c r="E508" s="46" t="b">
        <f>IFERROR(__xludf.DUMMYFUNCTION("""COMPUTED_VALUE"""),TRUE)</f>
        <v>1</v>
      </c>
    </row>
    <row r="509" hidden="1">
      <c r="A509" s="78" t="str">
        <f>IFERROR(__xludf.DUMMYFUNCTION("""COMPUTED_VALUE"""),"Corrupting Influence")</f>
        <v>Corrupting Influence</v>
      </c>
      <c r="B509" s="78" t="str">
        <f>IFERROR(__xludf.DUMMYFUNCTION("""COMPUTED_VALUE"""),"Family Matters")</f>
        <v>Family Matters</v>
      </c>
      <c r="C509" s="79">
        <f>IFERROR(__xludf.DUMMYFUNCTION("""COMPUTED_VALUE"""),0.0)</f>
        <v>0</v>
      </c>
      <c r="D509" s="79">
        <f>IFERROR(__xludf.DUMMYFUNCTION("""COMPUTED_VALUE"""),0.0)</f>
        <v>0</v>
      </c>
      <c r="E509" s="69" t="b">
        <f>IFERROR(__xludf.DUMMYFUNCTION("""COMPUTED_VALUE"""),TRUE)</f>
        <v>1</v>
      </c>
    </row>
    <row r="510" hidden="1">
      <c r="A510" s="76" t="str">
        <f>IFERROR(__xludf.DUMMYFUNCTION("""COMPUTED_VALUE"""),"Corrupting Influence")</f>
        <v>Corrupting Influence</v>
      </c>
      <c r="B510" s="76" t="str">
        <f>IFERROR(__xludf.DUMMYFUNCTION("""COMPUTED_VALUE"""),"Food and Fellowship")</f>
        <v>Food and Fellowship</v>
      </c>
      <c r="C510" s="77">
        <f>IFERROR(__xludf.DUMMYFUNCTION("""COMPUTED_VALUE"""),0.0)</f>
        <v>0</v>
      </c>
      <c r="D510" s="77">
        <f>IFERROR(__xludf.DUMMYFUNCTION("""COMPUTED_VALUE"""),0.0)</f>
        <v>0</v>
      </c>
      <c r="E510" s="46" t="b">
        <f>IFERROR(__xludf.DUMMYFUNCTION("""COMPUTED_VALUE"""),TRUE)</f>
        <v>1</v>
      </c>
    </row>
    <row r="511">
      <c r="A511" s="78" t="str">
        <f>IFERROR(__xludf.DUMMYFUNCTION("""COMPUTED_VALUE"""),"Corrupting Influence")</f>
        <v>Corrupting Influence</v>
      </c>
      <c r="B511" s="78" t="str">
        <f>IFERROR(__xludf.DUMMYFUNCTION("""COMPUTED_VALUE"""),"Jeskai Striker")</f>
        <v>Jeskai Striker</v>
      </c>
      <c r="C511" s="79">
        <f>IFERROR(__xludf.DUMMYFUNCTION("""COMPUTED_VALUE"""),1.0)</f>
        <v>1</v>
      </c>
      <c r="D511" s="79">
        <f>IFERROR(__xludf.DUMMYFUNCTION("""COMPUTED_VALUE"""),0.0)</f>
        <v>0</v>
      </c>
      <c r="E511" s="69" t="b">
        <f>IFERROR(__xludf.DUMMYFUNCTION("""COMPUTED_VALUE"""),FALSE)</f>
        <v>0</v>
      </c>
    </row>
    <row r="512" hidden="1">
      <c r="A512" s="76" t="str">
        <f>IFERROR(__xludf.DUMMYFUNCTION("""COMPUTED_VALUE"""),"Corrupting Influence")</f>
        <v>Corrupting Influence</v>
      </c>
      <c r="B512" s="76" t="str">
        <f>IFERROR(__xludf.DUMMYFUNCTION("""COMPUTED_VALUE"""),"Legends' Legacy")</f>
        <v>Legends' Legacy</v>
      </c>
      <c r="C512" s="77">
        <f>IFERROR(__xludf.DUMMYFUNCTION("""COMPUTED_VALUE"""),1.0)</f>
        <v>1</v>
      </c>
      <c r="D512" s="77">
        <f>IFERROR(__xludf.DUMMYFUNCTION("""COMPUTED_VALUE"""),0.0)</f>
        <v>0</v>
      </c>
      <c r="E512" s="46" t="b">
        <f>IFERROR(__xludf.DUMMYFUNCTION("""COMPUTED_VALUE"""),FALSE)</f>
        <v>0</v>
      </c>
    </row>
    <row r="513" hidden="1">
      <c r="A513" s="76" t="str">
        <f>IFERROR(__xludf.DUMMYFUNCTION("""COMPUTED_VALUE"""),"Corrupting Influence")</f>
        <v>Corrupting Influence</v>
      </c>
      <c r="B513" s="76" t="str">
        <f>IFERROR(__xludf.DUMMYFUNCTION("""COMPUTED_VALUE"""),"Limit Break")</f>
        <v>Limit Break</v>
      </c>
      <c r="C513" s="77">
        <f>IFERROR(__xludf.DUMMYFUNCTION("""COMPUTED_VALUE"""),0.0)</f>
        <v>0</v>
      </c>
      <c r="D513" s="77">
        <f>IFERROR(__xludf.DUMMYFUNCTION("""COMPUTED_VALUE"""),0.0)</f>
        <v>0</v>
      </c>
      <c r="E513" s="46" t="b">
        <f>IFERROR(__xludf.DUMMYFUNCTION("""COMPUTED_VALUE"""),TRUE)</f>
        <v>1</v>
      </c>
    </row>
    <row r="514" hidden="1">
      <c r="A514" s="78" t="str">
        <f>IFERROR(__xludf.DUMMYFUNCTION("""COMPUTED_VALUE"""),"Corrupting Influence")</f>
        <v>Corrupting Influence</v>
      </c>
      <c r="B514" s="78" t="str">
        <f>IFERROR(__xludf.DUMMYFUNCTION("""COMPUTED_VALUE"""),"Lorehold Spirit")</f>
        <v>Lorehold Spirit</v>
      </c>
      <c r="C514" s="79">
        <f>IFERROR(__xludf.DUMMYFUNCTION("""COMPUTED_VALUE"""),1.0)</f>
        <v>1</v>
      </c>
      <c r="D514" s="79">
        <f>IFERROR(__xludf.DUMMYFUNCTION("""COMPUTED_VALUE"""),0.0)</f>
        <v>0</v>
      </c>
      <c r="E514" s="69" t="b">
        <f>IFERROR(__xludf.DUMMYFUNCTION("""COMPUTED_VALUE"""),FALSE)</f>
        <v>0</v>
      </c>
    </row>
    <row r="515" hidden="1">
      <c r="A515" s="76" t="str">
        <f>IFERROR(__xludf.DUMMYFUNCTION("""COMPUTED_VALUE"""),"Corrupting Influence")</f>
        <v>Corrupting Influence</v>
      </c>
      <c r="B515" s="76" t="str">
        <f>IFERROR(__xludf.DUMMYFUNCTION("""COMPUTED_VALUE"""),"Mutant Menace")</f>
        <v>Mutant Menace</v>
      </c>
      <c r="C515" s="77">
        <f>IFERROR(__xludf.DUMMYFUNCTION("""COMPUTED_VALUE"""),0.0)</f>
        <v>0</v>
      </c>
      <c r="D515" s="77">
        <f>IFERROR(__xludf.DUMMYFUNCTION("""COMPUTED_VALUE"""),0.0)</f>
        <v>0</v>
      </c>
      <c r="E515" s="46" t="b">
        <f>IFERROR(__xludf.DUMMYFUNCTION("""COMPUTED_VALUE"""),TRUE)</f>
        <v>1</v>
      </c>
    </row>
    <row r="516" hidden="1">
      <c r="A516" s="76" t="str">
        <f>IFERROR(__xludf.DUMMYFUNCTION("""COMPUTED_VALUE"""),"Corrupting Influence")</f>
        <v>Corrupting Influence</v>
      </c>
      <c r="B516" s="76" t="str">
        <f>IFERROR(__xludf.DUMMYFUNCTION("""COMPUTED_VALUE"""),"Party Time")</f>
        <v>Party Time</v>
      </c>
      <c r="C516" s="77">
        <f>IFERROR(__xludf.DUMMYFUNCTION("""COMPUTED_VALUE"""),0.0)</f>
        <v>0</v>
      </c>
      <c r="D516" s="77">
        <f>IFERROR(__xludf.DUMMYFUNCTION("""COMPUTED_VALUE"""),0.0)</f>
        <v>0</v>
      </c>
      <c r="E516" s="46" t="b">
        <f>IFERROR(__xludf.DUMMYFUNCTION("""COMPUTED_VALUE"""),TRUE)</f>
        <v>1</v>
      </c>
    </row>
    <row r="517" hidden="1">
      <c r="A517" s="76" t="str">
        <f>IFERROR(__xludf.DUMMYFUNCTION("""COMPUTED_VALUE"""),"Corrupting Influence")</f>
        <v>Corrupting Influence</v>
      </c>
      <c r="B517" s="76" t="str">
        <f>IFERROR(__xludf.DUMMYFUNCTION("""COMPUTED_VALUE"""),"Peace Offering")</f>
        <v>Peace Offering</v>
      </c>
      <c r="C517" s="77">
        <f>IFERROR(__xludf.DUMMYFUNCTION("""COMPUTED_VALUE"""),0.0)</f>
        <v>0</v>
      </c>
      <c r="D517" s="77">
        <f>IFERROR(__xludf.DUMMYFUNCTION("""COMPUTED_VALUE"""),0.0)</f>
        <v>0</v>
      </c>
      <c r="E517" s="46" t="b">
        <f>IFERROR(__xludf.DUMMYFUNCTION("""COMPUTED_VALUE"""),TRUE)</f>
        <v>1</v>
      </c>
    </row>
    <row r="518" hidden="1">
      <c r="A518" s="76" t="str">
        <f>IFERROR(__xludf.DUMMYFUNCTION("""COMPUTED_VALUE"""),"Corrupting Influence")</f>
        <v>Corrupting Influence</v>
      </c>
      <c r="B518" s="76" t="str">
        <f>IFERROR(__xludf.DUMMYFUNCTION("""COMPUTED_VALUE"""),"Power Hungry")</f>
        <v>Power Hungry</v>
      </c>
      <c r="C518" s="77">
        <f>IFERROR(__xludf.DUMMYFUNCTION("""COMPUTED_VALUE"""),0.0)</f>
        <v>0</v>
      </c>
      <c r="D518" s="77">
        <f>IFERROR(__xludf.DUMMYFUNCTION("""COMPUTED_VALUE"""),0.0)</f>
        <v>0</v>
      </c>
      <c r="E518" s="46" t="b">
        <f>IFERROR(__xludf.DUMMYFUNCTION("""COMPUTED_VALUE"""),TRUE)</f>
        <v>1</v>
      </c>
    </row>
    <row r="519" hidden="1">
      <c r="A519" s="78" t="str">
        <f>IFERROR(__xludf.DUMMYFUNCTION("""COMPUTED_VALUE"""),"Corrupting Influence")</f>
        <v>Corrupting Influence</v>
      </c>
      <c r="B519" s="78" t="str">
        <f>IFERROR(__xludf.DUMMYFUNCTION("""COMPUTED_VALUE"""),"Primal Genesis")</f>
        <v>Primal Genesis</v>
      </c>
      <c r="C519" s="79">
        <f>IFERROR(__xludf.DUMMYFUNCTION("""COMPUTED_VALUE"""),0.0)</f>
        <v>0</v>
      </c>
      <c r="D519" s="79">
        <f>IFERROR(__xludf.DUMMYFUNCTION("""COMPUTED_VALUE"""),0.0)</f>
        <v>0</v>
      </c>
      <c r="E519" s="69" t="b">
        <f>IFERROR(__xludf.DUMMYFUNCTION("""COMPUTED_VALUE"""),TRUE)</f>
        <v>1</v>
      </c>
    </row>
    <row r="520">
      <c r="A520" s="76" t="str">
        <f>IFERROR(__xludf.DUMMYFUNCTION("""COMPUTED_VALUE"""),"Corrupting Influence")</f>
        <v>Corrupting Influence</v>
      </c>
      <c r="B520" s="76" t="str">
        <f>IFERROR(__xludf.DUMMYFUNCTION("""COMPUTED_VALUE"""),"Prismari Artistry")</f>
        <v>Prismari Artistry</v>
      </c>
      <c r="C520" s="77">
        <f>IFERROR(__xludf.DUMMYFUNCTION("""COMPUTED_VALUE"""),0.0)</f>
        <v>0</v>
      </c>
      <c r="D520" s="77">
        <f>IFERROR(__xludf.DUMMYFUNCTION("""COMPUTED_VALUE"""),0.0)</f>
        <v>0</v>
      </c>
      <c r="E520" s="46" t="b">
        <f>IFERROR(__xludf.DUMMYFUNCTION("""COMPUTED_VALUE"""),TRUE)</f>
        <v>1</v>
      </c>
    </row>
    <row r="521" hidden="1">
      <c r="A521" s="78" t="str">
        <f>IFERROR(__xludf.DUMMYFUNCTION("""COMPUTED_VALUE"""),"Corrupting Influence")</f>
        <v>Corrupting Influence</v>
      </c>
      <c r="B521" s="78" t="str">
        <f>IFERROR(__xludf.DUMMYFUNCTION("""COMPUTED_VALUE"""),"Prismari Performance")</f>
        <v>Prismari Performance</v>
      </c>
      <c r="C521" s="79">
        <f>IFERROR(__xludf.DUMMYFUNCTION("""COMPUTED_VALUE"""),1.0)</f>
        <v>1</v>
      </c>
      <c r="D521" s="79">
        <f>IFERROR(__xludf.DUMMYFUNCTION("""COMPUTED_VALUE"""),0.0)</f>
        <v>0</v>
      </c>
      <c r="E521" s="69" t="b">
        <f>IFERROR(__xludf.DUMMYFUNCTION("""COMPUTED_VALUE"""),FALSE)</f>
        <v>0</v>
      </c>
    </row>
    <row r="522" hidden="1">
      <c r="A522" s="76" t="str">
        <f>IFERROR(__xludf.DUMMYFUNCTION("""COMPUTED_VALUE"""),"Corrupting Influence")</f>
        <v>Corrupting Influence</v>
      </c>
      <c r="B522" s="76" t="str">
        <f>IFERROR(__xludf.DUMMYFUNCTION("""COMPUTED_VALUE"""),"Quandrix Unlimited")</f>
        <v>Quandrix Unlimited</v>
      </c>
      <c r="C522" s="77">
        <f>IFERROR(__xludf.DUMMYFUNCTION("""COMPUTED_VALUE"""),1.0)</f>
        <v>1</v>
      </c>
      <c r="D522" s="77">
        <f>IFERROR(__xludf.DUMMYFUNCTION("""COMPUTED_VALUE"""),0.0)</f>
        <v>0</v>
      </c>
      <c r="E522" s="46" t="b">
        <f>IFERROR(__xludf.DUMMYFUNCTION("""COMPUTED_VALUE"""),FALSE)</f>
        <v>0</v>
      </c>
    </row>
    <row r="523" hidden="1">
      <c r="A523" s="76" t="str">
        <f>IFERROR(__xludf.DUMMYFUNCTION("""COMPUTED_VALUE"""),"Corrupting Influence")</f>
        <v>Corrupting Influence</v>
      </c>
      <c r="B523" s="76" t="str">
        <f>IFERROR(__xludf.DUMMYFUNCTION("""COMPUTED_VALUE"""),"Quick Draw")</f>
        <v>Quick Draw</v>
      </c>
      <c r="C523" s="77">
        <f>IFERROR(__xludf.DUMMYFUNCTION("""COMPUTED_VALUE"""),1.0)</f>
        <v>1</v>
      </c>
      <c r="D523" s="77">
        <f>IFERROR(__xludf.DUMMYFUNCTION("""COMPUTED_VALUE"""),2.0)</f>
        <v>2</v>
      </c>
      <c r="E523" s="46" t="b">
        <f>IFERROR(__xludf.DUMMYFUNCTION("""COMPUTED_VALUE"""),FALSE)</f>
        <v>0</v>
      </c>
    </row>
    <row r="524">
      <c r="A524" s="76" t="str">
        <f>IFERROR(__xludf.DUMMYFUNCTION("""COMPUTED_VALUE"""),"Corrupting Influence")</f>
        <v>Corrupting Influence</v>
      </c>
      <c r="B524" s="76" t="str">
        <f>IFERROR(__xludf.DUMMYFUNCTION("""COMPUTED_VALUE"""),"Reap the Tides")</f>
        <v>Reap the Tides</v>
      </c>
      <c r="C524" s="77">
        <f>IFERROR(__xludf.DUMMYFUNCTION("""COMPUTED_VALUE"""),0.0)</f>
        <v>0</v>
      </c>
      <c r="D524" s="77">
        <f>IFERROR(__xludf.DUMMYFUNCTION("""COMPUTED_VALUE"""),2.0)</f>
        <v>2</v>
      </c>
      <c r="E524" s="46" t="b">
        <f>IFERROR(__xludf.DUMMYFUNCTION("""COMPUTED_VALUE"""),FALSE)</f>
        <v>0</v>
      </c>
    </row>
    <row r="525" hidden="1">
      <c r="A525" s="78" t="str">
        <f>IFERROR(__xludf.DUMMYFUNCTION("""COMPUTED_VALUE"""),"Corrupting Influence")</f>
        <v>Corrupting Influence</v>
      </c>
      <c r="B525" s="78" t="str">
        <f>IFERROR(__xludf.DUMMYFUNCTION("""COMPUTED_VALUE"""),"Rebellion Rising")</f>
        <v>Rebellion Rising</v>
      </c>
      <c r="C525" s="79">
        <f>IFERROR(__xludf.DUMMYFUNCTION("""COMPUTED_VALUE"""),1.0)</f>
        <v>1</v>
      </c>
      <c r="D525" s="79">
        <f>IFERROR(__xludf.DUMMYFUNCTION("""COMPUTED_VALUE"""),0.0)</f>
        <v>0</v>
      </c>
      <c r="E525" s="69" t="b">
        <f>IFERROR(__xludf.DUMMYFUNCTION("""COMPUTED_VALUE"""),FALSE)</f>
        <v>0</v>
      </c>
    </row>
    <row r="526" hidden="1">
      <c r="A526" s="76" t="str">
        <f>IFERROR(__xludf.DUMMYFUNCTION("""COMPUTED_VALUE"""),"Corrupting Influence")</f>
        <v>Corrupting Influence</v>
      </c>
      <c r="B526" s="76" t="str">
        <f>IFERROR(__xludf.DUMMYFUNCTION("""COMPUTED_VALUE"""),"Revival Trance")</f>
        <v>Revival Trance</v>
      </c>
      <c r="C526" s="77">
        <f>IFERROR(__xludf.DUMMYFUNCTION("""COMPUTED_VALUE"""),0.0)</f>
        <v>0</v>
      </c>
      <c r="D526" s="77">
        <f>IFERROR(__xludf.DUMMYFUNCTION("""COMPUTED_VALUE"""),0.0)</f>
        <v>0</v>
      </c>
      <c r="E526" s="46" t="b">
        <f>IFERROR(__xludf.DUMMYFUNCTION("""COMPUTED_VALUE"""),TRUE)</f>
        <v>1</v>
      </c>
    </row>
    <row r="527" hidden="1">
      <c r="A527" s="76" t="str">
        <f>IFERROR(__xludf.DUMMYFUNCTION("""COMPUTED_VALUE"""),"Corrupting Influence")</f>
        <v>Corrupting Influence</v>
      </c>
      <c r="B527" s="76" t="str">
        <f>IFERROR(__xludf.DUMMYFUNCTION("""COMPUTED_VALUE"""),"Riders of Rohan")</f>
        <v>Riders of Rohan</v>
      </c>
      <c r="C527" s="77">
        <f>IFERROR(__xludf.DUMMYFUNCTION("""COMPUTED_VALUE"""),0.0)</f>
        <v>0</v>
      </c>
      <c r="D527" s="77">
        <f>IFERROR(__xludf.DUMMYFUNCTION("""COMPUTED_VALUE"""),0.0)</f>
        <v>0</v>
      </c>
      <c r="E527" s="46" t="b">
        <f>IFERROR(__xludf.DUMMYFUNCTION("""COMPUTED_VALUE"""),TRUE)</f>
        <v>1</v>
      </c>
    </row>
    <row r="528" hidden="1">
      <c r="A528" s="78" t="str">
        <f>IFERROR(__xludf.DUMMYFUNCTION("""COMPUTED_VALUE"""),"Corrupting Influence")</f>
        <v>Corrupting Influence</v>
      </c>
      <c r="B528" s="78" t="str">
        <f>IFERROR(__xludf.DUMMYFUNCTION("""COMPUTED_VALUE"""),"Science!")</f>
        <v>Science!</v>
      </c>
      <c r="C528" s="79">
        <f>IFERROR(__xludf.DUMMYFUNCTION("""COMPUTED_VALUE"""),0.0)</f>
        <v>0</v>
      </c>
      <c r="D528" s="79">
        <f>IFERROR(__xludf.DUMMYFUNCTION("""COMPUTED_VALUE"""),0.0)</f>
        <v>0</v>
      </c>
      <c r="E528" s="69" t="b">
        <f>IFERROR(__xludf.DUMMYFUNCTION("""COMPUTED_VALUE"""),TRUE)</f>
        <v>1</v>
      </c>
    </row>
    <row r="529" hidden="1">
      <c r="A529" s="78" t="str">
        <f>IFERROR(__xludf.DUMMYFUNCTION("""COMPUTED_VALUE"""),"Corrupting Influence")</f>
        <v>Corrupting Influence</v>
      </c>
      <c r="B529" s="78" t="str">
        <f>IFERROR(__xludf.DUMMYFUNCTION("""COMPUTED_VALUE"""),"Scions &amp; Spellcraft")</f>
        <v>Scions &amp; Spellcraft</v>
      </c>
      <c r="C529" s="79">
        <f>IFERROR(__xludf.DUMMYFUNCTION("""COMPUTED_VALUE"""),0.0)</f>
        <v>0</v>
      </c>
      <c r="D529" s="79">
        <f>IFERROR(__xludf.DUMMYFUNCTION("""COMPUTED_VALUE"""),0.0)</f>
        <v>0</v>
      </c>
      <c r="E529" s="69" t="b">
        <f>IFERROR(__xludf.DUMMYFUNCTION("""COMPUTED_VALUE"""),TRUE)</f>
        <v>1</v>
      </c>
    </row>
    <row r="530" hidden="1">
      <c r="A530" s="76" t="str">
        <f>IFERROR(__xludf.DUMMYFUNCTION("""COMPUTED_VALUE"""),"Corrupting Influence")</f>
        <v>Corrupting Influence</v>
      </c>
      <c r="B530" s="76" t="str">
        <f>IFERROR(__xludf.DUMMYFUNCTION("""COMPUTED_VALUE"""),"Scrappy Survivors")</f>
        <v>Scrappy Survivors</v>
      </c>
      <c r="C530" s="77">
        <f>IFERROR(__xludf.DUMMYFUNCTION("""COMPUTED_VALUE"""),0.0)</f>
        <v>0</v>
      </c>
      <c r="D530" s="77">
        <f>IFERROR(__xludf.DUMMYFUNCTION("""COMPUTED_VALUE"""),0.0)</f>
        <v>0</v>
      </c>
      <c r="E530" s="46" t="b">
        <f>IFERROR(__xludf.DUMMYFUNCTION("""COMPUTED_VALUE"""),TRUE)</f>
        <v>1</v>
      </c>
    </row>
    <row r="531" hidden="1">
      <c r="A531" s="76" t="str">
        <f>IFERROR(__xludf.DUMMYFUNCTION("""COMPUTED_VALUE"""),"Corrupting Influence")</f>
        <v>Corrupting Influence</v>
      </c>
      <c r="B531" s="76" t="str">
        <f>IFERROR(__xludf.DUMMYFUNCTION("""COMPUTED_VALUE"""),"Silverquill Influence")</f>
        <v>Silverquill Influence</v>
      </c>
      <c r="C531" s="77">
        <f>IFERROR(__xludf.DUMMYFUNCTION("""COMPUTED_VALUE"""),0.0)</f>
        <v>0</v>
      </c>
      <c r="D531" s="77">
        <f>IFERROR(__xludf.DUMMYFUNCTION("""COMPUTED_VALUE"""),0.0)</f>
        <v>0</v>
      </c>
      <c r="E531" s="46" t="b">
        <f>IFERROR(__xludf.DUMMYFUNCTION("""COMPUTED_VALUE"""),TRUE)</f>
        <v>1</v>
      </c>
    </row>
    <row r="532" hidden="1">
      <c r="A532" s="76" t="str">
        <f>IFERROR(__xludf.DUMMYFUNCTION("""COMPUTED_VALUE"""),"Corrupting Influence")</f>
        <v>Corrupting Influence</v>
      </c>
      <c r="B532" s="76" t="str">
        <f>IFERROR(__xludf.DUMMYFUNCTION("""COMPUTED_VALUE"""),"Spirit Squadron")</f>
        <v>Spirit Squadron</v>
      </c>
      <c r="C532" s="77">
        <f>IFERROR(__xludf.DUMMYFUNCTION("""COMPUTED_VALUE"""),0.0)</f>
        <v>0</v>
      </c>
      <c r="D532" s="77">
        <f>IFERROR(__xludf.DUMMYFUNCTION("""COMPUTED_VALUE"""),0.0)</f>
        <v>0</v>
      </c>
      <c r="E532" s="46" t="b">
        <f>IFERROR(__xludf.DUMMYFUNCTION("""COMPUTED_VALUE"""),TRUE)</f>
        <v>1</v>
      </c>
    </row>
    <row r="533" hidden="1">
      <c r="A533" s="76" t="str">
        <f>IFERROR(__xludf.DUMMYFUNCTION("""COMPUTED_VALUE"""),"Corrupting Influence")</f>
        <v>Corrupting Influence</v>
      </c>
      <c r="B533" s="76" t="str">
        <f>IFERROR(__xludf.DUMMYFUNCTION("""COMPUTED_VALUE"""),"Squirreled Away")</f>
        <v>Squirreled Away</v>
      </c>
      <c r="C533" s="77">
        <f>IFERROR(__xludf.DUMMYFUNCTION("""COMPUTED_VALUE"""),0.0)</f>
        <v>0</v>
      </c>
      <c r="D533" s="77">
        <f>IFERROR(__xludf.DUMMYFUNCTION("""COMPUTED_VALUE"""),0.0)</f>
        <v>0</v>
      </c>
      <c r="E533" s="46" t="b">
        <f>IFERROR(__xludf.DUMMYFUNCTION("""COMPUTED_VALUE"""),TRUE)</f>
        <v>1</v>
      </c>
    </row>
    <row r="534" hidden="1">
      <c r="A534" s="78" t="str">
        <f>IFERROR(__xludf.DUMMYFUNCTION("""COMPUTED_VALUE"""),"Corrupting Influence")</f>
        <v>Corrupting Influence</v>
      </c>
      <c r="B534" s="78" t="str">
        <f>IFERROR(__xludf.DUMMYFUNCTION("""COMPUTED_VALUE"""),"Sultai Arisen")</f>
        <v>Sultai Arisen</v>
      </c>
      <c r="C534" s="79">
        <f>IFERROR(__xludf.DUMMYFUNCTION("""COMPUTED_VALUE"""),1.0)</f>
        <v>1</v>
      </c>
      <c r="D534" s="79">
        <f>IFERROR(__xludf.DUMMYFUNCTION("""COMPUTED_VALUE"""),0.0)</f>
        <v>0</v>
      </c>
      <c r="E534" s="69" t="b">
        <f>IFERROR(__xludf.DUMMYFUNCTION("""COMPUTED_VALUE"""),FALSE)</f>
        <v>0</v>
      </c>
    </row>
    <row r="535" hidden="1">
      <c r="A535" s="76" t="str">
        <f>IFERROR(__xludf.DUMMYFUNCTION("""COMPUTED_VALUE"""),"Corrupting Influence")</f>
        <v>Corrupting Influence</v>
      </c>
      <c r="B535" s="76" t="str">
        <f>IFERROR(__xludf.DUMMYFUNCTION("""COMPUTED_VALUE"""),"Temur Roar")</f>
        <v>Temur Roar</v>
      </c>
      <c r="C535" s="77">
        <f>IFERROR(__xludf.DUMMYFUNCTION("""COMPUTED_VALUE"""),0.0)</f>
        <v>0</v>
      </c>
      <c r="D535" s="77">
        <f>IFERROR(__xludf.DUMMYFUNCTION("""COMPUTED_VALUE"""),0.0)</f>
        <v>0</v>
      </c>
      <c r="E535" s="46" t="b">
        <f>IFERROR(__xludf.DUMMYFUNCTION("""COMPUTED_VALUE"""),TRUE)</f>
        <v>1</v>
      </c>
    </row>
    <row r="536" hidden="1">
      <c r="A536" s="76" t="str">
        <f>IFERROR(__xludf.DUMMYFUNCTION("""COMPUTED_VALUE"""),"Corrupting Influence")</f>
        <v>Corrupting Influence</v>
      </c>
      <c r="B536" s="76" t="str">
        <f>IFERROR(__xludf.DUMMYFUNCTION("""COMPUTED_VALUE"""),"The Hosts of Mordor")</f>
        <v>The Hosts of Mordor</v>
      </c>
      <c r="C536" s="77">
        <f>IFERROR(__xludf.DUMMYFUNCTION("""COMPUTED_VALUE"""),0.0)</f>
        <v>0</v>
      </c>
      <c r="D536" s="77">
        <f>IFERROR(__xludf.DUMMYFUNCTION("""COMPUTED_VALUE"""),0.0)</f>
        <v>0</v>
      </c>
      <c r="E536" s="46" t="b">
        <f>IFERROR(__xludf.DUMMYFUNCTION("""COMPUTED_VALUE"""),TRUE)</f>
        <v>1</v>
      </c>
    </row>
    <row r="537" hidden="1">
      <c r="A537" s="76" t="str">
        <f>IFERROR(__xludf.DUMMYFUNCTION("""COMPUTED_VALUE"""),"Corrupting Influence")</f>
        <v>Corrupting Influence</v>
      </c>
      <c r="B537" s="76" t="str">
        <f>IFERROR(__xludf.DUMMYFUNCTION("""COMPUTED_VALUE"""),"The Ruinous Powers")</f>
        <v>The Ruinous Powers</v>
      </c>
      <c r="C537" s="77">
        <f>IFERROR(__xludf.DUMMYFUNCTION("""COMPUTED_VALUE"""),0.0)</f>
        <v>0</v>
      </c>
      <c r="D537" s="77">
        <f>IFERROR(__xludf.DUMMYFUNCTION("""COMPUTED_VALUE"""),0.0)</f>
        <v>0</v>
      </c>
      <c r="E537" s="46" t="b">
        <f>IFERROR(__xludf.DUMMYFUNCTION("""COMPUTED_VALUE"""),TRUE)</f>
        <v>1</v>
      </c>
    </row>
    <row r="538" hidden="1">
      <c r="A538" s="76" t="str">
        <f>IFERROR(__xludf.DUMMYFUNCTION("""COMPUTED_VALUE"""),"Corrupting Influence")</f>
        <v>Corrupting Influence</v>
      </c>
      <c r="B538" s="76" t="str">
        <f>IFERROR(__xludf.DUMMYFUNCTION("""COMPUTED_VALUE"""),"Timey-Wimey")</f>
        <v>Timey-Wimey</v>
      </c>
      <c r="C538" s="77">
        <f>IFERROR(__xludf.DUMMYFUNCTION("""COMPUTED_VALUE"""),0.0)</f>
        <v>0</v>
      </c>
      <c r="D538" s="77">
        <f>IFERROR(__xludf.DUMMYFUNCTION("""COMPUTED_VALUE"""),0.0)</f>
        <v>0</v>
      </c>
      <c r="E538" s="46" t="b">
        <f>IFERROR(__xludf.DUMMYFUNCTION("""COMPUTED_VALUE"""),TRUE)</f>
        <v>1</v>
      </c>
    </row>
    <row r="539" hidden="1">
      <c r="A539" s="78" t="str">
        <f>IFERROR(__xludf.DUMMYFUNCTION("""COMPUTED_VALUE"""),"Corrupting Influence")</f>
        <v>Corrupting Influence</v>
      </c>
      <c r="B539" s="78" t="str">
        <f>IFERROR(__xludf.DUMMYFUNCTION("""COMPUTED_VALUE"""),"Tinker Time")</f>
        <v>Tinker Time</v>
      </c>
      <c r="C539" s="79">
        <f>IFERROR(__xludf.DUMMYFUNCTION("""COMPUTED_VALUE"""),1.0)</f>
        <v>1</v>
      </c>
      <c r="D539" s="79">
        <f>IFERROR(__xludf.DUMMYFUNCTION("""COMPUTED_VALUE"""),0.0)</f>
        <v>0</v>
      </c>
      <c r="E539" s="69" t="b">
        <f>IFERROR(__xludf.DUMMYFUNCTION("""COMPUTED_VALUE"""),FALSE)</f>
        <v>0</v>
      </c>
    </row>
    <row r="540" hidden="1">
      <c r="A540" s="76" t="str">
        <f>IFERROR(__xludf.DUMMYFUNCTION("""COMPUTED_VALUE"""),"Corrupting Influence")</f>
        <v>Corrupting Influence</v>
      </c>
      <c r="B540" s="76" t="str">
        <f>IFERROR(__xludf.DUMMYFUNCTION("""COMPUTED_VALUE"""),"Turtle Power!")</f>
        <v>Turtle Power!</v>
      </c>
      <c r="C540" s="77">
        <f>IFERROR(__xludf.DUMMYFUNCTION("""COMPUTED_VALUE"""),1.0)</f>
        <v>1</v>
      </c>
      <c r="D540" s="77">
        <f>IFERROR(__xludf.DUMMYFUNCTION("""COMPUTED_VALUE"""),0.0)</f>
        <v>0</v>
      </c>
      <c r="E540" s="46" t="b">
        <f>IFERROR(__xludf.DUMMYFUNCTION("""COMPUTED_VALUE"""),FALSE)</f>
        <v>0</v>
      </c>
    </row>
    <row r="541" hidden="1">
      <c r="A541" s="76" t="str">
        <f>IFERROR(__xludf.DUMMYFUNCTION("""COMPUTED_VALUE"""),"Corrupting Influence")</f>
        <v>Corrupting Influence</v>
      </c>
      <c r="B541" s="76" t="str">
        <f>IFERROR(__xludf.DUMMYFUNCTION("""COMPUTED_VALUE"""),"Veloci-ramp-tor")</f>
        <v>Veloci-ramp-tor</v>
      </c>
      <c r="C541" s="77">
        <f>IFERROR(__xludf.DUMMYFUNCTION("""COMPUTED_VALUE"""),0.0)</f>
        <v>0</v>
      </c>
      <c r="D541" s="77">
        <f>IFERROR(__xludf.DUMMYFUNCTION("""COMPUTED_VALUE"""),0.0)</f>
        <v>0</v>
      </c>
      <c r="E541" s="46" t="b">
        <f>IFERROR(__xludf.DUMMYFUNCTION("""COMPUTED_VALUE"""),TRUE)</f>
        <v>1</v>
      </c>
    </row>
    <row r="542" hidden="1">
      <c r="A542" s="76" t="str">
        <f>IFERROR(__xludf.DUMMYFUNCTION("""COMPUTED_VALUE"""),"Counter Blitz")</f>
        <v>Counter Blitz</v>
      </c>
      <c r="B542" s="76" t="str">
        <f>IFERROR(__xludf.DUMMYFUNCTION("""COMPUTED_VALUE"""),"Ahoy Mateys")</f>
        <v>Ahoy Mateys</v>
      </c>
      <c r="C542" s="77">
        <f>IFERROR(__xludf.DUMMYFUNCTION("""COMPUTED_VALUE"""),0.0)</f>
        <v>0</v>
      </c>
      <c r="D542" s="77">
        <f>IFERROR(__xludf.DUMMYFUNCTION("""COMPUTED_VALUE"""),0.0)</f>
        <v>0</v>
      </c>
      <c r="E542" s="46" t="b">
        <f>IFERROR(__xludf.DUMMYFUNCTION("""COMPUTED_VALUE"""),TRUE)</f>
        <v>1</v>
      </c>
    </row>
    <row r="543" hidden="1">
      <c r="A543" s="76" t="str">
        <f>IFERROR(__xludf.DUMMYFUNCTION("""COMPUTED_VALUE"""),"Counter Blitz")</f>
        <v>Counter Blitz</v>
      </c>
      <c r="B543" s="76" t="str">
        <f>IFERROR(__xludf.DUMMYFUNCTION("""COMPUTED_VALUE"""),"Animated Army")</f>
        <v>Animated Army</v>
      </c>
      <c r="C543" s="77">
        <f>IFERROR(__xludf.DUMMYFUNCTION("""COMPUTED_VALUE"""),0.0)</f>
        <v>0</v>
      </c>
      <c r="D543" s="77">
        <f>IFERROR(__xludf.DUMMYFUNCTION("""COMPUTED_VALUE"""),0.0)</f>
        <v>0</v>
      </c>
      <c r="E543" s="46" t="b">
        <f>IFERROR(__xludf.DUMMYFUNCTION("""COMPUTED_VALUE"""),TRUE)</f>
        <v>1</v>
      </c>
    </row>
    <row r="544" hidden="1">
      <c r="A544" s="76" t="str">
        <f>IFERROR(__xludf.DUMMYFUNCTION("""COMPUTED_VALUE"""),"Counter Blitz")</f>
        <v>Counter Blitz</v>
      </c>
      <c r="B544" s="76" t="str">
        <f>IFERROR(__xludf.DUMMYFUNCTION("""COMPUTED_VALUE"""),"Arcane Maelstrom")</f>
        <v>Arcane Maelstrom</v>
      </c>
      <c r="C544" s="77">
        <f>IFERROR(__xludf.DUMMYFUNCTION("""COMPUTED_VALUE"""),0.0)</f>
        <v>0</v>
      </c>
      <c r="D544" s="77">
        <f>IFERROR(__xludf.DUMMYFUNCTION("""COMPUTED_VALUE"""),0.0)</f>
        <v>0</v>
      </c>
      <c r="E544" s="46" t="b">
        <f>IFERROR(__xludf.DUMMYFUNCTION("""COMPUTED_VALUE"""),TRUE)</f>
        <v>1</v>
      </c>
    </row>
    <row r="545" hidden="1">
      <c r="A545" s="76" t="str">
        <f>IFERROR(__xludf.DUMMYFUNCTION("""COMPUTED_VALUE"""),"Counter Blitz")</f>
        <v>Counter Blitz</v>
      </c>
      <c r="B545" s="76" t="str">
        <f>IFERROR(__xludf.DUMMYFUNCTION("""COMPUTED_VALUE"""),"Blame Game")</f>
        <v>Blame Game</v>
      </c>
      <c r="C545" s="77">
        <f>IFERROR(__xludf.DUMMYFUNCTION("""COMPUTED_VALUE"""),0.0)</f>
        <v>0</v>
      </c>
      <c r="D545" s="77">
        <f>IFERROR(__xludf.DUMMYFUNCTION("""COMPUTED_VALUE"""),0.0)</f>
        <v>0</v>
      </c>
      <c r="E545" s="46" t="b">
        <f>IFERROR(__xludf.DUMMYFUNCTION("""COMPUTED_VALUE"""),TRUE)</f>
        <v>1</v>
      </c>
    </row>
    <row r="546" hidden="1">
      <c r="A546" s="76" t="str">
        <f>IFERROR(__xludf.DUMMYFUNCTION("""COMPUTED_VALUE"""),"Counter Blitz")</f>
        <v>Counter Blitz</v>
      </c>
      <c r="B546" s="76" t="str">
        <f>IFERROR(__xludf.DUMMYFUNCTION("""COMPUTED_VALUE"""),"Blight Curse")</f>
        <v>Blight Curse</v>
      </c>
      <c r="C546" s="77">
        <f>IFERROR(__xludf.DUMMYFUNCTION("""COMPUTED_VALUE"""),0.0)</f>
        <v>0</v>
      </c>
      <c r="D546" s="77">
        <f>IFERROR(__xludf.DUMMYFUNCTION("""COMPUTED_VALUE"""),0.0)</f>
        <v>0</v>
      </c>
      <c r="E546" s="46" t="b">
        <f>IFERROR(__xludf.DUMMYFUNCTION("""COMPUTED_VALUE"""),TRUE)</f>
        <v>1</v>
      </c>
    </row>
    <row r="547" hidden="1">
      <c r="A547" s="78" t="str">
        <f>IFERROR(__xludf.DUMMYFUNCTION("""COMPUTED_VALUE"""),"Counter Blitz")</f>
        <v>Counter Blitz</v>
      </c>
      <c r="B547" s="78" t="str">
        <f>IFERROR(__xludf.DUMMYFUNCTION("""COMPUTED_VALUE"""),"Blood Rites")</f>
        <v>Blood Rites</v>
      </c>
      <c r="C547" s="79">
        <f>IFERROR(__xludf.DUMMYFUNCTION("""COMPUTED_VALUE"""),0.0)</f>
        <v>0</v>
      </c>
      <c r="D547" s="79">
        <f>IFERROR(__xludf.DUMMYFUNCTION("""COMPUTED_VALUE"""),0.0)</f>
        <v>0</v>
      </c>
      <c r="E547" s="69" t="b">
        <f>IFERROR(__xludf.DUMMYFUNCTION("""COMPUTED_VALUE"""),TRUE)</f>
        <v>1</v>
      </c>
    </row>
    <row r="548" hidden="1">
      <c r="A548" s="76" t="str">
        <f>IFERROR(__xludf.DUMMYFUNCTION("""COMPUTED_VALUE"""),"Counter Blitz")</f>
        <v>Counter Blitz</v>
      </c>
      <c r="B548" s="76" t="str">
        <f>IFERROR(__xludf.DUMMYFUNCTION("""COMPUTED_VALUE"""),"Buckle Up")</f>
        <v>Buckle Up</v>
      </c>
      <c r="C548" s="77">
        <f>IFERROR(__xludf.DUMMYFUNCTION("""COMPUTED_VALUE"""),0.0)</f>
        <v>0</v>
      </c>
      <c r="D548" s="77">
        <f>IFERROR(__xludf.DUMMYFUNCTION("""COMPUTED_VALUE"""),0.0)</f>
        <v>0</v>
      </c>
      <c r="E548" s="46" t="b">
        <f>IFERROR(__xludf.DUMMYFUNCTION("""COMPUTED_VALUE"""),TRUE)</f>
        <v>1</v>
      </c>
    </row>
    <row r="549" hidden="1">
      <c r="A549" s="76" t="str">
        <f>IFERROR(__xludf.DUMMYFUNCTION("""COMPUTED_VALUE"""),"Counter Blitz")</f>
        <v>Counter Blitz</v>
      </c>
      <c r="B549" s="76" t="str">
        <f>IFERROR(__xludf.DUMMYFUNCTION("""COMPUTED_VALUE"""),"Cabaretti Cacophony")</f>
        <v>Cabaretti Cacophony</v>
      </c>
      <c r="C549" s="77">
        <f>IFERROR(__xludf.DUMMYFUNCTION("""COMPUTED_VALUE"""),0.0)</f>
        <v>0</v>
      </c>
      <c r="D549" s="77">
        <f>IFERROR(__xludf.DUMMYFUNCTION("""COMPUTED_VALUE"""),0.0)</f>
        <v>0</v>
      </c>
      <c r="E549" s="46" t="b">
        <f>IFERROR(__xludf.DUMMYFUNCTION("""COMPUTED_VALUE"""),TRUE)</f>
        <v>1</v>
      </c>
    </row>
    <row r="550" hidden="1">
      <c r="A550" s="78" t="str">
        <f>IFERROR(__xludf.DUMMYFUNCTION("""COMPUTED_VALUE"""),"Counter Blitz")</f>
        <v>Counter Blitz</v>
      </c>
      <c r="B550" s="78" t="str">
        <f>IFERROR(__xludf.DUMMYFUNCTION("""COMPUTED_VALUE"""),"Cavalry Charge")</f>
        <v>Cavalry Charge</v>
      </c>
      <c r="C550" s="79">
        <f>IFERROR(__xludf.DUMMYFUNCTION("""COMPUTED_VALUE"""),0.0)</f>
        <v>0</v>
      </c>
      <c r="D550" s="79">
        <f>IFERROR(__xludf.DUMMYFUNCTION("""COMPUTED_VALUE"""),0.0)</f>
        <v>0</v>
      </c>
      <c r="E550" s="69" t="b">
        <f>IFERROR(__xludf.DUMMYFUNCTION("""COMPUTED_VALUE"""),TRUE)</f>
        <v>1</v>
      </c>
    </row>
    <row r="551" hidden="1">
      <c r="A551" s="78" t="str">
        <f>IFERROR(__xludf.DUMMYFUNCTION("""COMPUTED_VALUE"""),"Counter Blitz")</f>
        <v>Counter Blitz</v>
      </c>
      <c r="B551" s="78" t="str">
        <f>IFERROR(__xludf.DUMMYFUNCTION("""COMPUTED_VALUE"""),"Corrupting Influence")</f>
        <v>Corrupting Influence</v>
      </c>
      <c r="C551" s="79">
        <f>IFERROR(__xludf.DUMMYFUNCTION("""COMPUTED_VALUE"""),0.0)</f>
        <v>0</v>
      </c>
      <c r="D551" s="79">
        <f>IFERROR(__xludf.DUMMYFUNCTION("""COMPUTED_VALUE"""),1.0)</f>
        <v>1</v>
      </c>
      <c r="E551" s="69" t="b">
        <f>IFERROR(__xludf.DUMMYFUNCTION("""COMPUTED_VALUE"""),FALSE)</f>
        <v>0</v>
      </c>
    </row>
    <row r="552" hidden="1">
      <c r="A552" s="76" t="str">
        <f>IFERROR(__xludf.DUMMYFUNCTION("""COMPUTED_VALUE"""),"Counter Blitz")</f>
        <v>Counter Blitz</v>
      </c>
      <c r="B552" s="76" t="str">
        <f>IFERROR(__xludf.DUMMYFUNCTION("""COMPUTED_VALUE"""),"Counter Blitz")</f>
        <v>Counter Blitz</v>
      </c>
      <c r="C552" s="77">
        <f>IFERROR(__xludf.DUMMYFUNCTION("""COMPUTED_VALUE"""),1.0)</f>
        <v>1</v>
      </c>
      <c r="D552" s="77">
        <f>IFERROR(__xludf.DUMMYFUNCTION("""COMPUTED_VALUE"""),1.0)</f>
        <v>1</v>
      </c>
      <c r="E552" s="46" t="b">
        <f>IFERROR(__xludf.DUMMYFUNCTION("""COMPUTED_VALUE"""),TRUE)</f>
        <v>1</v>
      </c>
    </row>
    <row r="553">
      <c r="A553" s="78" t="str">
        <f>IFERROR(__xludf.DUMMYFUNCTION("""COMPUTED_VALUE"""),"Counter Blitz")</f>
        <v>Counter Blitz</v>
      </c>
      <c r="B553" s="78" t="str">
        <f>IFERROR(__xludf.DUMMYFUNCTION("""COMPUTED_VALUE"""),"Counter Intelligence")</f>
        <v>Counter Intelligence</v>
      </c>
      <c r="C553" s="79">
        <f>IFERROR(__xludf.DUMMYFUNCTION("""COMPUTED_VALUE"""),0.0)</f>
        <v>0</v>
      </c>
      <c r="D553" s="79">
        <f>IFERROR(__xludf.DUMMYFUNCTION("""COMPUTED_VALUE"""),0.0)</f>
        <v>0</v>
      </c>
      <c r="E553" s="69" t="b">
        <f>IFERROR(__xludf.DUMMYFUNCTION("""COMPUTED_VALUE"""),TRUE)</f>
        <v>1</v>
      </c>
    </row>
    <row r="554" hidden="1">
      <c r="A554" s="76" t="str">
        <f>IFERROR(__xludf.DUMMYFUNCTION("""COMPUTED_VALUE"""),"Counter Blitz")</f>
        <v>Counter Blitz</v>
      </c>
      <c r="B554" s="76" t="str">
        <f>IFERROR(__xludf.DUMMYFUNCTION("""COMPUTED_VALUE"""),"Creative Energy")</f>
        <v>Creative Energy</v>
      </c>
      <c r="C554" s="77">
        <f>IFERROR(__xludf.DUMMYFUNCTION("""COMPUTED_VALUE"""),0.0)</f>
        <v>0</v>
      </c>
      <c r="D554" s="77">
        <f>IFERROR(__xludf.DUMMYFUNCTION("""COMPUTED_VALUE"""),0.0)</f>
        <v>0</v>
      </c>
      <c r="E554" s="46" t="b">
        <f>IFERROR(__xludf.DUMMYFUNCTION("""COMPUTED_VALUE"""),TRUE)</f>
        <v>1</v>
      </c>
    </row>
    <row r="555" hidden="1">
      <c r="A555" s="76" t="str">
        <f>IFERROR(__xludf.DUMMYFUNCTION("""COMPUTED_VALUE"""),"Counter Blitz")</f>
        <v>Counter Blitz</v>
      </c>
      <c r="B555" s="76" t="str">
        <f>IFERROR(__xludf.DUMMYFUNCTION("""COMPUTED_VALUE"""),"Dance of the Elements")</f>
        <v>Dance of the Elements</v>
      </c>
      <c r="C555" s="77">
        <f>IFERROR(__xludf.DUMMYFUNCTION("""COMPUTED_VALUE"""),0.0)</f>
        <v>0</v>
      </c>
      <c r="D555" s="77">
        <f>IFERROR(__xludf.DUMMYFUNCTION("""COMPUTED_VALUE"""),0.0)</f>
        <v>0</v>
      </c>
      <c r="E555" s="46" t="b">
        <f>IFERROR(__xludf.DUMMYFUNCTION("""COMPUTED_VALUE"""),TRUE)</f>
        <v>1</v>
      </c>
    </row>
    <row r="556">
      <c r="A556" s="78" t="str">
        <f>IFERROR(__xludf.DUMMYFUNCTION("""COMPUTED_VALUE"""),"Counter Blitz")</f>
        <v>Counter Blitz</v>
      </c>
      <c r="B556" s="78" t="str">
        <f>IFERROR(__xludf.DUMMYFUNCTION("""COMPUTED_VALUE"""),"Deep Clue Sea")</f>
        <v>Deep Clue Sea</v>
      </c>
      <c r="C556" s="79">
        <f>IFERROR(__xludf.DUMMYFUNCTION("""COMPUTED_VALUE"""),0.0)</f>
        <v>0</v>
      </c>
      <c r="D556" s="79">
        <f>IFERROR(__xludf.DUMMYFUNCTION("""COMPUTED_VALUE"""),0.0)</f>
        <v>0</v>
      </c>
      <c r="E556" s="69" t="b">
        <f>IFERROR(__xludf.DUMMYFUNCTION("""COMPUTED_VALUE"""),TRUE)</f>
        <v>1</v>
      </c>
    </row>
    <row r="557" hidden="1">
      <c r="A557" s="76" t="str">
        <f>IFERROR(__xludf.DUMMYFUNCTION("""COMPUTED_VALUE"""),"Counter Blitz")</f>
        <v>Counter Blitz</v>
      </c>
      <c r="B557" s="76" t="str">
        <f>IFERROR(__xludf.DUMMYFUNCTION("""COMPUTED_VALUE"""),"Doom Prevails")</f>
        <v>Doom Prevails</v>
      </c>
      <c r="C557" s="77">
        <f>IFERROR(__xludf.DUMMYFUNCTION("""COMPUTED_VALUE"""),0.0)</f>
        <v>0</v>
      </c>
      <c r="D557" s="77">
        <f>IFERROR(__xludf.DUMMYFUNCTION("""COMPUTED_VALUE"""),0.0)</f>
        <v>0</v>
      </c>
      <c r="E557" s="46" t="b">
        <f>IFERROR(__xludf.DUMMYFUNCTION("""COMPUTED_VALUE"""),TRUE)</f>
        <v>1</v>
      </c>
    </row>
    <row r="558">
      <c r="A558" s="76" t="str">
        <f>IFERROR(__xludf.DUMMYFUNCTION("""COMPUTED_VALUE"""),"Counter Blitz")</f>
        <v>Counter Blitz</v>
      </c>
      <c r="B558" s="76" t="str">
        <f>IFERROR(__xludf.DUMMYFUNCTION("""COMPUTED_VALUE"""),"Eldrazi Incursion")</f>
        <v>Eldrazi Incursion</v>
      </c>
      <c r="C558" s="77">
        <f>IFERROR(__xludf.DUMMYFUNCTION("""COMPUTED_VALUE"""),0.0)</f>
        <v>0</v>
      </c>
      <c r="D558" s="77">
        <f>IFERROR(__xludf.DUMMYFUNCTION("""COMPUTED_VALUE"""),0.0)</f>
        <v>0</v>
      </c>
      <c r="E558" s="46" t="b">
        <f>IFERROR(__xludf.DUMMYFUNCTION("""COMPUTED_VALUE"""),TRUE)</f>
        <v>1</v>
      </c>
    </row>
    <row r="559" hidden="1">
      <c r="A559" s="76" t="str">
        <f>IFERROR(__xludf.DUMMYFUNCTION("""COMPUTED_VALUE"""),"Counter Blitz")</f>
        <v>Counter Blitz</v>
      </c>
      <c r="B559" s="76" t="str">
        <f>IFERROR(__xludf.DUMMYFUNCTION("""COMPUTED_VALUE"""),"Eldrazi Unbound")</f>
        <v>Eldrazi Unbound</v>
      </c>
      <c r="C559" s="77">
        <f>IFERROR(__xludf.DUMMYFUNCTION("""COMPUTED_VALUE"""),0.0)</f>
        <v>0</v>
      </c>
      <c r="D559" s="77">
        <f>IFERROR(__xludf.DUMMYFUNCTION("""COMPUTED_VALUE"""),0.0)</f>
        <v>0</v>
      </c>
      <c r="E559" s="46" t="b">
        <f>IFERROR(__xludf.DUMMYFUNCTION("""COMPUTED_VALUE"""),TRUE)</f>
        <v>1</v>
      </c>
    </row>
    <row r="560">
      <c r="A560" s="78" t="str">
        <f>IFERROR(__xludf.DUMMYFUNCTION("""COMPUTED_VALUE"""),"Counter Blitz")</f>
        <v>Counter Blitz</v>
      </c>
      <c r="B560" s="78" t="str">
        <f>IFERROR(__xludf.DUMMYFUNCTION("""COMPUTED_VALUE"""),"Endless Punishment")</f>
        <v>Endless Punishment</v>
      </c>
      <c r="C560" s="79">
        <f>IFERROR(__xludf.DUMMYFUNCTION("""COMPUTED_VALUE"""),0.0)</f>
        <v>0</v>
      </c>
      <c r="D560" s="79">
        <f>IFERROR(__xludf.DUMMYFUNCTION("""COMPUTED_VALUE"""),0.0)</f>
        <v>0</v>
      </c>
      <c r="E560" s="69" t="b">
        <f>IFERROR(__xludf.DUMMYFUNCTION("""COMPUTED_VALUE"""),TRUE)</f>
        <v>1</v>
      </c>
    </row>
    <row r="561" hidden="1">
      <c r="A561" s="76" t="str">
        <f>IFERROR(__xludf.DUMMYFUNCTION("""COMPUTED_VALUE"""),"Counter Blitz")</f>
        <v>Counter Blitz</v>
      </c>
      <c r="B561" s="76" t="str">
        <f>IFERROR(__xludf.DUMMYFUNCTION("""COMPUTED_VALUE"""),"Enduring Enchantments")</f>
        <v>Enduring Enchantments</v>
      </c>
      <c r="C561" s="77">
        <f>IFERROR(__xludf.DUMMYFUNCTION("""COMPUTED_VALUE"""),0.0)</f>
        <v>0</v>
      </c>
      <c r="D561" s="77">
        <f>IFERROR(__xludf.DUMMYFUNCTION("""COMPUTED_VALUE"""),0.0)</f>
        <v>0</v>
      </c>
      <c r="E561" s="46" t="b">
        <f>IFERROR(__xludf.DUMMYFUNCTION("""COMPUTED_VALUE"""),TRUE)</f>
        <v>1</v>
      </c>
    </row>
    <row r="562">
      <c r="A562" s="76" t="str">
        <f>IFERROR(__xludf.DUMMYFUNCTION("""COMPUTED_VALUE"""),"Counter Blitz")</f>
        <v>Counter Blitz</v>
      </c>
      <c r="B562" s="76" t="str">
        <f>IFERROR(__xludf.DUMMYFUNCTION("""COMPUTED_VALUE"""),"Explorers of the Deep")</f>
        <v>Explorers of the Deep</v>
      </c>
      <c r="C562" s="77">
        <f>IFERROR(__xludf.DUMMYFUNCTION("""COMPUTED_VALUE"""),0.0)</f>
        <v>0</v>
      </c>
      <c r="D562" s="77">
        <f>IFERROR(__xludf.DUMMYFUNCTION("""COMPUTED_VALUE"""),0.0)</f>
        <v>0</v>
      </c>
      <c r="E562" s="46" t="b">
        <f>IFERROR(__xludf.DUMMYFUNCTION("""COMPUTED_VALUE"""),TRUE)</f>
        <v>1</v>
      </c>
    </row>
    <row r="563" hidden="1">
      <c r="A563" s="76" t="str">
        <f>IFERROR(__xludf.DUMMYFUNCTION("""COMPUTED_VALUE"""),"Counter Blitz")</f>
        <v>Counter Blitz</v>
      </c>
      <c r="B563" s="76" t="str">
        <f>IFERROR(__xludf.DUMMYFUNCTION("""COMPUTED_VALUE"""),"Family Matters")</f>
        <v>Family Matters</v>
      </c>
      <c r="C563" s="77">
        <f>IFERROR(__xludf.DUMMYFUNCTION("""COMPUTED_VALUE"""),0.0)</f>
        <v>0</v>
      </c>
      <c r="D563" s="77">
        <f>IFERROR(__xludf.DUMMYFUNCTION("""COMPUTED_VALUE"""),0.0)</f>
        <v>0</v>
      </c>
      <c r="E563" s="46" t="b">
        <f>IFERROR(__xludf.DUMMYFUNCTION("""COMPUTED_VALUE"""),TRUE)</f>
        <v>1</v>
      </c>
    </row>
    <row r="564" hidden="1">
      <c r="A564" s="76" t="str">
        <f>IFERROR(__xludf.DUMMYFUNCTION("""COMPUTED_VALUE"""),"Counter Blitz")</f>
        <v>Counter Blitz</v>
      </c>
      <c r="B564" s="76" t="str">
        <f>IFERROR(__xludf.DUMMYFUNCTION("""COMPUTED_VALUE"""),"Food and Fellowship")</f>
        <v>Food and Fellowship</v>
      </c>
      <c r="C564" s="77">
        <f>IFERROR(__xludf.DUMMYFUNCTION("""COMPUTED_VALUE"""),0.0)</f>
        <v>0</v>
      </c>
      <c r="D564" s="77">
        <f>IFERROR(__xludf.DUMMYFUNCTION("""COMPUTED_VALUE"""),0.0)</f>
        <v>0</v>
      </c>
      <c r="E564" s="46" t="b">
        <f>IFERROR(__xludf.DUMMYFUNCTION("""COMPUTED_VALUE"""),TRUE)</f>
        <v>1</v>
      </c>
    </row>
    <row r="565">
      <c r="A565" s="78" t="str">
        <f>IFERROR(__xludf.DUMMYFUNCTION("""COMPUTED_VALUE"""),"Counter Blitz")</f>
        <v>Counter Blitz</v>
      </c>
      <c r="B565" s="78" t="str">
        <f>IFERROR(__xludf.DUMMYFUNCTION("""COMPUTED_VALUE"""),"Jeskai Striker")</f>
        <v>Jeskai Striker</v>
      </c>
      <c r="C565" s="79">
        <f>IFERROR(__xludf.DUMMYFUNCTION("""COMPUTED_VALUE"""),0.0)</f>
        <v>0</v>
      </c>
      <c r="D565" s="79">
        <f>IFERROR(__xludf.DUMMYFUNCTION("""COMPUTED_VALUE"""),0.0)</f>
        <v>0</v>
      </c>
      <c r="E565" s="69" t="b">
        <f>IFERROR(__xludf.DUMMYFUNCTION("""COMPUTED_VALUE"""),TRUE)</f>
        <v>1</v>
      </c>
    </row>
    <row r="566" hidden="1">
      <c r="A566" s="78" t="str">
        <f>IFERROR(__xludf.DUMMYFUNCTION("""COMPUTED_VALUE"""),"Counter Blitz")</f>
        <v>Counter Blitz</v>
      </c>
      <c r="B566" s="78" t="str">
        <f>IFERROR(__xludf.DUMMYFUNCTION("""COMPUTED_VALUE"""),"Legends' Legacy")</f>
        <v>Legends' Legacy</v>
      </c>
      <c r="C566" s="79">
        <f>IFERROR(__xludf.DUMMYFUNCTION("""COMPUTED_VALUE"""),0.0)</f>
        <v>0</v>
      </c>
      <c r="D566" s="79">
        <f>IFERROR(__xludf.DUMMYFUNCTION("""COMPUTED_VALUE"""),0.0)</f>
        <v>0</v>
      </c>
      <c r="E566" s="69" t="b">
        <f>IFERROR(__xludf.DUMMYFUNCTION("""COMPUTED_VALUE"""),TRUE)</f>
        <v>1</v>
      </c>
    </row>
    <row r="567">
      <c r="A567" s="76" t="str">
        <f>IFERROR(__xludf.DUMMYFUNCTION("""COMPUTED_VALUE"""),"Counter Blitz")</f>
        <v>Counter Blitz</v>
      </c>
      <c r="B567" s="76" t="str">
        <f>IFERROR(__xludf.DUMMYFUNCTION("""COMPUTED_VALUE"""),"Limit Break")</f>
        <v>Limit Break</v>
      </c>
      <c r="C567" s="77">
        <f>IFERROR(__xludf.DUMMYFUNCTION("""COMPUTED_VALUE"""),0.0)</f>
        <v>0</v>
      </c>
      <c r="D567" s="77">
        <f>IFERROR(__xludf.DUMMYFUNCTION("""COMPUTED_VALUE"""),0.0)</f>
        <v>0</v>
      </c>
      <c r="E567" s="46" t="b">
        <f>IFERROR(__xludf.DUMMYFUNCTION("""COMPUTED_VALUE"""),TRUE)</f>
        <v>1</v>
      </c>
    </row>
    <row r="568" hidden="1">
      <c r="A568" s="76" t="str">
        <f>IFERROR(__xludf.DUMMYFUNCTION("""COMPUTED_VALUE"""),"Counter Blitz")</f>
        <v>Counter Blitz</v>
      </c>
      <c r="B568" s="76" t="str">
        <f>IFERROR(__xludf.DUMMYFUNCTION("""COMPUTED_VALUE"""),"Lorehold Spirit")</f>
        <v>Lorehold Spirit</v>
      </c>
      <c r="C568" s="77">
        <f>IFERROR(__xludf.DUMMYFUNCTION("""COMPUTED_VALUE"""),0.0)</f>
        <v>0</v>
      </c>
      <c r="D568" s="77">
        <f>IFERROR(__xludf.DUMMYFUNCTION("""COMPUTED_VALUE"""),1.0)</f>
        <v>1</v>
      </c>
      <c r="E568" s="46" t="b">
        <f>IFERROR(__xludf.DUMMYFUNCTION("""COMPUTED_VALUE"""),FALSE)</f>
        <v>0</v>
      </c>
    </row>
    <row r="569" hidden="1">
      <c r="A569" s="76" t="str">
        <f>IFERROR(__xludf.DUMMYFUNCTION("""COMPUTED_VALUE"""),"Counter Blitz")</f>
        <v>Counter Blitz</v>
      </c>
      <c r="B569" s="76" t="str">
        <f>IFERROR(__xludf.DUMMYFUNCTION("""COMPUTED_VALUE"""),"Mutant Menace")</f>
        <v>Mutant Menace</v>
      </c>
      <c r="C569" s="77">
        <f>IFERROR(__xludf.DUMMYFUNCTION("""COMPUTED_VALUE"""),0.0)</f>
        <v>0</v>
      </c>
      <c r="D569" s="77">
        <f>IFERROR(__xludf.DUMMYFUNCTION("""COMPUTED_VALUE"""),0.0)</f>
        <v>0</v>
      </c>
      <c r="E569" s="46" t="b">
        <f>IFERROR(__xludf.DUMMYFUNCTION("""COMPUTED_VALUE"""),TRUE)</f>
        <v>1</v>
      </c>
    </row>
    <row r="570" hidden="1">
      <c r="A570" s="76" t="str">
        <f>IFERROR(__xludf.DUMMYFUNCTION("""COMPUTED_VALUE"""),"Counter Blitz")</f>
        <v>Counter Blitz</v>
      </c>
      <c r="B570" s="76" t="str">
        <f>IFERROR(__xludf.DUMMYFUNCTION("""COMPUTED_VALUE"""),"Party Time")</f>
        <v>Party Time</v>
      </c>
      <c r="C570" s="77">
        <f>IFERROR(__xludf.DUMMYFUNCTION("""COMPUTED_VALUE"""),0.0)</f>
        <v>0</v>
      </c>
      <c r="D570" s="77">
        <f>IFERROR(__xludf.DUMMYFUNCTION("""COMPUTED_VALUE"""),0.0)</f>
        <v>0</v>
      </c>
      <c r="E570" s="46" t="b">
        <f>IFERROR(__xludf.DUMMYFUNCTION("""COMPUTED_VALUE"""),TRUE)</f>
        <v>1</v>
      </c>
    </row>
    <row r="571" hidden="1">
      <c r="A571" s="78" t="str">
        <f>IFERROR(__xludf.DUMMYFUNCTION("""COMPUTED_VALUE"""),"Counter Blitz")</f>
        <v>Counter Blitz</v>
      </c>
      <c r="B571" s="78" t="str">
        <f>IFERROR(__xludf.DUMMYFUNCTION("""COMPUTED_VALUE"""),"Peace Offering")</f>
        <v>Peace Offering</v>
      </c>
      <c r="C571" s="79">
        <f>IFERROR(__xludf.DUMMYFUNCTION("""COMPUTED_VALUE"""),0.0)</f>
        <v>0</v>
      </c>
      <c r="D571" s="79">
        <f>IFERROR(__xludf.DUMMYFUNCTION("""COMPUTED_VALUE"""),0.0)</f>
        <v>0</v>
      </c>
      <c r="E571" s="69" t="b">
        <f>IFERROR(__xludf.DUMMYFUNCTION("""COMPUTED_VALUE"""),TRUE)</f>
        <v>1</v>
      </c>
    </row>
    <row r="572" hidden="1">
      <c r="A572" s="76" t="str">
        <f>IFERROR(__xludf.DUMMYFUNCTION("""COMPUTED_VALUE"""),"Counter Blitz")</f>
        <v>Counter Blitz</v>
      </c>
      <c r="B572" s="76" t="str">
        <f>IFERROR(__xludf.DUMMYFUNCTION("""COMPUTED_VALUE"""),"Power Hungry")</f>
        <v>Power Hungry</v>
      </c>
      <c r="C572" s="77">
        <f>IFERROR(__xludf.DUMMYFUNCTION("""COMPUTED_VALUE"""),0.0)</f>
        <v>0</v>
      </c>
      <c r="D572" s="77">
        <f>IFERROR(__xludf.DUMMYFUNCTION("""COMPUTED_VALUE"""),0.0)</f>
        <v>0</v>
      </c>
      <c r="E572" s="46" t="b">
        <f>IFERROR(__xludf.DUMMYFUNCTION("""COMPUTED_VALUE"""),TRUE)</f>
        <v>1</v>
      </c>
    </row>
    <row r="573">
      <c r="A573" s="76" t="str">
        <f>IFERROR(__xludf.DUMMYFUNCTION("""COMPUTED_VALUE"""),"Counter Blitz")</f>
        <v>Counter Blitz</v>
      </c>
      <c r="B573" s="76" t="str">
        <f>IFERROR(__xludf.DUMMYFUNCTION("""COMPUTED_VALUE"""),"Primal Genesis")</f>
        <v>Primal Genesis</v>
      </c>
      <c r="C573" s="77">
        <f>IFERROR(__xludf.DUMMYFUNCTION("""COMPUTED_VALUE"""),0.0)</f>
        <v>0</v>
      </c>
      <c r="D573" s="77">
        <f>IFERROR(__xludf.DUMMYFUNCTION("""COMPUTED_VALUE"""),0.0)</f>
        <v>0</v>
      </c>
      <c r="E573" s="46" t="b">
        <f>IFERROR(__xludf.DUMMYFUNCTION("""COMPUTED_VALUE"""),TRUE)</f>
        <v>1</v>
      </c>
    </row>
    <row r="574" hidden="1">
      <c r="A574" s="76" t="str">
        <f>IFERROR(__xludf.DUMMYFUNCTION("""COMPUTED_VALUE"""),"Counter Blitz")</f>
        <v>Counter Blitz</v>
      </c>
      <c r="B574" s="76" t="str">
        <f>IFERROR(__xludf.DUMMYFUNCTION("""COMPUTED_VALUE"""),"Prismari Artistry")</f>
        <v>Prismari Artistry</v>
      </c>
      <c r="C574" s="77">
        <f>IFERROR(__xludf.DUMMYFUNCTION("""COMPUTED_VALUE"""),0.0)</f>
        <v>0</v>
      </c>
      <c r="D574" s="77">
        <f>IFERROR(__xludf.DUMMYFUNCTION("""COMPUTED_VALUE"""),0.0)</f>
        <v>0</v>
      </c>
      <c r="E574" s="46" t="b">
        <f>IFERROR(__xludf.DUMMYFUNCTION("""COMPUTED_VALUE"""),TRUE)</f>
        <v>1</v>
      </c>
    </row>
    <row r="575">
      <c r="A575" s="78" t="str">
        <f>IFERROR(__xludf.DUMMYFUNCTION("""COMPUTED_VALUE"""),"Counter Blitz")</f>
        <v>Counter Blitz</v>
      </c>
      <c r="B575" s="78" t="str">
        <f>IFERROR(__xludf.DUMMYFUNCTION("""COMPUTED_VALUE"""),"Prismari Performance")</f>
        <v>Prismari Performance</v>
      </c>
      <c r="C575" s="79">
        <f>IFERROR(__xludf.DUMMYFUNCTION("""COMPUTED_VALUE"""),0.0)</f>
        <v>0</v>
      </c>
      <c r="D575" s="79">
        <f>IFERROR(__xludf.DUMMYFUNCTION("""COMPUTED_VALUE"""),0.0)</f>
        <v>0</v>
      </c>
      <c r="E575" s="69" t="b">
        <f>IFERROR(__xludf.DUMMYFUNCTION("""COMPUTED_VALUE"""),TRUE)</f>
        <v>1</v>
      </c>
    </row>
    <row r="576" hidden="1">
      <c r="A576" s="78" t="str">
        <f>IFERROR(__xludf.DUMMYFUNCTION("""COMPUTED_VALUE"""),"Counter Blitz")</f>
        <v>Counter Blitz</v>
      </c>
      <c r="B576" s="78" t="str">
        <f>IFERROR(__xludf.DUMMYFUNCTION("""COMPUTED_VALUE"""),"Quandrix Unlimited")</f>
        <v>Quandrix Unlimited</v>
      </c>
      <c r="C576" s="79">
        <f>IFERROR(__xludf.DUMMYFUNCTION("""COMPUTED_VALUE"""),0.0)</f>
        <v>0</v>
      </c>
      <c r="D576" s="79">
        <f>IFERROR(__xludf.DUMMYFUNCTION("""COMPUTED_VALUE"""),2.0)</f>
        <v>2</v>
      </c>
      <c r="E576" s="69" t="b">
        <f>IFERROR(__xludf.DUMMYFUNCTION("""COMPUTED_VALUE"""),FALSE)</f>
        <v>0</v>
      </c>
    </row>
    <row r="577">
      <c r="A577" s="76" t="str">
        <f>IFERROR(__xludf.DUMMYFUNCTION("""COMPUTED_VALUE"""),"Counter Blitz")</f>
        <v>Counter Blitz</v>
      </c>
      <c r="B577" s="76" t="str">
        <f>IFERROR(__xludf.DUMMYFUNCTION("""COMPUTED_VALUE"""),"Quick Draw")</f>
        <v>Quick Draw</v>
      </c>
      <c r="C577" s="77">
        <f>IFERROR(__xludf.DUMMYFUNCTION("""COMPUTED_VALUE"""),0.0)</f>
        <v>0</v>
      </c>
      <c r="D577" s="77">
        <f>IFERROR(__xludf.DUMMYFUNCTION("""COMPUTED_VALUE"""),1.0)</f>
        <v>1</v>
      </c>
      <c r="E577" s="46" t="b">
        <f>IFERROR(__xludf.DUMMYFUNCTION("""COMPUTED_VALUE"""),FALSE)</f>
        <v>0</v>
      </c>
    </row>
    <row r="578" hidden="1">
      <c r="A578" s="76" t="str">
        <f>IFERROR(__xludf.DUMMYFUNCTION("""COMPUTED_VALUE"""),"Counter Blitz")</f>
        <v>Counter Blitz</v>
      </c>
      <c r="B578" s="76" t="str">
        <f>IFERROR(__xludf.DUMMYFUNCTION("""COMPUTED_VALUE"""),"Reap the Tides")</f>
        <v>Reap the Tides</v>
      </c>
      <c r="C578" s="77">
        <f>IFERROR(__xludf.DUMMYFUNCTION("""COMPUTED_VALUE"""),0.0)</f>
        <v>0</v>
      </c>
      <c r="D578" s="77">
        <f>IFERROR(__xludf.DUMMYFUNCTION("""COMPUTED_VALUE"""),1.0)</f>
        <v>1</v>
      </c>
      <c r="E578" s="46" t="b">
        <f>IFERROR(__xludf.DUMMYFUNCTION("""COMPUTED_VALUE"""),FALSE)</f>
        <v>0</v>
      </c>
    </row>
    <row r="579" hidden="1">
      <c r="A579" s="76" t="str">
        <f>IFERROR(__xludf.DUMMYFUNCTION("""COMPUTED_VALUE"""),"Counter Blitz")</f>
        <v>Counter Blitz</v>
      </c>
      <c r="B579" s="76" t="str">
        <f>IFERROR(__xludf.DUMMYFUNCTION("""COMPUTED_VALUE"""),"Rebellion Rising")</f>
        <v>Rebellion Rising</v>
      </c>
      <c r="C579" s="77">
        <f>IFERROR(__xludf.DUMMYFUNCTION("""COMPUTED_VALUE"""),0.0)</f>
        <v>0</v>
      </c>
      <c r="D579" s="77">
        <f>IFERROR(__xludf.DUMMYFUNCTION("""COMPUTED_VALUE"""),0.0)</f>
        <v>0</v>
      </c>
      <c r="E579" s="46" t="b">
        <f>IFERROR(__xludf.DUMMYFUNCTION("""COMPUTED_VALUE"""),TRUE)</f>
        <v>1</v>
      </c>
    </row>
    <row r="580">
      <c r="A580" s="78" t="str">
        <f>IFERROR(__xludf.DUMMYFUNCTION("""COMPUTED_VALUE"""),"Counter Blitz")</f>
        <v>Counter Blitz</v>
      </c>
      <c r="B580" s="78" t="str">
        <f>IFERROR(__xludf.DUMMYFUNCTION("""COMPUTED_VALUE"""),"Revival Trance")</f>
        <v>Revival Trance</v>
      </c>
      <c r="C580" s="79">
        <f>IFERROR(__xludf.DUMMYFUNCTION("""COMPUTED_VALUE"""),0.0)</f>
        <v>0</v>
      </c>
      <c r="D580" s="79">
        <f>IFERROR(__xludf.DUMMYFUNCTION("""COMPUTED_VALUE"""),0.0)</f>
        <v>0</v>
      </c>
      <c r="E580" s="69" t="b">
        <f>IFERROR(__xludf.DUMMYFUNCTION("""COMPUTED_VALUE"""),TRUE)</f>
        <v>1</v>
      </c>
    </row>
    <row r="581" hidden="1">
      <c r="A581" s="76" t="str">
        <f>IFERROR(__xludf.DUMMYFUNCTION("""COMPUTED_VALUE"""),"Counter Blitz")</f>
        <v>Counter Blitz</v>
      </c>
      <c r="B581" s="76" t="str">
        <f>IFERROR(__xludf.DUMMYFUNCTION("""COMPUTED_VALUE"""),"Riders of Rohan")</f>
        <v>Riders of Rohan</v>
      </c>
      <c r="C581" s="77">
        <f>IFERROR(__xludf.DUMMYFUNCTION("""COMPUTED_VALUE"""),0.0)</f>
        <v>0</v>
      </c>
      <c r="D581" s="77">
        <f>IFERROR(__xludf.DUMMYFUNCTION("""COMPUTED_VALUE"""),0.0)</f>
        <v>0</v>
      </c>
      <c r="E581" s="46" t="b">
        <f>IFERROR(__xludf.DUMMYFUNCTION("""COMPUTED_VALUE"""),TRUE)</f>
        <v>1</v>
      </c>
    </row>
    <row r="582" hidden="1">
      <c r="A582" s="76" t="str">
        <f>IFERROR(__xludf.DUMMYFUNCTION("""COMPUTED_VALUE"""),"Counter Blitz")</f>
        <v>Counter Blitz</v>
      </c>
      <c r="B582" s="76" t="str">
        <f>IFERROR(__xludf.DUMMYFUNCTION("""COMPUTED_VALUE"""),"Science!")</f>
        <v>Science!</v>
      </c>
      <c r="C582" s="77">
        <f>IFERROR(__xludf.DUMMYFUNCTION("""COMPUTED_VALUE"""),0.0)</f>
        <v>0</v>
      </c>
      <c r="D582" s="77">
        <f>IFERROR(__xludf.DUMMYFUNCTION("""COMPUTED_VALUE"""),0.0)</f>
        <v>0</v>
      </c>
      <c r="E582" s="46" t="b">
        <f>IFERROR(__xludf.DUMMYFUNCTION("""COMPUTED_VALUE"""),TRUE)</f>
        <v>1</v>
      </c>
    </row>
    <row r="583" hidden="1">
      <c r="A583" s="76" t="str">
        <f>IFERROR(__xludf.DUMMYFUNCTION("""COMPUTED_VALUE"""),"Counter Blitz")</f>
        <v>Counter Blitz</v>
      </c>
      <c r="B583" s="76" t="str">
        <f>IFERROR(__xludf.DUMMYFUNCTION("""COMPUTED_VALUE"""),"Scions &amp; Spellcraft")</f>
        <v>Scions &amp; Spellcraft</v>
      </c>
      <c r="C583" s="77">
        <f>IFERROR(__xludf.DUMMYFUNCTION("""COMPUTED_VALUE"""),0.0)</f>
        <v>0</v>
      </c>
      <c r="D583" s="77">
        <f>IFERROR(__xludf.DUMMYFUNCTION("""COMPUTED_VALUE"""),0.0)</f>
        <v>0</v>
      </c>
      <c r="E583" s="46" t="b">
        <f>IFERROR(__xludf.DUMMYFUNCTION("""COMPUTED_VALUE"""),TRUE)</f>
        <v>1</v>
      </c>
    </row>
    <row r="584" hidden="1">
      <c r="A584" s="76" t="str">
        <f>IFERROR(__xludf.DUMMYFUNCTION("""COMPUTED_VALUE"""),"Counter Blitz")</f>
        <v>Counter Blitz</v>
      </c>
      <c r="B584" s="76" t="str">
        <f>IFERROR(__xludf.DUMMYFUNCTION("""COMPUTED_VALUE"""),"Scrappy Survivors")</f>
        <v>Scrappy Survivors</v>
      </c>
      <c r="C584" s="77">
        <f>IFERROR(__xludf.DUMMYFUNCTION("""COMPUTED_VALUE"""),0.0)</f>
        <v>0</v>
      </c>
      <c r="D584" s="77">
        <f>IFERROR(__xludf.DUMMYFUNCTION("""COMPUTED_VALUE"""),1.0)</f>
        <v>1</v>
      </c>
      <c r="E584" s="46" t="b">
        <f>IFERROR(__xludf.DUMMYFUNCTION("""COMPUTED_VALUE"""),FALSE)</f>
        <v>0</v>
      </c>
    </row>
    <row r="585">
      <c r="A585" s="76" t="str">
        <f>IFERROR(__xludf.DUMMYFUNCTION("""COMPUTED_VALUE"""),"Counter Blitz")</f>
        <v>Counter Blitz</v>
      </c>
      <c r="B585" s="76" t="str">
        <f>IFERROR(__xludf.DUMMYFUNCTION("""COMPUTED_VALUE"""),"Silverquill Influence")</f>
        <v>Silverquill Influence</v>
      </c>
      <c r="C585" s="77">
        <f>IFERROR(__xludf.DUMMYFUNCTION("""COMPUTED_VALUE"""),0.0)</f>
        <v>0</v>
      </c>
      <c r="D585" s="77">
        <f>IFERROR(__xludf.DUMMYFUNCTION("""COMPUTED_VALUE"""),1.0)</f>
        <v>1</v>
      </c>
      <c r="E585" s="46" t="b">
        <f>IFERROR(__xludf.DUMMYFUNCTION("""COMPUTED_VALUE"""),FALSE)</f>
        <v>0</v>
      </c>
    </row>
    <row r="586" hidden="1">
      <c r="A586" s="76" t="str">
        <f>IFERROR(__xludf.DUMMYFUNCTION("""COMPUTED_VALUE"""),"Counter Blitz")</f>
        <v>Counter Blitz</v>
      </c>
      <c r="B586" s="76" t="str">
        <f>IFERROR(__xludf.DUMMYFUNCTION("""COMPUTED_VALUE"""),"Spirit Squadron")</f>
        <v>Spirit Squadron</v>
      </c>
      <c r="C586" s="77">
        <f>IFERROR(__xludf.DUMMYFUNCTION("""COMPUTED_VALUE"""),0.0)</f>
        <v>0</v>
      </c>
      <c r="D586" s="77">
        <f>IFERROR(__xludf.DUMMYFUNCTION("""COMPUTED_VALUE"""),0.0)</f>
        <v>0</v>
      </c>
      <c r="E586" s="46" t="b">
        <f>IFERROR(__xludf.DUMMYFUNCTION("""COMPUTED_VALUE"""),TRUE)</f>
        <v>1</v>
      </c>
    </row>
    <row r="587">
      <c r="A587" s="76" t="str">
        <f>IFERROR(__xludf.DUMMYFUNCTION("""COMPUTED_VALUE"""),"Counter Blitz")</f>
        <v>Counter Blitz</v>
      </c>
      <c r="B587" s="76" t="str">
        <f>IFERROR(__xludf.DUMMYFUNCTION("""COMPUTED_VALUE"""),"Squirreled Away")</f>
        <v>Squirreled Away</v>
      </c>
      <c r="C587" s="77">
        <f>IFERROR(__xludf.DUMMYFUNCTION("""COMPUTED_VALUE"""),0.0)</f>
        <v>0</v>
      </c>
      <c r="D587" s="77">
        <f>IFERROR(__xludf.DUMMYFUNCTION("""COMPUTED_VALUE"""),0.0)</f>
        <v>0</v>
      </c>
      <c r="E587" s="46" t="b">
        <f>IFERROR(__xludf.DUMMYFUNCTION("""COMPUTED_VALUE"""),TRUE)</f>
        <v>1</v>
      </c>
    </row>
    <row r="588" hidden="1">
      <c r="A588" s="76" t="str">
        <f>IFERROR(__xludf.DUMMYFUNCTION("""COMPUTED_VALUE"""),"Counter Blitz")</f>
        <v>Counter Blitz</v>
      </c>
      <c r="B588" s="76" t="str">
        <f>IFERROR(__xludf.DUMMYFUNCTION("""COMPUTED_VALUE"""),"Sultai Arisen")</f>
        <v>Sultai Arisen</v>
      </c>
      <c r="C588" s="77">
        <f>IFERROR(__xludf.DUMMYFUNCTION("""COMPUTED_VALUE"""),0.0)</f>
        <v>0</v>
      </c>
      <c r="D588" s="77">
        <f>IFERROR(__xludf.DUMMYFUNCTION("""COMPUTED_VALUE"""),0.0)</f>
        <v>0</v>
      </c>
      <c r="E588" s="46" t="b">
        <f>IFERROR(__xludf.DUMMYFUNCTION("""COMPUTED_VALUE"""),TRUE)</f>
        <v>1</v>
      </c>
    </row>
    <row r="589" hidden="1">
      <c r="A589" s="76" t="str">
        <f>IFERROR(__xludf.DUMMYFUNCTION("""COMPUTED_VALUE"""),"Counter Blitz")</f>
        <v>Counter Blitz</v>
      </c>
      <c r="B589" s="76" t="str">
        <f>IFERROR(__xludf.DUMMYFUNCTION("""COMPUTED_VALUE"""),"Temur Roar")</f>
        <v>Temur Roar</v>
      </c>
      <c r="C589" s="77">
        <f>IFERROR(__xludf.DUMMYFUNCTION("""COMPUTED_VALUE"""),0.0)</f>
        <v>0</v>
      </c>
      <c r="D589" s="77">
        <f>IFERROR(__xludf.DUMMYFUNCTION("""COMPUTED_VALUE"""),0.0)</f>
        <v>0</v>
      </c>
      <c r="E589" s="46" t="b">
        <f>IFERROR(__xludf.DUMMYFUNCTION("""COMPUTED_VALUE"""),TRUE)</f>
        <v>1</v>
      </c>
    </row>
    <row r="590" hidden="1">
      <c r="A590" s="78" t="str">
        <f>IFERROR(__xludf.DUMMYFUNCTION("""COMPUTED_VALUE"""),"Counter Blitz")</f>
        <v>Counter Blitz</v>
      </c>
      <c r="B590" s="78" t="str">
        <f>IFERROR(__xludf.DUMMYFUNCTION("""COMPUTED_VALUE"""),"The Hosts of Mordor")</f>
        <v>The Hosts of Mordor</v>
      </c>
      <c r="C590" s="79">
        <f>IFERROR(__xludf.DUMMYFUNCTION("""COMPUTED_VALUE"""),0.0)</f>
        <v>0</v>
      </c>
      <c r="D590" s="79">
        <f>IFERROR(__xludf.DUMMYFUNCTION("""COMPUTED_VALUE"""),0.0)</f>
        <v>0</v>
      </c>
      <c r="E590" s="69" t="b">
        <f>IFERROR(__xludf.DUMMYFUNCTION("""COMPUTED_VALUE"""),TRUE)</f>
        <v>1</v>
      </c>
    </row>
    <row r="591">
      <c r="A591" s="76" t="str">
        <f>IFERROR(__xludf.DUMMYFUNCTION("""COMPUTED_VALUE"""),"Counter Blitz")</f>
        <v>Counter Blitz</v>
      </c>
      <c r="B591" s="76" t="str">
        <f>IFERROR(__xludf.DUMMYFUNCTION("""COMPUTED_VALUE"""),"The Ruinous Powers")</f>
        <v>The Ruinous Powers</v>
      </c>
      <c r="C591" s="77">
        <f>IFERROR(__xludf.DUMMYFUNCTION("""COMPUTED_VALUE"""),0.0)</f>
        <v>0</v>
      </c>
      <c r="D591" s="77">
        <f>IFERROR(__xludf.DUMMYFUNCTION("""COMPUTED_VALUE"""),0.0)</f>
        <v>0</v>
      </c>
      <c r="E591" s="46" t="b">
        <f>IFERROR(__xludf.DUMMYFUNCTION("""COMPUTED_VALUE"""),TRUE)</f>
        <v>1</v>
      </c>
    </row>
    <row r="592" hidden="1">
      <c r="A592" s="76" t="str">
        <f>IFERROR(__xludf.DUMMYFUNCTION("""COMPUTED_VALUE"""),"Counter Blitz")</f>
        <v>Counter Blitz</v>
      </c>
      <c r="B592" s="76" t="str">
        <f>IFERROR(__xludf.DUMMYFUNCTION("""COMPUTED_VALUE"""),"Timey-Wimey")</f>
        <v>Timey-Wimey</v>
      </c>
      <c r="C592" s="77">
        <f>IFERROR(__xludf.DUMMYFUNCTION("""COMPUTED_VALUE"""),0.0)</f>
        <v>0</v>
      </c>
      <c r="D592" s="77">
        <f>IFERROR(__xludf.DUMMYFUNCTION("""COMPUTED_VALUE"""),0.0)</f>
        <v>0</v>
      </c>
      <c r="E592" s="46" t="b">
        <f>IFERROR(__xludf.DUMMYFUNCTION("""COMPUTED_VALUE"""),TRUE)</f>
        <v>1</v>
      </c>
    </row>
    <row r="593" hidden="1">
      <c r="A593" s="76" t="str">
        <f>IFERROR(__xludf.DUMMYFUNCTION("""COMPUTED_VALUE"""),"Counter Blitz")</f>
        <v>Counter Blitz</v>
      </c>
      <c r="B593" s="76" t="str">
        <f>IFERROR(__xludf.DUMMYFUNCTION("""COMPUTED_VALUE"""),"Tinker Time")</f>
        <v>Tinker Time</v>
      </c>
      <c r="C593" s="77">
        <f>IFERROR(__xludf.DUMMYFUNCTION("""COMPUTED_VALUE"""),0.0)</f>
        <v>0</v>
      </c>
      <c r="D593" s="77">
        <f>IFERROR(__xludf.DUMMYFUNCTION("""COMPUTED_VALUE"""),0.0)</f>
        <v>0</v>
      </c>
      <c r="E593" s="46" t="b">
        <f>IFERROR(__xludf.DUMMYFUNCTION("""COMPUTED_VALUE"""),TRUE)</f>
        <v>1</v>
      </c>
    </row>
    <row r="594">
      <c r="A594" s="76" t="str">
        <f>IFERROR(__xludf.DUMMYFUNCTION("""COMPUTED_VALUE"""),"Counter Blitz")</f>
        <v>Counter Blitz</v>
      </c>
      <c r="B594" s="76" t="str">
        <f>IFERROR(__xludf.DUMMYFUNCTION("""COMPUTED_VALUE"""),"Turtle Power!")</f>
        <v>Turtle Power!</v>
      </c>
      <c r="C594" s="77">
        <f>IFERROR(__xludf.DUMMYFUNCTION("""COMPUTED_VALUE"""),1.0)</f>
        <v>1</v>
      </c>
      <c r="D594" s="77">
        <f>IFERROR(__xludf.DUMMYFUNCTION("""COMPUTED_VALUE"""),0.0)</f>
        <v>0</v>
      </c>
      <c r="E594" s="46" t="b">
        <f>IFERROR(__xludf.DUMMYFUNCTION("""COMPUTED_VALUE"""),FALSE)</f>
        <v>0</v>
      </c>
    </row>
    <row r="595">
      <c r="A595" s="76" t="str">
        <f>IFERROR(__xludf.DUMMYFUNCTION("""COMPUTED_VALUE"""),"Counter Blitz")</f>
        <v>Counter Blitz</v>
      </c>
      <c r="B595" s="76" t="str">
        <f>IFERROR(__xludf.DUMMYFUNCTION("""COMPUTED_VALUE"""),"Veloci-ramp-tor")</f>
        <v>Veloci-ramp-tor</v>
      </c>
      <c r="C595" s="77">
        <f>IFERROR(__xludf.DUMMYFUNCTION("""COMPUTED_VALUE"""),1.0)</f>
        <v>1</v>
      </c>
      <c r="D595" s="77">
        <f>IFERROR(__xludf.DUMMYFUNCTION("""COMPUTED_VALUE"""),0.0)</f>
        <v>0</v>
      </c>
      <c r="E595" s="46" t="b">
        <f>IFERROR(__xludf.DUMMYFUNCTION("""COMPUTED_VALUE"""),FALSE)</f>
        <v>0</v>
      </c>
    </row>
    <row r="596" hidden="1">
      <c r="A596" s="76" t="str">
        <f>IFERROR(__xludf.DUMMYFUNCTION("""COMPUTED_VALUE"""),"Counter Intelligence")</f>
        <v>Counter Intelligence</v>
      </c>
      <c r="B596" s="76" t="str">
        <f>IFERROR(__xludf.DUMMYFUNCTION("""COMPUTED_VALUE"""),"Ahoy Mateys")</f>
        <v>Ahoy Mateys</v>
      </c>
      <c r="C596" s="77">
        <f>IFERROR(__xludf.DUMMYFUNCTION("""COMPUTED_VALUE"""),0.0)</f>
        <v>0</v>
      </c>
      <c r="D596" s="77">
        <f>IFERROR(__xludf.DUMMYFUNCTION("""COMPUTED_VALUE"""),0.0)</f>
        <v>0</v>
      </c>
      <c r="E596" s="46" t="b">
        <f>IFERROR(__xludf.DUMMYFUNCTION("""COMPUTED_VALUE"""),TRUE)</f>
        <v>1</v>
      </c>
    </row>
    <row r="597">
      <c r="A597" s="76" t="str">
        <f>IFERROR(__xludf.DUMMYFUNCTION("""COMPUTED_VALUE"""),"Counter Intelligence")</f>
        <v>Counter Intelligence</v>
      </c>
      <c r="B597" s="76" t="str">
        <f>IFERROR(__xludf.DUMMYFUNCTION("""COMPUTED_VALUE"""),"Animated Army")</f>
        <v>Animated Army</v>
      </c>
      <c r="C597" s="77">
        <f>IFERROR(__xludf.DUMMYFUNCTION("""COMPUTED_VALUE"""),0.0)</f>
        <v>0</v>
      </c>
      <c r="D597" s="77">
        <f>IFERROR(__xludf.DUMMYFUNCTION("""COMPUTED_VALUE"""),0.0)</f>
        <v>0</v>
      </c>
      <c r="E597" s="46" t="b">
        <f>IFERROR(__xludf.DUMMYFUNCTION("""COMPUTED_VALUE"""),TRUE)</f>
        <v>1</v>
      </c>
    </row>
    <row r="598">
      <c r="A598" s="76" t="str">
        <f>IFERROR(__xludf.DUMMYFUNCTION("""COMPUTED_VALUE"""),"Counter Intelligence")</f>
        <v>Counter Intelligence</v>
      </c>
      <c r="B598" s="76" t="str">
        <f>IFERROR(__xludf.DUMMYFUNCTION("""COMPUTED_VALUE"""),"Arcane Maelstrom")</f>
        <v>Arcane Maelstrom</v>
      </c>
      <c r="C598" s="77">
        <f>IFERROR(__xludf.DUMMYFUNCTION("""COMPUTED_VALUE"""),0.0)</f>
        <v>0</v>
      </c>
      <c r="D598" s="77">
        <f>IFERROR(__xludf.DUMMYFUNCTION("""COMPUTED_VALUE"""),0.0)</f>
        <v>0</v>
      </c>
      <c r="E598" s="46" t="b">
        <f>IFERROR(__xludf.DUMMYFUNCTION("""COMPUTED_VALUE"""),TRUE)</f>
        <v>1</v>
      </c>
    </row>
    <row r="599">
      <c r="A599" s="76" t="str">
        <f>IFERROR(__xludf.DUMMYFUNCTION("""COMPUTED_VALUE"""),"Counter Intelligence")</f>
        <v>Counter Intelligence</v>
      </c>
      <c r="B599" s="76" t="str">
        <f>IFERROR(__xludf.DUMMYFUNCTION("""COMPUTED_VALUE"""),"Blame Game")</f>
        <v>Blame Game</v>
      </c>
      <c r="C599" s="77">
        <f>IFERROR(__xludf.DUMMYFUNCTION("""COMPUTED_VALUE"""),0.0)</f>
        <v>0</v>
      </c>
      <c r="D599" s="77">
        <f>IFERROR(__xludf.DUMMYFUNCTION("""COMPUTED_VALUE"""),0.0)</f>
        <v>0</v>
      </c>
      <c r="E599" s="46" t="b">
        <f>IFERROR(__xludf.DUMMYFUNCTION("""COMPUTED_VALUE"""),TRUE)</f>
        <v>1</v>
      </c>
    </row>
    <row r="600" hidden="1">
      <c r="A600" s="78" t="str">
        <f>IFERROR(__xludf.DUMMYFUNCTION("""COMPUTED_VALUE"""),"Counter Intelligence")</f>
        <v>Counter Intelligence</v>
      </c>
      <c r="B600" s="78" t="str">
        <f>IFERROR(__xludf.DUMMYFUNCTION("""COMPUTED_VALUE"""),"Blight Curse")</f>
        <v>Blight Curse</v>
      </c>
      <c r="C600" s="79">
        <f>IFERROR(__xludf.DUMMYFUNCTION("""COMPUTED_VALUE"""),0.0)</f>
        <v>0</v>
      </c>
      <c r="D600" s="79">
        <f>IFERROR(__xludf.DUMMYFUNCTION("""COMPUTED_VALUE"""),1.0)</f>
        <v>1</v>
      </c>
      <c r="E600" s="69" t="b">
        <f>IFERROR(__xludf.DUMMYFUNCTION("""COMPUTED_VALUE"""),FALSE)</f>
        <v>0</v>
      </c>
    </row>
    <row r="601" hidden="1">
      <c r="A601" s="76" t="str">
        <f>IFERROR(__xludf.DUMMYFUNCTION("""COMPUTED_VALUE"""),"Counter Intelligence")</f>
        <v>Counter Intelligence</v>
      </c>
      <c r="B601" s="76" t="str">
        <f>IFERROR(__xludf.DUMMYFUNCTION("""COMPUTED_VALUE"""),"Blood Rites")</f>
        <v>Blood Rites</v>
      </c>
      <c r="C601" s="77">
        <f>IFERROR(__xludf.DUMMYFUNCTION("""COMPUTED_VALUE"""),0.0)</f>
        <v>0</v>
      </c>
      <c r="D601" s="77">
        <f>IFERROR(__xludf.DUMMYFUNCTION("""COMPUTED_VALUE"""),0.0)</f>
        <v>0</v>
      </c>
      <c r="E601" s="46" t="b">
        <f>IFERROR(__xludf.DUMMYFUNCTION("""COMPUTED_VALUE"""),TRUE)</f>
        <v>1</v>
      </c>
    </row>
    <row r="602">
      <c r="A602" s="76" t="str">
        <f>IFERROR(__xludf.DUMMYFUNCTION("""COMPUTED_VALUE"""),"Counter Intelligence")</f>
        <v>Counter Intelligence</v>
      </c>
      <c r="B602" s="76" t="str">
        <f>IFERROR(__xludf.DUMMYFUNCTION("""COMPUTED_VALUE"""),"Buckle Up")</f>
        <v>Buckle Up</v>
      </c>
      <c r="C602" s="77">
        <f>IFERROR(__xludf.DUMMYFUNCTION("""COMPUTED_VALUE"""),0.0)</f>
        <v>0</v>
      </c>
      <c r="D602" s="77">
        <f>IFERROR(__xludf.DUMMYFUNCTION("""COMPUTED_VALUE"""),0.0)</f>
        <v>0</v>
      </c>
      <c r="E602" s="46" t="b">
        <f>IFERROR(__xludf.DUMMYFUNCTION("""COMPUTED_VALUE"""),TRUE)</f>
        <v>1</v>
      </c>
    </row>
    <row r="603">
      <c r="A603" s="76" t="str">
        <f>IFERROR(__xludf.DUMMYFUNCTION("""COMPUTED_VALUE"""),"Counter Intelligence")</f>
        <v>Counter Intelligence</v>
      </c>
      <c r="B603" s="76" t="str">
        <f>IFERROR(__xludf.DUMMYFUNCTION("""COMPUTED_VALUE"""),"Cabaretti Cacophony")</f>
        <v>Cabaretti Cacophony</v>
      </c>
      <c r="C603" s="77">
        <f>IFERROR(__xludf.DUMMYFUNCTION("""COMPUTED_VALUE"""),0.0)</f>
        <v>0</v>
      </c>
      <c r="D603" s="77">
        <f>IFERROR(__xludf.DUMMYFUNCTION("""COMPUTED_VALUE"""),1.0)</f>
        <v>1</v>
      </c>
      <c r="E603" s="46" t="b">
        <f>IFERROR(__xludf.DUMMYFUNCTION("""COMPUTED_VALUE"""),FALSE)</f>
        <v>0</v>
      </c>
    </row>
    <row r="604" hidden="1">
      <c r="A604" s="76" t="str">
        <f>IFERROR(__xludf.DUMMYFUNCTION("""COMPUTED_VALUE"""),"Counter Intelligence")</f>
        <v>Counter Intelligence</v>
      </c>
      <c r="B604" s="76" t="str">
        <f>IFERROR(__xludf.DUMMYFUNCTION("""COMPUTED_VALUE"""),"Cavalry Charge")</f>
        <v>Cavalry Charge</v>
      </c>
      <c r="C604" s="77">
        <f>IFERROR(__xludf.DUMMYFUNCTION("""COMPUTED_VALUE"""),0.0)</f>
        <v>0</v>
      </c>
      <c r="D604" s="77">
        <f>IFERROR(__xludf.DUMMYFUNCTION("""COMPUTED_VALUE"""),0.0)</f>
        <v>0</v>
      </c>
      <c r="E604" s="46" t="b">
        <f>IFERROR(__xludf.DUMMYFUNCTION("""COMPUTED_VALUE"""),TRUE)</f>
        <v>1</v>
      </c>
    </row>
    <row r="605" hidden="1">
      <c r="A605" s="78" t="str">
        <f>IFERROR(__xludf.DUMMYFUNCTION("""COMPUTED_VALUE"""),"Counter Intelligence")</f>
        <v>Counter Intelligence</v>
      </c>
      <c r="B605" s="78" t="str">
        <f>IFERROR(__xludf.DUMMYFUNCTION("""COMPUTED_VALUE"""),"Corrupting Influence")</f>
        <v>Corrupting Influence</v>
      </c>
      <c r="C605" s="79">
        <f>IFERROR(__xludf.DUMMYFUNCTION("""COMPUTED_VALUE"""),0.0)</f>
        <v>0</v>
      </c>
      <c r="D605" s="79">
        <f>IFERROR(__xludf.DUMMYFUNCTION("""COMPUTED_VALUE"""),0.0)</f>
        <v>0</v>
      </c>
      <c r="E605" s="69" t="b">
        <f>IFERROR(__xludf.DUMMYFUNCTION("""COMPUTED_VALUE"""),TRUE)</f>
        <v>1</v>
      </c>
    </row>
    <row r="606">
      <c r="A606" s="76" t="str">
        <f>IFERROR(__xludf.DUMMYFUNCTION("""COMPUTED_VALUE"""),"Counter Intelligence")</f>
        <v>Counter Intelligence</v>
      </c>
      <c r="B606" s="76" t="str">
        <f>IFERROR(__xludf.DUMMYFUNCTION("""COMPUTED_VALUE"""),"Counter Blitz")</f>
        <v>Counter Blitz</v>
      </c>
      <c r="C606" s="77">
        <f>IFERROR(__xludf.DUMMYFUNCTION("""COMPUTED_VALUE"""),0.0)</f>
        <v>0</v>
      </c>
      <c r="D606" s="77">
        <f>IFERROR(__xludf.DUMMYFUNCTION("""COMPUTED_VALUE"""),0.0)</f>
        <v>0</v>
      </c>
      <c r="E606" s="46" t="b">
        <f>IFERROR(__xludf.DUMMYFUNCTION("""COMPUTED_VALUE"""),TRUE)</f>
        <v>1</v>
      </c>
    </row>
    <row r="607" hidden="1">
      <c r="A607" s="76" t="str">
        <f>IFERROR(__xludf.DUMMYFUNCTION("""COMPUTED_VALUE"""),"Counter Intelligence")</f>
        <v>Counter Intelligence</v>
      </c>
      <c r="B607" s="76" t="str">
        <f>IFERROR(__xludf.DUMMYFUNCTION("""COMPUTED_VALUE"""),"Counter Intelligence")</f>
        <v>Counter Intelligence</v>
      </c>
      <c r="C607" s="77">
        <f>IFERROR(__xludf.DUMMYFUNCTION("""COMPUTED_VALUE"""),0.0)</f>
        <v>0</v>
      </c>
      <c r="D607" s="77">
        <f>IFERROR(__xludf.DUMMYFUNCTION("""COMPUTED_VALUE"""),0.0)</f>
        <v>0</v>
      </c>
      <c r="E607" s="46" t="b">
        <f>IFERROR(__xludf.DUMMYFUNCTION("""COMPUTED_VALUE"""),TRUE)</f>
        <v>1</v>
      </c>
    </row>
    <row r="608" hidden="1">
      <c r="A608" s="78" t="str">
        <f>IFERROR(__xludf.DUMMYFUNCTION("""COMPUTED_VALUE"""),"Counter Intelligence")</f>
        <v>Counter Intelligence</v>
      </c>
      <c r="B608" s="78" t="str">
        <f>IFERROR(__xludf.DUMMYFUNCTION("""COMPUTED_VALUE"""),"Creative Energy")</f>
        <v>Creative Energy</v>
      </c>
      <c r="C608" s="79">
        <f>IFERROR(__xludf.DUMMYFUNCTION("""COMPUTED_VALUE"""),0.0)</f>
        <v>0</v>
      </c>
      <c r="D608" s="79">
        <f>IFERROR(__xludf.DUMMYFUNCTION("""COMPUTED_VALUE"""),0.0)</f>
        <v>0</v>
      </c>
      <c r="E608" s="69" t="b">
        <f>IFERROR(__xludf.DUMMYFUNCTION("""COMPUTED_VALUE"""),TRUE)</f>
        <v>1</v>
      </c>
    </row>
    <row r="609" hidden="1">
      <c r="A609" s="76" t="str">
        <f>IFERROR(__xludf.DUMMYFUNCTION("""COMPUTED_VALUE"""),"Counter Intelligence")</f>
        <v>Counter Intelligence</v>
      </c>
      <c r="B609" s="76" t="str">
        <f>IFERROR(__xludf.DUMMYFUNCTION("""COMPUTED_VALUE"""),"Dance of the Elements")</f>
        <v>Dance of the Elements</v>
      </c>
      <c r="C609" s="77">
        <f>IFERROR(__xludf.DUMMYFUNCTION("""COMPUTED_VALUE"""),0.0)</f>
        <v>0</v>
      </c>
      <c r="D609" s="77">
        <f>IFERROR(__xludf.DUMMYFUNCTION("""COMPUTED_VALUE"""),0.0)</f>
        <v>0</v>
      </c>
      <c r="E609" s="46" t="b">
        <f>IFERROR(__xludf.DUMMYFUNCTION("""COMPUTED_VALUE"""),TRUE)</f>
        <v>1</v>
      </c>
    </row>
    <row r="610" hidden="1">
      <c r="A610" s="76" t="str">
        <f>IFERROR(__xludf.DUMMYFUNCTION("""COMPUTED_VALUE"""),"Counter Intelligence")</f>
        <v>Counter Intelligence</v>
      </c>
      <c r="B610" s="76" t="str">
        <f>IFERROR(__xludf.DUMMYFUNCTION("""COMPUTED_VALUE"""),"Deep Clue Sea")</f>
        <v>Deep Clue Sea</v>
      </c>
      <c r="C610" s="77">
        <f>IFERROR(__xludf.DUMMYFUNCTION("""COMPUTED_VALUE"""),0.0)</f>
        <v>0</v>
      </c>
      <c r="D610" s="77">
        <f>IFERROR(__xludf.DUMMYFUNCTION("""COMPUTED_VALUE"""),0.0)</f>
        <v>0</v>
      </c>
      <c r="E610" s="46" t="b">
        <f>IFERROR(__xludf.DUMMYFUNCTION("""COMPUTED_VALUE"""),TRUE)</f>
        <v>1</v>
      </c>
    </row>
    <row r="611" hidden="1">
      <c r="A611" s="76" t="str">
        <f>IFERROR(__xludf.DUMMYFUNCTION("""COMPUTED_VALUE"""),"Counter Intelligence")</f>
        <v>Counter Intelligence</v>
      </c>
      <c r="B611" s="76" t="str">
        <f>IFERROR(__xludf.DUMMYFUNCTION("""COMPUTED_VALUE"""),"Doom Prevails")</f>
        <v>Doom Prevails</v>
      </c>
      <c r="C611" s="77">
        <f>IFERROR(__xludf.DUMMYFUNCTION("""COMPUTED_VALUE"""),0.0)</f>
        <v>0</v>
      </c>
      <c r="D611" s="77">
        <f>IFERROR(__xludf.DUMMYFUNCTION("""COMPUTED_VALUE"""),0.0)</f>
        <v>0</v>
      </c>
      <c r="E611" s="46" t="b">
        <f>IFERROR(__xludf.DUMMYFUNCTION("""COMPUTED_VALUE"""),TRUE)</f>
        <v>1</v>
      </c>
    </row>
    <row r="612">
      <c r="A612" s="78" t="str">
        <f>IFERROR(__xludf.DUMMYFUNCTION("""COMPUTED_VALUE"""),"Counter Intelligence")</f>
        <v>Counter Intelligence</v>
      </c>
      <c r="B612" s="78" t="str">
        <f>IFERROR(__xludf.DUMMYFUNCTION("""COMPUTED_VALUE"""),"Eldrazi Incursion")</f>
        <v>Eldrazi Incursion</v>
      </c>
      <c r="C612" s="79">
        <f>IFERROR(__xludf.DUMMYFUNCTION("""COMPUTED_VALUE"""),0.0)</f>
        <v>0</v>
      </c>
      <c r="D612" s="79">
        <f>IFERROR(__xludf.DUMMYFUNCTION("""COMPUTED_VALUE"""),0.0)</f>
        <v>0</v>
      </c>
      <c r="E612" s="69" t="b">
        <f>IFERROR(__xludf.DUMMYFUNCTION("""COMPUTED_VALUE"""),TRUE)</f>
        <v>1</v>
      </c>
    </row>
    <row r="613" hidden="1">
      <c r="A613" s="76" t="str">
        <f>IFERROR(__xludf.DUMMYFUNCTION("""COMPUTED_VALUE"""),"Counter Intelligence")</f>
        <v>Counter Intelligence</v>
      </c>
      <c r="B613" s="76" t="str">
        <f>IFERROR(__xludf.DUMMYFUNCTION("""COMPUTED_VALUE"""),"Eldrazi Unbound")</f>
        <v>Eldrazi Unbound</v>
      </c>
      <c r="C613" s="77">
        <f>IFERROR(__xludf.DUMMYFUNCTION("""COMPUTED_VALUE"""),0.0)</f>
        <v>0</v>
      </c>
      <c r="D613" s="77">
        <f>IFERROR(__xludf.DUMMYFUNCTION("""COMPUTED_VALUE"""),0.0)</f>
        <v>0</v>
      </c>
      <c r="E613" s="46" t="b">
        <f>IFERROR(__xludf.DUMMYFUNCTION("""COMPUTED_VALUE"""),TRUE)</f>
        <v>1</v>
      </c>
    </row>
    <row r="614" hidden="1">
      <c r="A614" s="76" t="str">
        <f>IFERROR(__xludf.DUMMYFUNCTION("""COMPUTED_VALUE"""),"Counter Intelligence")</f>
        <v>Counter Intelligence</v>
      </c>
      <c r="B614" s="76" t="str">
        <f>IFERROR(__xludf.DUMMYFUNCTION("""COMPUTED_VALUE"""),"Endless Punishment")</f>
        <v>Endless Punishment</v>
      </c>
      <c r="C614" s="77">
        <f>IFERROR(__xludf.DUMMYFUNCTION("""COMPUTED_VALUE"""),0.0)</f>
        <v>0</v>
      </c>
      <c r="D614" s="77">
        <f>IFERROR(__xludf.DUMMYFUNCTION("""COMPUTED_VALUE"""),0.0)</f>
        <v>0</v>
      </c>
      <c r="E614" s="46" t="b">
        <f>IFERROR(__xludf.DUMMYFUNCTION("""COMPUTED_VALUE"""),TRUE)</f>
        <v>1</v>
      </c>
    </row>
    <row r="615" hidden="1">
      <c r="A615" s="76" t="str">
        <f>IFERROR(__xludf.DUMMYFUNCTION("""COMPUTED_VALUE"""),"Counter Intelligence")</f>
        <v>Counter Intelligence</v>
      </c>
      <c r="B615" s="76" t="str">
        <f>IFERROR(__xludf.DUMMYFUNCTION("""COMPUTED_VALUE"""),"Enduring Enchantments")</f>
        <v>Enduring Enchantments</v>
      </c>
      <c r="C615" s="77">
        <f>IFERROR(__xludf.DUMMYFUNCTION("""COMPUTED_VALUE"""),0.0)</f>
        <v>0</v>
      </c>
      <c r="D615" s="77">
        <f>IFERROR(__xludf.DUMMYFUNCTION("""COMPUTED_VALUE"""),0.0)</f>
        <v>0</v>
      </c>
      <c r="E615" s="46" t="b">
        <f>IFERROR(__xludf.DUMMYFUNCTION("""COMPUTED_VALUE"""),TRUE)</f>
        <v>1</v>
      </c>
    </row>
    <row r="616" hidden="1">
      <c r="A616" s="78" t="str">
        <f>IFERROR(__xludf.DUMMYFUNCTION("""COMPUTED_VALUE"""),"Counter Intelligence")</f>
        <v>Counter Intelligence</v>
      </c>
      <c r="B616" s="78" t="str">
        <f>IFERROR(__xludf.DUMMYFUNCTION("""COMPUTED_VALUE"""),"Explorers of the Deep")</f>
        <v>Explorers of the Deep</v>
      </c>
      <c r="C616" s="79">
        <f>IFERROR(__xludf.DUMMYFUNCTION("""COMPUTED_VALUE"""),0.0)</f>
        <v>0</v>
      </c>
      <c r="D616" s="79">
        <f>IFERROR(__xludf.DUMMYFUNCTION("""COMPUTED_VALUE"""),0.0)</f>
        <v>0</v>
      </c>
      <c r="E616" s="69" t="b">
        <f>IFERROR(__xludf.DUMMYFUNCTION("""COMPUTED_VALUE"""),TRUE)</f>
        <v>1</v>
      </c>
    </row>
    <row r="617">
      <c r="A617" s="76" t="str">
        <f>IFERROR(__xludf.DUMMYFUNCTION("""COMPUTED_VALUE"""),"Counter Intelligence")</f>
        <v>Counter Intelligence</v>
      </c>
      <c r="B617" s="76" t="str">
        <f>IFERROR(__xludf.DUMMYFUNCTION("""COMPUTED_VALUE"""),"Family Matters")</f>
        <v>Family Matters</v>
      </c>
      <c r="C617" s="77">
        <f>IFERROR(__xludf.DUMMYFUNCTION("""COMPUTED_VALUE"""),0.0)</f>
        <v>0</v>
      </c>
      <c r="D617" s="77">
        <f>IFERROR(__xludf.DUMMYFUNCTION("""COMPUTED_VALUE"""),0.0)</f>
        <v>0</v>
      </c>
      <c r="E617" s="46" t="b">
        <f>IFERROR(__xludf.DUMMYFUNCTION("""COMPUTED_VALUE"""),TRUE)</f>
        <v>1</v>
      </c>
    </row>
    <row r="618" hidden="1">
      <c r="A618" s="76" t="str">
        <f>IFERROR(__xludf.DUMMYFUNCTION("""COMPUTED_VALUE"""),"Counter Intelligence")</f>
        <v>Counter Intelligence</v>
      </c>
      <c r="B618" s="76" t="str">
        <f>IFERROR(__xludf.DUMMYFUNCTION("""COMPUTED_VALUE"""),"Food and Fellowship")</f>
        <v>Food and Fellowship</v>
      </c>
      <c r="C618" s="77">
        <f>IFERROR(__xludf.DUMMYFUNCTION("""COMPUTED_VALUE"""),0.0)</f>
        <v>0</v>
      </c>
      <c r="D618" s="77">
        <f>IFERROR(__xludf.DUMMYFUNCTION("""COMPUTED_VALUE"""),0.0)</f>
        <v>0</v>
      </c>
      <c r="E618" s="46" t="b">
        <f>IFERROR(__xludf.DUMMYFUNCTION("""COMPUTED_VALUE"""),TRUE)</f>
        <v>1</v>
      </c>
    </row>
    <row r="619" hidden="1">
      <c r="A619" s="76" t="str">
        <f>IFERROR(__xludf.DUMMYFUNCTION("""COMPUTED_VALUE"""),"Counter Intelligence")</f>
        <v>Counter Intelligence</v>
      </c>
      <c r="B619" s="76" t="str">
        <f>IFERROR(__xludf.DUMMYFUNCTION("""COMPUTED_VALUE"""),"Jeskai Striker")</f>
        <v>Jeskai Striker</v>
      </c>
      <c r="C619" s="77">
        <f>IFERROR(__xludf.DUMMYFUNCTION("""COMPUTED_VALUE"""),0.0)</f>
        <v>0</v>
      </c>
      <c r="D619" s="77">
        <f>IFERROR(__xludf.DUMMYFUNCTION("""COMPUTED_VALUE"""),0.0)</f>
        <v>0</v>
      </c>
      <c r="E619" s="46" t="b">
        <f>IFERROR(__xludf.DUMMYFUNCTION("""COMPUTED_VALUE"""),TRUE)</f>
        <v>1</v>
      </c>
    </row>
    <row r="620" hidden="1">
      <c r="A620" s="76" t="str">
        <f>IFERROR(__xludf.DUMMYFUNCTION("""COMPUTED_VALUE"""),"Counter Intelligence")</f>
        <v>Counter Intelligence</v>
      </c>
      <c r="B620" s="76" t="str">
        <f>IFERROR(__xludf.DUMMYFUNCTION("""COMPUTED_VALUE"""),"Legends' Legacy")</f>
        <v>Legends' Legacy</v>
      </c>
      <c r="C620" s="77">
        <f>IFERROR(__xludf.DUMMYFUNCTION("""COMPUTED_VALUE"""),0.0)</f>
        <v>0</v>
      </c>
      <c r="D620" s="77">
        <f>IFERROR(__xludf.DUMMYFUNCTION("""COMPUTED_VALUE"""),0.0)</f>
        <v>0</v>
      </c>
      <c r="E620" s="46" t="b">
        <f>IFERROR(__xludf.DUMMYFUNCTION("""COMPUTED_VALUE"""),TRUE)</f>
        <v>1</v>
      </c>
    </row>
    <row r="621" hidden="1">
      <c r="A621" s="76" t="str">
        <f>IFERROR(__xludf.DUMMYFUNCTION("""COMPUTED_VALUE"""),"Counter Intelligence")</f>
        <v>Counter Intelligence</v>
      </c>
      <c r="B621" s="76" t="str">
        <f>IFERROR(__xludf.DUMMYFUNCTION("""COMPUTED_VALUE"""),"Limit Break")</f>
        <v>Limit Break</v>
      </c>
      <c r="C621" s="77">
        <f>IFERROR(__xludf.DUMMYFUNCTION("""COMPUTED_VALUE"""),0.0)</f>
        <v>0</v>
      </c>
      <c r="D621" s="77">
        <f>IFERROR(__xludf.DUMMYFUNCTION("""COMPUTED_VALUE"""),0.0)</f>
        <v>0</v>
      </c>
      <c r="E621" s="46" t="b">
        <f>IFERROR(__xludf.DUMMYFUNCTION("""COMPUTED_VALUE"""),TRUE)</f>
        <v>1</v>
      </c>
    </row>
    <row r="622" hidden="1">
      <c r="A622" s="76" t="str">
        <f>IFERROR(__xludf.DUMMYFUNCTION("""COMPUTED_VALUE"""),"Counter Intelligence")</f>
        <v>Counter Intelligence</v>
      </c>
      <c r="B622" s="76" t="str">
        <f>IFERROR(__xludf.DUMMYFUNCTION("""COMPUTED_VALUE"""),"Lorehold Spirit")</f>
        <v>Lorehold Spirit</v>
      </c>
      <c r="C622" s="77">
        <f>IFERROR(__xludf.DUMMYFUNCTION("""COMPUTED_VALUE"""),0.0)</f>
        <v>0</v>
      </c>
      <c r="D622" s="77">
        <f>IFERROR(__xludf.DUMMYFUNCTION("""COMPUTED_VALUE"""),1.0)</f>
        <v>1</v>
      </c>
      <c r="E622" s="46" t="b">
        <f>IFERROR(__xludf.DUMMYFUNCTION("""COMPUTED_VALUE"""),FALSE)</f>
        <v>0</v>
      </c>
    </row>
    <row r="623" hidden="1">
      <c r="A623" s="76" t="str">
        <f>IFERROR(__xludf.DUMMYFUNCTION("""COMPUTED_VALUE"""),"Counter Intelligence")</f>
        <v>Counter Intelligence</v>
      </c>
      <c r="B623" s="76" t="str">
        <f>IFERROR(__xludf.DUMMYFUNCTION("""COMPUTED_VALUE"""),"Mutant Menace")</f>
        <v>Mutant Menace</v>
      </c>
      <c r="C623" s="77">
        <f>IFERROR(__xludf.DUMMYFUNCTION("""COMPUTED_VALUE"""),0.0)</f>
        <v>0</v>
      </c>
      <c r="D623" s="77">
        <f>IFERROR(__xludf.DUMMYFUNCTION("""COMPUTED_VALUE"""),0.0)</f>
        <v>0</v>
      </c>
      <c r="E623" s="46" t="b">
        <f>IFERROR(__xludf.DUMMYFUNCTION("""COMPUTED_VALUE"""),TRUE)</f>
        <v>1</v>
      </c>
    </row>
    <row r="624" hidden="1">
      <c r="A624" s="76" t="str">
        <f>IFERROR(__xludf.DUMMYFUNCTION("""COMPUTED_VALUE"""),"Counter Intelligence")</f>
        <v>Counter Intelligence</v>
      </c>
      <c r="B624" s="76" t="str">
        <f>IFERROR(__xludf.DUMMYFUNCTION("""COMPUTED_VALUE"""),"Party Time")</f>
        <v>Party Time</v>
      </c>
      <c r="C624" s="77">
        <f>IFERROR(__xludf.DUMMYFUNCTION("""COMPUTED_VALUE"""),0.0)</f>
        <v>0</v>
      </c>
      <c r="D624" s="77">
        <f>IFERROR(__xludf.DUMMYFUNCTION("""COMPUTED_VALUE"""),0.0)</f>
        <v>0</v>
      </c>
      <c r="E624" s="46" t="b">
        <f>IFERROR(__xludf.DUMMYFUNCTION("""COMPUTED_VALUE"""),TRUE)</f>
        <v>1</v>
      </c>
    </row>
    <row r="625">
      <c r="A625" s="76" t="str">
        <f>IFERROR(__xludf.DUMMYFUNCTION("""COMPUTED_VALUE"""),"Counter Intelligence")</f>
        <v>Counter Intelligence</v>
      </c>
      <c r="B625" s="76" t="str">
        <f>IFERROR(__xludf.DUMMYFUNCTION("""COMPUTED_VALUE"""),"Peace Offering")</f>
        <v>Peace Offering</v>
      </c>
      <c r="C625" s="77">
        <f>IFERROR(__xludf.DUMMYFUNCTION("""COMPUTED_VALUE"""),0.0)</f>
        <v>0</v>
      </c>
      <c r="D625" s="77">
        <f>IFERROR(__xludf.DUMMYFUNCTION("""COMPUTED_VALUE"""),0.0)</f>
        <v>0</v>
      </c>
      <c r="E625" s="46" t="b">
        <f>IFERROR(__xludf.DUMMYFUNCTION("""COMPUTED_VALUE"""),TRUE)</f>
        <v>1</v>
      </c>
    </row>
    <row r="626" hidden="1">
      <c r="A626" s="76" t="str">
        <f>IFERROR(__xludf.DUMMYFUNCTION("""COMPUTED_VALUE"""),"Counter Intelligence")</f>
        <v>Counter Intelligence</v>
      </c>
      <c r="B626" s="76" t="str">
        <f>IFERROR(__xludf.DUMMYFUNCTION("""COMPUTED_VALUE"""),"Power Hungry")</f>
        <v>Power Hungry</v>
      </c>
      <c r="C626" s="77">
        <f>IFERROR(__xludf.DUMMYFUNCTION("""COMPUTED_VALUE"""),0.0)</f>
        <v>0</v>
      </c>
      <c r="D626" s="77">
        <f>IFERROR(__xludf.DUMMYFUNCTION("""COMPUTED_VALUE"""),0.0)</f>
        <v>0</v>
      </c>
      <c r="E626" s="46" t="b">
        <f>IFERROR(__xludf.DUMMYFUNCTION("""COMPUTED_VALUE"""),TRUE)</f>
        <v>1</v>
      </c>
    </row>
    <row r="627" hidden="1">
      <c r="A627" s="76" t="str">
        <f>IFERROR(__xludf.DUMMYFUNCTION("""COMPUTED_VALUE"""),"Counter Intelligence")</f>
        <v>Counter Intelligence</v>
      </c>
      <c r="B627" s="76" t="str">
        <f>IFERROR(__xludf.DUMMYFUNCTION("""COMPUTED_VALUE"""),"Primal Genesis")</f>
        <v>Primal Genesis</v>
      </c>
      <c r="C627" s="77">
        <f>IFERROR(__xludf.DUMMYFUNCTION("""COMPUTED_VALUE"""),0.0)</f>
        <v>0</v>
      </c>
      <c r="D627" s="77">
        <f>IFERROR(__xludf.DUMMYFUNCTION("""COMPUTED_VALUE"""),0.0)</f>
        <v>0</v>
      </c>
      <c r="E627" s="46" t="b">
        <f>IFERROR(__xludf.DUMMYFUNCTION("""COMPUTED_VALUE"""),TRUE)</f>
        <v>1</v>
      </c>
    </row>
    <row r="628">
      <c r="A628" s="76" t="str">
        <f>IFERROR(__xludf.DUMMYFUNCTION("""COMPUTED_VALUE"""),"Counter Intelligence")</f>
        <v>Counter Intelligence</v>
      </c>
      <c r="B628" s="76" t="str">
        <f>IFERROR(__xludf.DUMMYFUNCTION("""COMPUTED_VALUE"""),"Prismari Artistry")</f>
        <v>Prismari Artistry</v>
      </c>
      <c r="C628" s="77">
        <f>IFERROR(__xludf.DUMMYFUNCTION("""COMPUTED_VALUE"""),0.0)</f>
        <v>0</v>
      </c>
      <c r="D628" s="77">
        <f>IFERROR(__xludf.DUMMYFUNCTION("""COMPUTED_VALUE"""),0.0)</f>
        <v>0</v>
      </c>
      <c r="E628" s="46" t="b">
        <f>IFERROR(__xludf.DUMMYFUNCTION("""COMPUTED_VALUE"""),TRUE)</f>
        <v>1</v>
      </c>
    </row>
    <row r="629">
      <c r="A629" s="76" t="str">
        <f>IFERROR(__xludf.DUMMYFUNCTION("""COMPUTED_VALUE"""),"Counter Intelligence")</f>
        <v>Counter Intelligence</v>
      </c>
      <c r="B629" s="76" t="str">
        <f>IFERROR(__xludf.DUMMYFUNCTION("""COMPUTED_VALUE"""),"Prismari Performance")</f>
        <v>Prismari Performance</v>
      </c>
      <c r="C629" s="77">
        <f>IFERROR(__xludf.DUMMYFUNCTION("""COMPUTED_VALUE"""),0.0)</f>
        <v>0</v>
      </c>
      <c r="D629" s="77">
        <f>IFERROR(__xludf.DUMMYFUNCTION("""COMPUTED_VALUE"""),0.0)</f>
        <v>0</v>
      </c>
      <c r="E629" s="46" t="b">
        <f>IFERROR(__xludf.DUMMYFUNCTION("""COMPUTED_VALUE"""),TRUE)</f>
        <v>1</v>
      </c>
    </row>
    <row r="630" hidden="1">
      <c r="A630" s="78" t="str">
        <f>IFERROR(__xludf.DUMMYFUNCTION("""COMPUTED_VALUE"""),"Counter Intelligence")</f>
        <v>Counter Intelligence</v>
      </c>
      <c r="B630" s="78" t="str">
        <f>IFERROR(__xludf.DUMMYFUNCTION("""COMPUTED_VALUE"""),"Quandrix Unlimited")</f>
        <v>Quandrix Unlimited</v>
      </c>
      <c r="C630" s="79">
        <f>IFERROR(__xludf.DUMMYFUNCTION("""COMPUTED_VALUE"""),0.0)</f>
        <v>0</v>
      </c>
      <c r="D630" s="79">
        <f>IFERROR(__xludf.DUMMYFUNCTION("""COMPUTED_VALUE"""),0.0)</f>
        <v>0</v>
      </c>
      <c r="E630" s="69" t="b">
        <f>IFERROR(__xludf.DUMMYFUNCTION("""COMPUTED_VALUE"""),TRUE)</f>
        <v>1</v>
      </c>
    </row>
    <row r="631">
      <c r="A631" s="76" t="str">
        <f>IFERROR(__xludf.DUMMYFUNCTION("""COMPUTED_VALUE"""),"Counter Intelligence")</f>
        <v>Counter Intelligence</v>
      </c>
      <c r="B631" s="76" t="str">
        <f>IFERROR(__xludf.DUMMYFUNCTION("""COMPUTED_VALUE"""),"Quick Draw")</f>
        <v>Quick Draw</v>
      </c>
      <c r="C631" s="77">
        <f>IFERROR(__xludf.DUMMYFUNCTION("""COMPUTED_VALUE"""),0.0)</f>
        <v>0</v>
      </c>
      <c r="D631" s="77">
        <f>IFERROR(__xludf.DUMMYFUNCTION("""COMPUTED_VALUE"""),2.0)</f>
        <v>2</v>
      </c>
      <c r="E631" s="46" t="b">
        <f>IFERROR(__xludf.DUMMYFUNCTION("""COMPUTED_VALUE"""),FALSE)</f>
        <v>0</v>
      </c>
    </row>
    <row r="632" hidden="1">
      <c r="A632" s="76" t="str">
        <f>IFERROR(__xludf.DUMMYFUNCTION("""COMPUTED_VALUE"""),"Counter Intelligence")</f>
        <v>Counter Intelligence</v>
      </c>
      <c r="B632" s="76" t="str">
        <f>IFERROR(__xludf.DUMMYFUNCTION("""COMPUTED_VALUE"""),"Reap the Tides")</f>
        <v>Reap the Tides</v>
      </c>
      <c r="C632" s="77">
        <f>IFERROR(__xludf.DUMMYFUNCTION("""COMPUTED_VALUE"""),0.0)</f>
        <v>0</v>
      </c>
      <c r="D632" s="77">
        <f>IFERROR(__xludf.DUMMYFUNCTION("""COMPUTED_VALUE"""),0.0)</f>
        <v>0</v>
      </c>
      <c r="E632" s="46" t="b">
        <f>IFERROR(__xludf.DUMMYFUNCTION("""COMPUTED_VALUE"""),TRUE)</f>
        <v>1</v>
      </c>
    </row>
    <row r="633" hidden="1">
      <c r="A633" s="76" t="str">
        <f>IFERROR(__xludf.DUMMYFUNCTION("""COMPUTED_VALUE"""),"Counter Intelligence")</f>
        <v>Counter Intelligence</v>
      </c>
      <c r="B633" s="76" t="str">
        <f>IFERROR(__xludf.DUMMYFUNCTION("""COMPUTED_VALUE"""),"Rebellion Rising")</f>
        <v>Rebellion Rising</v>
      </c>
      <c r="C633" s="77">
        <f>IFERROR(__xludf.DUMMYFUNCTION("""COMPUTED_VALUE"""),0.0)</f>
        <v>0</v>
      </c>
      <c r="D633" s="77">
        <f>IFERROR(__xludf.DUMMYFUNCTION("""COMPUTED_VALUE"""),0.0)</f>
        <v>0</v>
      </c>
      <c r="E633" s="46" t="b">
        <f>IFERROR(__xludf.DUMMYFUNCTION("""COMPUTED_VALUE"""),TRUE)</f>
        <v>1</v>
      </c>
    </row>
    <row r="634">
      <c r="A634" s="76" t="str">
        <f>IFERROR(__xludf.DUMMYFUNCTION("""COMPUTED_VALUE"""),"Counter Intelligence")</f>
        <v>Counter Intelligence</v>
      </c>
      <c r="B634" s="76" t="str">
        <f>IFERROR(__xludf.DUMMYFUNCTION("""COMPUTED_VALUE"""),"Revival Trance")</f>
        <v>Revival Trance</v>
      </c>
      <c r="C634" s="77">
        <f>IFERROR(__xludf.DUMMYFUNCTION("""COMPUTED_VALUE"""),0.0)</f>
        <v>0</v>
      </c>
      <c r="D634" s="77">
        <f>IFERROR(__xludf.DUMMYFUNCTION("""COMPUTED_VALUE"""),0.0)</f>
        <v>0</v>
      </c>
      <c r="E634" s="46" t="b">
        <f>IFERROR(__xludf.DUMMYFUNCTION("""COMPUTED_VALUE"""),TRUE)</f>
        <v>1</v>
      </c>
    </row>
    <row r="635" hidden="1">
      <c r="A635" s="76" t="str">
        <f>IFERROR(__xludf.DUMMYFUNCTION("""COMPUTED_VALUE"""),"Counter Intelligence")</f>
        <v>Counter Intelligence</v>
      </c>
      <c r="B635" s="76" t="str">
        <f>IFERROR(__xludf.DUMMYFUNCTION("""COMPUTED_VALUE"""),"Riders of Rohan")</f>
        <v>Riders of Rohan</v>
      </c>
      <c r="C635" s="77">
        <f>IFERROR(__xludf.DUMMYFUNCTION("""COMPUTED_VALUE"""),0.0)</f>
        <v>0</v>
      </c>
      <c r="D635" s="77">
        <f>IFERROR(__xludf.DUMMYFUNCTION("""COMPUTED_VALUE"""),1.0)</f>
        <v>1</v>
      </c>
      <c r="E635" s="46" t="b">
        <f>IFERROR(__xludf.DUMMYFUNCTION("""COMPUTED_VALUE"""),FALSE)</f>
        <v>0</v>
      </c>
    </row>
    <row r="636" hidden="1">
      <c r="A636" s="76" t="str">
        <f>IFERROR(__xludf.DUMMYFUNCTION("""COMPUTED_VALUE"""),"Counter Intelligence")</f>
        <v>Counter Intelligence</v>
      </c>
      <c r="B636" s="76" t="str">
        <f>IFERROR(__xludf.DUMMYFUNCTION("""COMPUTED_VALUE"""),"Science!")</f>
        <v>Science!</v>
      </c>
      <c r="C636" s="77">
        <f>IFERROR(__xludf.DUMMYFUNCTION("""COMPUTED_VALUE"""),0.0)</f>
        <v>0</v>
      </c>
      <c r="D636" s="77">
        <f>IFERROR(__xludf.DUMMYFUNCTION("""COMPUTED_VALUE"""),0.0)</f>
        <v>0</v>
      </c>
      <c r="E636" s="46" t="b">
        <f>IFERROR(__xludf.DUMMYFUNCTION("""COMPUTED_VALUE"""),TRUE)</f>
        <v>1</v>
      </c>
    </row>
    <row r="637" hidden="1">
      <c r="A637" s="76" t="str">
        <f>IFERROR(__xludf.DUMMYFUNCTION("""COMPUTED_VALUE"""),"Counter Intelligence")</f>
        <v>Counter Intelligence</v>
      </c>
      <c r="B637" s="76" t="str">
        <f>IFERROR(__xludf.DUMMYFUNCTION("""COMPUTED_VALUE"""),"Scions &amp; Spellcraft")</f>
        <v>Scions &amp; Spellcraft</v>
      </c>
      <c r="C637" s="77">
        <f>IFERROR(__xludf.DUMMYFUNCTION("""COMPUTED_VALUE"""),0.0)</f>
        <v>0</v>
      </c>
      <c r="D637" s="77">
        <f>IFERROR(__xludf.DUMMYFUNCTION("""COMPUTED_VALUE"""),0.0)</f>
        <v>0</v>
      </c>
      <c r="E637" s="46" t="b">
        <f>IFERROR(__xludf.DUMMYFUNCTION("""COMPUTED_VALUE"""),TRUE)</f>
        <v>1</v>
      </c>
    </row>
    <row r="638">
      <c r="A638" s="76" t="str">
        <f>IFERROR(__xludf.DUMMYFUNCTION("""COMPUTED_VALUE"""),"Counter Intelligence")</f>
        <v>Counter Intelligence</v>
      </c>
      <c r="B638" s="76" t="str">
        <f>IFERROR(__xludf.DUMMYFUNCTION("""COMPUTED_VALUE"""),"Scrappy Survivors")</f>
        <v>Scrappy Survivors</v>
      </c>
      <c r="C638" s="77">
        <f>IFERROR(__xludf.DUMMYFUNCTION("""COMPUTED_VALUE"""),0.0)</f>
        <v>0</v>
      </c>
      <c r="D638" s="77">
        <f>IFERROR(__xludf.DUMMYFUNCTION("""COMPUTED_VALUE"""),0.0)</f>
        <v>0</v>
      </c>
      <c r="E638" s="46" t="b">
        <f>IFERROR(__xludf.DUMMYFUNCTION("""COMPUTED_VALUE"""),TRUE)</f>
        <v>1</v>
      </c>
    </row>
    <row r="639" hidden="1">
      <c r="A639" s="76" t="str">
        <f>IFERROR(__xludf.DUMMYFUNCTION("""COMPUTED_VALUE"""),"Counter Intelligence")</f>
        <v>Counter Intelligence</v>
      </c>
      <c r="B639" s="76" t="str">
        <f>IFERROR(__xludf.DUMMYFUNCTION("""COMPUTED_VALUE"""),"Silverquill Influence")</f>
        <v>Silverquill Influence</v>
      </c>
      <c r="C639" s="77">
        <f>IFERROR(__xludf.DUMMYFUNCTION("""COMPUTED_VALUE"""),0.0)</f>
        <v>0</v>
      </c>
      <c r="D639" s="77">
        <f>IFERROR(__xludf.DUMMYFUNCTION("""COMPUTED_VALUE"""),0.0)</f>
        <v>0</v>
      </c>
      <c r="E639" s="46" t="b">
        <f>IFERROR(__xludf.DUMMYFUNCTION("""COMPUTED_VALUE"""),TRUE)</f>
        <v>1</v>
      </c>
    </row>
    <row r="640" hidden="1">
      <c r="A640" s="76" t="str">
        <f>IFERROR(__xludf.DUMMYFUNCTION("""COMPUTED_VALUE"""),"Counter Intelligence")</f>
        <v>Counter Intelligence</v>
      </c>
      <c r="B640" s="76" t="str">
        <f>IFERROR(__xludf.DUMMYFUNCTION("""COMPUTED_VALUE"""),"Spirit Squadron")</f>
        <v>Spirit Squadron</v>
      </c>
      <c r="C640" s="77">
        <f>IFERROR(__xludf.DUMMYFUNCTION("""COMPUTED_VALUE"""),0.0)</f>
        <v>0</v>
      </c>
      <c r="D640" s="77">
        <f>IFERROR(__xludf.DUMMYFUNCTION("""COMPUTED_VALUE"""),0.0)</f>
        <v>0</v>
      </c>
      <c r="E640" s="46" t="b">
        <f>IFERROR(__xludf.DUMMYFUNCTION("""COMPUTED_VALUE"""),TRUE)</f>
        <v>1</v>
      </c>
    </row>
    <row r="641" hidden="1">
      <c r="A641" s="76" t="str">
        <f>IFERROR(__xludf.DUMMYFUNCTION("""COMPUTED_VALUE"""),"Counter Intelligence")</f>
        <v>Counter Intelligence</v>
      </c>
      <c r="B641" s="76" t="str">
        <f>IFERROR(__xludf.DUMMYFUNCTION("""COMPUTED_VALUE"""),"Squirreled Away")</f>
        <v>Squirreled Away</v>
      </c>
      <c r="C641" s="77">
        <f>IFERROR(__xludf.DUMMYFUNCTION("""COMPUTED_VALUE"""),0.0)</f>
        <v>0</v>
      </c>
      <c r="D641" s="77">
        <f>IFERROR(__xludf.DUMMYFUNCTION("""COMPUTED_VALUE"""),0.0)</f>
        <v>0</v>
      </c>
      <c r="E641" s="46" t="b">
        <f>IFERROR(__xludf.DUMMYFUNCTION("""COMPUTED_VALUE"""),TRUE)</f>
        <v>1</v>
      </c>
    </row>
    <row r="642" hidden="1">
      <c r="A642" s="76" t="str">
        <f>IFERROR(__xludf.DUMMYFUNCTION("""COMPUTED_VALUE"""),"Counter Intelligence")</f>
        <v>Counter Intelligence</v>
      </c>
      <c r="B642" s="76" t="str">
        <f>IFERROR(__xludf.DUMMYFUNCTION("""COMPUTED_VALUE"""),"Sultai Arisen")</f>
        <v>Sultai Arisen</v>
      </c>
      <c r="C642" s="77">
        <f>IFERROR(__xludf.DUMMYFUNCTION("""COMPUTED_VALUE"""),0.0)</f>
        <v>0</v>
      </c>
      <c r="D642" s="77">
        <f>IFERROR(__xludf.DUMMYFUNCTION("""COMPUTED_VALUE"""),0.0)</f>
        <v>0</v>
      </c>
      <c r="E642" s="46" t="b">
        <f>IFERROR(__xludf.DUMMYFUNCTION("""COMPUTED_VALUE"""),TRUE)</f>
        <v>1</v>
      </c>
    </row>
    <row r="643">
      <c r="A643" s="78" t="str">
        <f>IFERROR(__xludf.DUMMYFUNCTION("""COMPUTED_VALUE"""),"Counter Intelligence")</f>
        <v>Counter Intelligence</v>
      </c>
      <c r="B643" s="78" t="str">
        <f>IFERROR(__xludf.DUMMYFUNCTION("""COMPUTED_VALUE"""),"Temur Roar")</f>
        <v>Temur Roar</v>
      </c>
      <c r="C643" s="79">
        <f>IFERROR(__xludf.DUMMYFUNCTION("""COMPUTED_VALUE"""),0.0)</f>
        <v>0</v>
      </c>
      <c r="D643" s="79">
        <f>IFERROR(__xludf.DUMMYFUNCTION("""COMPUTED_VALUE"""),0.0)</f>
        <v>0</v>
      </c>
      <c r="E643" s="69" t="b">
        <f>IFERROR(__xludf.DUMMYFUNCTION("""COMPUTED_VALUE"""),TRUE)</f>
        <v>1</v>
      </c>
    </row>
    <row r="644">
      <c r="A644" s="76" t="str">
        <f>IFERROR(__xludf.DUMMYFUNCTION("""COMPUTED_VALUE"""),"Counter Intelligence")</f>
        <v>Counter Intelligence</v>
      </c>
      <c r="B644" s="76" t="str">
        <f>IFERROR(__xludf.DUMMYFUNCTION("""COMPUTED_VALUE"""),"The Hosts of Mordor")</f>
        <v>The Hosts of Mordor</v>
      </c>
      <c r="C644" s="77">
        <f>IFERROR(__xludf.DUMMYFUNCTION("""COMPUTED_VALUE"""),0.0)</f>
        <v>0</v>
      </c>
      <c r="D644" s="77">
        <f>IFERROR(__xludf.DUMMYFUNCTION("""COMPUTED_VALUE"""),0.0)</f>
        <v>0</v>
      </c>
      <c r="E644" s="46" t="b">
        <f>IFERROR(__xludf.DUMMYFUNCTION("""COMPUTED_VALUE"""),TRUE)</f>
        <v>1</v>
      </c>
    </row>
    <row r="645" hidden="1">
      <c r="A645" s="76" t="str">
        <f>IFERROR(__xludf.DUMMYFUNCTION("""COMPUTED_VALUE"""),"Counter Intelligence")</f>
        <v>Counter Intelligence</v>
      </c>
      <c r="B645" s="76" t="str">
        <f>IFERROR(__xludf.DUMMYFUNCTION("""COMPUTED_VALUE"""),"The Ruinous Powers")</f>
        <v>The Ruinous Powers</v>
      </c>
      <c r="C645" s="77">
        <f>IFERROR(__xludf.DUMMYFUNCTION("""COMPUTED_VALUE"""),0.0)</f>
        <v>0</v>
      </c>
      <c r="D645" s="77">
        <f>IFERROR(__xludf.DUMMYFUNCTION("""COMPUTED_VALUE"""),0.0)</f>
        <v>0</v>
      </c>
      <c r="E645" s="46" t="b">
        <f>IFERROR(__xludf.DUMMYFUNCTION("""COMPUTED_VALUE"""),TRUE)</f>
        <v>1</v>
      </c>
    </row>
    <row r="646" hidden="1">
      <c r="A646" s="76" t="str">
        <f>IFERROR(__xludf.DUMMYFUNCTION("""COMPUTED_VALUE"""),"Counter Intelligence")</f>
        <v>Counter Intelligence</v>
      </c>
      <c r="B646" s="76" t="str">
        <f>IFERROR(__xludf.DUMMYFUNCTION("""COMPUTED_VALUE"""),"Timey-Wimey")</f>
        <v>Timey-Wimey</v>
      </c>
      <c r="C646" s="77">
        <f>IFERROR(__xludf.DUMMYFUNCTION("""COMPUTED_VALUE"""),0.0)</f>
        <v>0</v>
      </c>
      <c r="D646" s="77">
        <f>IFERROR(__xludf.DUMMYFUNCTION("""COMPUTED_VALUE"""),0.0)</f>
        <v>0</v>
      </c>
      <c r="E646" s="46" t="b">
        <f>IFERROR(__xludf.DUMMYFUNCTION("""COMPUTED_VALUE"""),TRUE)</f>
        <v>1</v>
      </c>
    </row>
    <row r="647" hidden="1">
      <c r="A647" s="76" t="str">
        <f>IFERROR(__xludf.DUMMYFUNCTION("""COMPUTED_VALUE"""),"Counter Intelligence")</f>
        <v>Counter Intelligence</v>
      </c>
      <c r="B647" s="76" t="str">
        <f>IFERROR(__xludf.DUMMYFUNCTION("""COMPUTED_VALUE"""),"Tinker Time")</f>
        <v>Tinker Time</v>
      </c>
      <c r="C647" s="77">
        <f>IFERROR(__xludf.DUMMYFUNCTION("""COMPUTED_VALUE"""),0.0)</f>
        <v>0</v>
      </c>
      <c r="D647" s="77">
        <f>IFERROR(__xludf.DUMMYFUNCTION("""COMPUTED_VALUE"""),0.0)</f>
        <v>0</v>
      </c>
      <c r="E647" s="46" t="b">
        <f>IFERROR(__xludf.DUMMYFUNCTION("""COMPUTED_VALUE"""),TRUE)</f>
        <v>1</v>
      </c>
    </row>
    <row r="648" hidden="1">
      <c r="A648" s="76" t="str">
        <f>IFERROR(__xludf.DUMMYFUNCTION("""COMPUTED_VALUE"""),"Counter Intelligence")</f>
        <v>Counter Intelligence</v>
      </c>
      <c r="B648" s="76" t="str">
        <f>IFERROR(__xludf.DUMMYFUNCTION("""COMPUTED_VALUE"""),"Turtle Power!")</f>
        <v>Turtle Power!</v>
      </c>
      <c r="C648" s="77">
        <f>IFERROR(__xludf.DUMMYFUNCTION("""COMPUTED_VALUE"""),0.0)</f>
        <v>0</v>
      </c>
      <c r="D648" s="77">
        <f>IFERROR(__xludf.DUMMYFUNCTION("""COMPUTED_VALUE"""),0.0)</f>
        <v>0</v>
      </c>
      <c r="E648" s="46" t="b">
        <f>IFERROR(__xludf.DUMMYFUNCTION("""COMPUTED_VALUE"""),TRUE)</f>
        <v>1</v>
      </c>
    </row>
    <row r="649">
      <c r="A649" s="76" t="str">
        <f>IFERROR(__xludf.DUMMYFUNCTION("""COMPUTED_VALUE"""),"Counter Intelligence")</f>
        <v>Counter Intelligence</v>
      </c>
      <c r="B649" s="76" t="str">
        <f>IFERROR(__xludf.DUMMYFUNCTION("""COMPUTED_VALUE"""),"Veloci-ramp-tor")</f>
        <v>Veloci-ramp-tor</v>
      </c>
      <c r="C649" s="77">
        <f>IFERROR(__xludf.DUMMYFUNCTION("""COMPUTED_VALUE"""),0.0)</f>
        <v>0</v>
      </c>
      <c r="D649" s="77">
        <f>IFERROR(__xludf.DUMMYFUNCTION("""COMPUTED_VALUE"""),0.0)</f>
        <v>0</v>
      </c>
      <c r="E649" s="46" t="b">
        <f>IFERROR(__xludf.DUMMYFUNCTION("""COMPUTED_VALUE"""),TRUE)</f>
        <v>1</v>
      </c>
    </row>
    <row r="650" hidden="1">
      <c r="A650" s="76" t="str">
        <f>IFERROR(__xludf.DUMMYFUNCTION("""COMPUTED_VALUE"""),"Creative Energy")</f>
        <v>Creative Energy</v>
      </c>
      <c r="B650" s="76" t="str">
        <f>IFERROR(__xludf.DUMMYFUNCTION("""COMPUTED_VALUE"""),"Ahoy Mateys")</f>
        <v>Ahoy Mateys</v>
      </c>
      <c r="C650" s="77">
        <f>IFERROR(__xludf.DUMMYFUNCTION("""COMPUTED_VALUE"""),0.0)</f>
        <v>0</v>
      </c>
      <c r="D650" s="77">
        <f>IFERROR(__xludf.DUMMYFUNCTION("""COMPUTED_VALUE"""),0.0)</f>
        <v>0</v>
      </c>
      <c r="E650" s="46" t="b">
        <f>IFERROR(__xludf.DUMMYFUNCTION("""COMPUTED_VALUE"""),TRUE)</f>
        <v>1</v>
      </c>
    </row>
    <row r="651" hidden="1">
      <c r="A651" s="78" t="str">
        <f>IFERROR(__xludf.DUMMYFUNCTION("""COMPUTED_VALUE"""),"Creative Energy")</f>
        <v>Creative Energy</v>
      </c>
      <c r="B651" s="78" t="str">
        <f>IFERROR(__xludf.DUMMYFUNCTION("""COMPUTED_VALUE"""),"Animated Army")</f>
        <v>Animated Army</v>
      </c>
      <c r="C651" s="79">
        <f>IFERROR(__xludf.DUMMYFUNCTION("""COMPUTED_VALUE"""),0.0)</f>
        <v>0</v>
      </c>
      <c r="D651" s="79">
        <f>IFERROR(__xludf.DUMMYFUNCTION("""COMPUTED_VALUE"""),0.0)</f>
        <v>0</v>
      </c>
      <c r="E651" s="69" t="b">
        <f>IFERROR(__xludf.DUMMYFUNCTION("""COMPUTED_VALUE"""),TRUE)</f>
        <v>1</v>
      </c>
    </row>
    <row r="652" hidden="1">
      <c r="A652" s="76" t="str">
        <f>IFERROR(__xludf.DUMMYFUNCTION("""COMPUTED_VALUE"""),"Creative Energy")</f>
        <v>Creative Energy</v>
      </c>
      <c r="B652" s="76" t="str">
        <f>IFERROR(__xludf.DUMMYFUNCTION("""COMPUTED_VALUE"""),"Arcane Maelstrom")</f>
        <v>Arcane Maelstrom</v>
      </c>
      <c r="C652" s="77">
        <f>IFERROR(__xludf.DUMMYFUNCTION("""COMPUTED_VALUE"""),0.0)</f>
        <v>0</v>
      </c>
      <c r="D652" s="77">
        <f>IFERROR(__xludf.DUMMYFUNCTION("""COMPUTED_VALUE"""),0.0)</f>
        <v>0</v>
      </c>
      <c r="E652" s="46" t="b">
        <f>IFERROR(__xludf.DUMMYFUNCTION("""COMPUTED_VALUE"""),TRUE)</f>
        <v>1</v>
      </c>
    </row>
    <row r="653" hidden="1">
      <c r="A653" s="76" t="str">
        <f>IFERROR(__xludf.DUMMYFUNCTION("""COMPUTED_VALUE"""),"Creative Energy")</f>
        <v>Creative Energy</v>
      </c>
      <c r="B653" s="76" t="str">
        <f>IFERROR(__xludf.DUMMYFUNCTION("""COMPUTED_VALUE"""),"Blame Game")</f>
        <v>Blame Game</v>
      </c>
      <c r="C653" s="77">
        <f>IFERROR(__xludf.DUMMYFUNCTION("""COMPUTED_VALUE"""),0.0)</f>
        <v>0</v>
      </c>
      <c r="D653" s="77">
        <f>IFERROR(__xludf.DUMMYFUNCTION("""COMPUTED_VALUE"""),0.0)</f>
        <v>0</v>
      </c>
      <c r="E653" s="46" t="b">
        <f>IFERROR(__xludf.DUMMYFUNCTION("""COMPUTED_VALUE"""),TRUE)</f>
        <v>1</v>
      </c>
    </row>
    <row r="654" hidden="1">
      <c r="A654" s="76" t="str">
        <f>IFERROR(__xludf.DUMMYFUNCTION("""COMPUTED_VALUE"""),"Creative Energy")</f>
        <v>Creative Energy</v>
      </c>
      <c r="B654" s="76" t="str">
        <f>IFERROR(__xludf.DUMMYFUNCTION("""COMPUTED_VALUE"""),"Blight Curse")</f>
        <v>Blight Curse</v>
      </c>
      <c r="C654" s="77">
        <f>IFERROR(__xludf.DUMMYFUNCTION("""COMPUTED_VALUE"""),0.0)</f>
        <v>0</v>
      </c>
      <c r="D654" s="77">
        <f>IFERROR(__xludf.DUMMYFUNCTION("""COMPUTED_VALUE"""),0.0)</f>
        <v>0</v>
      </c>
      <c r="E654" s="46" t="b">
        <f>IFERROR(__xludf.DUMMYFUNCTION("""COMPUTED_VALUE"""),TRUE)</f>
        <v>1</v>
      </c>
    </row>
    <row r="655" hidden="1">
      <c r="A655" s="76" t="str">
        <f>IFERROR(__xludf.DUMMYFUNCTION("""COMPUTED_VALUE"""),"Creative Energy")</f>
        <v>Creative Energy</v>
      </c>
      <c r="B655" s="76" t="str">
        <f>IFERROR(__xludf.DUMMYFUNCTION("""COMPUTED_VALUE"""),"Blood Rites")</f>
        <v>Blood Rites</v>
      </c>
      <c r="C655" s="77">
        <f>IFERROR(__xludf.DUMMYFUNCTION("""COMPUTED_VALUE"""),0.0)</f>
        <v>0</v>
      </c>
      <c r="D655" s="77">
        <f>IFERROR(__xludf.DUMMYFUNCTION("""COMPUTED_VALUE"""),0.0)</f>
        <v>0</v>
      </c>
      <c r="E655" s="46" t="b">
        <f>IFERROR(__xludf.DUMMYFUNCTION("""COMPUTED_VALUE"""),TRUE)</f>
        <v>1</v>
      </c>
    </row>
    <row r="656" hidden="1">
      <c r="A656" s="76" t="str">
        <f>IFERROR(__xludf.DUMMYFUNCTION("""COMPUTED_VALUE"""),"Creative Energy")</f>
        <v>Creative Energy</v>
      </c>
      <c r="B656" s="76" t="str">
        <f>IFERROR(__xludf.DUMMYFUNCTION("""COMPUTED_VALUE"""),"Buckle Up")</f>
        <v>Buckle Up</v>
      </c>
      <c r="C656" s="77">
        <f>IFERROR(__xludf.DUMMYFUNCTION("""COMPUTED_VALUE"""),0.0)</f>
        <v>0</v>
      </c>
      <c r="D656" s="77">
        <f>IFERROR(__xludf.DUMMYFUNCTION("""COMPUTED_VALUE"""),0.0)</f>
        <v>0</v>
      </c>
      <c r="E656" s="46" t="b">
        <f>IFERROR(__xludf.DUMMYFUNCTION("""COMPUTED_VALUE"""),TRUE)</f>
        <v>1</v>
      </c>
    </row>
    <row r="657" hidden="1">
      <c r="A657" s="76" t="str">
        <f>IFERROR(__xludf.DUMMYFUNCTION("""COMPUTED_VALUE"""),"Creative Energy")</f>
        <v>Creative Energy</v>
      </c>
      <c r="B657" s="76" t="str">
        <f>IFERROR(__xludf.DUMMYFUNCTION("""COMPUTED_VALUE"""),"Cabaretti Cacophony")</f>
        <v>Cabaretti Cacophony</v>
      </c>
      <c r="C657" s="77">
        <f>IFERROR(__xludf.DUMMYFUNCTION("""COMPUTED_VALUE"""),0.0)</f>
        <v>0</v>
      </c>
      <c r="D657" s="77">
        <f>IFERROR(__xludf.DUMMYFUNCTION("""COMPUTED_VALUE"""),0.0)</f>
        <v>0</v>
      </c>
      <c r="E657" s="46" t="b">
        <f>IFERROR(__xludf.DUMMYFUNCTION("""COMPUTED_VALUE"""),TRUE)</f>
        <v>1</v>
      </c>
    </row>
    <row r="658" hidden="1">
      <c r="A658" s="76" t="str">
        <f>IFERROR(__xludf.DUMMYFUNCTION("""COMPUTED_VALUE"""),"Creative Energy")</f>
        <v>Creative Energy</v>
      </c>
      <c r="B658" s="76" t="str">
        <f>IFERROR(__xludf.DUMMYFUNCTION("""COMPUTED_VALUE"""),"Cavalry Charge")</f>
        <v>Cavalry Charge</v>
      </c>
      <c r="C658" s="77">
        <f>IFERROR(__xludf.DUMMYFUNCTION("""COMPUTED_VALUE"""),0.0)</f>
        <v>0</v>
      </c>
      <c r="D658" s="77">
        <f>IFERROR(__xludf.DUMMYFUNCTION("""COMPUTED_VALUE"""),0.0)</f>
        <v>0</v>
      </c>
      <c r="E658" s="46" t="b">
        <f>IFERROR(__xludf.DUMMYFUNCTION("""COMPUTED_VALUE"""),TRUE)</f>
        <v>1</v>
      </c>
    </row>
    <row r="659" hidden="1">
      <c r="A659" s="76" t="str">
        <f>IFERROR(__xludf.DUMMYFUNCTION("""COMPUTED_VALUE"""),"Creative Energy")</f>
        <v>Creative Energy</v>
      </c>
      <c r="B659" s="76" t="str">
        <f>IFERROR(__xludf.DUMMYFUNCTION("""COMPUTED_VALUE"""),"Corrupting Influence")</f>
        <v>Corrupting Influence</v>
      </c>
      <c r="C659" s="77">
        <f>IFERROR(__xludf.DUMMYFUNCTION("""COMPUTED_VALUE"""),0.0)</f>
        <v>0</v>
      </c>
      <c r="D659" s="77">
        <f>IFERROR(__xludf.DUMMYFUNCTION("""COMPUTED_VALUE"""),0.0)</f>
        <v>0</v>
      </c>
      <c r="E659" s="46" t="b">
        <f>IFERROR(__xludf.DUMMYFUNCTION("""COMPUTED_VALUE"""),TRUE)</f>
        <v>1</v>
      </c>
    </row>
    <row r="660" hidden="1">
      <c r="A660" s="76" t="str">
        <f>IFERROR(__xludf.DUMMYFUNCTION("""COMPUTED_VALUE"""),"Creative Energy")</f>
        <v>Creative Energy</v>
      </c>
      <c r="B660" s="76" t="str">
        <f>IFERROR(__xludf.DUMMYFUNCTION("""COMPUTED_VALUE"""),"Counter Blitz")</f>
        <v>Counter Blitz</v>
      </c>
      <c r="C660" s="77">
        <f>IFERROR(__xludf.DUMMYFUNCTION("""COMPUTED_VALUE"""),0.0)</f>
        <v>0</v>
      </c>
      <c r="D660" s="77">
        <f>IFERROR(__xludf.DUMMYFUNCTION("""COMPUTED_VALUE"""),0.0)</f>
        <v>0</v>
      </c>
      <c r="E660" s="46" t="b">
        <f>IFERROR(__xludf.DUMMYFUNCTION("""COMPUTED_VALUE"""),TRUE)</f>
        <v>1</v>
      </c>
    </row>
    <row r="661" hidden="1">
      <c r="A661" s="76" t="str">
        <f>IFERROR(__xludf.DUMMYFUNCTION("""COMPUTED_VALUE"""),"Creative Energy")</f>
        <v>Creative Energy</v>
      </c>
      <c r="B661" s="76" t="str">
        <f>IFERROR(__xludf.DUMMYFUNCTION("""COMPUTED_VALUE"""),"Counter Intelligence")</f>
        <v>Counter Intelligence</v>
      </c>
      <c r="C661" s="77">
        <f>IFERROR(__xludf.DUMMYFUNCTION("""COMPUTED_VALUE"""),0.0)</f>
        <v>0</v>
      </c>
      <c r="D661" s="77">
        <f>IFERROR(__xludf.DUMMYFUNCTION("""COMPUTED_VALUE"""),0.0)</f>
        <v>0</v>
      </c>
      <c r="E661" s="46" t="b">
        <f>IFERROR(__xludf.DUMMYFUNCTION("""COMPUTED_VALUE"""),TRUE)</f>
        <v>1</v>
      </c>
    </row>
    <row r="662" hidden="1">
      <c r="A662" s="76" t="str">
        <f>IFERROR(__xludf.DUMMYFUNCTION("""COMPUTED_VALUE"""),"Creative Energy")</f>
        <v>Creative Energy</v>
      </c>
      <c r="B662" s="76" t="str">
        <f>IFERROR(__xludf.DUMMYFUNCTION("""COMPUTED_VALUE"""),"Creative Energy")</f>
        <v>Creative Energy</v>
      </c>
      <c r="C662" s="77">
        <f>IFERROR(__xludf.DUMMYFUNCTION("""COMPUTED_VALUE"""),4.0)</f>
        <v>4</v>
      </c>
      <c r="D662" s="77">
        <f>IFERROR(__xludf.DUMMYFUNCTION("""COMPUTED_VALUE"""),4.0)</f>
        <v>4</v>
      </c>
      <c r="E662" s="46" t="b">
        <f>IFERROR(__xludf.DUMMYFUNCTION("""COMPUTED_VALUE"""),TRUE)</f>
        <v>1</v>
      </c>
    </row>
    <row r="663" hidden="1">
      <c r="A663" s="76" t="str">
        <f>IFERROR(__xludf.DUMMYFUNCTION("""COMPUTED_VALUE"""),"Creative Energy")</f>
        <v>Creative Energy</v>
      </c>
      <c r="B663" s="76" t="str">
        <f>IFERROR(__xludf.DUMMYFUNCTION("""COMPUTED_VALUE"""),"Dance of the Elements")</f>
        <v>Dance of the Elements</v>
      </c>
      <c r="C663" s="77">
        <f>IFERROR(__xludf.DUMMYFUNCTION("""COMPUTED_VALUE"""),0.0)</f>
        <v>0</v>
      </c>
      <c r="D663" s="77">
        <f>IFERROR(__xludf.DUMMYFUNCTION("""COMPUTED_VALUE"""),1.0)</f>
        <v>1</v>
      </c>
      <c r="E663" s="46" t="b">
        <f>IFERROR(__xludf.DUMMYFUNCTION("""COMPUTED_VALUE"""),FALSE)</f>
        <v>0</v>
      </c>
    </row>
    <row r="664" hidden="1">
      <c r="A664" s="76" t="str">
        <f>IFERROR(__xludf.DUMMYFUNCTION("""COMPUTED_VALUE"""),"Creative Energy")</f>
        <v>Creative Energy</v>
      </c>
      <c r="B664" s="76" t="str">
        <f>IFERROR(__xludf.DUMMYFUNCTION("""COMPUTED_VALUE"""),"Deep Clue Sea")</f>
        <v>Deep Clue Sea</v>
      </c>
      <c r="C664" s="77">
        <f>IFERROR(__xludf.DUMMYFUNCTION("""COMPUTED_VALUE"""),0.0)</f>
        <v>0</v>
      </c>
      <c r="D664" s="77">
        <f>IFERROR(__xludf.DUMMYFUNCTION("""COMPUTED_VALUE"""),0.0)</f>
        <v>0</v>
      </c>
      <c r="E664" s="46" t="b">
        <f>IFERROR(__xludf.DUMMYFUNCTION("""COMPUTED_VALUE"""),TRUE)</f>
        <v>1</v>
      </c>
    </row>
    <row r="665" hidden="1">
      <c r="A665" s="76" t="str">
        <f>IFERROR(__xludf.DUMMYFUNCTION("""COMPUTED_VALUE"""),"Creative Energy")</f>
        <v>Creative Energy</v>
      </c>
      <c r="B665" s="76" t="str">
        <f>IFERROR(__xludf.DUMMYFUNCTION("""COMPUTED_VALUE"""),"Doom Prevails")</f>
        <v>Doom Prevails</v>
      </c>
      <c r="C665" s="77">
        <f>IFERROR(__xludf.DUMMYFUNCTION("""COMPUTED_VALUE"""),0.0)</f>
        <v>0</v>
      </c>
      <c r="D665" s="77">
        <f>IFERROR(__xludf.DUMMYFUNCTION("""COMPUTED_VALUE"""),0.0)</f>
        <v>0</v>
      </c>
      <c r="E665" s="46" t="b">
        <f>IFERROR(__xludf.DUMMYFUNCTION("""COMPUTED_VALUE"""),TRUE)</f>
        <v>1</v>
      </c>
    </row>
    <row r="666">
      <c r="A666" s="76" t="str">
        <f>IFERROR(__xludf.DUMMYFUNCTION("""COMPUTED_VALUE"""),"Creative Energy")</f>
        <v>Creative Energy</v>
      </c>
      <c r="B666" s="76" t="str">
        <f>IFERROR(__xludf.DUMMYFUNCTION("""COMPUTED_VALUE"""),"Eldrazi Incursion")</f>
        <v>Eldrazi Incursion</v>
      </c>
      <c r="C666" s="77">
        <f>IFERROR(__xludf.DUMMYFUNCTION("""COMPUTED_VALUE"""),1.0)</f>
        <v>1</v>
      </c>
      <c r="D666" s="77">
        <f>IFERROR(__xludf.DUMMYFUNCTION("""COMPUTED_VALUE"""),0.0)</f>
        <v>0</v>
      </c>
      <c r="E666" s="46" t="b">
        <f>IFERROR(__xludf.DUMMYFUNCTION("""COMPUTED_VALUE"""),FALSE)</f>
        <v>0</v>
      </c>
    </row>
    <row r="667">
      <c r="A667" s="76" t="str">
        <f>IFERROR(__xludf.DUMMYFUNCTION("""COMPUTED_VALUE"""),"Creative Energy")</f>
        <v>Creative Energy</v>
      </c>
      <c r="B667" s="76" t="str">
        <f>IFERROR(__xludf.DUMMYFUNCTION("""COMPUTED_VALUE"""),"Eldrazi Unbound")</f>
        <v>Eldrazi Unbound</v>
      </c>
      <c r="C667" s="77">
        <f>IFERROR(__xludf.DUMMYFUNCTION("""COMPUTED_VALUE"""),0.0)</f>
        <v>0</v>
      </c>
      <c r="D667" s="77">
        <f>IFERROR(__xludf.DUMMYFUNCTION("""COMPUTED_VALUE"""),0.0)</f>
        <v>0</v>
      </c>
      <c r="E667" s="46" t="b">
        <f>IFERROR(__xludf.DUMMYFUNCTION("""COMPUTED_VALUE"""),TRUE)</f>
        <v>1</v>
      </c>
    </row>
    <row r="668" hidden="1">
      <c r="A668" s="76" t="str">
        <f>IFERROR(__xludf.DUMMYFUNCTION("""COMPUTED_VALUE"""),"Creative Energy")</f>
        <v>Creative Energy</v>
      </c>
      <c r="B668" s="76" t="str">
        <f>IFERROR(__xludf.DUMMYFUNCTION("""COMPUTED_VALUE"""),"Endless Punishment")</f>
        <v>Endless Punishment</v>
      </c>
      <c r="C668" s="77">
        <f>IFERROR(__xludf.DUMMYFUNCTION("""COMPUTED_VALUE"""),0.0)</f>
        <v>0</v>
      </c>
      <c r="D668" s="77">
        <f>IFERROR(__xludf.DUMMYFUNCTION("""COMPUTED_VALUE"""),2.0)</f>
        <v>2</v>
      </c>
      <c r="E668" s="46" t="b">
        <f>IFERROR(__xludf.DUMMYFUNCTION("""COMPUTED_VALUE"""),FALSE)</f>
        <v>0</v>
      </c>
    </row>
    <row r="669" hidden="1">
      <c r="A669" s="76" t="str">
        <f>IFERROR(__xludf.DUMMYFUNCTION("""COMPUTED_VALUE"""),"Creative Energy")</f>
        <v>Creative Energy</v>
      </c>
      <c r="B669" s="76" t="str">
        <f>IFERROR(__xludf.DUMMYFUNCTION("""COMPUTED_VALUE"""),"Enduring Enchantments")</f>
        <v>Enduring Enchantments</v>
      </c>
      <c r="C669" s="77">
        <f>IFERROR(__xludf.DUMMYFUNCTION("""COMPUTED_VALUE"""),0.0)</f>
        <v>0</v>
      </c>
      <c r="D669" s="77">
        <f>IFERROR(__xludf.DUMMYFUNCTION("""COMPUTED_VALUE"""),0.0)</f>
        <v>0</v>
      </c>
      <c r="E669" s="46" t="b">
        <f>IFERROR(__xludf.DUMMYFUNCTION("""COMPUTED_VALUE"""),TRUE)</f>
        <v>1</v>
      </c>
    </row>
    <row r="670" hidden="1">
      <c r="A670" s="76" t="str">
        <f>IFERROR(__xludf.DUMMYFUNCTION("""COMPUTED_VALUE"""),"Creative Energy")</f>
        <v>Creative Energy</v>
      </c>
      <c r="B670" s="76" t="str">
        <f>IFERROR(__xludf.DUMMYFUNCTION("""COMPUTED_VALUE"""),"Explorers of the Deep")</f>
        <v>Explorers of the Deep</v>
      </c>
      <c r="C670" s="77">
        <f>IFERROR(__xludf.DUMMYFUNCTION("""COMPUTED_VALUE"""),0.0)</f>
        <v>0</v>
      </c>
      <c r="D670" s="77">
        <f>IFERROR(__xludf.DUMMYFUNCTION("""COMPUTED_VALUE"""),0.0)</f>
        <v>0</v>
      </c>
      <c r="E670" s="46" t="b">
        <f>IFERROR(__xludf.DUMMYFUNCTION("""COMPUTED_VALUE"""),TRUE)</f>
        <v>1</v>
      </c>
    </row>
    <row r="671">
      <c r="A671" s="76" t="str">
        <f>IFERROR(__xludf.DUMMYFUNCTION("""COMPUTED_VALUE"""),"Creative Energy")</f>
        <v>Creative Energy</v>
      </c>
      <c r="B671" s="76" t="str">
        <f>IFERROR(__xludf.DUMMYFUNCTION("""COMPUTED_VALUE"""),"Family Matters")</f>
        <v>Family Matters</v>
      </c>
      <c r="C671" s="77">
        <f>IFERROR(__xludf.DUMMYFUNCTION("""COMPUTED_VALUE"""),1.0)</f>
        <v>1</v>
      </c>
      <c r="D671" s="77">
        <f>IFERROR(__xludf.DUMMYFUNCTION("""COMPUTED_VALUE"""),1.0)</f>
        <v>1</v>
      </c>
      <c r="E671" s="46" t="b">
        <f>IFERROR(__xludf.DUMMYFUNCTION("""COMPUTED_VALUE"""),FALSE)</f>
        <v>0</v>
      </c>
    </row>
    <row r="672" hidden="1">
      <c r="A672" s="76" t="str">
        <f>IFERROR(__xludf.DUMMYFUNCTION("""COMPUTED_VALUE"""),"Creative Energy")</f>
        <v>Creative Energy</v>
      </c>
      <c r="B672" s="76" t="str">
        <f>IFERROR(__xludf.DUMMYFUNCTION("""COMPUTED_VALUE"""),"Food and Fellowship")</f>
        <v>Food and Fellowship</v>
      </c>
      <c r="C672" s="77">
        <f>IFERROR(__xludf.DUMMYFUNCTION("""COMPUTED_VALUE"""),0.0)</f>
        <v>0</v>
      </c>
      <c r="D672" s="77">
        <f>IFERROR(__xludf.DUMMYFUNCTION("""COMPUTED_VALUE"""),0.0)</f>
        <v>0</v>
      </c>
      <c r="E672" s="46" t="b">
        <f>IFERROR(__xludf.DUMMYFUNCTION("""COMPUTED_VALUE"""),TRUE)</f>
        <v>1</v>
      </c>
    </row>
    <row r="673" hidden="1">
      <c r="A673" s="76" t="str">
        <f>IFERROR(__xludf.DUMMYFUNCTION("""COMPUTED_VALUE"""),"Creative Energy")</f>
        <v>Creative Energy</v>
      </c>
      <c r="B673" s="76" t="str">
        <f>IFERROR(__xludf.DUMMYFUNCTION("""COMPUTED_VALUE"""),"Jeskai Striker")</f>
        <v>Jeskai Striker</v>
      </c>
      <c r="C673" s="77">
        <f>IFERROR(__xludf.DUMMYFUNCTION("""COMPUTED_VALUE"""),1.0)</f>
        <v>1</v>
      </c>
      <c r="D673" s="77">
        <f>IFERROR(__xludf.DUMMYFUNCTION("""COMPUTED_VALUE"""),0.0)</f>
        <v>0</v>
      </c>
      <c r="E673" s="46" t="b">
        <f>IFERROR(__xludf.DUMMYFUNCTION("""COMPUTED_VALUE"""),FALSE)</f>
        <v>0</v>
      </c>
    </row>
    <row r="674" hidden="1">
      <c r="A674" s="76" t="str">
        <f>IFERROR(__xludf.DUMMYFUNCTION("""COMPUTED_VALUE"""),"Creative Energy")</f>
        <v>Creative Energy</v>
      </c>
      <c r="B674" s="76" t="str">
        <f>IFERROR(__xludf.DUMMYFUNCTION("""COMPUTED_VALUE"""),"Legends' Legacy")</f>
        <v>Legends' Legacy</v>
      </c>
      <c r="C674" s="77">
        <f>IFERROR(__xludf.DUMMYFUNCTION("""COMPUTED_VALUE"""),0.0)</f>
        <v>0</v>
      </c>
      <c r="D674" s="77">
        <f>IFERROR(__xludf.DUMMYFUNCTION("""COMPUTED_VALUE"""),0.0)</f>
        <v>0</v>
      </c>
      <c r="E674" s="46" t="b">
        <f>IFERROR(__xludf.DUMMYFUNCTION("""COMPUTED_VALUE"""),TRUE)</f>
        <v>1</v>
      </c>
    </row>
    <row r="675" hidden="1">
      <c r="A675" s="76" t="str">
        <f>IFERROR(__xludf.DUMMYFUNCTION("""COMPUTED_VALUE"""),"Creative Energy")</f>
        <v>Creative Energy</v>
      </c>
      <c r="B675" s="76" t="str">
        <f>IFERROR(__xludf.DUMMYFUNCTION("""COMPUTED_VALUE"""),"Limit Break")</f>
        <v>Limit Break</v>
      </c>
      <c r="C675" s="77">
        <f>IFERROR(__xludf.DUMMYFUNCTION("""COMPUTED_VALUE"""),0.0)</f>
        <v>0</v>
      </c>
      <c r="D675" s="77">
        <f>IFERROR(__xludf.DUMMYFUNCTION("""COMPUTED_VALUE"""),0.0)</f>
        <v>0</v>
      </c>
      <c r="E675" s="46" t="b">
        <f>IFERROR(__xludf.DUMMYFUNCTION("""COMPUTED_VALUE"""),TRUE)</f>
        <v>1</v>
      </c>
    </row>
    <row r="676" hidden="1">
      <c r="A676" s="76" t="str">
        <f>IFERROR(__xludf.DUMMYFUNCTION("""COMPUTED_VALUE"""),"Creative Energy")</f>
        <v>Creative Energy</v>
      </c>
      <c r="B676" s="76" t="str">
        <f>IFERROR(__xludf.DUMMYFUNCTION("""COMPUTED_VALUE"""),"Lorehold Spirit")</f>
        <v>Lorehold Spirit</v>
      </c>
      <c r="C676" s="77">
        <f>IFERROR(__xludf.DUMMYFUNCTION("""COMPUTED_VALUE"""),0.0)</f>
        <v>0</v>
      </c>
      <c r="D676" s="77">
        <f>IFERROR(__xludf.DUMMYFUNCTION("""COMPUTED_VALUE"""),5.0)</f>
        <v>5</v>
      </c>
      <c r="E676" s="46" t="b">
        <f>IFERROR(__xludf.DUMMYFUNCTION("""COMPUTED_VALUE"""),FALSE)</f>
        <v>0</v>
      </c>
    </row>
    <row r="677" hidden="1">
      <c r="A677" s="76" t="str">
        <f>IFERROR(__xludf.DUMMYFUNCTION("""COMPUTED_VALUE"""),"Creative Energy")</f>
        <v>Creative Energy</v>
      </c>
      <c r="B677" s="76" t="str">
        <f>IFERROR(__xludf.DUMMYFUNCTION("""COMPUTED_VALUE"""),"Mutant Menace")</f>
        <v>Mutant Menace</v>
      </c>
      <c r="C677" s="77">
        <f>IFERROR(__xludf.DUMMYFUNCTION("""COMPUTED_VALUE"""),0.0)</f>
        <v>0</v>
      </c>
      <c r="D677" s="77">
        <f>IFERROR(__xludf.DUMMYFUNCTION("""COMPUTED_VALUE"""),0.0)</f>
        <v>0</v>
      </c>
      <c r="E677" s="46" t="b">
        <f>IFERROR(__xludf.DUMMYFUNCTION("""COMPUTED_VALUE"""),TRUE)</f>
        <v>1</v>
      </c>
    </row>
    <row r="678" hidden="1">
      <c r="A678" s="76" t="str">
        <f>IFERROR(__xludf.DUMMYFUNCTION("""COMPUTED_VALUE"""),"Creative Energy")</f>
        <v>Creative Energy</v>
      </c>
      <c r="B678" s="76" t="str">
        <f>IFERROR(__xludf.DUMMYFUNCTION("""COMPUTED_VALUE"""),"Party Time")</f>
        <v>Party Time</v>
      </c>
      <c r="C678" s="77">
        <f>IFERROR(__xludf.DUMMYFUNCTION("""COMPUTED_VALUE"""),0.0)</f>
        <v>0</v>
      </c>
      <c r="D678" s="77">
        <f>IFERROR(__xludf.DUMMYFUNCTION("""COMPUTED_VALUE"""),1.0)</f>
        <v>1</v>
      </c>
      <c r="E678" s="46" t="b">
        <f>IFERROR(__xludf.DUMMYFUNCTION("""COMPUTED_VALUE"""),FALSE)</f>
        <v>0</v>
      </c>
    </row>
    <row r="679" hidden="1">
      <c r="A679" s="76" t="str">
        <f>IFERROR(__xludf.DUMMYFUNCTION("""COMPUTED_VALUE"""),"Creative Energy")</f>
        <v>Creative Energy</v>
      </c>
      <c r="B679" s="76" t="str">
        <f>IFERROR(__xludf.DUMMYFUNCTION("""COMPUTED_VALUE"""),"Peace Offering")</f>
        <v>Peace Offering</v>
      </c>
      <c r="C679" s="77">
        <f>IFERROR(__xludf.DUMMYFUNCTION("""COMPUTED_VALUE"""),0.0)</f>
        <v>0</v>
      </c>
      <c r="D679" s="77">
        <f>IFERROR(__xludf.DUMMYFUNCTION("""COMPUTED_VALUE"""),0.0)</f>
        <v>0</v>
      </c>
      <c r="E679" s="46" t="b">
        <f>IFERROR(__xludf.DUMMYFUNCTION("""COMPUTED_VALUE"""),TRUE)</f>
        <v>1</v>
      </c>
    </row>
    <row r="680" hidden="1">
      <c r="A680" s="76" t="str">
        <f>IFERROR(__xludf.DUMMYFUNCTION("""COMPUTED_VALUE"""),"Creative Energy")</f>
        <v>Creative Energy</v>
      </c>
      <c r="B680" s="76" t="str">
        <f>IFERROR(__xludf.DUMMYFUNCTION("""COMPUTED_VALUE"""),"Power Hungry")</f>
        <v>Power Hungry</v>
      </c>
      <c r="C680" s="77">
        <f>IFERROR(__xludf.DUMMYFUNCTION("""COMPUTED_VALUE"""),0.0)</f>
        <v>0</v>
      </c>
      <c r="D680" s="77">
        <f>IFERROR(__xludf.DUMMYFUNCTION("""COMPUTED_VALUE"""),0.0)</f>
        <v>0</v>
      </c>
      <c r="E680" s="46" t="b">
        <f>IFERROR(__xludf.DUMMYFUNCTION("""COMPUTED_VALUE"""),TRUE)</f>
        <v>1</v>
      </c>
    </row>
    <row r="681">
      <c r="A681" s="76" t="str">
        <f>IFERROR(__xludf.DUMMYFUNCTION("""COMPUTED_VALUE"""),"Creative Energy")</f>
        <v>Creative Energy</v>
      </c>
      <c r="B681" s="76" t="str">
        <f>IFERROR(__xludf.DUMMYFUNCTION("""COMPUTED_VALUE"""),"Primal Genesis")</f>
        <v>Primal Genesis</v>
      </c>
      <c r="C681" s="77">
        <f>IFERROR(__xludf.DUMMYFUNCTION("""COMPUTED_VALUE"""),0.0)</f>
        <v>0</v>
      </c>
      <c r="D681" s="77">
        <f>IFERROR(__xludf.DUMMYFUNCTION("""COMPUTED_VALUE"""),0.0)</f>
        <v>0</v>
      </c>
      <c r="E681" s="46" t="b">
        <f>IFERROR(__xludf.DUMMYFUNCTION("""COMPUTED_VALUE"""),TRUE)</f>
        <v>1</v>
      </c>
    </row>
    <row r="682" hidden="1">
      <c r="A682" s="76" t="str">
        <f>IFERROR(__xludf.DUMMYFUNCTION("""COMPUTED_VALUE"""),"Creative Energy")</f>
        <v>Creative Energy</v>
      </c>
      <c r="B682" s="76" t="str">
        <f>IFERROR(__xludf.DUMMYFUNCTION("""COMPUTED_VALUE"""),"Prismari Artistry")</f>
        <v>Prismari Artistry</v>
      </c>
      <c r="C682" s="77">
        <f>IFERROR(__xludf.DUMMYFUNCTION("""COMPUTED_VALUE"""),0.0)</f>
        <v>0</v>
      </c>
      <c r="D682" s="77">
        <f>IFERROR(__xludf.DUMMYFUNCTION("""COMPUTED_VALUE"""),0.0)</f>
        <v>0</v>
      </c>
      <c r="E682" s="46" t="b">
        <f>IFERROR(__xludf.DUMMYFUNCTION("""COMPUTED_VALUE"""),TRUE)</f>
        <v>1</v>
      </c>
    </row>
    <row r="683" hidden="1">
      <c r="A683" s="76" t="str">
        <f>IFERROR(__xludf.DUMMYFUNCTION("""COMPUTED_VALUE"""),"Creative Energy")</f>
        <v>Creative Energy</v>
      </c>
      <c r="B683" s="76" t="str">
        <f>IFERROR(__xludf.DUMMYFUNCTION("""COMPUTED_VALUE"""),"Prismari Performance")</f>
        <v>Prismari Performance</v>
      </c>
      <c r="C683" s="77">
        <f>IFERROR(__xludf.DUMMYFUNCTION("""COMPUTED_VALUE"""),0.0)</f>
        <v>0</v>
      </c>
      <c r="D683" s="77">
        <f>IFERROR(__xludf.DUMMYFUNCTION("""COMPUTED_VALUE"""),0.0)</f>
        <v>0</v>
      </c>
      <c r="E683" s="46" t="b">
        <f>IFERROR(__xludf.DUMMYFUNCTION("""COMPUTED_VALUE"""),TRUE)</f>
        <v>1</v>
      </c>
    </row>
    <row r="684" hidden="1">
      <c r="A684" s="76" t="str">
        <f>IFERROR(__xludf.DUMMYFUNCTION("""COMPUTED_VALUE"""),"Creative Energy")</f>
        <v>Creative Energy</v>
      </c>
      <c r="B684" s="76" t="str">
        <f>IFERROR(__xludf.DUMMYFUNCTION("""COMPUTED_VALUE"""),"Quandrix Unlimited")</f>
        <v>Quandrix Unlimited</v>
      </c>
      <c r="C684" s="77">
        <f>IFERROR(__xludf.DUMMYFUNCTION("""COMPUTED_VALUE"""),2.0)</f>
        <v>2</v>
      </c>
      <c r="D684" s="77">
        <f>IFERROR(__xludf.DUMMYFUNCTION("""COMPUTED_VALUE"""),3.0)</f>
        <v>3</v>
      </c>
      <c r="E684" s="46" t="b">
        <f>IFERROR(__xludf.DUMMYFUNCTION("""COMPUTED_VALUE"""),FALSE)</f>
        <v>0</v>
      </c>
    </row>
    <row r="685" hidden="1">
      <c r="A685" s="76" t="str">
        <f>IFERROR(__xludf.DUMMYFUNCTION("""COMPUTED_VALUE"""),"Creative Energy")</f>
        <v>Creative Energy</v>
      </c>
      <c r="B685" s="76" t="str">
        <f>IFERROR(__xludf.DUMMYFUNCTION("""COMPUTED_VALUE"""),"Quick Draw")</f>
        <v>Quick Draw</v>
      </c>
      <c r="C685" s="77">
        <f>IFERROR(__xludf.DUMMYFUNCTION("""COMPUTED_VALUE"""),0.0)</f>
        <v>0</v>
      </c>
      <c r="D685" s="77">
        <f>IFERROR(__xludf.DUMMYFUNCTION("""COMPUTED_VALUE"""),0.0)</f>
        <v>0</v>
      </c>
      <c r="E685" s="46" t="b">
        <f>IFERROR(__xludf.DUMMYFUNCTION("""COMPUTED_VALUE"""),TRUE)</f>
        <v>1</v>
      </c>
    </row>
    <row r="686" hidden="1">
      <c r="A686" s="76" t="str">
        <f>IFERROR(__xludf.DUMMYFUNCTION("""COMPUTED_VALUE"""),"Creative Energy")</f>
        <v>Creative Energy</v>
      </c>
      <c r="B686" s="76" t="str">
        <f>IFERROR(__xludf.DUMMYFUNCTION("""COMPUTED_VALUE"""),"Reap the Tides")</f>
        <v>Reap the Tides</v>
      </c>
      <c r="C686" s="77">
        <f>IFERROR(__xludf.DUMMYFUNCTION("""COMPUTED_VALUE"""),0.0)</f>
        <v>0</v>
      </c>
      <c r="D686" s="77">
        <f>IFERROR(__xludf.DUMMYFUNCTION("""COMPUTED_VALUE"""),1.0)</f>
        <v>1</v>
      </c>
      <c r="E686" s="46" t="b">
        <f>IFERROR(__xludf.DUMMYFUNCTION("""COMPUTED_VALUE"""),FALSE)</f>
        <v>0</v>
      </c>
    </row>
    <row r="687" hidden="1">
      <c r="A687" s="76" t="str">
        <f>IFERROR(__xludf.DUMMYFUNCTION("""COMPUTED_VALUE"""),"Creative Energy")</f>
        <v>Creative Energy</v>
      </c>
      <c r="B687" s="76" t="str">
        <f>IFERROR(__xludf.DUMMYFUNCTION("""COMPUTED_VALUE"""),"Rebellion Rising")</f>
        <v>Rebellion Rising</v>
      </c>
      <c r="C687" s="77">
        <f>IFERROR(__xludf.DUMMYFUNCTION("""COMPUTED_VALUE"""),0.0)</f>
        <v>0</v>
      </c>
      <c r="D687" s="77">
        <f>IFERROR(__xludf.DUMMYFUNCTION("""COMPUTED_VALUE"""),0.0)</f>
        <v>0</v>
      </c>
      <c r="E687" s="46" t="b">
        <f>IFERROR(__xludf.DUMMYFUNCTION("""COMPUTED_VALUE"""),TRUE)</f>
        <v>1</v>
      </c>
    </row>
    <row r="688" hidden="1">
      <c r="A688" s="76" t="str">
        <f>IFERROR(__xludf.DUMMYFUNCTION("""COMPUTED_VALUE"""),"Creative Energy")</f>
        <v>Creative Energy</v>
      </c>
      <c r="B688" s="76" t="str">
        <f>IFERROR(__xludf.DUMMYFUNCTION("""COMPUTED_VALUE"""),"Revival Trance")</f>
        <v>Revival Trance</v>
      </c>
      <c r="C688" s="77">
        <f>IFERROR(__xludf.DUMMYFUNCTION("""COMPUTED_VALUE"""),0.0)</f>
        <v>0</v>
      </c>
      <c r="D688" s="77">
        <f>IFERROR(__xludf.DUMMYFUNCTION("""COMPUTED_VALUE"""),1.0)</f>
        <v>1</v>
      </c>
      <c r="E688" s="46" t="b">
        <f>IFERROR(__xludf.DUMMYFUNCTION("""COMPUTED_VALUE"""),FALSE)</f>
        <v>0</v>
      </c>
    </row>
    <row r="689" hidden="1">
      <c r="A689" s="76" t="str">
        <f>IFERROR(__xludf.DUMMYFUNCTION("""COMPUTED_VALUE"""),"Creative Energy")</f>
        <v>Creative Energy</v>
      </c>
      <c r="B689" s="76" t="str">
        <f>IFERROR(__xludf.DUMMYFUNCTION("""COMPUTED_VALUE"""),"Riders of Rohan")</f>
        <v>Riders of Rohan</v>
      </c>
      <c r="C689" s="77">
        <f>IFERROR(__xludf.DUMMYFUNCTION("""COMPUTED_VALUE"""),0.0)</f>
        <v>0</v>
      </c>
      <c r="D689" s="77">
        <f>IFERROR(__xludf.DUMMYFUNCTION("""COMPUTED_VALUE"""),0.0)</f>
        <v>0</v>
      </c>
      <c r="E689" s="46" t="b">
        <f>IFERROR(__xludf.DUMMYFUNCTION("""COMPUTED_VALUE"""),TRUE)</f>
        <v>1</v>
      </c>
    </row>
    <row r="690" hidden="1">
      <c r="A690" s="76" t="str">
        <f>IFERROR(__xludf.DUMMYFUNCTION("""COMPUTED_VALUE"""),"Creative Energy")</f>
        <v>Creative Energy</v>
      </c>
      <c r="B690" s="76" t="str">
        <f>IFERROR(__xludf.DUMMYFUNCTION("""COMPUTED_VALUE"""),"Science!")</f>
        <v>Science!</v>
      </c>
      <c r="C690" s="77">
        <f>IFERROR(__xludf.DUMMYFUNCTION("""COMPUTED_VALUE"""),0.0)</f>
        <v>0</v>
      </c>
      <c r="D690" s="77">
        <f>IFERROR(__xludf.DUMMYFUNCTION("""COMPUTED_VALUE"""),0.0)</f>
        <v>0</v>
      </c>
      <c r="E690" s="46" t="b">
        <f>IFERROR(__xludf.DUMMYFUNCTION("""COMPUTED_VALUE"""),TRUE)</f>
        <v>1</v>
      </c>
    </row>
    <row r="691">
      <c r="A691" s="76" t="str">
        <f>IFERROR(__xludf.DUMMYFUNCTION("""COMPUTED_VALUE"""),"Creative Energy")</f>
        <v>Creative Energy</v>
      </c>
      <c r="B691" s="76" t="str">
        <f>IFERROR(__xludf.DUMMYFUNCTION("""COMPUTED_VALUE"""),"Scions &amp; Spellcraft")</f>
        <v>Scions &amp; Spellcraft</v>
      </c>
      <c r="C691" s="77">
        <f>IFERROR(__xludf.DUMMYFUNCTION("""COMPUTED_VALUE"""),1.0)</f>
        <v>1</v>
      </c>
      <c r="D691" s="77">
        <f>IFERROR(__xludf.DUMMYFUNCTION("""COMPUTED_VALUE"""),0.0)</f>
        <v>0</v>
      </c>
      <c r="E691" s="46" t="b">
        <f>IFERROR(__xludf.DUMMYFUNCTION("""COMPUTED_VALUE"""),FALSE)</f>
        <v>0</v>
      </c>
    </row>
    <row r="692" hidden="1">
      <c r="A692" s="76" t="str">
        <f>IFERROR(__xludf.DUMMYFUNCTION("""COMPUTED_VALUE"""),"Creative Energy")</f>
        <v>Creative Energy</v>
      </c>
      <c r="B692" s="76" t="str">
        <f>IFERROR(__xludf.DUMMYFUNCTION("""COMPUTED_VALUE"""),"Scrappy Survivors")</f>
        <v>Scrappy Survivors</v>
      </c>
      <c r="C692" s="77">
        <f>IFERROR(__xludf.DUMMYFUNCTION("""COMPUTED_VALUE"""),0.0)</f>
        <v>0</v>
      </c>
      <c r="D692" s="77">
        <f>IFERROR(__xludf.DUMMYFUNCTION("""COMPUTED_VALUE"""),0.0)</f>
        <v>0</v>
      </c>
      <c r="E692" s="46" t="b">
        <f>IFERROR(__xludf.DUMMYFUNCTION("""COMPUTED_VALUE"""),TRUE)</f>
        <v>1</v>
      </c>
    </row>
    <row r="693" hidden="1">
      <c r="A693" s="76" t="str">
        <f>IFERROR(__xludf.DUMMYFUNCTION("""COMPUTED_VALUE"""),"Creative Energy")</f>
        <v>Creative Energy</v>
      </c>
      <c r="B693" s="76" t="str">
        <f>IFERROR(__xludf.DUMMYFUNCTION("""COMPUTED_VALUE"""),"Silverquill Influence")</f>
        <v>Silverquill Influence</v>
      </c>
      <c r="C693" s="77">
        <f>IFERROR(__xludf.DUMMYFUNCTION("""COMPUTED_VALUE"""),0.0)</f>
        <v>0</v>
      </c>
      <c r="D693" s="77">
        <f>IFERROR(__xludf.DUMMYFUNCTION("""COMPUTED_VALUE"""),0.0)</f>
        <v>0</v>
      </c>
      <c r="E693" s="46" t="b">
        <f>IFERROR(__xludf.DUMMYFUNCTION("""COMPUTED_VALUE"""),TRUE)</f>
        <v>1</v>
      </c>
    </row>
    <row r="694" hidden="1">
      <c r="A694" s="76" t="str">
        <f>IFERROR(__xludf.DUMMYFUNCTION("""COMPUTED_VALUE"""),"Creative Energy")</f>
        <v>Creative Energy</v>
      </c>
      <c r="B694" s="76" t="str">
        <f>IFERROR(__xludf.DUMMYFUNCTION("""COMPUTED_VALUE"""),"Spirit Squadron")</f>
        <v>Spirit Squadron</v>
      </c>
      <c r="C694" s="77">
        <f>IFERROR(__xludf.DUMMYFUNCTION("""COMPUTED_VALUE"""),0.0)</f>
        <v>0</v>
      </c>
      <c r="D694" s="77">
        <f>IFERROR(__xludf.DUMMYFUNCTION("""COMPUTED_VALUE"""),0.0)</f>
        <v>0</v>
      </c>
      <c r="E694" s="46" t="b">
        <f>IFERROR(__xludf.DUMMYFUNCTION("""COMPUTED_VALUE"""),TRUE)</f>
        <v>1</v>
      </c>
    </row>
    <row r="695" hidden="1">
      <c r="A695" s="76" t="str">
        <f>IFERROR(__xludf.DUMMYFUNCTION("""COMPUTED_VALUE"""),"Creative Energy")</f>
        <v>Creative Energy</v>
      </c>
      <c r="B695" s="76" t="str">
        <f>IFERROR(__xludf.DUMMYFUNCTION("""COMPUTED_VALUE"""),"Squirreled Away")</f>
        <v>Squirreled Away</v>
      </c>
      <c r="C695" s="77">
        <f>IFERROR(__xludf.DUMMYFUNCTION("""COMPUTED_VALUE"""),0.0)</f>
        <v>0</v>
      </c>
      <c r="D695" s="77">
        <f>IFERROR(__xludf.DUMMYFUNCTION("""COMPUTED_VALUE"""),0.0)</f>
        <v>0</v>
      </c>
      <c r="E695" s="46" t="b">
        <f>IFERROR(__xludf.DUMMYFUNCTION("""COMPUTED_VALUE"""),TRUE)</f>
        <v>1</v>
      </c>
    </row>
    <row r="696">
      <c r="A696" s="76" t="str">
        <f>IFERROR(__xludf.DUMMYFUNCTION("""COMPUTED_VALUE"""),"Creative Energy")</f>
        <v>Creative Energy</v>
      </c>
      <c r="B696" s="76" t="str">
        <f>IFERROR(__xludf.DUMMYFUNCTION("""COMPUTED_VALUE"""),"Sultai Arisen")</f>
        <v>Sultai Arisen</v>
      </c>
      <c r="C696" s="77">
        <f>IFERROR(__xludf.DUMMYFUNCTION("""COMPUTED_VALUE"""),1.0)</f>
        <v>1</v>
      </c>
      <c r="D696" s="77">
        <f>IFERROR(__xludf.DUMMYFUNCTION("""COMPUTED_VALUE"""),0.0)</f>
        <v>0</v>
      </c>
      <c r="E696" s="46" t="b">
        <f>IFERROR(__xludf.DUMMYFUNCTION("""COMPUTED_VALUE"""),FALSE)</f>
        <v>0</v>
      </c>
    </row>
    <row r="697" hidden="1">
      <c r="A697" s="76" t="str">
        <f>IFERROR(__xludf.DUMMYFUNCTION("""COMPUTED_VALUE"""),"Creative Energy")</f>
        <v>Creative Energy</v>
      </c>
      <c r="B697" s="76" t="str">
        <f>IFERROR(__xludf.DUMMYFUNCTION("""COMPUTED_VALUE"""),"Temur Roar")</f>
        <v>Temur Roar</v>
      </c>
      <c r="C697" s="77">
        <f>IFERROR(__xludf.DUMMYFUNCTION("""COMPUTED_VALUE"""),0.0)</f>
        <v>0</v>
      </c>
      <c r="D697" s="77">
        <f>IFERROR(__xludf.DUMMYFUNCTION("""COMPUTED_VALUE"""),0.0)</f>
        <v>0</v>
      </c>
      <c r="E697" s="46" t="b">
        <f>IFERROR(__xludf.DUMMYFUNCTION("""COMPUTED_VALUE"""),TRUE)</f>
        <v>1</v>
      </c>
    </row>
    <row r="698" hidden="1">
      <c r="A698" s="76" t="str">
        <f>IFERROR(__xludf.DUMMYFUNCTION("""COMPUTED_VALUE"""),"Creative Energy")</f>
        <v>Creative Energy</v>
      </c>
      <c r="B698" s="76" t="str">
        <f>IFERROR(__xludf.DUMMYFUNCTION("""COMPUTED_VALUE"""),"The Hosts of Mordor")</f>
        <v>The Hosts of Mordor</v>
      </c>
      <c r="C698" s="77">
        <f>IFERROR(__xludf.DUMMYFUNCTION("""COMPUTED_VALUE"""),1.0)</f>
        <v>1</v>
      </c>
      <c r="D698" s="77">
        <f>IFERROR(__xludf.DUMMYFUNCTION("""COMPUTED_VALUE"""),0.0)</f>
        <v>0</v>
      </c>
      <c r="E698" s="46" t="b">
        <f>IFERROR(__xludf.DUMMYFUNCTION("""COMPUTED_VALUE"""),FALSE)</f>
        <v>0</v>
      </c>
    </row>
    <row r="699">
      <c r="A699" s="76" t="str">
        <f>IFERROR(__xludf.DUMMYFUNCTION("""COMPUTED_VALUE"""),"Creative Energy")</f>
        <v>Creative Energy</v>
      </c>
      <c r="B699" s="76" t="str">
        <f>IFERROR(__xludf.DUMMYFUNCTION("""COMPUTED_VALUE"""),"The Ruinous Powers")</f>
        <v>The Ruinous Powers</v>
      </c>
      <c r="C699" s="77">
        <f>IFERROR(__xludf.DUMMYFUNCTION("""COMPUTED_VALUE"""),0.0)</f>
        <v>0</v>
      </c>
      <c r="D699" s="77">
        <f>IFERROR(__xludf.DUMMYFUNCTION("""COMPUTED_VALUE"""),0.0)</f>
        <v>0</v>
      </c>
      <c r="E699" s="46" t="b">
        <f>IFERROR(__xludf.DUMMYFUNCTION("""COMPUTED_VALUE"""),TRUE)</f>
        <v>1</v>
      </c>
    </row>
    <row r="700" hidden="1">
      <c r="A700" s="76" t="str">
        <f>IFERROR(__xludf.DUMMYFUNCTION("""COMPUTED_VALUE"""),"Creative Energy")</f>
        <v>Creative Energy</v>
      </c>
      <c r="B700" s="76" t="str">
        <f>IFERROR(__xludf.DUMMYFUNCTION("""COMPUTED_VALUE"""),"Timey-Wimey")</f>
        <v>Timey-Wimey</v>
      </c>
      <c r="C700" s="77">
        <f>IFERROR(__xludf.DUMMYFUNCTION("""COMPUTED_VALUE"""),0.0)</f>
        <v>0</v>
      </c>
      <c r="D700" s="77">
        <f>IFERROR(__xludf.DUMMYFUNCTION("""COMPUTED_VALUE"""),0.0)</f>
        <v>0</v>
      </c>
      <c r="E700" s="46" t="b">
        <f>IFERROR(__xludf.DUMMYFUNCTION("""COMPUTED_VALUE"""),TRUE)</f>
        <v>1</v>
      </c>
    </row>
    <row r="701" hidden="1">
      <c r="A701" s="76" t="str">
        <f>IFERROR(__xludf.DUMMYFUNCTION("""COMPUTED_VALUE"""),"Creative Energy")</f>
        <v>Creative Energy</v>
      </c>
      <c r="B701" s="76" t="str">
        <f>IFERROR(__xludf.DUMMYFUNCTION("""COMPUTED_VALUE"""),"Tinker Time")</f>
        <v>Tinker Time</v>
      </c>
      <c r="C701" s="77">
        <f>IFERROR(__xludf.DUMMYFUNCTION("""COMPUTED_VALUE"""),0.0)</f>
        <v>0</v>
      </c>
      <c r="D701" s="77">
        <f>IFERROR(__xludf.DUMMYFUNCTION("""COMPUTED_VALUE"""),0.0)</f>
        <v>0</v>
      </c>
      <c r="E701" s="46" t="b">
        <f>IFERROR(__xludf.DUMMYFUNCTION("""COMPUTED_VALUE"""),TRUE)</f>
        <v>1</v>
      </c>
    </row>
    <row r="702" hidden="1">
      <c r="A702" s="76" t="str">
        <f>IFERROR(__xludf.DUMMYFUNCTION("""COMPUTED_VALUE"""),"Creative Energy")</f>
        <v>Creative Energy</v>
      </c>
      <c r="B702" s="76" t="str">
        <f>IFERROR(__xludf.DUMMYFUNCTION("""COMPUTED_VALUE"""),"Turtle Power!")</f>
        <v>Turtle Power!</v>
      </c>
      <c r="C702" s="77">
        <f>IFERROR(__xludf.DUMMYFUNCTION("""COMPUTED_VALUE"""),1.0)</f>
        <v>1</v>
      </c>
      <c r="D702" s="77">
        <f>IFERROR(__xludf.DUMMYFUNCTION("""COMPUTED_VALUE"""),0.0)</f>
        <v>0</v>
      </c>
      <c r="E702" s="46" t="b">
        <f>IFERROR(__xludf.DUMMYFUNCTION("""COMPUTED_VALUE"""),FALSE)</f>
        <v>0</v>
      </c>
    </row>
    <row r="703">
      <c r="A703" s="76" t="str">
        <f>IFERROR(__xludf.DUMMYFUNCTION("""COMPUTED_VALUE"""),"Creative Energy")</f>
        <v>Creative Energy</v>
      </c>
      <c r="B703" s="76" t="str">
        <f>IFERROR(__xludf.DUMMYFUNCTION("""COMPUTED_VALUE"""),"Veloci-ramp-tor")</f>
        <v>Veloci-ramp-tor</v>
      </c>
      <c r="C703" s="77">
        <f>IFERROR(__xludf.DUMMYFUNCTION("""COMPUTED_VALUE"""),0.0)</f>
        <v>0</v>
      </c>
      <c r="D703" s="77">
        <f>IFERROR(__xludf.DUMMYFUNCTION("""COMPUTED_VALUE"""),0.0)</f>
        <v>0</v>
      </c>
      <c r="E703" s="46" t="b">
        <f>IFERROR(__xludf.DUMMYFUNCTION("""COMPUTED_VALUE"""),TRUE)</f>
        <v>1</v>
      </c>
    </row>
    <row r="704" hidden="1">
      <c r="A704" s="76" t="str">
        <f>IFERROR(__xludf.DUMMYFUNCTION("""COMPUTED_VALUE"""),"Dance of the Elements")</f>
        <v>Dance of the Elements</v>
      </c>
      <c r="B704" s="76" t="str">
        <f>IFERROR(__xludf.DUMMYFUNCTION("""COMPUTED_VALUE"""),"Ahoy Mateys")</f>
        <v>Ahoy Mateys</v>
      </c>
      <c r="C704" s="77">
        <f>IFERROR(__xludf.DUMMYFUNCTION("""COMPUTED_VALUE"""),0.0)</f>
        <v>0</v>
      </c>
      <c r="D704" s="77">
        <f>IFERROR(__xludf.DUMMYFUNCTION("""COMPUTED_VALUE"""),0.0)</f>
        <v>0</v>
      </c>
      <c r="E704" s="46" t="b">
        <f>IFERROR(__xludf.DUMMYFUNCTION("""COMPUTED_VALUE"""),TRUE)</f>
        <v>1</v>
      </c>
    </row>
    <row r="705" hidden="1">
      <c r="A705" s="76" t="str">
        <f>IFERROR(__xludf.DUMMYFUNCTION("""COMPUTED_VALUE"""),"Dance of the Elements")</f>
        <v>Dance of the Elements</v>
      </c>
      <c r="B705" s="76" t="str">
        <f>IFERROR(__xludf.DUMMYFUNCTION("""COMPUTED_VALUE"""),"Animated Army")</f>
        <v>Animated Army</v>
      </c>
      <c r="C705" s="77">
        <f>IFERROR(__xludf.DUMMYFUNCTION("""COMPUTED_VALUE"""),0.0)</f>
        <v>0</v>
      </c>
      <c r="D705" s="77">
        <f>IFERROR(__xludf.DUMMYFUNCTION("""COMPUTED_VALUE"""),0.0)</f>
        <v>0</v>
      </c>
      <c r="E705" s="46" t="b">
        <f>IFERROR(__xludf.DUMMYFUNCTION("""COMPUTED_VALUE"""),TRUE)</f>
        <v>1</v>
      </c>
    </row>
    <row r="706" hidden="1">
      <c r="A706" s="76" t="str">
        <f>IFERROR(__xludf.DUMMYFUNCTION("""COMPUTED_VALUE"""),"Dance of the Elements")</f>
        <v>Dance of the Elements</v>
      </c>
      <c r="B706" s="76" t="str">
        <f>IFERROR(__xludf.DUMMYFUNCTION("""COMPUTED_VALUE"""),"Arcane Maelstrom")</f>
        <v>Arcane Maelstrom</v>
      </c>
      <c r="C706" s="77">
        <f>IFERROR(__xludf.DUMMYFUNCTION("""COMPUTED_VALUE"""),0.0)</f>
        <v>0</v>
      </c>
      <c r="D706" s="77">
        <f>IFERROR(__xludf.DUMMYFUNCTION("""COMPUTED_VALUE"""),0.0)</f>
        <v>0</v>
      </c>
      <c r="E706" s="46" t="b">
        <f>IFERROR(__xludf.DUMMYFUNCTION("""COMPUTED_VALUE"""),TRUE)</f>
        <v>1</v>
      </c>
    </row>
    <row r="707" hidden="1">
      <c r="A707" s="76" t="str">
        <f>IFERROR(__xludf.DUMMYFUNCTION("""COMPUTED_VALUE"""),"Dance of the Elements")</f>
        <v>Dance of the Elements</v>
      </c>
      <c r="B707" s="76" t="str">
        <f>IFERROR(__xludf.DUMMYFUNCTION("""COMPUTED_VALUE"""),"Blame Game")</f>
        <v>Blame Game</v>
      </c>
      <c r="C707" s="77">
        <f>IFERROR(__xludf.DUMMYFUNCTION("""COMPUTED_VALUE"""),1.0)</f>
        <v>1</v>
      </c>
      <c r="D707" s="77">
        <f>IFERROR(__xludf.DUMMYFUNCTION("""COMPUTED_VALUE"""),0.0)</f>
        <v>0</v>
      </c>
      <c r="E707" s="46" t="b">
        <f>IFERROR(__xludf.DUMMYFUNCTION("""COMPUTED_VALUE"""),FALSE)</f>
        <v>0</v>
      </c>
    </row>
    <row r="708" hidden="1">
      <c r="A708" s="76" t="str">
        <f>IFERROR(__xludf.DUMMYFUNCTION("""COMPUTED_VALUE"""),"Dance of the Elements")</f>
        <v>Dance of the Elements</v>
      </c>
      <c r="B708" s="76" t="str">
        <f>IFERROR(__xludf.DUMMYFUNCTION("""COMPUTED_VALUE"""),"Blight Curse")</f>
        <v>Blight Curse</v>
      </c>
      <c r="C708" s="77">
        <f>IFERROR(__xludf.DUMMYFUNCTION("""COMPUTED_VALUE"""),1.0)</f>
        <v>1</v>
      </c>
      <c r="D708" s="77">
        <f>IFERROR(__xludf.DUMMYFUNCTION("""COMPUTED_VALUE"""),1.0)</f>
        <v>1</v>
      </c>
      <c r="E708" s="46" t="b">
        <f>IFERROR(__xludf.DUMMYFUNCTION("""COMPUTED_VALUE"""),FALSE)</f>
        <v>0</v>
      </c>
    </row>
    <row r="709" hidden="1">
      <c r="A709" s="76" t="str">
        <f>IFERROR(__xludf.DUMMYFUNCTION("""COMPUTED_VALUE"""),"Dance of the Elements")</f>
        <v>Dance of the Elements</v>
      </c>
      <c r="B709" s="76" t="str">
        <f>IFERROR(__xludf.DUMMYFUNCTION("""COMPUTED_VALUE"""),"Blood Rites")</f>
        <v>Blood Rites</v>
      </c>
      <c r="C709" s="77">
        <f>IFERROR(__xludf.DUMMYFUNCTION("""COMPUTED_VALUE"""),1.0)</f>
        <v>1</v>
      </c>
      <c r="D709" s="77">
        <f>IFERROR(__xludf.DUMMYFUNCTION("""COMPUTED_VALUE"""),0.0)</f>
        <v>0</v>
      </c>
      <c r="E709" s="46" t="b">
        <f>IFERROR(__xludf.DUMMYFUNCTION("""COMPUTED_VALUE"""),FALSE)</f>
        <v>0</v>
      </c>
    </row>
    <row r="710" hidden="1">
      <c r="A710" s="76" t="str">
        <f>IFERROR(__xludf.DUMMYFUNCTION("""COMPUTED_VALUE"""),"Dance of the Elements")</f>
        <v>Dance of the Elements</v>
      </c>
      <c r="B710" s="76" t="str">
        <f>IFERROR(__xludf.DUMMYFUNCTION("""COMPUTED_VALUE"""),"Buckle Up")</f>
        <v>Buckle Up</v>
      </c>
      <c r="C710" s="77">
        <f>IFERROR(__xludf.DUMMYFUNCTION("""COMPUTED_VALUE"""),0.0)</f>
        <v>0</v>
      </c>
      <c r="D710" s="77">
        <f>IFERROR(__xludf.DUMMYFUNCTION("""COMPUTED_VALUE"""),0.0)</f>
        <v>0</v>
      </c>
      <c r="E710" s="46" t="b">
        <f>IFERROR(__xludf.DUMMYFUNCTION("""COMPUTED_VALUE"""),TRUE)</f>
        <v>1</v>
      </c>
    </row>
    <row r="711" hidden="1">
      <c r="A711" s="76" t="str">
        <f>IFERROR(__xludf.DUMMYFUNCTION("""COMPUTED_VALUE"""),"Dance of the Elements")</f>
        <v>Dance of the Elements</v>
      </c>
      <c r="B711" s="76" t="str">
        <f>IFERROR(__xludf.DUMMYFUNCTION("""COMPUTED_VALUE"""),"Cabaretti Cacophony")</f>
        <v>Cabaretti Cacophony</v>
      </c>
      <c r="C711" s="77">
        <f>IFERROR(__xludf.DUMMYFUNCTION("""COMPUTED_VALUE"""),0.0)</f>
        <v>0</v>
      </c>
      <c r="D711" s="77">
        <f>IFERROR(__xludf.DUMMYFUNCTION("""COMPUTED_VALUE"""),0.0)</f>
        <v>0</v>
      </c>
      <c r="E711" s="46" t="b">
        <f>IFERROR(__xludf.DUMMYFUNCTION("""COMPUTED_VALUE"""),TRUE)</f>
        <v>1</v>
      </c>
    </row>
    <row r="712" hidden="1">
      <c r="A712" s="76" t="str">
        <f>IFERROR(__xludf.DUMMYFUNCTION("""COMPUTED_VALUE"""),"Dance of the Elements")</f>
        <v>Dance of the Elements</v>
      </c>
      <c r="B712" s="76" t="str">
        <f>IFERROR(__xludf.DUMMYFUNCTION("""COMPUTED_VALUE"""),"Cavalry Charge")</f>
        <v>Cavalry Charge</v>
      </c>
      <c r="C712" s="77">
        <f>IFERROR(__xludf.DUMMYFUNCTION("""COMPUTED_VALUE"""),1.0)</f>
        <v>1</v>
      </c>
      <c r="D712" s="77">
        <f>IFERROR(__xludf.DUMMYFUNCTION("""COMPUTED_VALUE"""),1.0)</f>
        <v>1</v>
      </c>
      <c r="E712" s="46" t="b">
        <f>IFERROR(__xludf.DUMMYFUNCTION("""COMPUTED_VALUE"""),FALSE)</f>
        <v>0</v>
      </c>
    </row>
    <row r="713" hidden="1">
      <c r="A713" s="76" t="str">
        <f>IFERROR(__xludf.DUMMYFUNCTION("""COMPUTED_VALUE"""),"Dance of the Elements")</f>
        <v>Dance of the Elements</v>
      </c>
      <c r="B713" s="76" t="str">
        <f>IFERROR(__xludf.DUMMYFUNCTION("""COMPUTED_VALUE"""),"Corrupting Influence")</f>
        <v>Corrupting Influence</v>
      </c>
      <c r="C713" s="77">
        <f>IFERROR(__xludf.DUMMYFUNCTION("""COMPUTED_VALUE"""),1.0)</f>
        <v>1</v>
      </c>
      <c r="D713" s="77">
        <f>IFERROR(__xludf.DUMMYFUNCTION("""COMPUTED_VALUE"""),2.0)</f>
        <v>2</v>
      </c>
      <c r="E713" s="46" t="b">
        <f>IFERROR(__xludf.DUMMYFUNCTION("""COMPUTED_VALUE"""),FALSE)</f>
        <v>0</v>
      </c>
    </row>
    <row r="714" hidden="1">
      <c r="A714" s="76" t="str">
        <f>IFERROR(__xludf.DUMMYFUNCTION("""COMPUTED_VALUE"""),"Dance of the Elements")</f>
        <v>Dance of the Elements</v>
      </c>
      <c r="B714" s="76" t="str">
        <f>IFERROR(__xludf.DUMMYFUNCTION("""COMPUTED_VALUE"""),"Counter Blitz")</f>
        <v>Counter Blitz</v>
      </c>
      <c r="C714" s="77">
        <f>IFERROR(__xludf.DUMMYFUNCTION("""COMPUTED_VALUE"""),0.0)</f>
        <v>0</v>
      </c>
      <c r="D714" s="77">
        <f>IFERROR(__xludf.DUMMYFUNCTION("""COMPUTED_VALUE"""),0.0)</f>
        <v>0</v>
      </c>
      <c r="E714" s="46" t="b">
        <f>IFERROR(__xludf.DUMMYFUNCTION("""COMPUTED_VALUE"""),TRUE)</f>
        <v>1</v>
      </c>
    </row>
    <row r="715" hidden="1">
      <c r="A715" s="76" t="str">
        <f>IFERROR(__xludf.DUMMYFUNCTION("""COMPUTED_VALUE"""),"Dance of the Elements")</f>
        <v>Dance of the Elements</v>
      </c>
      <c r="B715" s="76" t="str">
        <f>IFERROR(__xludf.DUMMYFUNCTION("""COMPUTED_VALUE"""),"Counter Intelligence")</f>
        <v>Counter Intelligence</v>
      </c>
      <c r="C715" s="77">
        <f>IFERROR(__xludf.DUMMYFUNCTION("""COMPUTED_VALUE"""),0.0)</f>
        <v>0</v>
      </c>
      <c r="D715" s="77">
        <f>IFERROR(__xludf.DUMMYFUNCTION("""COMPUTED_VALUE"""),0.0)</f>
        <v>0</v>
      </c>
      <c r="E715" s="46" t="b">
        <f>IFERROR(__xludf.DUMMYFUNCTION("""COMPUTED_VALUE"""),TRUE)</f>
        <v>1</v>
      </c>
    </row>
    <row r="716" hidden="1">
      <c r="A716" s="76" t="str">
        <f>IFERROR(__xludf.DUMMYFUNCTION("""COMPUTED_VALUE"""),"Dance of the Elements")</f>
        <v>Dance of the Elements</v>
      </c>
      <c r="B716" s="76" t="str">
        <f>IFERROR(__xludf.DUMMYFUNCTION("""COMPUTED_VALUE"""),"Creative Energy")</f>
        <v>Creative Energy</v>
      </c>
      <c r="C716" s="77">
        <f>IFERROR(__xludf.DUMMYFUNCTION("""COMPUTED_VALUE"""),1.0)</f>
        <v>1</v>
      </c>
      <c r="D716" s="77">
        <f>IFERROR(__xludf.DUMMYFUNCTION("""COMPUTED_VALUE"""),0.0)</f>
        <v>0</v>
      </c>
      <c r="E716" s="46" t="b">
        <f>IFERROR(__xludf.DUMMYFUNCTION("""COMPUTED_VALUE"""),FALSE)</f>
        <v>0</v>
      </c>
    </row>
    <row r="717" hidden="1">
      <c r="A717" s="76" t="str">
        <f>IFERROR(__xludf.DUMMYFUNCTION("""COMPUTED_VALUE"""),"Dance of the Elements")</f>
        <v>Dance of the Elements</v>
      </c>
      <c r="B717" s="76" t="str">
        <f>IFERROR(__xludf.DUMMYFUNCTION("""COMPUTED_VALUE"""),"Dance of the Elements")</f>
        <v>Dance of the Elements</v>
      </c>
      <c r="C717" s="77">
        <f>IFERROR(__xludf.DUMMYFUNCTION("""COMPUTED_VALUE"""),4.0)</f>
        <v>4</v>
      </c>
      <c r="D717" s="77">
        <f>IFERROR(__xludf.DUMMYFUNCTION("""COMPUTED_VALUE"""),4.0)</f>
        <v>4</v>
      </c>
      <c r="E717" s="46" t="b">
        <f>IFERROR(__xludf.DUMMYFUNCTION("""COMPUTED_VALUE"""),TRUE)</f>
        <v>1</v>
      </c>
    </row>
    <row r="718" hidden="1">
      <c r="A718" s="76" t="str">
        <f>IFERROR(__xludf.DUMMYFUNCTION("""COMPUTED_VALUE"""),"Dance of the Elements")</f>
        <v>Dance of the Elements</v>
      </c>
      <c r="B718" s="76" t="str">
        <f>IFERROR(__xludf.DUMMYFUNCTION("""COMPUTED_VALUE"""),"Deep Clue Sea")</f>
        <v>Deep Clue Sea</v>
      </c>
      <c r="C718" s="77">
        <f>IFERROR(__xludf.DUMMYFUNCTION("""COMPUTED_VALUE"""),0.0)</f>
        <v>0</v>
      </c>
      <c r="D718" s="77">
        <f>IFERROR(__xludf.DUMMYFUNCTION("""COMPUTED_VALUE"""),0.0)</f>
        <v>0</v>
      </c>
      <c r="E718" s="46" t="b">
        <f>IFERROR(__xludf.DUMMYFUNCTION("""COMPUTED_VALUE"""),TRUE)</f>
        <v>1</v>
      </c>
    </row>
    <row r="719" hidden="1">
      <c r="A719" s="76" t="str">
        <f>IFERROR(__xludf.DUMMYFUNCTION("""COMPUTED_VALUE"""),"Dance of the Elements")</f>
        <v>Dance of the Elements</v>
      </c>
      <c r="B719" s="76" t="str">
        <f>IFERROR(__xludf.DUMMYFUNCTION("""COMPUTED_VALUE"""),"Doom Prevails")</f>
        <v>Doom Prevails</v>
      </c>
      <c r="C719" s="77">
        <f>IFERROR(__xludf.DUMMYFUNCTION("""COMPUTED_VALUE"""),0.0)</f>
        <v>0</v>
      </c>
      <c r="D719" s="77">
        <f>IFERROR(__xludf.DUMMYFUNCTION("""COMPUTED_VALUE"""),0.0)</f>
        <v>0</v>
      </c>
      <c r="E719" s="46" t="b">
        <f>IFERROR(__xludf.DUMMYFUNCTION("""COMPUTED_VALUE"""),TRUE)</f>
        <v>1</v>
      </c>
    </row>
    <row r="720" hidden="1">
      <c r="A720" s="76" t="str">
        <f>IFERROR(__xludf.DUMMYFUNCTION("""COMPUTED_VALUE"""),"Dance of the Elements")</f>
        <v>Dance of the Elements</v>
      </c>
      <c r="B720" s="76" t="str">
        <f>IFERROR(__xludf.DUMMYFUNCTION("""COMPUTED_VALUE"""),"Eldrazi Incursion")</f>
        <v>Eldrazi Incursion</v>
      </c>
      <c r="C720" s="77">
        <f>IFERROR(__xludf.DUMMYFUNCTION("""COMPUTED_VALUE"""),0.0)</f>
        <v>0</v>
      </c>
      <c r="D720" s="77">
        <f>IFERROR(__xludf.DUMMYFUNCTION("""COMPUTED_VALUE"""),0.0)</f>
        <v>0</v>
      </c>
      <c r="E720" s="46" t="b">
        <f>IFERROR(__xludf.DUMMYFUNCTION("""COMPUTED_VALUE"""),TRUE)</f>
        <v>1</v>
      </c>
    </row>
    <row r="721">
      <c r="A721" s="76" t="str">
        <f>IFERROR(__xludf.DUMMYFUNCTION("""COMPUTED_VALUE"""),"Dance of the Elements")</f>
        <v>Dance of the Elements</v>
      </c>
      <c r="B721" s="76" t="str">
        <f>IFERROR(__xludf.DUMMYFUNCTION("""COMPUTED_VALUE"""),"Eldrazi Unbound")</f>
        <v>Eldrazi Unbound</v>
      </c>
      <c r="C721" s="77">
        <f>IFERROR(__xludf.DUMMYFUNCTION("""COMPUTED_VALUE"""),0.0)</f>
        <v>0</v>
      </c>
      <c r="D721" s="77">
        <f>IFERROR(__xludf.DUMMYFUNCTION("""COMPUTED_VALUE"""),0.0)</f>
        <v>0</v>
      </c>
      <c r="E721" s="46" t="b">
        <f>IFERROR(__xludf.DUMMYFUNCTION("""COMPUTED_VALUE"""),TRUE)</f>
        <v>1</v>
      </c>
    </row>
    <row r="722" hidden="1">
      <c r="A722" s="76" t="str">
        <f>IFERROR(__xludf.DUMMYFUNCTION("""COMPUTED_VALUE"""),"Dance of the Elements")</f>
        <v>Dance of the Elements</v>
      </c>
      <c r="B722" s="76" t="str">
        <f>IFERROR(__xludf.DUMMYFUNCTION("""COMPUTED_VALUE"""),"Endless Punishment")</f>
        <v>Endless Punishment</v>
      </c>
      <c r="C722" s="77">
        <f>IFERROR(__xludf.DUMMYFUNCTION("""COMPUTED_VALUE"""),0.0)</f>
        <v>0</v>
      </c>
      <c r="D722" s="77">
        <f>IFERROR(__xludf.DUMMYFUNCTION("""COMPUTED_VALUE"""),1.0)</f>
        <v>1</v>
      </c>
      <c r="E722" s="46" t="b">
        <f>IFERROR(__xludf.DUMMYFUNCTION("""COMPUTED_VALUE"""),FALSE)</f>
        <v>0</v>
      </c>
    </row>
    <row r="723" hidden="1">
      <c r="A723" s="76" t="str">
        <f>IFERROR(__xludf.DUMMYFUNCTION("""COMPUTED_VALUE"""),"Dance of the Elements")</f>
        <v>Dance of the Elements</v>
      </c>
      <c r="B723" s="76" t="str">
        <f>IFERROR(__xludf.DUMMYFUNCTION("""COMPUTED_VALUE"""),"Enduring Enchantments")</f>
        <v>Enduring Enchantments</v>
      </c>
      <c r="C723" s="77">
        <f>IFERROR(__xludf.DUMMYFUNCTION("""COMPUTED_VALUE"""),0.0)</f>
        <v>0</v>
      </c>
      <c r="D723" s="77">
        <f>IFERROR(__xludf.DUMMYFUNCTION("""COMPUTED_VALUE"""),0.0)</f>
        <v>0</v>
      </c>
      <c r="E723" s="46" t="b">
        <f>IFERROR(__xludf.DUMMYFUNCTION("""COMPUTED_VALUE"""),TRUE)</f>
        <v>1</v>
      </c>
    </row>
    <row r="724" hidden="1">
      <c r="A724" s="76" t="str">
        <f>IFERROR(__xludf.DUMMYFUNCTION("""COMPUTED_VALUE"""),"Dance of the Elements")</f>
        <v>Dance of the Elements</v>
      </c>
      <c r="B724" s="76" t="str">
        <f>IFERROR(__xludf.DUMMYFUNCTION("""COMPUTED_VALUE"""),"Explorers of the Deep")</f>
        <v>Explorers of the Deep</v>
      </c>
      <c r="C724" s="77">
        <f>IFERROR(__xludf.DUMMYFUNCTION("""COMPUTED_VALUE"""),0.0)</f>
        <v>0</v>
      </c>
      <c r="D724" s="77">
        <f>IFERROR(__xludf.DUMMYFUNCTION("""COMPUTED_VALUE"""),0.0)</f>
        <v>0</v>
      </c>
      <c r="E724" s="46" t="b">
        <f>IFERROR(__xludf.DUMMYFUNCTION("""COMPUTED_VALUE"""),TRUE)</f>
        <v>1</v>
      </c>
    </row>
    <row r="725" hidden="1">
      <c r="A725" s="76" t="str">
        <f>IFERROR(__xludf.DUMMYFUNCTION("""COMPUTED_VALUE"""),"Dance of the Elements")</f>
        <v>Dance of the Elements</v>
      </c>
      <c r="B725" s="76" t="str">
        <f>IFERROR(__xludf.DUMMYFUNCTION("""COMPUTED_VALUE"""),"Family Matters")</f>
        <v>Family Matters</v>
      </c>
      <c r="C725" s="77">
        <f>IFERROR(__xludf.DUMMYFUNCTION("""COMPUTED_VALUE"""),0.0)</f>
        <v>0</v>
      </c>
      <c r="D725" s="77">
        <f>IFERROR(__xludf.DUMMYFUNCTION("""COMPUTED_VALUE"""),0.0)</f>
        <v>0</v>
      </c>
      <c r="E725" s="46" t="b">
        <f>IFERROR(__xludf.DUMMYFUNCTION("""COMPUTED_VALUE"""),TRUE)</f>
        <v>1</v>
      </c>
    </row>
    <row r="726" hidden="1">
      <c r="A726" s="76" t="str">
        <f>IFERROR(__xludf.DUMMYFUNCTION("""COMPUTED_VALUE"""),"Dance of the Elements")</f>
        <v>Dance of the Elements</v>
      </c>
      <c r="B726" s="76" t="str">
        <f>IFERROR(__xludf.DUMMYFUNCTION("""COMPUTED_VALUE"""),"Food and Fellowship")</f>
        <v>Food and Fellowship</v>
      </c>
      <c r="C726" s="77">
        <f>IFERROR(__xludf.DUMMYFUNCTION("""COMPUTED_VALUE"""),0.0)</f>
        <v>0</v>
      </c>
      <c r="D726" s="77">
        <f>IFERROR(__xludf.DUMMYFUNCTION("""COMPUTED_VALUE"""),0.0)</f>
        <v>0</v>
      </c>
      <c r="E726" s="46" t="b">
        <f>IFERROR(__xludf.DUMMYFUNCTION("""COMPUTED_VALUE"""),TRUE)</f>
        <v>1</v>
      </c>
    </row>
    <row r="727" hidden="1">
      <c r="A727" s="76" t="str">
        <f>IFERROR(__xludf.DUMMYFUNCTION("""COMPUTED_VALUE"""),"Dance of the Elements")</f>
        <v>Dance of the Elements</v>
      </c>
      <c r="B727" s="76" t="str">
        <f>IFERROR(__xludf.DUMMYFUNCTION("""COMPUTED_VALUE"""),"Jeskai Striker")</f>
        <v>Jeskai Striker</v>
      </c>
      <c r="C727" s="77">
        <f>IFERROR(__xludf.DUMMYFUNCTION("""COMPUTED_VALUE"""),0.0)</f>
        <v>0</v>
      </c>
      <c r="D727" s="77">
        <f>IFERROR(__xludf.DUMMYFUNCTION("""COMPUTED_VALUE"""),0.0)</f>
        <v>0</v>
      </c>
      <c r="E727" s="46" t="b">
        <f>IFERROR(__xludf.DUMMYFUNCTION("""COMPUTED_VALUE"""),TRUE)</f>
        <v>1</v>
      </c>
    </row>
    <row r="728" hidden="1">
      <c r="A728" s="76" t="str">
        <f>IFERROR(__xludf.DUMMYFUNCTION("""COMPUTED_VALUE"""),"Dance of the Elements")</f>
        <v>Dance of the Elements</v>
      </c>
      <c r="B728" s="76" t="str">
        <f>IFERROR(__xludf.DUMMYFUNCTION("""COMPUTED_VALUE"""),"Legends' Legacy")</f>
        <v>Legends' Legacy</v>
      </c>
      <c r="C728" s="77">
        <f>IFERROR(__xludf.DUMMYFUNCTION("""COMPUTED_VALUE"""),1.0)</f>
        <v>1</v>
      </c>
      <c r="D728" s="77">
        <f>IFERROR(__xludf.DUMMYFUNCTION("""COMPUTED_VALUE"""),0.0)</f>
        <v>0</v>
      </c>
      <c r="E728" s="46" t="b">
        <f>IFERROR(__xludf.DUMMYFUNCTION("""COMPUTED_VALUE"""),FALSE)</f>
        <v>0</v>
      </c>
    </row>
    <row r="729" hidden="1">
      <c r="A729" s="76" t="str">
        <f>IFERROR(__xludf.DUMMYFUNCTION("""COMPUTED_VALUE"""),"Dance of the Elements")</f>
        <v>Dance of the Elements</v>
      </c>
      <c r="B729" s="76" t="str">
        <f>IFERROR(__xludf.DUMMYFUNCTION("""COMPUTED_VALUE"""),"Limit Break")</f>
        <v>Limit Break</v>
      </c>
      <c r="C729" s="77">
        <f>IFERROR(__xludf.DUMMYFUNCTION("""COMPUTED_VALUE"""),0.0)</f>
        <v>0</v>
      </c>
      <c r="D729" s="77">
        <f>IFERROR(__xludf.DUMMYFUNCTION("""COMPUTED_VALUE"""),0.0)</f>
        <v>0</v>
      </c>
      <c r="E729" s="46" t="b">
        <f>IFERROR(__xludf.DUMMYFUNCTION("""COMPUTED_VALUE"""),TRUE)</f>
        <v>1</v>
      </c>
    </row>
    <row r="730" hidden="1">
      <c r="A730" s="78" t="str">
        <f>IFERROR(__xludf.DUMMYFUNCTION("""COMPUTED_VALUE"""),"Dance of the Elements")</f>
        <v>Dance of the Elements</v>
      </c>
      <c r="B730" s="78" t="str">
        <f>IFERROR(__xludf.DUMMYFUNCTION("""COMPUTED_VALUE"""),"Lorehold Spirit")</f>
        <v>Lorehold Spirit</v>
      </c>
      <c r="C730" s="79">
        <f>IFERROR(__xludf.DUMMYFUNCTION("""COMPUTED_VALUE"""),0.0)</f>
        <v>0</v>
      </c>
      <c r="D730" s="79">
        <f>IFERROR(__xludf.DUMMYFUNCTION("""COMPUTED_VALUE"""),0.0)</f>
        <v>0</v>
      </c>
      <c r="E730" s="69" t="b">
        <f>IFERROR(__xludf.DUMMYFUNCTION("""COMPUTED_VALUE"""),TRUE)</f>
        <v>1</v>
      </c>
    </row>
    <row r="731" hidden="1">
      <c r="A731" s="78" t="str">
        <f>IFERROR(__xludf.DUMMYFUNCTION("""COMPUTED_VALUE"""),"Dance of the Elements")</f>
        <v>Dance of the Elements</v>
      </c>
      <c r="B731" s="78" t="str">
        <f>IFERROR(__xludf.DUMMYFUNCTION("""COMPUTED_VALUE"""),"Mutant Menace")</f>
        <v>Mutant Menace</v>
      </c>
      <c r="C731" s="79">
        <f>IFERROR(__xludf.DUMMYFUNCTION("""COMPUTED_VALUE"""),0.0)</f>
        <v>0</v>
      </c>
      <c r="D731" s="79">
        <f>IFERROR(__xludf.DUMMYFUNCTION("""COMPUTED_VALUE"""),0.0)</f>
        <v>0</v>
      </c>
      <c r="E731" s="69" t="b">
        <f>IFERROR(__xludf.DUMMYFUNCTION("""COMPUTED_VALUE"""),TRUE)</f>
        <v>1</v>
      </c>
    </row>
    <row r="732" hidden="1">
      <c r="A732" s="76" t="str">
        <f>IFERROR(__xludf.DUMMYFUNCTION("""COMPUTED_VALUE"""),"Dance of the Elements")</f>
        <v>Dance of the Elements</v>
      </c>
      <c r="B732" s="76" t="str">
        <f>IFERROR(__xludf.DUMMYFUNCTION("""COMPUTED_VALUE"""),"Party Time")</f>
        <v>Party Time</v>
      </c>
      <c r="C732" s="77">
        <f>IFERROR(__xludf.DUMMYFUNCTION("""COMPUTED_VALUE"""),0.0)</f>
        <v>0</v>
      </c>
      <c r="D732" s="77">
        <f>IFERROR(__xludf.DUMMYFUNCTION("""COMPUTED_VALUE"""),0.0)</f>
        <v>0</v>
      </c>
      <c r="E732" s="46" t="b">
        <f>IFERROR(__xludf.DUMMYFUNCTION("""COMPUTED_VALUE"""),TRUE)</f>
        <v>1</v>
      </c>
    </row>
    <row r="733" hidden="1">
      <c r="A733" s="76" t="str">
        <f>IFERROR(__xludf.DUMMYFUNCTION("""COMPUTED_VALUE"""),"Dance of the Elements")</f>
        <v>Dance of the Elements</v>
      </c>
      <c r="B733" s="76" t="str">
        <f>IFERROR(__xludf.DUMMYFUNCTION("""COMPUTED_VALUE"""),"Peace Offering")</f>
        <v>Peace Offering</v>
      </c>
      <c r="C733" s="77">
        <f>IFERROR(__xludf.DUMMYFUNCTION("""COMPUTED_VALUE"""),0.0)</f>
        <v>0</v>
      </c>
      <c r="D733" s="77">
        <f>IFERROR(__xludf.DUMMYFUNCTION("""COMPUTED_VALUE"""),0.0)</f>
        <v>0</v>
      </c>
      <c r="E733" s="46" t="b">
        <f>IFERROR(__xludf.DUMMYFUNCTION("""COMPUTED_VALUE"""),TRUE)</f>
        <v>1</v>
      </c>
    </row>
    <row r="734" hidden="1">
      <c r="A734" s="76" t="str">
        <f>IFERROR(__xludf.DUMMYFUNCTION("""COMPUTED_VALUE"""),"Dance of the Elements")</f>
        <v>Dance of the Elements</v>
      </c>
      <c r="B734" s="76" t="str">
        <f>IFERROR(__xludf.DUMMYFUNCTION("""COMPUTED_VALUE"""),"Power Hungry")</f>
        <v>Power Hungry</v>
      </c>
      <c r="C734" s="77">
        <f>IFERROR(__xludf.DUMMYFUNCTION("""COMPUTED_VALUE"""),0.0)</f>
        <v>0</v>
      </c>
      <c r="D734" s="77">
        <f>IFERROR(__xludf.DUMMYFUNCTION("""COMPUTED_VALUE"""),0.0)</f>
        <v>0</v>
      </c>
      <c r="E734" s="46" t="b">
        <f>IFERROR(__xludf.DUMMYFUNCTION("""COMPUTED_VALUE"""),TRUE)</f>
        <v>1</v>
      </c>
    </row>
    <row r="735">
      <c r="A735" s="76" t="str">
        <f>IFERROR(__xludf.DUMMYFUNCTION("""COMPUTED_VALUE"""),"Dance of the Elements")</f>
        <v>Dance of the Elements</v>
      </c>
      <c r="B735" s="76" t="str">
        <f>IFERROR(__xludf.DUMMYFUNCTION("""COMPUTED_VALUE"""),"Primal Genesis")</f>
        <v>Primal Genesis</v>
      </c>
      <c r="C735" s="77">
        <f>IFERROR(__xludf.DUMMYFUNCTION("""COMPUTED_VALUE"""),0.0)</f>
        <v>0</v>
      </c>
      <c r="D735" s="77">
        <f>IFERROR(__xludf.DUMMYFUNCTION("""COMPUTED_VALUE"""),0.0)</f>
        <v>0</v>
      </c>
      <c r="E735" s="46" t="b">
        <f>IFERROR(__xludf.DUMMYFUNCTION("""COMPUTED_VALUE"""),TRUE)</f>
        <v>1</v>
      </c>
    </row>
    <row r="736" hidden="1">
      <c r="A736" s="78" t="str">
        <f>IFERROR(__xludf.DUMMYFUNCTION("""COMPUTED_VALUE"""),"Dance of the Elements")</f>
        <v>Dance of the Elements</v>
      </c>
      <c r="B736" s="78" t="str">
        <f>IFERROR(__xludf.DUMMYFUNCTION("""COMPUTED_VALUE"""),"Prismari Artistry")</f>
        <v>Prismari Artistry</v>
      </c>
      <c r="C736" s="79">
        <f>IFERROR(__xludf.DUMMYFUNCTION("""COMPUTED_VALUE"""),0.0)</f>
        <v>0</v>
      </c>
      <c r="D736" s="79">
        <f>IFERROR(__xludf.DUMMYFUNCTION("""COMPUTED_VALUE"""),1.0)</f>
        <v>1</v>
      </c>
      <c r="E736" s="69" t="b">
        <f>IFERROR(__xludf.DUMMYFUNCTION("""COMPUTED_VALUE"""),FALSE)</f>
        <v>0</v>
      </c>
    </row>
    <row r="737" hidden="1">
      <c r="A737" s="76" t="str">
        <f>IFERROR(__xludf.DUMMYFUNCTION("""COMPUTED_VALUE"""),"Dance of the Elements")</f>
        <v>Dance of the Elements</v>
      </c>
      <c r="B737" s="76" t="str">
        <f>IFERROR(__xludf.DUMMYFUNCTION("""COMPUTED_VALUE"""),"Prismari Performance")</f>
        <v>Prismari Performance</v>
      </c>
      <c r="C737" s="77">
        <f>IFERROR(__xludf.DUMMYFUNCTION("""COMPUTED_VALUE"""),0.0)</f>
        <v>0</v>
      </c>
      <c r="D737" s="77">
        <f>IFERROR(__xludf.DUMMYFUNCTION("""COMPUTED_VALUE"""),0.0)</f>
        <v>0</v>
      </c>
      <c r="E737" s="46" t="b">
        <f>IFERROR(__xludf.DUMMYFUNCTION("""COMPUTED_VALUE"""),TRUE)</f>
        <v>1</v>
      </c>
    </row>
    <row r="738" hidden="1">
      <c r="A738" s="76" t="str">
        <f>IFERROR(__xludf.DUMMYFUNCTION("""COMPUTED_VALUE"""),"Dance of the Elements")</f>
        <v>Dance of the Elements</v>
      </c>
      <c r="B738" s="76" t="str">
        <f>IFERROR(__xludf.DUMMYFUNCTION("""COMPUTED_VALUE"""),"Quandrix Unlimited")</f>
        <v>Quandrix Unlimited</v>
      </c>
      <c r="C738" s="77">
        <f>IFERROR(__xludf.DUMMYFUNCTION("""COMPUTED_VALUE"""),0.0)</f>
        <v>0</v>
      </c>
      <c r="D738" s="77">
        <f>IFERROR(__xludf.DUMMYFUNCTION("""COMPUTED_VALUE"""),0.0)</f>
        <v>0</v>
      </c>
      <c r="E738" s="46" t="b">
        <f>IFERROR(__xludf.DUMMYFUNCTION("""COMPUTED_VALUE"""),TRUE)</f>
        <v>1</v>
      </c>
    </row>
    <row r="739" hidden="1">
      <c r="A739" s="78" t="str">
        <f>IFERROR(__xludf.DUMMYFUNCTION("""COMPUTED_VALUE"""),"Dance of the Elements")</f>
        <v>Dance of the Elements</v>
      </c>
      <c r="B739" s="78" t="str">
        <f>IFERROR(__xludf.DUMMYFUNCTION("""COMPUTED_VALUE"""),"Quick Draw")</f>
        <v>Quick Draw</v>
      </c>
      <c r="C739" s="79">
        <f>IFERROR(__xludf.DUMMYFUNCTION("""COMPUTED_VALUE"""),0.0)</f>
        <v>0</v>
      </c>
      <c r="D739" s="79">
        <f>IFERROR(__xludf.DUMMYFUNCTION("""COMPUTED_VALUE"""),3.0)</f>
        <v>3</v>
      </c>
      <c r="E739" s="69" t="b">
        <f>IFERROR(__xludf.DUMMYFUNCTION("""COMPUTED_VALUE"""),FALSE)</f>
        <v>0</v>
      </c>
    </row>
    <row r="740" hidden="1">
      <c r="A740" s="76" t="str">
        <f>IFERROR(__xludf.DUMMYFUNCTION("""COMPUTED_VALUE"""),"Dance of the Elements")</f>
        <v>Dance of the Elements</v>
      </c>
      <c r="B740" s="76" t="str">
        <f>IFERROR(__xludf.DUMMYFUNCTION("""COMPUTED_VALUE"""),"Reap the Tides")</f>
        <v>Reap the Tides</v>
      </c>
      <c r="C740" s="77">
        <f>IFERROR(__xludf.DUMMYFUNCTION("""COMPUTED_VALUE"""),0.0)</f>
        <v>0</v>
      </c>
      <c r="D740" s="77">
        <f>IFERROR(__xludf.DUMMYFUNCTION("""COMPUTED_VALUE"""),1.0)</f>
        <v>1</v>
      </c>
      <c r="E740" s="46" t="b">
        <f>IFERROR(__xludf.DUMMYFUNCTION("""COMPUTED_VALUE"""),FALSE)</f>
        <v>0</v>
      </c>
    </row>
    <row r="741" hidden="1">
      <c r="A741" s="76" t="str">
        <f>IFERROR(__xludf.DUMMYFUNCTION("""COMPUTED_VALUE"""),"Dance of the Elements")</f>
        <v>Dance of the Elements</v>
      </c>
      <c r="B741" s="76" t="str">
        <f>IFERROR(__xludf.DUMMYFUNCTION("""COMPUTED_VALUE"""),"Rebellion Rising")</f>
        <v>Rebellion Rising</v>
      </c>
      <c r="C741" s="77">
        <f>IFERROR(__xludf.DUMMYFUNCTION("""COMPUTED_VALUE"""),0.0)</f>
        <v>0</v>
      </c>
      <c r="D741" s="77">
        <f>IFERROR(__xludf.DUMMYFUNCTION("""COMPUTED_VALUE"""),0.0)</f>
        <v>0</v>
      </c>
      <c r="E741" s="46" t="b">
        <f>IFERROR(__xludf.DUMMYFUNCTION("""COMPUTED_VALUE"""),TRUE)</f>
        <v>1</v>
      </c>
    </row>
    <row r="742" hidden="1">
      <c r="A742" s="76" t="str">
        <f>IFERROR(__xludf.DUMMYFUNCTION("""COMPUTED_VALUE"""),"Dance of the Elements")</f>
        <v>Dance of the Elements</v>
      </c>
      <c r="B742" s="76" t="str">
        <f>IFERROR(__xludf.DUMMYFUNCTION("""COMPUTED_VALUE"""),"Revival Trance")</f>
        <v>Revival Trance</v>
      </c>
      <c r="C742" s="77">
        <f>IFERROR(__xludf.DUMMYFUNCTION("""COMPUTED_VALUE"""),1.0)</f>
        <v>1</v>
      </c>
      <c r="D742" s="77">
        <f>IFERROR(__xludf.DUMMYFUNCTION("""COMPUTED_VALUE"""),0.0)</f>
        <v>0</v>
      </c>
      <c r="E742" s="46" t="b">
        <f>IFERROR(__xludf.DUMMYFUNCTION("""COMPUTED_VALUE"""),FALSE)</f>
        <v>0</v>
      </c>
    </row>
    <row r="743" hidden="1">
      <c r="A743" s="76" t="str">
        <f>IFERROR(__xludf.DUMMYFUNCTION("""COMPUTED_VALUE"""),"Dance of the Elements")</f>
        <v>Dance of the Elements</v>
      </c>
      <c r="B743" s="76" t="str">
        <f>IFERROR(__xludf.DUMMYFUNCTION("""COMPUTED_VALUE"""),"Riders of Rohan")</f>
        <v>Riders of Rohan</v>
      </c>
      <c r="C743" s="77">
        <f>IFERROR(__xludf.DUMMYFUNCTION("""COMPUTED_VALUE"""),0.0)</f>
        <v>0</v>
      </c>
      <c r="D743" s="77">
        <f>IFERROR(__xludf.DUMMYFUNCTION("""COMPUTED_VALUE"""),0.0)</f>
        <v>0</v>
      </c>
      <c r="E743" s="46" t="b">
        <f>IFERROR(__xludf.DUMMYFUNCTION("""COMPUTED_VALUE"""),TRUE)</f>
        <v>1</v>
      </c>
    </row>
    <row r="744" hidden="1">
      <c r="A744" s="78" t="str">
        <f>IFERROR(__xludf.DUMMYFUNCTION("""COMPUTED_VALUE"""),"Dance of the Elements")</f>
        <v>Dance of the Elements</v>
      </c>
      <c r="B744" s="78" t="str">
        <f>IFERROR(__xludf.DUMMYFUNCTION("""COMPUTED_VALUE"""),"Science!")</f>
        <v>Science!</v>
      </c>
      <c r="C744" s="79">
        <f>IFERROR(__xludf.DUMMYFUNCTION("""COMPUTED_VALUE"""),0.0)</f>
        <v>0</v>
      </c>
      <c r="D744" s="79">
        <f>IFERROR(__xludf.DUMMYFUNCTION("""COMPUTED_VALUE"""),0.0)</f>
        <v>0</v>
      </c>
      <c r="E744" s="69" t="b">
        <f>IFERROR(__xludf.DUMMYFUNCTION("""COMPUTED_VALUE"""),TRUE)</f>
        <v>1</v>
      </c>
    </row>
    <row r="745" hidden="1">
      <c r="A745" s="76" t="str">
        <f>IFERROR(__xludf.DUMMYFUNCTION("""COMPUTED_VALUE"""),"Dance of the Elements")</f>
        <v>Dance of the Elements</v>
      </c>
      <c r="B745" s="76" t="str">
        <f>IFERROR(__xludf.DUMMYFUNCTION("""COMPUTED_VALUE"""),"Scions &amp; Spellcraft")</f>
        <v>Scions &amp; Spellcraft</v>
      </c>
      <c r="C745" s="77">
        <f>IFERROR(__xludf.DUMMYFUNCTION("""COMPUTED_VALUE"""),1.0)</f>
        <v>1</v>
      </c>
      <c r="D745" s="77">
        <f>IFERROR(__xludf.DUMMYFUNCTION("""COMPUTED_VALUE"""),0.0)</f>
        <v>0</v>
      </c>
      <c r="E745" s="46" t="b">
        <f>IFERROR(__xludf.DUMMYFUNCTION("""COMPUTED_VALUE"""),FALSE)</f>
        <v>0</v>
      </c>
    </row>
    <row r="746" hidden="1">
      <c r="A746" s="78" t="str">
        <f>IFERROR(__xludf.DUMMYFUNCTION("""COMPUTED_VALUE"""),"Dance of the Elements")</f>
        <v>Dance of the Elements</v>
      </c>
      <c r="B746" s="78" t="str">
        <f>IFERROR(__xludf.DUMMYFUNCTION("""COMPUTED_VALUE"""),"Scrappy Survivors")</f>
        <v>Scrappy Survivors</v>
      </c>
      <c r="C746" s="79">
        <f>IFERROR(__xludf.DUMMYFUNCTION("""COMPUTED_VALUE"""),0.0)</f>
        <v>0</v>
      </c>
      <c r="D746" s="79">
        <f>IFERROR(__xludf.DUMMYFUNCTION("""COMPUTED_VALUE"""),0.0)</f>
        <v>0</v>
      </c>
      <c r="E746" s="69" t="b">
        <f>IFERROR(__xludf.DUMMYFUNCTION("""COMPUTED_VALUE"""),TRUE)</f>
        <v>1</v>
      </c>
    </row>
    <row r="747" hidden="1">
      <c r="A747" s="76" t="str">
        <f>IFERROR(__xludf.DUMMYFUNCTION("""COMPUTED_VALUE"""),"Dance of the Elements")</f>
        <v>Dance of the Elements</v>
      </c>
      <c r="B747" s="76" t="str">
        <f>IFERROR(__xludf.DUMMYFUNCTION("""COMPUTED_VALUE"""),"Silverquill Influence")</f>
        <v>Silverquill Influence</v>
      </c>
      <c r="C747" s="77">
        <f>IFERROR(__xludf.DUMMYFUNCTION("""COMPUTED_VALUE"""),0.0)</f>
        <v>0</v>
      </c>
      <c r="D747" s="77">
        <f>IFERROR(__xludf.DUMMYFUNCTION("""COMPUTED_VALUE"""),0.0)</f>
        <v>0</v>
      </c>
      <c r="E747" s="46" t="b">
        <f>IFERROR(__xludf.DUMMYFUNCTION("""COMPUTED_VALUE"""),TRUE)</f>
        <v>1</v>
      </c>
    </row>
    <row r="748">
      <c r="A748" s="78" t="str">
        <f>IFERROR(__xludf.DUMMYFUNCTION("""COMPUTED_VALUE"""),"Dance of the Elements")</f>
        <v>Dance of the Elements</v>
      </c>
      <c r="B748" s="78" t="str">
        <f>IFERROR(__xludf.DUMMYFUNCTION("""COMPUTED_VALUE"""),"Spirit Squadron")</f>
        <v>Spirit Squadron</v>
      </c>
      <c r="C748" s="79">
        <f>IFERROR(__xludf.DUMMYFUNCTION("""COMPUTED_VALUE"""),0.0)</f>
        <v>0</v>
      </c>
      <c r="D748" s="79">
        <f>IFERROR(__xludf.DUMMYFUNCTION("""COMPUTED_VALUE"""),0.0)</f>
        <v>0</v>
      </c>
      <c r="E748" s="69" t="b">
        <f>IFERROR(__xludf.DUMMYFUNCTION("""COMPUTED_VALUE"""),TRUE)</f>
        <v>1</v>
      </c>
    </row>
    <row r="749" hidden="1">
      <c r="A749" s="76" t="str">
        <f>IFERROR(__xludf.DUMMYFUNCTION("""COMPUTED_VALUE"""),"Dance of the Elements")</f>
        <v>Dance of the Elements</v>
      </c>
      <c r="B749" s="76" t="str">
        <f>IFERROR(__xludf.DUMMYFUNCTION("""COMPUTED_VALUE"""),"Squirreled Away")</f>
        <v>Squirreled Away</v>
      </c>
      <c r="C749" s="77">
        <f>IFERROR(__xludf.DUMMYFUNCTION("""COMPUTED_VALUE"""),0.0)</f>
        <v>0</v>
      </c>
      <c r="D749" s="77">
        <f>IFERROR(__xludf.DUMMYFUNCTION("""COMPUTED_VALUE"""),1.0)</f>
        <v>1</v>
      </c>
      <c r="E749" s="46" t="b">
        <f>IFERROR(__xludf.DUMMYFUNCTION("""COMPUTED_VALUE"""),FALSE)</f>
        <v>0</v>
      </c>
    </row>
    <row r="750" hidden="1">
      <c r="A750" s="76" t="str">
        <f>IFERROR(__xludf.DUMMYFUNCTION("""COMPUTED_VALUE"""),"Dance of the Elements")</f>
        <v>Dance of the Elements</v>
      </c>
      <c r="B750" s="76" t="str">
        <f>IFERROR(__xludf.DUMMYFUNCTION("""COMPUTED_VALUE"""),"Sultai Arisen")</f>
        <v>Sultai Arisen</v>
      </c>
      <c r="C750" s="77">
        <f>IFERROR(__xludf.DUMMYFUNCTION("""COMPUTED_VALUE"""),0.0)</f>
        <v>0</v>
      </c>
      <c r="D750" s="77">
        <f>IFERROR(__xludf.DUMMYFUNCTION("""COMPUTED_VALUE"""),0.0)</f>
        <v>0</v>
      </c>
      <c r="E750" s="46" t="b">
        <f>IFERROR(__xludf.DUMMYFUNCTION("""COMPUTED_VALUE"""),TRUE)</f>
        <v>1</v>
      </c>
    </row>
    <row r="751" hidden="1">
      <c r="A751" s="78" t="str">
        <f>IFERROR(__xludf.DUMMYFUNCTION("""COMPUTED_VALUE"""),"Dance of the Elements")</f>
        <v>Dance of the Elements</v>
      </c>
      <c r="B751" s="78" t="str">
        <f>IFERROR(__xludf.DUMMYFUNCTION("""COMPUTED_VALUE"""),"Temur Roar")</f>
        <v>Temur Roar</v>
      </c>
      <c r="C751" s="79">
        <f>IFERROR(__xludf.DUMMYFUNCTION("""COMPUTED_VALUE"""),0.0)</f>
        <v>0</v>
      </c>
      <c r="D751" s="79">
        <f>IFERROR(__xludf.DUMMYFUNCTION("""COMPUTED_VALUE"""),0.0)</f>
        <v>0</v>
      </c>
      <c r="E751" s="69" t="b">
        <f>IFERROR(__xludf.DUMMYFUNCTION("""COMPUTED_VALUE"""),TRUE)</f>
        <v>1</v>
      </c>
    </row>
    <row r="752" hidden="1">
      <c r="A752" s="76" t="str">
        <f>IFERROR(__xludf.DUMMYFUNCTION("""COMPUTED_VALUE"""),"Dance of the Elements")</f>
        <v>Dance of the Elements</v>
      </c>
      <c r="B752" s="76" t="str">
        <f>IFERROR(__xludf.DUMMYFUNCTION("""COMPUTED_VALUE"""),"The Hosts of Mordor")</f>
        <v>The Hosts of Mordor</v>
      </c>
      <c r="C752" s="77">
        <f>IFERROR(__xludf.DUMMYFUNCTION("""COMPUTED_VALUE"""),0.0)</f>
        <v>0</v>
      </c>
      <c r="D752" s="77">
        <f>IFERROR(__xludf.DUMMYFUNCTION("""COMPUTED_VALUE"""),0.0)</f>
        <v>0</v>
      </c>
      <c r="E752" s="46" t="b">
        <f>IFERROR(__xludf.DUMMYFUNCTION("""COMPUTED_VALUE"""),TRUE)</f>
        <v>1</v>
      </c>
    </row>
    <row r="753" hidden="1">
      <c r="A753" s="76" t="str">
        <f>IFERROR(__xludf.DUMMYFUNCTION("""COMPUTED_VALUE"""),"Dance of the Elements")</f>
        <v>Dance of the Elements</v>
      </c>
      <c r="B753" s="76" t="str">
        <f>IFERROR(__xludf.DUMMYFUNCTION("""COMPUTED_VALUE"""),"The Ruinous Powers")</f>
        <v>The Ruinous Powers</v>
      </c>
      <c r="C753" s="77">
        <f>IFERROR(__xludf.DUMMYFUNCTION("""COMPUTED_VALUE"""),0.0)</f>
        <v>0</v>
      </c>
      <c r="D753" s="77">
        <f>IFERROR(__xludf.DUMMYFUNCTION("""COMPUTED_VALUE"""),0.0)</f>
        <v>0</v>
      </c>
      <c r="E753" s="46" t="b">
        <f>IFERROR(__xludf.DUMMYFUNCTION("""COMPUTED_VALUE"""),TRUE)</f>
        <v>1</v>
      </c>
    </row>
    <row r="754" hidden="1">
      <c r="A754" s="76" t="str">
        <f>IFERROR(__xludf.DUMMYFUNCTION("""COMPUTED_VALUE"""),"Dance of the Elements")</f>
        <v>Dance of the Elements</v>
      </c>
      <c r="B754" s="76" t="str">
        <f>IFERROR(__xludf.DUMMYFUNCTION("""COMPUTED_VALUE"""),"Timey-Wimey")</f>
        <v>Timey-Wimey</v>
      </c>
      <c r="C754" s="77">
        <f>IFERROR(__xludf.DUMMYFUNCTION("""COMPUTED_VALUE"""),1.0)</f>
        <v>1</v>
      </c>
      <c r="D754" s="77">
        <f>IFERROR(__xludf.DUMMYFUNCTION("""COMPUTED_VALUE"""),0.0)</f>
        <v>0</v>
      </c>
      <c r="E754" s="46" t="b">
        <f>IFERROR(__xludf.DUMMYFUNCTION("""COMPUTED_VALUE"""),FALSE)</f>
        <v>0</v>
      </c>
    </row>
    <row r="755" hidden="1">
      <c r="A755" s="78" t="str">
        <f>IFERROR(__xludf.DUMMYFUNCTION("""COMPUTED_VALUE"""),"Dance of the Elements")</f>
        <v>Dance of the Elements</v>
      </c>
      <c r="B755" s="78" t="str">
        <f>IFERROR(__xludf.DUMMYFUNCTION("""COMPUTED_VALUE"""),"Tinker Time")</f>
        <v>Tinker Time</v>
      </c>
      <c r="C755" s="79">
        <f>IFERROR(__xludf.DUMMYFUNCTION("""COMPUTED_VALUE"""),1.0)</f>
        <v>1</v>
      </c>
      <c r="D755" s="79">
        <f>IFERROR(__xludf.DUMMYFUNCTION("""COMPUTED_VALUE"""),0.0)</f>
        <v>0</v>
      </c>
      <c r="E755" s="69" t="b">
        <f>IFERROR(__xludf.DUMMYFUNCTION("""COMPUTED_VALUE"""),FALSE)</f>
        <v>0</v>
      </c>
    </row>
    <row r="756">
      <c r="A756" s="76" t="str">
        <f>IFERROR(__xludf.DUMMYFUNCTION("""COMPUTED_VALUE"""),"Dance of the Elements")</f>
        <v>Dance of the Elements</v>
      </c>
      <c r="B756" s="76" t="str">
        <f>IFERROR(__xludf.DUMMYFUNCTION("""COMPUTED_VALUE"""),"Turtle Power!")</f>
        <v>Turtle Power!</v>
      </c>
      <c r="C756" s="77">
        <f>IFERROR(__xludf.DUMMYFUNCTION("""COMPUTED_VALUE"""),0.0)</f>
        <v>0</v>
      </c>
      <c r="D756" s="77">
        <f>IFERROR(__xludf.DUMMYFUNCTION("""COMPUTED_VALUE"""),0.0)</f>
        <v>0</v>
      </c>
      <c r="E756" s="46" t="b">
        <f>IFERROR(__xludf.DUMMYFUNCTION("""COMPUTED_VALUE"""),TRUE)</f>
        <v>1</v>
      </c>
    </row>
    <row r="757" hidden="1">
      <c r="A757" s="78" t="str">
        <f>IFERROR(__xludf.DUMMYFUNCTION("""COMPUTED_VALUE"""),"Dance of the Elements")</f>
        <v>Dance of the Elements</v>
      </c>
      <c r="B757" s="78" t="str">
        <f>IFERROR(__xludf.DUMMYFUNCTION("""COMPUTED_VALUE"""),"Veloci-ramp-tor")</f>
        <v>Veloci-ramp-tor</v>
      </c>
      <c r="C757" s="79">
        <f>IFERROR(__xludf.DUMMYFUNCTION("""COMPUTED_VALUE"""),0.0)</f>
        <v>0</v>
      </c>
      <c r="D757" s="79">
        <f>IFERROR(__xludf.DUMMYFUNCTION("""COMPUTED_VALUE"""),0.0)</f>
        <v>0</v>
      </c>
      <c r="E757" s="69" t="b">
        <f>IFERROR(__xludf.DUMMYFUNCTION("""COMPUTED_VALUE"""),TRUE)</f>
        <v>1</v>
      </c>
    </row>
    <row r="758" hidden="1">
      <c r="A758" s="76" t="str">
        <f>IFERROR(__xludf.DUMMYFUNCTION("""COMPUTED_VALUE"""),"Deep Clue Sea")</f>
        <v>Deep Clue Sea</v>
      </c>
      <c r="B758" s="76" t="str">
        <f>IFERROR(__xludf.DUMMYFUNCTION("""COMPUTED_VALUE"""),"Ahoy Mateys")</f>
        <v>Ahoy Mateys</v>
      </c>
      <c r="C758" s="77">
        <f>IFERROR(__xludf.DUMMYFUNCTION("""COMPUTED_VALUE"""),0.0)</f>
        <v>0</v>
      </c>
      <c r="D758" s="77">
        <f>IFERROR(__xludf.DUMMYFUNCTION("""COMPUTED_VALUE"""),0.0)</f>
        <v>0</v>
      </c>
      <c r="E758" s="46" t="b">
        <f>IFERROR(__xludf.DUMMYFUNCTION("""COMPUTED_VALUE"""),TRUE)</f>
        <v>1</v>
      </c>
    </row>
    <row r="759" hidden="1">
      <c r="A759" s="76" t="str">
        <f>IFERROR(__xludf.DUMMYFUNCTION("""COMPUTED_VALUE"""),"Deep Clue Sea")</f>
        <v>Deep Clue Sea</v>
      </c>
      <c r="B759" s="76" t="str">
        <f>IFERROR(__xludf.DUMMYFUNCTION("""COMPUTED_VALUE"""),"Animated Army")</f>
        <v>Animated Army</v>
      </c>
      <c r="C759" s="77">
        <f>IFERROR(__xludf.DUMMYFUNCTION("""COMPUTED_VALUE"""),0.0)</f>
        <v>0</v>
      </c>
      <c r="D759" s="77">
        <f>IFERROR(__xludf.DUMMYFUNCTION("""COMPUTED_VALUE"""),0.0)</f>
        <v>0</v>
      </c>
      <c r="E759" s="46" t="b">
        <f>IFERROR(__xludf.DUMMYFUNCTION("""COMPUTED_VALUE"""),TRUE)</f>
        <v>1</v>
      </c>
    </row>
    <row r="760" hidden="1">
      <c r="A760" s="76" t="str">
        <f>IFERROR(__xludf.DUMMYFUNCTION("""COMPUTED_VALUE"""),"Deep Clue Sea")</f>
        <v>Deep Clue Sea</v>
      </c>
      <c r="B760" s="76" t="str">
        <f>IFERROR(__xludf.DUMMYFUNCTION("""COMPUTED_VALUE"""),"Arcane Maelstrom")</f>
        <v>Arcane Maelstrom</v>
      </c>
      <c r="C760" s="77">
        <f>IFERROR(__xludf.DUMMYFUNCTION("""COMPUTED_VALUE"""),0.0)</f>
        <v>0</v>
      </c>
      <c r="D760" s="77">
        <f>IFERROR(__xludf.DUMMYFUNCTION("""COMPUTED_VALUE"""),0.0)</f>
        <v>0</v>
      </c>
      <c r="E760" s="46" t="b">
        <f>IFERROR(__xludf.DUMMYFUNCTION("""COMPUTED_VALUE"""),TRUE)</f>
        <v>1</v>
      </c>
    </row>
    <row r="761" hidden="1">
      <c r="A761" s="78" t="str">
        <f>IFERROR(__xludf.DUMMYFUNCTION("""COMPUTED_VALUE"""),"Deep Clue Sea")</f>
        <v>Deep Clue Sea</v>
      </c>
      <c r="B761" s="78" t="str">
        <f>IFERROR(__xludf.DUMMYFUNCTION("""COMPUTED_VALUE"""),"Blame Game")</f>
        <v>Blame Game</v>
      </c>
      <c r="C761" s="79">
        <f>IFERROR(__xludf.DUMMYFUNCTION("""COMPUTED_VALUE"""),0.0)</f>
        <v>0</v>
      </c>
      <c r="D761" s="79">
        <f>IFERROR(__xludf.DUMMYFUNCTION("""COMPUTED_VALUE"""),0.0)</f>
        <v>0</v>
      </c>
      <c r="E761" s="69" t="b">
        <f>IFERROR(__xludf.DUMMYFUNCTION("""COMPUTED_VALUE"""),TRUE)</f>
        <v>1</v>
      </c>
    </row>
    <row r="762" hidden="1">
      <c r="A762" s="78" t="str">
        <f>IFERROR(__xludf.DUMMYFUNCTION("""COMPUTED_VALUE"""),"Deep Clue Sea")</f>
        <v>Deep Clue Sea</v>
      </c>
      <c r="B762" s="78" t="str">
        <f>IFERROR(__xludf.DUMMYFUNCTION("""COMPUTED_VALUE"""),"Blight Curse")</f>
        <v>Blight Curse</v>
      </c>
      <c r="C762" s="79">
        <f>IFERROR(__xludf.DUMMYFUNCTION("""COMPUTED_VALUE"""),0.0)</f>
        <v>0</v>
      </c>
      <c r="D762" s="79">
        <f>IFERROR(__xludf.DUMMYFUNCTION("""COMPUTED_VALUE"""),0.0)</f>
        <v>0</v>
      </c>
      <c r="E762" s="69" t="b">
        <f>IFERROR(__xludf.DUMMYFUNCTION("""COMPUTED_VALUE"""),TRUE)</f>
        <v>1</v>
      </c>
    </row>
    <row r="763" hidden="1">
      <c r="A763" s="76" t="str">
        <f>IFERROR(__xludf.DUMMYFUNCTION("""COMPUTED_VALUE"""),"Deep Clue Sea")</f>
        <v>Deep Clue Sea</v>
      </c>
      <c r="B763" s="76" t="str">
        <f>IFERROR(__xludf.DUMMYFUNCTION("""COMPUTED_VALUE"""),"Blood Rites")</f>
        <v>Blood Rites</v>
      </c>
      <c r="C763" s="77">
        <f>IFERROR(__xludf.DUMMYFUNCTION("""COMPUTED_VALUE"""),0.0)</f>
        <v>0</v>
      </c>
      <c r="D763" s="77">
        <f>IFERROR(__xludf.DUMMYFUNCTION("""COMPUTED_VALUE"""),0.0)</f>
        <v>0</v>
      </c>
      <c r="E763" s="46" t="b">
        <f>IFERROR(__xludf.DUMMYFUNCTION("""COMPUTED_VALUE"""),TRUE)</f>
        <v>1</v>
      </c>
    </row>
    <row r="764" hidden="1">
      <c r="A764" s="76" t="str">
        <f>IFERROR(__xludf.DUMMYFUNCTION("""COMPUTED_VALUE"""),"Deep Clue Sea")</f>
        <v>Deep Clue Sea</v>
      </c>
      <c r="B764" s="76" t="str">
        <f>IFERROR(__xludf.DUMMYFUNCTION("""COMPUTED_VALUE"""),"Buckle Up")</f>
        <v>Buckle Up</v>
      </c>
      <c r="C764" s="77">
        <f>IFERROR(__xludf.DUMMYFUNCTION("""COMPUTED_VALUE"""),0.0)</f>
        <v>0</v>
      </c>
      <c r="D764" s="77">
        <f>IFERROR(__xludf.DUMMYFUNCTION("""COMPUTED_VALUE"""),0.0)</f>
        <v>0</v>
      </c>
      <c r="E764" s="46" t="b">
        <f>IFERROR(__xludf.DUMMYFUNCTION("""COMPUTED_VALUE"""),TRUE)</f>
        <v>1</v>
      </c>
    </row>
    <row r="765" hidden="1">
      <c r="A765" s="76" t="str">
        <f>IFERROR(__xludf.DUMMYFUNCTION("""COMPUTED_VALUE"""),"Deep Clue Sea")</f>
        <v>Deep Clue Sea</v>
      </c>
      <c r="B765" s="76" t="str">
        <f>IFERROR(__xludf.DUMMYFUNCTION("""COMPUTED_VALUE"""),"Cabaretti Cacophony")</f>
        <v>Cabaretti Cacophony</v>
      </c>
      <c r="C765" s="77">
        <f>IFERROR(__xludf.DUMMYFUNCTION("""COMPUTED_VALUE"""),0.0)</f>
        <v>0</v>
      </c>
      <c r="D765" s="77">
        <f>IFERROR(__xludf.DUMMYFUNCTION("""COMPUTED_VALUE"""),0.0)</f>
        <v>0</v>
      </c>
      <c r="E765" s="46" t="b">
        <f>IFERROR(__xludf.DUMMYFUNCTION("""COMPUTED_VALUE"""),TRUE)</f>
        <v>1</v>
      </c>
    </row>
    <row r="766" hidden="1">
      <c r="A766" s="78" t="str">
        <f>IFERROR(__xludf.DUMMYFUNCTION("""COMPUTED_VALUE"""),"Deep Clue Sea")</f>
        <v>Deep Clue Sea</v>
      </c>
      <c r="B766" s="78" t="str">
        <f>IFERROR(__xludf.DUMMYFUNCTION("""COMPUTED_VALUE"""),"Cavalry Charge")</f>
        <v>Cavalry Charge</v>
      </c>
      <c r="C766" s="79">
        <f>IFERROR(__xludf.DUMMYFUNCTION("""COMPUTED_VALUE"""),0.0)</f>
        <v>0</v>
      </c>
      <c r="D766" s="79">
        <f>IFERROR(__xludf.DUMMYFUNCTION("""COMPUTED_VALUE"""),0.0)</f>
        <v>0</v>
      </c>
      <c r="E766" s="69" t="b">
        <f>IFERROR(__xludf.DUMMYFUNCTION("""COMPUTED_VALUE"""),TRUE)</f>
        <v>1</v>
      </c>
    </row>
    <row r="767" hidden="1">
      <c r="A767" s="78" t="str">
        <f>IFERROR(__xludf.DUMMYFUNCTION("""COMPUTED_VALUE"""),"Deep Clue Sea")</f>
        <v>Deep Clue Sea</v>
      </c>
      <c r="B767" s="78" t="str">
        <f>IFERROR(__xludf.DUMMYFUNCTION("""COMPUTED_VALUE"""),"Corrupting Influence")</f>
        <v>Corrupting Influence</v>
      </c>
      <c r="C767" s="79">
        <f>IFERROR(__xludf.DUMMYFUNCTION("""COMPUTED_VALUE"""),0.0)</f>
        <v>0</v>
      </c>
      <c r="D767" s="79">
        <f>IFERROR(__xludf.DUMMYFUNCTION("""COMPUTED_VALUE"""),0.0)</f>
        <v>0</v>
      </c>
      <c r="E767" s="69" t="b">
        <f>IFERROR(__xludf.DUMMYFUNCTION("""COMPUTED_VALUE"""),TRUE)</f>
        <v>1</v>
      </c>
    </row>
    <row r="768">
      <c r="A768" s="76" t="str">
        <f>IFERROR(__xludf.DUMMYFUNCTION("""COMPUTED_VALUE"""),"Deep Clue Sea")</f>
        <v>Deep Clue Sea</v>
      </c>
      <c r="B768" s="76" t="str">
        <f>IFERROR(__xludf.DUMMYFUNCTION("""COMPUTED_VALUE"""),"Counter Blitz")</f>
        <v>Counter Blitz</v>
      </c>
      <c r="C768" s="77">
        <f>IFERROR(__xludf.DUMMYFUNCTION("""COMPUTED_VALUE"""),0.0)</f>
        <v>0</v>
      </c>
      <c r="D768" s="77">
        <f>IFERROR(__xludf.DUMMYFUNCTION("""COMPUTED_VALUE"""),0.0)</f>
        <v>0</v>
      </c>
      <c r="E768" s="46" t="b">
        <f>IFERROR(__xludf.DUMMYFUNCTION("""COMPUTED_VALUE"""),TRUE)</f>
        <v>1</v>
      </c>
    </row>
    <row r="769" hidden="1">
      <c r="A769" s="76" t="str">
        <f>IFERROR(__xludf.DUMMYFUNCTION("""COMPUTED_VALUE"""),"Deep Clue Sea")</f>
        <v>Deep Clue Sea</v>
      </c>
      <c r="B769" s="76" t="str">
        <f>IFERROR(__xludf.DUMMYFUNCTION("""COMPUTED_VALUE"""),"Counter Intelligence")</f>
        <v>Counter Intelligence</v>
      </c>
      <c r="C769" s="77">
        <f>IFERROR(__xludf.DUMMYFUNCTION("""COMPUTED_VALUE"""),0.0)</f>
        <v>0</v>
      </c>
      <c r="D769" s="77">
        <f>IFERROR(__xludf.DUMMYFUNCTION("""COMPUTED_VALUE"""),0.0)</f>
        <v>0</v>
      </c>
      <c r="E769" s="46" t="b">
        <f>IFERROR(__xludf.DUMMYFUNCTION("""COMPUTED_VALUE"""),TRUE)</f>
        <v>1</v>
      </c>
    </row>
    <row r="770" hidden="1">
      <c r="A770" s="76" t="str">
        <f>IFERROR(__xludf.DUMMYFUNCTION("""COMPUTED_VALUE"""),"Deep Clue Sea")</f>
        <v>Deep Clue Sea</v>
      </c>
      <c r="B770" s="76" t="str">
        <f>IFERROR(__xludf.DUMMYFUNCTION("""COMPUTED_VALUE"""),"Creative Energy")</f>
        <v>Creative Energy</v>
      </c>
      <c r="C770" s="77">
        <f>IFERROR(__xludf.DUMMYFUNCTION("""COMPUTED_VALUE"""),0.0)</f>
        <v>0</v>
      </c>
      <c r="D770" s="77">
        <f>IFERROR(__xludf.DUMMYFUNCTION("""COMPUTED_VALUE"""),0.0)</f>
        <v>0</v>
      </c>
      <c r="E770" s="46" t="b">
        <f>IFERROR(__xludf.DUMMYFUNCTION("""COMPUTED_VALUE"""),TRUE)</f>
        <v>1</v>
      </c>
    </row>
    <row r="771" hidden="1">
      <c r="A771" s="76" t="str">
        <f>IFERROR(__xludf.DUMMYFUNCTION("""COMPUTED_VALUE"""),"Deep Clue Sea")</f>
        <v>Deep Clue Sea</v>
      </c>
      <c r="B771" s="76" t="str">
        <f>IFERROR(__xludf.DUMMYFUNCTION("""COMPUTED_VALUE"""),"Dance of the Elements")</f>
        <v>Dance of the Elements</v>
      </c>
      <c r="C771" s="77">
        <f>IFERROR(__xludf.DUMMYFUNCTION("""COMPUTED_VALUE"""),0.0)</f>
        <v>0</v>
      </c>
      <c r="D771" s="77">
        <f>IFERROR(__xludf.DUMMYFUNCTION("""COMPUTED_VALUE"""),0.0)</f>
        <v>0</v>
      </c>
      <c r="E771" s="46" t="b">
        <f>IFERROR(__xludf.DUMMYFUNCTION("""COMPUTED_VALUE"""),TRUE)</f>
        <v>1</v>
      </c>
    </row>
    <row r="772" hidden="1">
      <c r="A772" s="76" t="str">
        <f>IFERROR(__xludf.DUMMYFUNCTION("""COMPUTED_VALUE"""),"Deep Clue Sea")</f>
        <v>Deep Clue Sea</v>
      </c>
      <c r="B772" s="76" t="str">
        <f>IFERROR(__xludf.DUMMYFUNCTION("""COMPUTED_VALUE"""),"Deep Clue Sea")</f>
        <v>Deep Clue Sea</v>
      </c>
      <c r="C772" s="77">
        <f>IFERROR(__xludf.DUMMYFUNCTION("""COMPUTED_VALUE"""),2.0)</f>
        <v>2</v>
      </c>
      <c r="D772" s="77">
        <f>IFERROR(__xludf.DUMMYFUNCTION("""COMPUTED_VALUE"""),2.0)</f>
        <v>2</v>
      </c>
      <c r="E772" s="46" t="b">
        <f>IFERROR(__xludf.DUMMYFUNCTION("""COMPUTED_VALUE"""),TRUE)</f>
        <v>1</v>
      </c>
    </row>
    <row r="773" hidden="1">
      <c r="A773" s="76" t="str">
        <f>IFERROR(__xludf.DUMMYFUNCTION("""COMPUTED_VALUE"""),"Deep Clue Sea")</f>
        <v>Deep Clue Sea</v>
      </c>
      <c r="B773" s="76" t="str">
        <f>IFERROR(__xludf.DUMMYFUNCTION("""COMPUTED_VALUE"""),"Doom Prevails")</f>
        <v>Doom Prevails</v>
      </c>
      <c r="C773" s="77">
        <f>IFERROR(__xludf.DUMMYFUNCTION("""COMPUTED_VALUE"""),0.0)</f>
        <v>0</v>
      </c>
      <c r="D773" s="77">
        <f>IFERROR(__xludf.DUMMYFUNCTION("""COMPUTED_VALUE"""),0.0)</f>
        <v>0</v>
      </c>
      <c r="E773" s="46" t="b">
        <f>IFERROR(__xludf.DUMMYFUNCTION("""COMPUTED_VALUE"""),TRUE)</f>
        <v>1</v>
      </c>
    </row>
    <row r="774" hidden="1">
      <c r="A774" s="76" t="str">
        <f>IFERROR(__xludf.DUMMYFUNCTION("""COMPUTED_VALUE"""),"Deep Clue Sea")</f>
        <v>Deep Clue Sea</v>
      </c>
      <c r="B774" s="76" t="str">
        <f>IFERROR(__xludf.DUMMYFUNCTION("""COMPUTED_VALUE"""),"Eldrazi Incursion")</f>
        <v>Eldrazi Incursion</v>
      </c>
      <c r="C774" s="77">
        <f>IFERROR(__xludf.DUMMYFUNCTION("""COMPUTED_VALUE"""),0.0)</f>
        <v>0</v>
      </c>
      <c r="D774" s="77">
        <f>IFERROR(__xludf.DUMMYFUNCTION("""COMPUTED_VALUE"""),0.0)</f>
        <v>0</v>
      </c>
      <c r="E774" s="46" t="b">
        <f>IFERROR(__xludf.DUMMYFUNCTION("""COMPUTED_VALUE"""),TRUE)</f>
        <v>1</v>
      </c>
    </row>
    <row r="775" hidden="1">
      <c r="A775" s="76" t="str">
        <f>IFERROR(__xludf.DUMMYFUNCTION("""COMPUTED_VALUE"""),"Deep Clue Sea")</f>
        <v>Deep Clue Sea</v>
      </c>
      <c r="B775" s="76" t="str">
        <f>IFERROR(__xludf.DUMMYFUNCTION("""COMPUTED_VALUE"""),"Eldrazi Unbound")</f>
        <v>Eldrazi Unbound</v>
      </c>
      <c r="C775" s="77">
        <f>IFERROR(__xludf.DUMMYFUNCTION("""COMPUTED_VALUE"""),0.0)</f>
        <v>0</v>
      </c>
      <c r="D775" s="77">
        <f>IFERROR(__xludf.DUMMYFUNCTION("""COMPUTED_VALUE"""),0.0)</f>
        <v>0</v>
      </c>
      <c r="E775" s="46" t="b">
        <f>IFERROR(__xludf.DUMMYFUNCTION("""COMPUTED_VALUE"""),TRUE)</f>
        <v>1</v>
      </c>
    </row>
    <row r="776" hidden="1">
      <c r="A776" s="76" t="str">
        <f>IFERROR(__xludf.DUMMYFUNCTION("""COMPUTED_VALUE"""),"Deep Clue Sea")</f>
        <v>Deep Clue Sea</v>
      </c>
      <c r="B776" s="76" t="str">
        <f>IFERROR(__xludf.DUMMYFUNCTION("""COMPUTED_VALUE"""),"Endless Punishment")</f>
        <v>Endless Punishment</v>
      </c>
      <c r="C776" s="77">
        <f>IFERROR(__xludf.DUMMYFUNCTION("""COMPUTED_VALUE"""),0.0)</f>
        <v>0</v>
      </c>
      <c r="D776" s="77">
        <f>IFERROR(__xludf.DUMMYFUNCTION("""COMPUTED_VALUE"""),1.0)</f>
        <v>1</v>
      </c>
      <c r="E776" s="46" t="b">
        <f>IFERROR(__xludf.DUMMYFUNCTION("""COMPUTED_VALUE"""),FALSE)</f>
        <v>0</v>
      </c>
    </row>
    <row r="777" hidden="1">
      <c r="A777" s="76" t="str">
        <f>IFERROR(__xludf.DUMMYFUNCTION("""COMPUTED_VALUE"""),"Deep Clue Sea")</f>
        <v>Deep Clue Sea</v>
      </c>
      <c r="B777" s="76" t="str">
        <f>IFERROR(__xludf.DUMMYFUNCTION("""COMPUTED_VALUE"""),"Enduring Enchantments")</f>
        <v>Enduring Enchantments</v>
      </c>
      <c r="C777" s="77">
        <f>IFERROR(__xludf.DUMMYFUNCTION("""COMPUTED_VALUE"""),0.0)</f>
        <v>0</v>
      </c>
      <c r="D777" s="77">
        <f>IFERROR(__xludf.DUMMYFUNCTION("""COMPUTED_VALUE"""),0.0)</f>
        <v>0</v>
      </c>
      <c r="E777" s="46" t="b">
        <f>IFERROR(__xludf.DUMMYFUNCTION("""COMPUTED_VALUE"""),TRUE)</f>
        <v>1</v>
      </c>
    </row>
    <row r="778" hidden="1">
      <c r="A778" s="76" t="str">
        <f>IFERROR(__xludf.DUMMYFUNCTION("""COMPUTED_VALUE"""),"Deep Clue Sea")</f>
        <v>Deep Clue Sea</v>
      </c>
      <c r="B778" s="76" t="str">
        <f>IFERROR(__xludf.DUMMYFUNCTION("""COMPUTED_VALUE"""),"Explorers of the Deep")</f>
        <v>Explorers of the Deep</v>
      </c>
      <c r="C778" s="77">
        <f>IFERROR(__xludf.DUMMYFUNCTION("""COMPUTED_VALUE"""),1.0)</f>
        <v>1</v>
      </c>
      <c r="D778" s="77">
        <f>IFERROR(__xludf.DUMMYFUNCTION("""COMPUTED_VALUE"""),0.0)</f>
        <v>0</v>
      </c>
      <c r="E778" s="46" t="b">
        <f>IFERROR(__xludf.DUMMYFUNCTION("""COMPUTED_VALUE"""),FALSE)</f>
        <v>0</v>
      </c>
    </row>
    <row r="779" hidden="1">
      <c r="A779" s="76" t="str">
        <f>IFERROR(__xludf.DUMMYFUNCTION("""COMPUTED_VALUE"""),"Deep Clue Sea")</f>
        <v>Deep Clue Sea</v>
      </c>
      <c r="B779" s="76" t="str">
        <f>IFERROR(__xludf.DUMMYFUNCTION("""COMPUTED_VALUE"""),"Family Matters")</f>
        <v>Family Matters</v>
      </c>
      <c r="C779" s="77">
        <f>IFERROR(__xludf.DUMMYFUNCTION("""COMPUTED_VALUE"""),0.0)</f>
        <v>0</v>
      </c>
      <c r="D779" s="77">
        <f>IFERROR(__xludf.DUMMYFUNCTION("""COMPUTED_VALUE"""),0.0)</f>
        <v>0</v>
      </c>
      <c r="E779" s="46" t="b">
        <f>IFERROR(__xludf.DUMMYFUNCTION("""COMPUTED_VALUE"""),TRUE)</f>
        <v>1</v>
      </c>
    </row>
    <row r="780" hidden="1">
      <c r="A780" s="76" t="str">
        <f>IFERROR(__xludf.DUMMYFUNCTION("""COMPUTED_VALUE"""),"Deep Clue Sea")</f>
        <v>Deep Clue Sea</v>
      </c>
      <c r="B780" s="76" t="str">
        <f>IFERROR(__xludf.DUMMYFUNCTION("""COMPUTED_VALUE"""),"Food and Fellowship")</f>
        <v>Food and Fellowship</v>
      </c>
      <c r="C780" s="77">
        <f>IFERROR(__xludf.DUMMYFUNCTION("""COMPUTED_VALUE"""),0.0)</f>
        <v>0</v>
      </c>
      <c r="D780" s="77">
        <f>IFERROR(__xludf.DUMMYFUNCTION("""COMPUTED_VALUE"""),0.0)</f>
        <v>0</v>
      </c>
      <c r="E780" s="46" t="b">
        <f>IFERROR(__xludf.DUMMYFUNCTION("""COMPUTED_VALUE"""),TRUE)</f>
        <v>1</v>
      </c>
    </row>
    <row r="781" hidden="1">
      <c r="A781" s="76" t="str">
        <f>IFERROR(__xludf.DUMMYFUNCTION("""COMPUTED_VALUE"""),"Deep Clue Sea")</f>
        <v>Deep Clue Sea</v>
      </c>
      <c r="B781" s="76" t="str">
        <f>IFERROR(__xludf.DUMMYFUNCTION("""COMPUTED_VALUE"""),"Jeskai Striker")</f>
        <v>Jeskai Striker</v>
      </c>
      <c r="C781" s="77">
        <f>IFERROR(__xludf.DUMMYFUNCTION("""COMPUTED_VALUE"""),0.0)</f>
        <v>0</v>
      </c>
      <c r="D781" s="77">
        <f>IFERROR(__xludf.DUMMYFUNCTION("""COMPUTED_VALUE"""),0.0)</f>
        <v>0</v>
      </c>
      <c r="E781" s="46" t="b">
        <f>IFERROR(__xludf.DUMMYFUNCTION("""COMPUTED_VALUE"""),TRUE)</f>
        <v>1</v>
      </c>
    </row>
    <row r="782" hidden="1">
      <c r="A782" s="76" t="str">
        <f>IFERROR(__xludf.DUMMYFUNCTION("""COMPUTED_VALUE"""),"Deep Clue Sea")</f>
        <v>Deep Clue Sea</v>
      </c>
      <c r="B782" s="76" t="str">
        <f>IFERROR(__xludf.DUMMYFUNCTION("""COMPUTED_VALUE"""),"Legends' Legacy")</f>
        <v>Legends' Legacy</v>
      </c>
      <c r="C782" s="77">
        <f>IFERROR(__xludf.DUMMYFUNCTION("""COMPUTED_VALUE"""),1.0)</f>
        <v>1</v>
      </c>
      <c r="D782" s="77">
        <f>IFERROR(__xludf.DUMMYFUNCTION("""COMPUTED_VALUE"""),0.0)</f>
        <v>0</v>
      </c>
      <c r="E782" s="46" t="b">
        <f>IFERROR(__xludf.DUMMYFUNCTION("""COMPUTED_VALUE"""),FALSE)</f>
        <v>0</v>
      </c>
    </row>
    <row r="783" hidden="1">
      <c r="A783" s="76" t="str">
        <f>IFERROR(__xludf.DUMMYFUNCTION("""COMPUTED_VALUE"""),"Deep Clue Sea")</f>
        <v>Deep Clue Sea</v>
      </c>
      <c r="B783" s="76" t="str">
        <f>IFERROR(__xludf.DUMMYFUNCTION("""COMPUTED_VALUE"""),"Limit Break")</f>
        <v>Limit Break</v>
      </c>
      <c r="C783" s="77">
        <f>IFERROR(__xludf.DUMMYFUNCTION("""COMPUTED_VALUE"""),0.0)</f>
        <v>0</v>
      </c>
      <c r="D783" s="77">
        <f>IFERROR(__xludf.DUMMYFUNCTION("""COMPUTED_VALUE"""),0.0)</f>
        <v>0</v>
      </c>
      <c r="E783" s="46" t="b">
        <f>IFERROR(__xludf.DUMMYFUNCTION("""COMPUTED_VALUE"""),TRUE)</f>
        <v>1</v>
      </c>
    </row>
    <row r="784" hidden="1">
      <c r="A784" s="76" t="str">
        <f>IFERROR(__xludf.DUMMYFUNCTION("""COMPUTED_VALUE"""),"Deep Clue Sea")</f>
        <v>Deep Clue Sea</v>
      </c>
      <c r="B784" s="76" t="str">
        <f>IFERROR(__xludf.DUMMYFUNCTION("""COMPUTED_VALUE"""),"Lorehold Spirit")</f>
        <v>Lorehold Spirit</v>
      </c>
      <c r="C784" s="77">
        <f>IFERROR(__xludf.DUMMYFUNCTION("""COMPUTED_VALUE"""),0.0)</f>
        <v>0</v>
      </c>
      <c r="D784" s="77">
        <f>IFERROR(__xludf.DUMMYFUNCTION("""COMPUTED_VALUE"""),0.0)</f>
        <v>0</v>
      </c>
      <c r="E784" s="46" t="b">
        <f>IFERROR(__xludf.DUMMYFUNCTION("""COMPUTED_VALUE"""),TRUE)</f>
        <v>1</v>
      </c>
    </row>
    <row r="785" hidden="1">
      <c r="A785" s="76" t="str">
        <f>IFERROR(__xludf.DUMMYFUNCTION("""COMPUTED_VALUE"""),"Deep Clue Sea")</f>
        <v>Deep Clue Sea</v>
      </c>
      <c r="B785" s="76" t="str">
        <f>IFERROR(__xludf.DUMMYFUNCTION("""COMPUTED_VALUE"""),"Mutant Menace")</f>
        <v>Mutant Menace</v>
      </c>
      <c r="C785" s="77">
        <f>IFERROR(__xludf.DUMMYFUNCTION("""COMPUTED_VALUE"""),0.0)</f>
        <v>0</v>
      </c>
      <c r="D785" s="77">
        <f>IFERROR(__xludf.DUMMYFUNCTION("""COMPUTED_VALUE"""),0.0)</f>
        <v>0</v>
      </c>
      <c r="E785" s="46" t="b">
        <f>IFERROR(__xludf.DUMMYFUNCTION("""COMPUTED_VALUE"""),TRUE)</f>
        <v>1</v>
      </c>
    </row>
    <row r="786" hidden="1">
      <c r="A786" s="76" t="str">
        <f>IFERROR(__xludf.DUMMYFUNCTION("""COMPUTED_VALUE"""),"Deep Clue Sea")</f>
        <v>Deep Clue Sea</v>
      </c>
      <c r="B786" s="76" t="str">
        <f>IFERROR(__xludf.DUMMYFUNCTION("""COMPUTED_VALUE"""),"Party Time")</f>
        <v>Party Time</v>
      </c>
      <c r="C786" s="77">
        <f>IFERROR(__xludf.DUMMYFUNCTION("""COMPUTED_VALUE"""),0.0)</f>
        <v>0</v>
      </c>
      <c r="D786" s="77">
        <f>IFERROR(__xludf.DUMMYFUNCTION("""COMPUTED_VALUE"""),0.0)</f>
        <v>0</v>
      </c>
      <c r="E786" s="46" t="b">
        <f>IFERROR(__xludf.DUMMYFUNCTION("""COMPUTED_VALUE"""),TRUE)</f>
        <v>1</v>
      </c>
    </row>
    <row r="787" hidden="1">
      <c r="A787" s="78" t="str">
        <f>IFERROR(__xludf.DUMMYFUNCTION("""COMPUTED_VALUE"""),"Deep Clue Sea")</f>
        <v>Deep Clue Sea</v>
      </c>
      <c r="B787" s="78" t="str">
        <f>IFERROR(__xludf.DUMMYFUNCTION("""COMPUTED_VALUE"""),"Peace Offering")</f>
        <v>Peace Offering</v>
      </c>
      <c r="C787" s="79">
        <f>IFERROR(__xludf.DUMMYFUNCTION("""COMPUTED_VALUE"""),0.0)</f>
        <v>0</v>
      </c>
      <c r="D787" s="79">
        <f>IFERROR(__xludf.DUMMYFUNCTION("""COMPUTED_VALUE"""),0.0)</f>
        <v>0</v>
      </c>
      <c r="E787" s="69" t="b">
        <f>IFERROR(__xludf.DUMMYFUNCTION("""COMPUTED_VALUE"""),TRUE)</f>
        <v>1</v>
      </c>
    </row>
    <row r="788" hidden="1">
      <c r="A788" s="76" t="str">
        <f>IFERROR(__xludf.DUMMYFUNCTION("""COMPUTED_VALUE"""),"Deep Clue Sea")</f>
        <v>Deep Clue Sea</v>
      </c>
      <c r="B788" s="76" t="str">
        <f>IFERROR(__xludf.DUMMYFUNCTION("""COMPUTED_VALUE"""),"Power Hungry")</f>
        <v>Power Hungry</v>
      </c>
      <c r="C788" s="77">
        <f>IFERROR(__xludf.DUMMYFUNCTION("""COMPUTED_VALUE"""),0.0)</f>
        <v>0</v>
      </c>
      <c r="D788" s="77">
        <f>IFERROR(__xludf.DUMMYFUNCTION("""COMPUTED_VALUE"""),0.0)</f>
        <v>0</v>
      </c>
      <c r="E788" s="46" t="b">
        <f>IFERROR(__xludf.DUMMYFUNCTION("""COMPUTED_VALUE"""),TRUE)</f>
        <v>1</v>
      </c>
    </row>
    <row r="789" hidden="1">
      <c r="A789" s="76" t="str">
        <f>IFERROR(__xludf.DUMMYFUNCTION("""COMPUTED_VALUE"""),"Deep Clue Sea")</f>
        <v>Deep Clue Sea</v>
      </c>
      <c r="B789" s="76" t="str">
        <f>IFERROR(__xludf.DUMMYFUNCTION("""COMPUTED_VALUE"""),"Primal Genesis")</f>
        <v>Primal Genesis</v>
      </c>
      <c r="C789" s="77">
        <f>IFERROR(__xludf.DUMMYFUNCTION("""COMPUTED_VALUE"""),0.0)</f>
        <v>0</v>
      </c>
      <c r="D789" s="77">
        <f>IFERROR(__xludf.DUMMYFUNCTION("""COMPUTED_VALUE"""),0.0)</f>
        <v>0</v>
      </c>
      <c r="E789" s="46" t="b">
        <f>IFERROR(__xludf.DUMMYFUNCTION("""COMPUTED_VALUE"""),TRUE)</f>
        <v>1</v>
      </c>
    </row>
    <row r="790" hidden="1">
      <c r="A790" s="76" t="str">
        <f>IFERROR(__xludf.DUMMYFUNCTION("""COMPUTED_VALUE"""),"Deep Clue Sea")</f>
        <v>Deep Clue Sea</v>
      </c>
      <c r="B790" s="76" t="str">
        <f>IFERROR(__xludf.DUMMYFUNCTION("""COMPUTED_VALUE"""),"Prismari Artistry")</f>
        <v>Prismari Artistry</v>
      </c>
      <c r="C790" s="77">
        <f>IFERROR(__xludf.DUMMYFUNCTION("""COMPUTED_VALUE"""),0.0)</f>
        <v>0</v>
      </c>
      <c r="D790" s="77">
        <f>IFERROR(__xludf.DUMMYFUNCTION("""COMPUTED_VALUE"""),0.0)</f>
        <v>0</v>
      </c>
      <c r="E790" s="46" t="b">
        <f>IFERROR(__xludf.DUMMYFUNCTION("""COMPUTED_VALUE"""),TRUE)</f>
        <v>1</v>
      </c>
    </row>
    <row r="791" hidden="1">
      <c r="A791" s="78" t="str">
        <f>IFERROR(__xludf.DUMMYFUNCTION("""COMPUTED_VALUE"""),"Deep Clue Sea")</f>
        <v>Deep Clue Sea</v>
      </c>
      <c r="B791" s="78" t="str">
        <f>IFERROR(__xludf.DUMMYFUNCTION("""COMPUTED_VALUE"""),"Prismari Performance")</f>
        <v>Prismari Performance</v>
      </c>
      <c r="C791" s="79">
        <f>IFERROR(__xludf.DUMMYFUNCTION("""COMPUTED_VALUE"""),0.0)</f>
        <v>0</v>
      </c>
      <c r="D791" s="79">
        <f>IFERROR(__xludf.DUMMYFUNCTION("""COMPUTED_VALUE"""),0.0)</f>
        <v>0</v>
      </c>
      <c r="E791" s="69" t="b">
        <f>IFERROR(__xludf.DUMMYFUNCTION("""COMPUTED_VALUE"""),TRUE)</f>
        <v>1</v>
      </c>
    </row>
    <row r="792" hidden="1">
      <c r="A792" s="78" t="str">
        <f>IFERROR(__xludf.DUMMYFUNCTION("""COMPUTED_VALUE"""),"Deep Clue Sea")</f>
        <v>Deep Clue Sea</v>
      </c>
      <c r="B792" s="78" t="str">
        <f>IFERROR(__xludf.DUMMYFUNCTION("""COMPUTED_VALUE"""),"Quandrix Unlimited")</f>
        <v>Quandrix Unlimited</v>
      </c>
      <c r="C792" s="79">
        <f>IFERROR(__xludf.DUMMYFUNCTION("""COMPUTED_VALUE"""),0.0)</f>
        <v>0</v>
      </c>
      <c r="D792" s="79">
        <f>IFERROR(__xludf.DUMMYFUNCTION("""COMPUTED_VALUE"""),2.0)</f>
        <v>2</v>
      </c>
      <c r="E792" s="69" t="b">
        <f>IFERROR(__xludf.DUMMYFUNCTION("""COMPUTED_VALUE"""),FALSE)</f>
        <v>0</v>
      </c>
    </row>
    <row r="793" hidden="1">
      <c r="A793" s="76" t="str">
        <f>IFERROR(__xludf.DUMMYFUNCTION("""COMPUTED_VALUE"""),"Deep Clue Sea")</f>
        <v>Deep Clue Sea</v>
      </c>
      <c r="B793" s="76" t="str">
        <f>IFERROR(__xludf.DUMMYFUNCTION("""COMPUTED_VALUE"""),"Quick Draw")</f>
        <v>Quick Draw</v>
      </c>
      <c r="C793" s="77">
        <f>IFERROR(__xludf.DUMMYFUNCTION("""COMPUTED_VALUE"""),0.0)</f>
        <v>0</v>
      </c>
      <c r="D793" s="77">
        <f>IFERROR(__xludf.DUMMYFUNCTION("""COMPUTED_VALUE"""),0.0)</f>
        <v>0</v>
      </c>
      <c r="E793" s="46" t="b">
        <f>IFERROR(__xludf.DUMMYFUNCTION("""COMPUTED_VALUE"""),TRUE)</f>
        <v>1</v>
      </c>
    </row>
    <row r="794" hidden="1">
      <c r="A794" s="76" t="str">
        <f>IFERROR(__xludf.DUMMYFUNCTION("""COMPUTED_VALUE"""),"Deep Clue Sea")</f>
        <v>Deep Clue Sea</v>
      </c>
      <c r="B794" s="76" t="str">
        <f>IFERROR(__xludf.DUMMYFUNCTION("""COMPUTED_VALUE"""),"Reap the Tides")</f>
        <v>Reap the Tides</v>
      </c>
      <c r="C794" s="77">
        <f>IFERROR(__xludf.DUMMYFUNCTION("""COMPUTED_VALUE"""),0.0)</f>
        <v>0</v>
      </c>
      <c r="D794" s="77">
        <f>IFERROR(__xludf.DUMMYFUNCTION("""COMPUTED_VALUE"""),0.0)</f>
        <v>0</v>
      </c>
      <c r="E794" s="46" t="b">
        <f>IFERROR(__xludf.DUMMYFUNCTION("""COMPUTED_VALUE"""),TRUE)</f>
        <v>1</v>
      </c>
    </row>
    <row r="795" hidden="1">
      <c r="A795" s="76" t="str">
        <f>IFERROR(__xludf.DUMMYFUNCTION("""COMPUTED_VALUE"""),"Deep Clue Sea")</f>
        <v>Deep Clue Sea</v>
      </c>
      <c r="B795" s="76" t="str">
        <f>IFERROR(__xludf.DUMMYFUNCTION("""COMPUTED_VALUE"""),"Rebellion Rising")</f>
        <v>Rebellion Rising</v>
      </c>
      <c r="C795" s="77">
        <f>IFERROR(__xludf.DUMMYFUNCTION("""COMPUTED_VALUE"""),0.0)</f>
        <v>0</v>
      </c>
      <c r="D795" s="77">
        <f>IFERROR(__xludf.DUMMYFUNCTION("""COMPUTED_VALUE"""),0.0)</f>
        <v>0</v>
      </c>
      <c r="E795" s="46" t="b">
        <f>IFERROR(__xludf.DUMMYFUNCTION("""COMPUTED_VALUE"""),TRUE)</f>
        <v>1</v>
      </c>
    </row>
    <row r="796" hidden="1">
      <c r="A796" s="76" t="str">
        <f>IFERROR(__xludf.DUMMYFUNCTION("""COMPUTED_VALUE"""),"Deep Clue Sea")</f>
        <v>Deep Clue Sea</v>
      </c>
      <c r="B796" s="76" t="str">
        <f>IFERROR(__xludf.DUMMYFUNCTION("""COMPUTED_VALUE"""),"Revival Trance")</f>
        <v>Revival Trance</v>
      </c>
      <c r="C796" s="77">
        <f>IFERROR(__xludf.DUMMYFUNCTION("""COMPUTED_VALUE"""),0.0)</f>
        <v>0</v>
      </c>
      <c r="D796" s="77">
        <f>IFERROR(__xludf.DUMMYFUNCTION("""COMPUTED_VALUE"""),0.0)</f>
        <v>0</v>
      </c>
      <c r="E796" s="46" t="b">
        <f>IFERROR(__xludf.DUMMYFUNCTION("""COMPUTED_VALUE"""),TRUE)</f>
        <v>1</v>
      </c>
    </row>
    <row r="797" hidden="1">
      <c r="A797" s="76" t="str">
        <f>IFERROR(__xludf.DUMMYFUNCTION("""COMPUTED_VALUE"""),"Deep Clue Sea")</f>
        <v>Deep Clue Sea</v>
      </c>
      <c r="B797" s="76" t="str">
        <f>IFERROR(__xludf.DUMMYFUNCTION("""COMPUTED_VALUE"""),"Riders of Rohan")</f>
        <v>Riders of Rohan</v>
      </c>
      <c r="C797" s="77">
        <f>IFERROR(__xludf.DUMMYFUNCTION("""COMPUTED_VALUE"""),0.0)</f>
        <v>0</v>
      </c>
      <c r="D797" s="77">
        <f>IFERROR(__xludf.DUMMYFUNCTION("""COMPUTED_VALUE"""),0.0)</f>
        <v>0</v>
      </c>
      <c r="E797" s="46" t="b">
        <f>IFERROR(__xludf.DUMMYFUNCTION("""COMPUTED_VALUE"""),TRUE)</f>
        <v>1</v>
      </c>
    </row>
    <row r="798" hidden="1">
      <c r="A798" s="76" t="str">
        <f>IFERROR(__xludf.DUMMYFUNCTION("""COMPUTED_VALUE"""),"Deep Clue Sea")</f>
        <v>Deep Clue Sea</v>
      </c>
      <c r="B798" s="76" t="str">
        <f>IFERROR(__xludf.DUMMYFUNCTION("""COMPUTED_VALUE"""),"Science!")</f>
        <v>Science!</v>
      </c>
      <c r="C798" s="77">
        <f>IFERROR(__xludf.DUMMYFUNCTION("""COMPUTED_VALUE"""),0.0)</f>
        <v>0</v>
      </c>
      <c r="D798" s="77">
        <f>IFERROR(__xludf.DUMMYFUNCTION("""COMPUTED_VALUE"""),0.0)</f>
        <v>0</v>
      </c>
      <c r="E798" s="46" t="b">
        <f>IFERROR(__xludf.DUMMYFUNCTION("""COMPUTED_VALUE"""),TRUE)</f>
        <v>1</v>
      </c>
    </row>
    <row r="799" hidden="1">
      <c r="A799" s="78" t="str">
        <f>IFERROR(__xludf.DUMMYFUNCTION("""COMPUTED_VALUE"""),"Deep Clue Sea")</f>
        <v>Deep Clue Sea</v>
      </c>
      <c r="B799" s="78" t="str">
        <f>IFERROR(__xludf.DUMMYFUNCTION("""COMPUTED_VALUE"""),"Scions &amp; Spellcraft")</f>
        <v>Scions &amp; Spellcraft</v>
      </c>
      <c r="C799" s="79">
        <f>IFERROR(__xludf.DUMMYFUNCTION("""COMPUTED_VALUE"""),0.0)</f>
        <v>0</v>
      </c>
      <c r="D799" s="79">
        <f>IFERROR(__xludf.DUMMYFUNCTION("""COMPUTED_VALUE"""),0.0)</f>
        <v>0</v>
      </c>
      <c r="E799" s="69" t="b">
        <f>IFERROR(__xludf.DUMMYFUNCTION("""COMPUTED_VALUE"""),TRUE)</f>
        <v>1</v>
      </c>
    </row>
    <row r="800" hidden="1">
      <c r="A800" s="76" t="str">
        <f>IFERROR(__xludf.DUMMYFUNCTION("""COMPUTED_VALUE"""),"Deep Clue Sea")</f>
        <v>Deep Clue Sea</v>
      </c>
      <c r="B800" s="76" t="str">
        <f>IFERROR(__xludf.DUMMYFUNCTION("""COMPUTED_VALUE"""),"Scrappy Survivors")</f>
        <v>Scrappy Survivors</v>
      </c>
      <c r="C800" s="77">
        <f>IFERROR(__xludf.DUMMYFUNCTION("""COMPUTED_VALUE"""),0.0)</f>
        <v>0</v>
      </c>
      <c r="D800" s="77">
        <f>IFERROR(__xludf.DUMMYFUNCTION("""COMPUTED_VALUE"""),0.0)</f>
        <v>0</v>
      </c>
      <c r="E800" s="46" t="b">
        <f>IFERROR(__xludf.DUMMYFUNCTION("""COMPUTED_VALUE"""),TRUE)</f>
        <v>1</v>
      </c>
    </row>
    <row r="801" hidden="1">
      <c r="A801" s="76" t="str">
        <f>IFERROR(__xludf.DUMMYFUNCTION("""COMPUTED_VALUE"""),"Deep Clue Sea")</f>
        <v>Deep Clue Sea</v>
      </c>
      <c r="B801" s="76" t="str">
        <f>IFERROR(__xludf.DUMMYFUNCTION("""COMPUTED_VALUE"""),"Silverquill Influence")</f>
        <v>Silverquill Influence</v>
      </c>
      <c r="C801" s="77">
        <f>IFERROR(__xludf.DUMMYFUNCTION("""COMPUTED_VALUE"""),0.0)</f>
        <v>0</v>
      </c>
      <c r="D801" s="77">
        <f>IFERROR(__xludf.DUMMYFUNCTION("""COMPUTED_VALUE"""),0.0)</f>
        <v>0</v>
      </c>
      <c r="E801" s="46" t="b">
        <f>IFERROR(__xludf.DUMMYFUNCTION("""COMPUTED_VALUE"""),TRUE)</f>
        <v>1</v>
      </c>
    </row>
    <row r="802" hidden="1">
      <c r="A802" s="76" t="str">
        <f>IFERROR(__xludf.DUMMYFUNCTION("""COMPUTED_VALUE"""),"Deep Clue Sea")</f>
        <v>Deep Clue Sea</v>
      </c>
      <c r="B802" s="76" t="str">
        <f>IFERROR(__xludf.DUMMYFUNCTION("""COMPUTED_VALUE"""),"Spirit Squadron")</f>
        <v>Spirit Squadron</v>
      </c>
      <c r="C802" s="77">
        <f>IFERROR(__xludf.DUMMYFUNCTION("""COMPUTED_VALUE"""),1.0)</f>
        <v>1</v>
      </c>
      <c r="D802" s="77">
        <f>IFERROR(__xludf.DUMMYFUNCTION("""COMPUTED_VALUE"""),0.0)</f>
        <v>0</v>
      </c>
      <c r="E802" s="46" t="b">
        <f>IFERROR(__xludf.DUMMYFUNCTION("""COMPUTED_VALUE"""),FALSE)</f>
        <v>0</v>
      </c>
    </row>
    <row r="803" hidden="1">
      <c r="A803" s="76" t="str">
        <f>IFERROR(__xludf.DUMMYFUNCTION("""COMPUTED_VALUE"""),"Deep Clue Sea")</f>
        <v>Deep Clue Sea</v>
      </c>
      <c r="B803" s="76" t="str">
        <f>IFERROR(__xludf.DUMMYFUNCTION("""COMPUTED_VALUE"""),"Squirreled Away")</f>
        <v>Squirreled Away</v>
      </c>
      <c r="C803" s="77">
        <f>IFERROR(__xludf.DUMMYFUNCTION("""COMPUTED_VALUE"""),0.0)</f>
        <v>0</v>
      </c>
      <c r="D803" s="77">
        <f>IFERROR(__xludf.DUMMYFUNCTION("""COMPUTED_VALUE"""),0.0)</f>
        <v>0</v>
      </c>
      <c r="E803" s="46" t="b">
        <f>IFERROR(__xludf.DUMMYFUNCTION("""COMPUTED_VALUE"""),TRUE)</f>
        <v>1</v>
      </c>
    </row>
    <row r="804" hidden="1">
      <c r="A804" s="76" t="str">
        <f>IFERROR(__xludf.DUMMYFUNCTION("""COMPUTED_VALUE"""),"Deep Clue Sea")</f>
        <v>Deep Clue Sea</v>
      </c>
      <c r="B804" s="76" t="str">
        <f>IFERROR(__xludf.DUMMYFUNCTION("""COMPUTED_VALUE"""),"Sultai Arisen")</f>
        <v>Sultai Arisen</v>
      </c>
      <c r="C804" s="77">
        <f>IFERROR(__xludf.DUMMYFUNCTION("""COMPUTED_VALUE"""),0.0)</f>
        <v>0</v>
      </c>
      <c r="D804" s="77">
        <f>IFERROR(__xludf.DUMMYFUNCTION("""COMPUTED_VALUE"""),0.0)</f>
        <v>0</v>
      </c>
      <c r="E804" s="46" t="b">
        <f>IFERROR(__xludf.DUMMYFUNCTION("""COMPUTED_VALUE"""),TRUE)</f>
        <v>1</v>
      </c>
    </row>
    <row r="805" hidden="1">
      <c r="A805" s="76" t="str">
        <f>IFERROR(__xludf.DUMMYFUNCTION("""COMPUTED_VALUE"""),"Deep Clue Sea")</f>
        <v>Deep Clue Sea</v>
      </c>
      <c r="B805" s="76" t="str">
        <f>IFERROR(__xludf.DUMMYFUNCTION("""COMPUTED_VALUE"""),"Temur Roar")</f>
        <v>Temur Roar</v>
      </c>
      <c r="C805" s="77">
        <f>IFERROR(__xludf.DUMMYFUNCTION("""COMPUTED_VALUE"""),0.0)</f>
        <v>0</v>
      </c>
      <c r="D805" s="77">
        <f>IFERROR(__xludf.DUMMYFUNCTION("""COMPUTED_VALUE"""),0.0)</f>
        <v>0</v>
      </c>
      <c r="E805" s="46" t="b">
        <f>IFERROR(__xludf.DUMMYFUNCTION("""COMPUTED_VALUE"""),TRUE)</f>
        <v>1</v>
      </c>
    </row>
    <row r="806" hidden="1">
      <c r="A806" s="76" t="str">
        <f>IFERROR(__xludf.DUMMYFUNCTION("""COMPUTED_VALUE"""),"Deep Clue Sea")</f>
        <v>Deep Clue Sea</v>
      </c>
      <c r="B806" s="76" t="str">
        <f>IFERROR(__xludf.DUMMYFUNCTION("""COMPUTED_VALUE"""),"The Hosts of Mordor")</f>
        <v>The Hosts of Mordor</v>
      </c>
      <c r="C806" s="77">
        <f>IFERROR(__xludf.DUMMYFUNCTION("""COMPUTED_VALUE"""),0.0)</f>
        <v>0</v>
      </c>
      <c r="D806" s="77">
        <f>IFERROR(__xludf.DUMMYFUNCTION("""COMPUTED_VALUE"""),0.0)</f>
        <v>0</v>
      </c>
      <c r="E806" s="46" t="b">
        <f>IFERROR(__xludf.DUMMYFUNCTION("""COMPUTED_VALUE"""),TRUE)</f>
        <v>1</v>
      </c>
    </row>
    <row r="807" hidden="1">
      <c r="A807" s="76" t="str">
        <f>IFERROR(__xludf.DUMMYFUNCTION("""COMPUTED_VALUE"""),"Deep Clue Sea")</f>
        <v>Deep Clue Sea</v>
      </c>
      <c r="B807" s="76" t="str">
        <f>IFERROR(__xludf.DUMMYFUNCTION("""COMPUTED_VALUE"""),"The Ruinous Powers")</f>
        <v>The Ruinous Powers</v>
      </c>
      <c r="C807" s="77">
        <f>IFERROR(__xludf.DUMMYFUNCTION("""COMPUTED_VALUE"""),1.0)</f>
        <v>1</v>
      </c>
      <c r="D807" s="77">
        <f>IFERROR(__xludf.DUMMYFUNCTION("""COMPUTED_VALUE"""),0.0)</f>
        <v>0</v>
      </c>
      <c r="E807" s="46" t="b">
        <f>IFERROR(__xludf.DUMMYFUNCTION("""COMPUTED_VALUE"""),FALSE)</f>
        <v>0</v>
      </c>
    </row>
    <row r="808" hidden="1">
      <c r="A808" s="76" t="str">
        <f>IFERROR(__xludf.DUMMYFUNCTION("""COMPUTED_VALUE"""),"Deep Clue Sea")</f>
        <v>Deep Clue Sea</v>
      </c>
      <c r="B808" s="76" t="str">
        <f>IFERROR(__xludf.DUMMYFUNCTION("""COMPUTED_VALUE"""),"Timey-Wimey")</f>
        <v>Timey-Wimey</v>
      </c>
      <c r="C808" s="77">
        <f>IFERROR(__xludf.DUMMYFUNCTION("""COMPUTED_VALUE"""),0.0)</f>
        <v>0</v>
      </c>
      <c r="D808" s="77">
        <f>IFERROR(__xludf.DUMMYFUNCTION("""COMPUTED_VALUE"""),0.0)</f>
        <v>0</v>
      </c>
      <c r="E808" s="46" t="b">
        <f>IFERROR(__xludf.DUMMYFUNCTION("""COMPUTED_VALUE"""),TRUE)</f>
        <v>1</v>
      </c>
    </row>
    <row r="809" hidden="1">
      <c r="A809" s="78" t="str">
        <f>IFERROR(__xludf.DUMMYFUNCTION("""COMPUTED_VALUE"""),"Deep Clue Sea")</f>
        <v>Deep Clue Sea</v>
      </c>
      <c r="B809" s="78" t="str">
        <f>IFERROR(__xludf.DUMMYFUNCTION("""COMPUTED_VALUE"""),"Tinker Time")</f>
        <v>Tinker Time</v>
      </c>
      <c r="C809" s="79">
        <f>IFERROR(__xludf.DUMMYFUNCTION("""COMPUTED_VALUE"""),0.0)</f>
        <v>0</v>
      </c>
      <c r="D809" s="79">
        <f>IFERROR(__xludf.DUMMYFUNCTION("""COMPUTED_VALUE"""),0.0)</f>
        <v>0</v>
      </c>
      <c r="E809" s="69" t="b">
        <f>IFERROR(__xludf.DUMMYFUNCTION("""COMPUTED_VALUE"""),TRUE)</f>
        <v>1</v>
      </c>
    </row>
    <row r="810" hidden="1">
      <c r="A810" s="76" t="str">
        <f>IFERROR(__xludf.DUMMYFUNCTION("""COMPUTED_VALUE"""),"Deep Clue Sea")</f>
        <v>Deep Clue Sea</v>
      </c>
      <c r="B810" s="76" t="str">
        <f>IFERROR(__xludf.DUMMYFUNCTION("""COMPUTED_VALUE"""),"Turtle Power!")</f>
        <v>Turtle Power!</v>
      </c>
      <c r="C810" s="77">
        <f>IFERROR(__xludf.DUMMYFUNCTION("""COMPUTED_VALUE"""),2.0)</f>
        <v>2</v>
      </c>
      <c r="D810" s="77">
        <f>IFERROR(__xludf.DUMMYFUNCTION("""COMPUTED_VALUE"""),0.0)</f>
        <v>0</v>
      </c>
      <c r="E810" s="46" t="b">
        <f>IFERROR(__xludf.DUMMYFUNCTION("""COMPUTED_VALUE"""),FALSE)</f>
        <v>0</v>
      </c>
    </row>
    <row r="811" hidden="1">
      <c r="A811" s="76" t="str">
        <f>IFERROR(__xludf.DUMMYFUNCTION("""COMPUTED_VALUE"""),"Deep Clue Sea")</f>
        <v>Deep Clue Sea</v>
      </c>
      <c r="B811" s="76" t="str">
        <f>IFERROR(__xludf.DUMMYFUNCTION("""COMPUTED_VALUE"""),"Veloci-ramp-tor")</f>
        <v>Veloci-ramp-tor</v>
      </c>
      <c r="C811" s="77">
        <f>IFERROR(__xludf.DUMMYFUNCTION("""COMPUTED_VALUE"""),0.0)</f>
        <v>0</v>
      </c>
      <c r="D811" s="77">
        <f>IFERROR(__xludf.DUMMYFUNCTION("""COMPUTED_VALUE"""),0.0)</f>
        <v>0</v>
      </c>
      <c r="E811" s="46" t="b">
        <f>IFERROR(__xludf.DUMMYFUNCTION("""COMPUTED_VALUE"""),TRUE)</f>
        <v>1</v>
      </c>
    </row>
    <row r="812" hidden="1">
      <c r="A812" s="76" t="str">
        <f>IFERROR(__xludf.DUMMYFUNCTION("""COMPUTED_VALUE"""),"Doom Prevails")</f>
        <v>Doom Prevails</v>
      </c>
      <c r="B812" s="76" t="str">
        <f>IFERROR(__xludf.DUMMYFUNCTION("""COMPUTED_VALUE"""),"Ahoy Mateys")</f>
        <v>Ahoy Mateys</v>
      </c>
      <c r="C812" s="77">
        <f>IFERROR(__xludf.DUMMYFUNCTION("""COMPUTED_VALUE"""),0.0)</f>
        <v>0</v>
      </c>
      <c r="D812" s="77">
        <f>IFERROR(__xludf.DUMMYFUNCTION("""COMPUTED_VALUE"""),0.0)</f>
        <v>0</v>
      </c>
      <c r="E812" s="46" t="b">
        <f>IFERROR(__xludf.DUMMYFUNCTION("""COMPUTED_VALUE"""),TRUE)</f>
        <v>1</v>
      </c>
    </row>
    <row r="813" hidden="1">
      <c r="A813" s="76" t="str">
        <f>IFERROR(__xludf.DUMMYFUNCTION("""COMPUTED_VALUE"""),"Doom Prevails")</f>
        <v>Doom Prevails</v>
      </c>
      <c r="B813" s="76" t="str">
        <f>IFERROR(__xludf.DUMMYFUNCTION("""COMPUTED_VALUE"""),"Animated Army")</f>
        <v>Animated Army</v>
      </c>
      <c r="C813" s="77">
        <f>IFERROR(__xludf.DUMMYFUNCTION("""COMPUTED_VALUE"""),0.0)</f>
        <v>0</v>
      </c>
      <c r="D813" s="77">
        <f>IFERROR(__xludf.DUMMYFUNCTION("""COMPUTED_VALUE"""),0.0)</f>
        <v>0</v>
      </c>
      <c r="E813" s="46" t="b">
        <f>IFERROR(__xludf.DUMMYFUNCTION("""COMPUTED_VALUE"""),TRUE)</f>
        <v>1</v>
      </c>
    </row>
    <row r="814" hidden="1">
      <c r="A814" s="76" t="str">
        <f>IFERROR(__xludf.DUMMYFUNCTION("""COMPUTED_VALUE"""),"Doom Prevails")</f>
        <v>Doom Prevails</v>
      </c>
      <c r="B814" s="76" t="str">
        <f>IFERROR(__xludf.DUMMYFUNCTION("""COMPUTED_VALUE"""),"Arcane Maelstrom")</f>
        <v>Arcane Maelstrom</v>
      </c>
      <c r="C814" s="77">
        <f>IFERROR(__xludf.DUMMYFUNCTION("""COMPUTED_VALUE"""),0.0)</f>
        <v>0</v>
      </c>
      <c r="D814" s="77">
        <f>IFERROR(__xludf.DUMMYFUNCTION("""COMPUTED_VALUE"""),0.0)</f>
        <v>0</v>
      </c>
      <c r="E814" s="46" t="b">
        <f>IFERROR(__xludf.DUMMYFUNCTION("""COMPUTED_VALUE"""),TRUE)</f>
        <v>1</v>
      </c>
    </row>
    <row r="815" hidden="1">
      <c r="A815" s="76" t="str">
        <f>IFERROR(__xludf.DUMMYFUNCTION("""COMPUTED_VALUE"""),"Doom Prevails")</f>
        <v>Doom Prevails</v>
      </c>
      <c r="B815" s="76" t="str">
        <f>IFERROR(__xludf.DUMMYFUNCTION("""COMPUTED_VALUE"""),"Blame Game")</f>
        <v>Blame Game</v>
      </c>
      <c r="C815" s="77">
        <f>IFERROR(__xludf.DUMMYFUNCTION("""COMPUTED_VALUE"""),0.0)</f>
        <v>0</v>
      </c>
      <c r="D815" s="77">
        <f>IFERROR(__xludf.DUMMYFUNCTION("""COMPUTED_VALUE"""),0.0)</f>
        <v>0</v>
      </c>
      <c r="E815" s="46" t="b">
        <f>IFERROR(__xludf.DUMMYFUNCTION("""COMPUTED_VALUE"""),TRUE)</f>
        <v>1</v>
      </c>
    </row>
    <row r="816" hidden="1">
      <c r="A816" s="78" t="str">
        <f>IFERROR(__xludf.DUMMYFUNCTION("""COMPUTED_VALUE"""),"Doom Prevails")</f>
        <v>Doom Prevails</v>
      </c>
      <c r="B816" s="78" t="str">
        <f>IFERROR(__xludf.DUMMYFUNCTION("""COMPUTED_VALUE"""),"Blight Curse")</f>
        <v>Blight Curse</v>
      </c>
      <c r="C816" s="79">
        <f>IFERROR(__xludf.DUMMYFUNCTION("""COMPUTED_VALUE"""),0.0)</f>
        <v>0</v>
      </c>
      <c r="D816" s="79">
        <f>IFERROR(__xludf.DUMMYFUNCTION("""COMPUTED_VALUE"""),0.0)</f>
        <v>0</v>
      </c>
      <c r="E816" s="69" t="b">
        <f>IFERROR(__xludf.DUMMYFUNCTION("""COMPUTED_VALUE"""),TRUE)</f>
        <v>1</v>
      </c>
    </row>
    <row r="817" hidden="1">
      <c r="A817" s="76" t="str">
        <f>IFERROR(__xludf.DUMMYFUNCTION("""COMPUTED_VALUE"""),"Doom Prevails")</f>
        <v>Doom Prevails</v>
      </c>
      <c r="B817" s="76" t="str">
        <f>IFERROR(__xludf.DUMMYFUNCTION("""COMPUTED_VALUE"""),"Blood Rites")</f>
        <v>Blood Rites</v>
      </c>
      <c r="C817" s="77">
        <f>IFERROR(__xludf.DUMMYFUNCTION("""COMPUTED_VALUE"""),0.0)</f>
        <v>0</v>
      </c>
      <c r="D817" s="77">
        <f>IFERROR(__xludf.DUMMYFUNCTION("""COMPUTED_VALUE"""),0.0)</f>
        <v>0</v>
      </c>
      <c r="E817" s="46" t="b">
        <f>IFERROR(__xludf.DUMMYFUNCTION("""COMPUTED_VALUE"""),TRUE)</f>
        <v>1</v>
      </c>
    </row>
    <row r="818" hidden="1">
      <c r="A818" s="76" t="str">
        <f>IFERROR(__xludf.DUMMYFUNCTION("""COMPUTED_VALUE"""),"Doom Prevails")</f>
        <v>Doom Prevails</v>
      </c>
      <c r="B818" s="76" t="str">
        <f>IFERROR(__xludf.DUMMYFUNCTION("""COMPUTED_VALUE"""),"Buckle Up")</f>
        <v>Buckle Up</v>
      </c>
      <c r="C818" s="77">
        <f>IFERROR(__xludf.DUMMYFUNCTION("""COMPUTED_VALUE"""),0.0)</f>
        <v>0</v>
      </c>
      <c r="D818" s="77">
        <f>IFERROR(__xludf.DUMMYFUNCTION("""COMPUTED_VALUE"""),0.0)</f>
        <v>0</v>
      </c>
      <c r="E818" s="46" t="b">
        <f>IFERROR(__xludf.DUMMYFUNCTION("""COMPUTED_VALUE"""),TRUE)</f>
        <v>1</v>
      </c>
    </row>
    <row r="819" hidden="1">
      <c r="A819" s="76" t="str">
        <f>IFERROR(__xludf.DUMMYFUNCTION("""COMPUTED_VALUE"""),"Doom Prevails")</f>
        <v>Doom Prevails</v>
      </c>
      <c r="B819" s="76" t="str">
        <f>IFERROR(__xludf.DUMMYFUNCTION("""COMPUTED_VALUE"""),"Cabaretti Cacophony")</f>
        <v>Cabaretti Cacophony</v>
      </c>
      <c r="C819" s="77">
        <f>IFERROR(__xludf.DUMMYFUNCTION("""COMPUTED_VALUE"""),0.0)</f>
        <v>0</v>
      </c>
      <c r="D819" s="77">
        <f>IFERROR(__xludf.DUMMYFUNCTION("""COMPUTED_VALUE"""),0.0)</f>
        <v>0</v>
      </c>
      <c r="E819" s="46" t="b">
        <f>IFERROR(__xludf.DUMMYFUNCTION("""COMPUTED_VALUE"""),TRUE)</f>
        <v>1</v>
      </c>
    </row>
    <row r="820" hidden="1">
      <c r="A820" s="76" t="str">
        <f>IFERROR(__xludf.DUMMYFUNCTION("""COMPUTED_VALUE"""),"Doom Prevails")</f>
        <v>Doom Prevails</v>
      </c>
      <c r="B820" s="76" t="str">
        <f>IFERROR(__xludf.DUMMYFUNCTION("""COMPUTED_VALUE"""),"Cavalry Charge")</f>
        <v>Cavalry Charge</v>
      </c>
      <c r="C820" s="77">
        <f>IFERROR(__xludf.DUMMYFUNCTION("""COMPUTED_VALUE"""),0.0)</f>
        <v>0</v>
      </c>
      <c r="D820" s="77">
        <f>IFERROR(__xludf.DUMMYFUNCTION("""COMPUTED_VALUE"""),0.0)</f>
        <v>0</v>
      </c>
      <c r="E820" s="46" t="b">
        <f>IFERROR(__xludf.DUMMYFUNCTION("""COMPUTED_VALUE"""),TRUE)</f>
        <v>1</v>
      </c>
    </row>
    <row r="821" hidden="1">
      <c r="A821" s="76" t="str">
        <f>IFERROR(__xludf.DUMMYFUNCTION("""COMPUTED_VALUE"""),"Doom Prevails")</f>
        <v>Doom Prevails</v>
      </c>
      <c r="B821" s="76" t="str">
        <f>IFERROR(__xludf.DUMMYFUNCTION("""COMPUTED_VALUE"""),"Corrupting Influence")</f>
        <v>Corrupting Influence</v>
      </c>
      <c r="C821" s="77">
        <f>IFERROR(__xludf.DUMMYFUNCTION("""COMPUTED_VALUE"""),0.0)</f>
        <v>0</v>
      </c>
      <c r="D821" s="77">
        <f>IFERROR(__xludf.DUMMYFUNCTION("""COMPUTED_VALUE"""),0.0)</f>
        <v>0</v>
      </c>
      <c r="E821" s="46" t="b">
        <f>IFERROR(__xludf.DUMMYFUNCTION("""COMPUTED_VALUE"""),TRUE)</f>
        <v>1</v>
      </c>
    </row>
    <row r="822" hidden="1">
      <c r="A822" s="76" t="str">
        <f>IFERROR(__xludf.DUMMYFUNCTION("""COMPUTED_VALUE"""),"Doom Prevails")</f>
        <v>Doom Prevails</v>
      </c>
      <c r="B822" s="76" t="str">
        <f>IFERROR(__xludf.DUMMYFUNCTION("""COMPUTED_VALUE"""),"Counter Blitz")</f>
        <v>Counter Blitz</v>
      </c>
      <c r="C822" s="77">
        <f>IFERROR(__xludf.DUMMYFUNCTION("""COMPUTED_VALUE"""),0.0)</f>
        <v>0</v>
      </c>
      <c r="D822" s="77">
        <f>IFERROR(__xludf.DUMMYFUNCTION("""COMPUTED_VALUE"""),0.0)</f>
        <v>0</v>
      </c>
      <c r="E822" s="46" t="b">
        <f>IFERROR(__xludf.DUMMYFUNCTION("""COMPUTED_VALUE"""),TRUE)</f>
        <v>1</v>
      </c>
    </row>
    <row r="823" hidden="1">
      <c r="A823" s="76" t="str">
        <f>IFERROR(__xludf.DUMMYFUNCTION("""COMPUTED_VALUE"""),"Doom Prevails")</f>
        <v>Doom Prevails</v>
      </c>
      <c r="B823" s="76" t="str">
        <f>IFERROR(__xludf.DUMMYFUNCTION("""COMPUTED_VALUE"""),"Counter Intelligence")</f>
        <v>Counter Intelligence</v>
      </c>
      <c r="C823" s="77">
        <f>IFERROR(__xludf.DUMMYFUNCTION("""COMPUTED_VALUE"""),0.0)</f>
        <v>0</v>
      </c>
      <c r="D823" s="77">
        <f>IFERROR(__xludf.DUMMYFUNCTION("""COMPUTED_VALUE"""),0.0)</f>
        <v>0</v>
      </c>
      <c r="E823" s="46" t="b">
        <f>IFERROR(__xludf.DUMMYFUNCTION("""COMPUTED_VALUE"""),TRUE)</f>
        <v>1</v>
      </c>
    </row>
    <row r="824" hidden="1">
      <c r="A824" s="76" t="str">
        <f>IFERROR(__xludf.DUMMYFUNCTION("""COMPUTED_VALUE"""),"Doom Prevails")</f>
        <v>Doom Prevails</v>
      </c>
      <c r="B824" s="76" t="str">
        <f>IFERROR(__xludf.DUMMYFUNCTION("""COMPUTED_VALUE"""),"Creative Energy")</f>
        <v>Creative Energy</v>
      </c>
      <c r="C824" s="77">
        <f>IFERROR(__xludf.DUMMYFUNCTION("""COMPUTED_VALUE"""),0.0)</f>
        <v>0</v>
      </c>
      <c r="D824" s="77">
        <f>IFERROR(__xludf.DUMMYFUNCTION("""COMPUTED_VALUE"""),0.0)</f>
        <v>0</v>
      </c>
      <c r="E824" s="46" t="b">
        <f>IFERROR(__xludf.DUMMYFUNCTION("""COMPUTED_VALUE"""),TRUE)</f>
        <v>1</v>
      </c>
    </row>
    <row r="825" hidden="1">
      <c r="A825" s="76" t="str">
        <f>IFERROR(__xludf.DUMMYFUNCTION("""COMPUTED_VALUE"""),"Doom Prevails")</f>
        <v>Doom Prevails</v>
      </c>
      <c r="B825" s="76" t="str">
        <f>IFERROR(__xludf.DUMMYFUNCTION("""COMPUTED_VALUE"""),"Dance of the Elements")</f>
        <v>Dance of the Elements</v>
      </c>
      <c r="C825" s="77">
        <f>IFERROR(__xludf.DUMMYFUNCTION("""COMPUTED_VALUE"""),0.0)</f>
        <v>0</v>
      </c>
      <c r="D825" s="77">
        <f>IFERROR(__xludf.DUMMYFUNCTION("""COMPUTED_VALUE"""),0.0)</f>
        <v>0</v>
      </c>
      <c r="E825" s="46" t="b">
        <f>IFERROR(__xludf.DUMMYFUNCTION("""COMPUTED_VALUE"""),TRUE)</f>
        <v>1</v>
      </c>
    </row>
    <row r="826" hidden="1">
      <c r="A826" s="76" t="str">
        <f>IFERROR(__xludf.DUMMYFUNCTION("""COMPUTED_VALUE"""),"Doom Prevails")</f>
        <v>Doom Prevails</v>
      </c>
      <c r="B826" s="76" t="str">
        <f>IFERROR(__xludf.DUMMYFUNCTION("""COMPUTED_VALUE"""),"Deep Clue Sea")</f>
        <v>Deep Clue Sea</v>
      </c>
      <c r="C826" s="77">
        <f>IFERROR(__xludf.DUMMYFUNCTION("""COMPUTED_VALUE"""),0.0)</f>
        <v>0</v>
      </c>
      <c r="D826" s="77">
        <f>IFERROR(__xludf.DUMMYFUNCTION("""COMPUTED_VALUE"""),0.0)</f>
        <v>0</v>
      </c>
      <c r="E826" s="46" t="b">
        <f>IFERROR(__xludf.DUMMYFUNCTION("""COMPUTED_VALUE"""),TRUE)</f>
        <v>1</v>
      </c>
    </row>
    <row r="827" hidden="1">
      <c r="A827" s="76" t="str">
        <f>IFERROR(__xludf.DUMMYFUNCTION("""COMPUTED_VALUE"""),"Doom Prevails")</f>
        <v>Doom Prevails</v>
      </c>
      <c r="B827" s="76" t="str">
        <f>IFERROR(__xludf.DUMMYFUNCTION("""COMPUTED_VALUE"""),"Doom Prevails")</f>
        <v>Doom Prevails</v>
      </c>
      <c r="C827" s="77">
        <f>IFERROR(__xludf.DUMMYFUNCTION("""COMPUTED_VALUE"""),1.0)</f>
        <v>1</v>
      </c>
      <c r="D827" s="77">
        <f>IFERROR(__xludf.DUMMYFUNCTION("""COMPUTED_VALUE"""),1.0)</f>
        <v>1</v>
      </c>
      <c r="E827" s="46" t="b">
        <f>IFERROR(__xludf.DUMMYFUNCTION("""COMPUTED_VALUE"""),TRUE)</f>
        <v>1</v>
      </c>
    </row>
    <row r="828" hidden="1">
      <c r="A828" s="76" t="str">
        <f>IFERROR(__xludf.DUMMYFUNCTION("""COMPUTED_VALUE"""),"Doom Prevails")</f>
        <v>Doom Prevails</v>
      </c>
      <c r="B828" s="76" t="str">
        <f>IFERROR(__xludf.DUMMYFUNCTION("""COMPUTED_VALUE"""),"Eldrazi Incursion")</f>
        <v>Eldrazi Incursion</v>
      </c>
      <c r="C828" s="77">
        <f>IFERROR(__xludf.DUMMYFUNCTION("""COMPUTED_VALUE"""),0.0)</f>
        <v>0</v>
      </c>
      <c r="D828" s="77">
        <f>IFERROR(__xludf.DUMMYFUNCTION("""COMPUTED_VALUE"""),0.0)</f>
        <v>0</v>
      </c>
      <c r="E828" s="46" t="b">
        <f>IFERROR(__xludf.DUMMYFUNCTION("""COMPUTED_VALUE"""),TRUE)</f>
        <v>1</v>
      </c>
    </row>
    <row r="829" hidden="1">
      <c r="A829" s="76" t="str">
        <f>IFERROR(__xludf.DUMMYFUNCTION("""COMPUTED_VALUE"""),"Doom Prevails")</f>
        <v>Doom Prevails</v>
      </c>
      <c r="B829" s="76" t="str">
        <f>IFERROR(__xludf.DUMMYFUNCTION("""COMPUTED_VALUE"""),"Eldrazi Unbound")</f>
        <v>Eldrazi Unbound</v>
      </c>
      <c r="C829" s="77">
        <f>IFERROR(__xludf.DUMMYFUNCTION("""COMPUTED_VALUE"""),0.0)</f>
        <v>0</v>
      </c>
      <c r="D829" s="77">
        <f>IFERROR(__xludf.DUMMYFUNCTION("""COMPUTED_VALUE"""),0.0)</f>
        <v>0</v>
      </c>
      <c r="E829" s="46" t="b">
        <f>IFERROR(__xludf.DUMMYFUNCTION("""COMPUTED_VALUE"""),TRUE)</f>
        <v>1</v>
      </c>
    </row>
    <row r="830" hidden="1">
      <c r="A830" s="76" t="str">
        <f>IFERROR(__xludf.DUMMYFUNCTION("""COMPUTED_VALUE"""),"Doom Prevails")</f>
        <v>Doom Prevails</v>
      </c>
      <c r="B830" s="76" t="str">
        <f>IFERROR(__xludf.DUMMYFUNCTION("""COMPUTED_VALUE"""),"Endless Punishment")</f>
        <v>Endless Punishment</v>
      </c>
      <c r="C830" s="77">
        <f>IFERROR(__xludf.DUMMYFUNCTION("""COMPUTED_VALUE"""),0.0)</f>
        <v>0</v>
      </c>
      <c r="D830" s="77">
        <f>IFERROR(__xludf.DUMMYFUNCTION("""COMPUTED_VALUE"""),0.0)</f>
        <v>0</v>
      </c>
      <c r="E830" s="46" t="b">
        <f>IFERROR(__xludf.DUMMYFUNCTION("""COMPUTED_VALUE"""),TRUE)</f>
        <v>1</v>
      </c>
    </row>
    <row r="831" hidden="1">
      <c r="A831" s="76" t="str">
        <f>IFERROR(__xludf.DUMMYFUNCTION("""COMPUTED_VALUE"""),"Doom Prevails")</f>
        <v>Doom Prevails</v>
      </c>
      <c r="B831" s="76" t="str">
        <f>IFERROR(__xludf.DUMMYFUNCTION("""COMPUTED_VALUE"""),"Enduring Enchantments")</f>
        <v>Enduring Enchantments</v>
      </c>
      <c r="C831" s="77">
        <f>IFERROR(__xludf.DUMMYFUNCTION("""COMPUTED_VALUE"""),0.0)</f>
        <v>0</v>
      </c>
      <c r="D831" s="77">
        <f>IFERROR(__xludf.DUMMYFUNCTION("""COMPUTED_VALUE"""),0.0)</f>
        <v>0</v>
      </c>
      <c r="E831" s="46" t="b">
        <f>IFERROR(__xludf.DUMMYFUNCTION("""COMPUTED_VALUE"""),TRUE)</f>
        <v>1</v>
      </c>
    </row>
    <row r="832" hidden="1">
      <c r="A832" s="76" t="str">
        <f>IFERROR(__xludf.DUMMYFUNCTION("""COMPUTED_VALUE"""),"Doom Prevails")</f>
        <v>Doom Prevails</v>
      </c>
      <c r="B832" s="76" t="str">
        <f>IFERROR(__xludf.DUMMYFUNCTION("""COMPUTED_VALUE"""),"Explorers of the Deep")</f>
        <v>Explorers of the Deep</v>
      </c>
      <c r="C832" s="77">
        <f>IFERROR(__xludf.DUMMYFUNCTION("""COMPUTED_VALUE"""),0.0)</f>
        <v>0</v>
      </c>
      <c r="D832" s="77">
        <f>IFERROR(__xludf.DUMMYFUNCTION("""COMPUTED_VALUE"""),1.0)</f>
        <v>1</v>
      </c>
      <c r="E832" s="46" t="b">
        <f>IFERROR(__xludf.DUMMYFUNCTION("""COMPUTED_VALUE"""),FALSE)</f>
        <v>0</v>
      </c>
    </row>
    <row r="833" hidden="1">
      <c r="A833" s="76" t="str">
        <f>IFERROR(__xludf.DUMMYFUNCTION("""COMPUTED_VALUE"""),"Doom Prevails")</f>
        <v>Doom Prevails</v>
      </c>
      <c r="B833" s="76" t="str">
        <f>IFERROR(__xludf.DUMMYFUNCTION("""COMPUTED_VALUE"""),"Family Matters")</f>
        <v>Family Matters</v>
      </c>
      <c r="C833" s="77">
        <f>IFERROR(__xludf.DUMMYFUNCTION("""COMPUTED_VALUE"""),0.0)</f>
        <v>0</v>
      </c>
      <c r="D833" s="77">
        <f>IFERROR(__xludf.DUMMYFUNCTION("""COMPUTED_VALUE"""),0.0)</f>
        <v>0</v>
      </c>
      <c r="E833" s="46" t="b">
        <f>IFERROR(__xludf.DUMMYFUNCTION("""COMPUTED_VALUE"""),TRUE)</f>
        <v>1</v>
      </c>
    </row>
    <row r="834" hidden="1">
      <c r="A834" s="76" t="str">
        <f>IFERROR(__xludf.DUMMYFUNCTION("""COMPUTED_VALUE"""),"Doom Prevails")</f>
        <v>Doom Prevails</v>
      </c>
      <c r="B834" s="76" t="str">
        <f>IFERROR(__xludf.DUMMYFUNCTION("""COMPUTED_VALUE"""),"Food and Fellowship")</f>
        <v>Food and Fellowship</v>
      </c>
      <c r="C834" s="77">
        <f>IFERROR(__xludf.DUMMYFUNCTION("""COMPUTED_VALUE"""),0.0)</f>
        <v>0</v>
      </c>
      <c r="D834" s="77">
        <f>IFERROR(__xludf.DUMMYFUNCTION("""COMPUTED_VALUE"""),0.0)</f>
        <v>0</v>
      </c>
      <c r="E834" s="46" t="b">
        <f>IFERROR(__xludf.DUMMYFUNCTION("""COMPUTED_VALUE"""),TRUE)</f>
        <v>1</v>
      </c>
    </row>
    <row r="835" hidden="1">
      <c r="A835" s="76" t="str">
        <f>IFERROR(__xludf.DUMMYFUNCTION("""COMPUTED_VALUE"""),"Doom Prevails")</f>
        <v>Doom Prevails</v>
      </c>
      <c r="B835" s="76" t="str">
        <f>IFERROR(__xludf.DUMMYFUNCTION("""COMPUTED_VALUE"""),"Jeskai Striker")</f>
        <v>Jeskai Striker</v>
      </c>
      <c r="C835" s="77">
        <f>IFERROR(__xludf.DUMMYFUNCTION("""COMPUTED_VALUE"""),0.0)</f>
        <v>0</v>
      </c>
      <c r="D835" s="77">
        <f>IFERROR(__xludf.DUMMYFUNCTION("""COMPUTED_VALUE"""),0.0)</f>
        <v>0</v>
      </c>
      <c r="E835" s="46" t="b">
        <f>IFERROR(__xludf.DUMMYFUNCTION("""COMPUTED_VALUE"""),TRUE)</f>
        <v>1</v>
      </c>
    </row>
    <row r="836" hidden="1">
      <c r="A836" s="76" t="str">
        <f>IFERROR(__xludf.DUMMYFUNCTION("""COMPUTED_VALUE"""),"Doom Prevails")</f>
        <v>Doom Prevails</v>
      </c>
      <c r="B836" s="76" t="str">
        <f>IFERROR(__xludf.DUMMYFUNCTION("""COMPUTED_VALUE"""),"Legends' Legacy")</f>
        <v>Legends' Legacy</v>
      </c>
      <c r="C836" s="77">
        <f>IFERROR(__xludf.DUMMYFUNCTION("""COMPUTED_VALUE"""),0.0)</f>
        <v>0</v>
      </c>
      <c r="D836" s="77">
        <f>IFERROR(__xludf.DUMMYFUNCTION("""COMPUTED_VALUE"""),0.0)</f>
        <v>0</v>
      </c>
      <c r="E836" s="46" t="b">
        <f>IFERROR(__xludf.DUMMYFUNCTION("""COMPUTED_VALUE"""),TRUE)</f>
        <v>1</v>
      </c>
    </row>
    <row r="837" hidden="1">
      <c r="A837" s="76" t="str">
        <f>IFERROR(__xludf.DUMMYFUNCTION("""COMPUTED_VALUE"""),"Doom Prevails")</f>
        <v>Doom Prevails</v>
      </c>
      <c r="B837" s="76" t="str">
        <f>IFERROR(__xludf.DUMMYFUNCTION("""COMPUTED_VALUE"""),"Limit Break")</f>
        <v>Limit Break</v>
      </c>
      <c r="C837" s="77">
        <f>IFERROR(__xludf.DUMMYFUNCTION("""COMPUTED_VALUE"""),0.0)</f>
        <v>0</v>
      </c>
      <c r="D837" s="77">
        <f>IFERROR(__xludf.DUMMYFUNCTION("""COMPUTED_VALUE"""),0.0)</f>
        <v>0</v>
      </c>
      <c r="E837" s="46" t="b">
        <f>IFERROR(__xludf.DUMMYFUNCTION("""COMPUTED_VALUE"""),TRUE)</f>
        <v>1</v>
      </c>
    </row>
    <row r="838" hidden="1">
      <c r="A838" s="76" t="str">
        <f>IFERROR(__xludf.DUMMYFUNCTION("""COMPUTED_VALUE"""),"Doom Prevails")</f>
        <v>Doom Prevails</v>
      </c>
      <c r="B838" s="76" t="str">
        <f>IFERROR(__xludf.DUMMYFUNCTION("""COMPUTED_VALUE"""),"Lorehold Spirit")</f>
        <v>Lorehold Spirit</v>
      </c>
      <c r="C838" s="77">
        <f>IFERROR(__xludf.DUMMYFUNCTION("""COMPUTED_VALUE"""),0.0)</f>
        <v>0</v>
      </c>
      <c r="D838" s="77">
        <f>IFERROR(__xludf.DUMMYFUNCTION("""COMPUTED_VALUE"""),0.0)</f>
        <v>0</v>
      </c>
      <c r="E838" s="46" t="b">
        <f>IFERROR(__xludf.DUMMYFUNCTION("""COMPUTED_VALUE"""),TRUE)</f>
        <v>1</v>
      </c>
    </row>
    <row r="839" hidden="1">
      <c r="A839" s="76" t="str">
        <f>IFERROR(__xludf.DUMMYFUNCTION("""COMPUTED_VALUE"""),"Doom Prevails")</f>
        <v>Doom Prevails</v>
      </c>
      <c r="B839" s="76" t="str">
        <f>IFERROR(__xludf.DUMMYFUNCTION("""COMPUTED_VALUE"""),"Mutant Menace")</f>
        <v>Mutant Menace</v>
      </c>
      <c r="C839" s="77">
        <f>IFERROR(__xludf.DUMMYFUNCTION("""COMPUTED_VALUE"""),0.0)</f>
        <v>0</v>
      </c>
      <c r="D839" s="77">
        <f>IFERROR(__xludf.DUMMYFUNCTION("""COMPUTED_VALUE"""),0.0)</f>
        <v>0</v>
      </c>
      <c r="E839" s="46" t="b">
        <f>IFERROR(__xludf.DUMMYFUNCTION("""COMPUTED_VALUE"""),TRUE)</f>
        <v>1</v>
      </c>
    </row>
    <row r="840" hidden="1">
      <c r="A840" s="76" t="str">
        <f>IFERROR(__xludf.DUMMYFUNCTION("""COMPUTED_VALUE"""),"Doom Prevails")</f>
        <v>Doom Prevails</v>
      </c>
      <c r="B840" s="76" t="str">
        <f>IFERROR(__xludf.DUMMYFUNCTION("""COMPUTED_VALUE"""),"Party Time")</f>
        <v>Party Time</v>
      </c>
      <c r="C840" s="77">
        <f>IFERROR(__xludf.DUMMYFUNCTION("""COMPUTED_VALUE"""),0.0)</f>
        <v>0</v>
      </c>
      <c r="D840" s="77">
        <f>IFERROR(__xludf.DUMMYFUNCTION("""COMPUTED_VALUE"""),0.0)</f>
        <v>0</v>
      </c>
      <c r="E840" s="46" t="b">
        <f>IFERROR(__xludf.DUMMYFUNCTION("""COMPUTED_VALUE"""),TRUE)</f>
        <v>1</v>
      </c>
    </row>
    <row r="841" hidden="1">
      <c r="A841" s="76" t="str">
        <f>IFERROR(__xludf.DUMMYFUNCTION("""COMPUTED_VALUE"""),"Doom Prevails")</f>
        <v>Doom Prevails</v>
      </c>
      <c r="B841" s="76" t="str">
        <f>IFERROR(__xludf.DUMMYFUNCTION("""COMPUTED_VALUE"""),"Peace Offering")</f>
        <v>Peace Offering</v>
      </c>
      <c r="C841" s="77">
        <f>IFERROR(__xludf.DUMMYFUNCTION("""COMPUTED_VALUE"""),0.0)</f>
        <v>0</v>
      </c>
      <c r="D841" s="77">
        <f>IFERROR(__xludf.DUMMYFUNCTION("""COMPUTED_VALUE"""),0.0)</f>
        <v>0</v>
      </c>
      <c r="E841" s="46" t="b">
        <f>IFERROR(__xludf.DUMMYFUNCTION("""COMPUTED_VALUE"""),TRUE)</f>
        <v>1</v>
      </c>
    </row>
    <row r="842" hidden="1">
      <c r="A842" s="76" t="str">
        <f>IFERROR(__xludf.DUMMYFUNCTION("""COMPUTED_VALUE"""),"Doom Prevails")</f>
        <v>Doom Prevails</v>
      </c>
      <c r="B842" s="76" t="str">
        <f>IFERROR(__xludf.DUMMYFUNCTION("""COMPUTED_VALUE"""),"Power Hungry")</f>
        <v>Power Hungry</v>
      </c>
      <c r="C842" s="77">
        <f>IFERROR(__xludf.DUMMYFUNCTION("""COMPUTED_VALUE"""),0.0)</f>
        <v>0</v>
      </c>
      <c r="D842" s="77">
        <f>IFERROR(__xludf.DUMMYFUNCTION("""COMPUTED_VALUE"""),0.0)</f>
        <v>0</v>
      </c>
      <c r="E842" s="46" t="b">
        <f>IFERROR(__xludf.DUMMYFUNCTION("""COMPUTED_VALUE"""),TRUE)</f>
        <v>1</v>
      </c>
    </row>
    <row r="843" hidden="1">
      <c r="A843" s="76" t="str">
        <f>IFERROR(__xludf.DUMMYFUNCTION("""COMPUTED_VALUE"""),"Doom Prevails")</f>
        <v>Doom Prevails</v>
      </c>
      <c r="B843" s="76" t="str">
        <f>IFERROR(__xludf.DUMMYFUNCTION("""COMPUTED_VALUE"""),"Primal Genesis")</f>
        <v>Primal Genesis</v>
      </c>
      <c r="C843" s="77">
        <f>IFERROR(__xludf.DUMMYFUNCTION("""COMPUTED_VALUE"""),0.0)</f>
        <v>0</v>
      </c>
      <c r="D843" s="77">
        <f>IFERROR(__xludf.DUMMYFUNCTION("""COMPUTED_VALUE"""),0.0)</f>
        <v>0</v>
      </c>
      <c r="E843" s="46" t="b">
        <f>IFERROR(__xludf.DUMMYFUNCTION("""COMPUTED_VALUE"""),TRUE)</f>
        <v>1</v>
      </c>
    </row>
    <row r="844" hidden="1">
      <c r="A844" s="76" t="str">
        <f>IFERROR(__xludf.DUMMYFUNCTION("""COMPUTED_VALUE"""),"Doom Prevails")</f>
        <v>Doom Prevails</v>
      </c>
      <c r="B844" s="76" t="str">
        <f>IFERROR(__xludf.DUMMYFUNCTION("""COMPUTED_VALUE"""),"Prismari Artistry")</f>
        <v>Prismari Artistry</v>
      </c>
      <c r="C844" s="77">
        <f>IFERROR(__xludf.DUMMYFUNCTION("""COMPUTED_VALUE"""),0.0)</f>
        <v>0</v>
      </c>
      <c r="D844" s="77">
        <f>IFERROR(__xludf.DUMMYFUNCTION("""COMPUTED_VALUE"""),0.0)</f>
        <v>0</v>
      </c>
      <c r="E844" s="46" t="b">
        <f>IFERROR(__xludf.DUMMYFUNCTION("""COMPUTED_VALUE"""),TRUE)</f>
        <v>1</v>
      </c>
    </row>
    <row r="845" hidden="1">
      <c r="A845" s="76" t="str">
        <f>IFERROR(__xludf.DUMMYFUNCTION("""COMPUTED_VALUE"""),"Doom Prevails")</f>
        <v>Doom Prevails</v>
      </c>
      <c r="B845" s="76" t="str">
        <f>IFERROR(__xludf.DUMMYFUNCTION("""COMPUTED_VALUE"""),"Prismari Performance")</f>
        <v>Prismari Performance</v>
      </c>
      <c r="C845" s="77">
        <f>IFERROR(__xludf.DUMMYFUNCTION("""COMPUTED_VALUE"""),0.0)</f>
        <v>0</v>
      </c>
      <c r="D845" s="77">
        <f>IFERROR(__xludf.DUMMYFUNCTION("""COMPUTED_VALUE"""),0.0)</f>
        <v>0</v>
      </c>
      <c r="E845" s="46" t="b">
        <f>IFERROR(__xludf.DUMMYFUNCTION("""COMPUTED_VALUE"""),TRUE)</f>
        <v>1</v>
      </c>
    </row>
    <row r="846" hidden="1">
      <c r="A846" s="76" t="str">
        <f>IFERROR(__xludf.DUMMYFUNCTION("""COMPUTED_VALUE"""),"Doom Prevails")</f>
        <v>Doom Prevails</v>
      </c>
      <c r="B846" s="76" t="str">
        <f>IFERROR(__xludf.DUMMYFUNCTION("""COMPUTED_VALUE"""),"Quandrix Unlimited")</f>
        <v>Quandrix Unlimited</v>
      </c>
      <c r="C846" s="77">
        <f>IFERROR(__xludf.DUMMYFUNCTION("""COMPUTED_VALUE"""),1.0)</f>
        <v>1</v>
      </c>
      <c r="D846" s="77">
        <f>IFERROR(__xludf.DUMMYFUNCTION("""COMPUTED_VALUE"""),0.0)</f>
        <v>0</v>
      </c>
      <c r="E846" s="46" t="b">
        <f>IFERROR(__xludf.DUMMYFUNCTION("""COMPUTED_VALUE"""),FALSE)</f>
        <v>0</v>
      </c>
    </row>
    <row r="847" hidden="1">
      <c r="A847" s="76" t="str">
        <f>IFERROR(__xludf.DUMMYFUNCTION("""COMPUTED_VALUE"""),"Doom Prevails")</f>
        <v>Doom Prevails</v>
      </c>
      <c r="B847" s="76" t="str">
        <f>IFERROR(__xludf.DUMMYFUNCTION("""COMPUTED_VALUE"""),"Quick Draw")</f>
        <v>Quick Draw</v>
      </c>
      <c r="C847" s="77">
        <f>IFERROR(__xludf.DUMMYFUNCTION("""COMPUTED_VALUE"""),0.0)</f>
        <v>0</v>
      </c>
      <c r="D847" s="77">
        <f>IFERROR(__xludf.DUMMYFUNCTION("""COMPUTED_VALUE"""),0.0)</f>
        <v>0</v>
      </c>
      <c r="E847" s="46" t="b">
        <f>IFERROR(__xludf.DUMMYFUNCTION("""COMPUTED_VALUE"""),TRUE)</f>
        <v>1</v>
      </c>
    </row>
    <row r="848" hidden="1">
      <c r="A848" s="76" t="str">
        <f>IFERROR(__xludf.DUMMYFUNCTION("""COMPUTED_VALUE"""),"Doom Prevails")</f>
        <v>Doom Prevails</v>
      </c>
      <c r="B848" s="76" t="str">
        <f>IFERROR(__xludf.DUMMYFUNCTION("""COMPUTED_VALUE"""),"Reap the Tides")</f>
        <v>Reap the Tides</v>
      </c>
      <c r="C848" s="77">
        <f>IFERROR(__xludf.DUMMYFUNCTION("""COMPUTED_VALUE"""),0.0)</f>
        <v>0</v>
      </c>
      <c r="D848" s="77">
        <f>IFERROR(__xludf.DUMMYFUNCTION("""COMPUTED_VALUE"""),0.0)</f>
        <v>0</v>
      </c>
      <c r="E848" s="46" t="b">
        <f>IFERROR(__xludf.DUMMYFUNCTION("""COMPUTED_VALUE"""),TRUE)</f>
        <v>1</v>
      </c>
    </row>
    <row r="849" hidden="1">
      <c r="A849" s="76" t="str">
        <f>IFERROR(__xludf.DUMMYFUNCTION("""COMPUTED_VALUE"""),"Doom Prevails")</f>
        <v>Doom Prevails</v>
      </c>
      <c r="B849" s="76" t="str">
        <f>IFERROR(__xludf.DUMMYFUNCTION("""COMPUTED_VALUE"""),"Rebellion Rising")</f>
        <v>Rebellion Rising</v>
      </c>
      <c r="C849" s="77">
        <f>IFERROR(__xludf.DUMMYFUNCTION("""COMPUTED_VALUE"""),0.0)</f>
        <v>0</v>
      </c>
      <c r="D849" s="77">
        <f>IFERROR(__xludf.DUMMYFUNCTION("""COMPUTED_VALUE"""),0.0)</f>
        <v>0</v>
      </c>
      <c r="E849" s="46" t="b">
        <f>IFERROR(__xludf.DUMMYFUNCTION("""COMPUTED_VALUE"""),TRUE)</f>
        <v>1</v>
      </c>
    </row>
    <row r="850" hidden="1">
      <c r="A850" s="78" t="str">
        <f>IFERROR(__xludf.DUMMYFUNCTION("""COMPUTED_VALUE"""),"Doom Prevails")</f>
        <v>Doom Prevails</v>
      </c>
      <c r="B850" s="78" t="str">
        <f>IFERROR(__xludf.DUMMYFUNCTION("""COMPUTED_VALUE"""),"Revival Trance")</f>
        <v>Revival Trance</v>
      </c>
      <c r="C850" s="79">
        <f>IFERROR(__xludf.DUMMYFUNCTION("""COMPUTED_VALUE"""),0.0)</f>
        <v>0</v>
      </c>
      <c r="D850" s="79">
        <f>IFERROR(__xludf.DUMMYFUNCTION("""COMPUTED_VALUE"""),0.0)</f>
        <v>0</v>
      </c>
      <c r="E850" s="69" t="b">
        <f>IFERROR(__xludf.DUMMYFUNCTION("""COMPUTED_VALUE"""),TRUE)</f>
        <v>1</v>
      </c>
    </row>
    <row r="851" hidden="1">
      <c r="A851" s="76" t="str">
        <f>IFERROR(__xludf.DUMMYFUNCTION("""COMPUTED_VALUE"""),"Doom Prevails")</f>
        <v>Doom Prevails</v>
      </c>
      <c r="B851" s="76" t="str">
        <f>IFERROR(__xludf.DUMMYFUNCTION("""COMPUTED_VALUE"""),"Riders of Rohan")</f>
        <v>Riders of Rohan</v>
      </c>
      <c r="C851" s="77">
        <f>IFERROR(__xludf.DUMMYFUNCTION("""COMPUTED_VALUE"""),0.0)</f>
        <v>0</v>
      </c>
      <c r="D851" s="77">
        <f>IFERROR(__xludf.DUMMYFUNCTION("""COMPUTED_VALUE"""),0.0)</f>
        <v>0</v>
      </c>
      <c r="E851" s="46" t="b">
        <f>IFERROR(__xludf.DUMMYFUNCTION("""COMPUTED_VALUE"""),TRUE)</f>
        <v>1</v>
      </c>
    </row>
    <row r="852" hidden="1">
      <c r="A852" s="76" t="str">
        <f>IFERROR(__xludf.DUMMYFUNCTION("""COMPUTED_VALUE"""),"Doom Prevails")</f>
        <v>Doom Prevails</v>
      </c>
      <c r="B852" s="76" t="str">
        <f>IFERROR(__xludf.DUMMYFUNCTION("""COMPUTED_VALUE"""),"Science!")</f>
        <v>Science!</v>
      </c>
      <c r="C852" s="77">
        <f>IFERROR(__xludf.DUMMYFUNCTION("""COMPUTED_VALUE"""),0.0)</f>
        <v>0</v>
      </c>
      <c r="D852" s="77">
        <f>IFERROR(__xludf.DUMMYFUNCTION("""COMPUTED_VALUE"""),0.0)</f>
        <v>0</v>
      </c>
      <c r="E852" s="46" t="b">
        <f>IFERROR(__xludf.DUMMYFUNCTION("""COMPUTED_VALUE"""),TRUE)</f>
        <v>1</v>
      </c>
    </row>
    <row r="853" hidden="1">
      <c r="A853" s="76" t="str">
        <f>IFERROR(__xludf.DUMMYFUNCTION("""COMPUTED_VALUE"""),"Doom Prevails")</f>
        <v>Doom Prevails</v>
      </c>
      <c r="B853" s="76" t="str">
        <f>IFERROR(__xludf.DUMMYFUNCTION("""COMPUTED_VALUE"""),"Scions &amp; Spellcraft")</f>
        <v>Scions &amp; Spellcraft</v>
      </c>
      <c r="C853" s="77">
        <f>IFERROR(__xludf.DUMMYFUNCTION("""COMPUTED_VALUE"""),0.0)</f>
        <v>0</v>
      </c>
      <c r="D853" s="77">
        <f>IFERROR(__xludf.DUMMYFUNCTION("""COMPUTED_VALUE"""),0.0)</f>
        <v>0</v>
      </c>
      <c r="E853" s="46" t="b">
        <f>IFERROR(__xludf.DUMMYFUNCTION("""COMPUTED_VALUE"""),TRUE)</f>
        <v>1</v>
      </c>
    </row>
    <row r="854" hidden="1">
      <c r="A854" s="76" t="str">
        <f>IFERROR(__xludf.DUMMYFUNCTION("""COMPUTED_VALUE"""),"Doom Prevails")</f>
        <v>Doom Prevails</v>
      </c>
      <c r="B854" s="76" t="str">
        <f>IFERROR(__xludf.DUMMYFUNCTION("""COMPUTED_VALUE"""),"Scrappy Survivors")</f>
        <v>Scrappy Survivors</v>
      </c>
      <c r="C854" s="77">
        <f>IFERROR(__xludf.DUMMYFUNCTION("""COMPUTED_VALUE"""),0.0)</f>
        <v>0</v>
      </c>
      <c r="D854" s="77">
        <f>IFERROR(__xludf.DUMMYFUNCTION("""COMPUTED_VALUE"""),0.0)</f>
        <v>0</v>
      </c>
      <c r="E854" s="46" t="b">
        <f>IFERROR(__xludf.DUMMYFUNCTION("""COMPUTED_VALUE"""),TRUE)</f>
        <v>1</v>
      </c>
    </row>
    <row r="855" hidden="1">
      <c r="A855" s="76" t="str">
        <f>IFERROR(__xludf.DUMMYFUNCTION("""COMPUTED_VALUE"""),"Doom Prevails")</f>
        <v>Doom Prevails</v>
      </c>
      <c r="B855" s="76" t="str">
        <f>IFERROR(__xludf.DUMMYFUNCTION("""COMPUTED_VALUE"""),"Silverquill Influence")</f>
        <v>Silverquill Influence</v>
      </c>
      <c r="C855" s="77">
        <f>IFERROR(__xludf.DUMMYFUNCTION("""COMPUTED_VALUE"""),0.0)</f>
        <v>0</v>
      </c>
      <c r="D855" s="77">
        <f>IFERROR(__xludf.DUMMYFUNCTION("""COMPUTED_VALUE"""),0.0)</f>
        <v>0</v>
      </c>
      <c r="E855" s="46" t="b">
        <f>IFERROR(__xludf.DUMMYFUNCTION("""COMPUTED_VALUE"""),TRUE)</f>
        <v>1</v>
      </c>
    </row>
    <row r="856" hidden="1">
      <c r="A856" s="76" t="str">
        <f>IFERROR(__xludf.DUMMYFUNCTION("""COMPUTED_VALUE"""),"Doom Prevails")</f>
        <v>Doom Prevails</v>
      </c>
      <c r="B856" s="76" t="str">
        <f>IFERROR(__xludf.DUMMYFUNCTION("""COMPUTED_VALUE"""),"Spirit Squadron")</f>
        <v>Spirit Squadron</v>
      </c>
      <c r="C856" s="77">
        <f>IFERROR(__xludf.DUMMYFUNCTION("""COMPUTED_VALUE"""),0.0)</f>
        <v>0</v>
      </c>
      <c r="D856" s="77">
        <f>IFERROR(__xludf.DUMMYFUNCTION("""COMPUTED_VALUE"""),0.0)</f>
        <v>0</v>
      </c>
      <c r="E856" s="46" t="b">
        <f>IFERROR(__xludf.DUMMYFUNCTION("""COMPUTED_VALUE"""),TRUE)</f>
        <v>1</v>
      </c>
    </row>
    <row r="857" hidden="1">
      <c r="A857" s="76" t="str">
        <f>IFERROR(__xludf.DUMMYFUNCTION("""COMPUTED_VALUE"""),"Doom Prevails")</f>
        <v>Doom Prevails</v>
      </c>
      <c r="B857" s="76" t="str">
        <f>IFERROR(__xludf.DUMMYFUNCTION("""COMPUTED_VALUE"""),"Squirreled Away")</f>
        <v>Squirreled Away</v>
      </c>
      <c r="C857" s="77">
        <f>IFERROR(__xludf.DUMMYFUNCTION("""COMPUTED_VALUE"""),0.0)</f>
        <v>0</v>
      </c>
      <c r="D857" s="77">
        <f>IFERROR(__xludf.DUMMYFUNCTION("""COMPUTED_VALUE"""),0.0)</f>
        <v>0</v>
      </c>
      <c r="E857" s="46" t="b">
        <f>IFERROR(__xludf.DUMMYFUNCTION("""COMPUTED_VALUE"""),TRUE)</f>
        <v>1</v>
      </c>
    </row>
    <row r="858" hidden="1">
      <c r="A858" s="76" t="str">
        <f>IFERROR(__xludf.DUMMYFUNCTION("""COMPUTED_VALUE"""),"Doom Prevails")</f>
        <v>Doom Prevails</v>
      </c>
      <c r="B858" s="76" t="str">
        <f>IFERROR(__xludf.DUMMYFUNCTION("""COMPUTED_VALUE"""),"Sultai Arisen")</f>
        <v>Sultai Arisen</v>
      </c>
      <c r="C858" s="77">
        <f>IFERROR(__xludf.DUMMYFUNCTION("""COMPUTED_VALUE"""),0.0)</f>
        <v>0</v>
      </c>
      <c r="D858" s="77">
        <f>IFERROR(__xludf.DUMMYFUNCTION("""COMPUTED_VALUE"""),0.0)</f>
        <v>0</v>
      </c>
      <c r="E858" s="46" t="b">
        <f>IFERROR(__xludf.DUMMYFUNCTION("""COMPUTED_VALUE"""),TRUE)</f>
        <v>1</v>
      </c>
    </row>
    <row r="859" hidden="1">
      <c r="A859" s="76" t="str">
        <f>IFERROR(__xludf.DUMMYFUNCTION("""COMPUTED_VALUE"""),"Doom Prevails")</f>
        <v>Doom Prevails</v>
      </c>
      <c r="B859" s="76" t="str">
        <f>IFERROR(__xludf.DUMMYFUNCTION("""COMPUTED_VALUE"""),"Temur Roar")</f>
        <v>Temur Roar</v>
      </c>
      <c r="C859" s="77">
        <f>IFERROR(__xludf.DUMMYFUNCTION("""COMPUTED_VALUE"""),1.0)</f>
        <v>1</v>
      </c>
      <c r="D859" s="77">
        <f>IFERROR(__xludf.DUMMYFUNCTION("""COMPUTED_VALUE"""),0.0)</f>
        <v>0</v>
      </c>
      <c r="E859" s="46" t="b">
        <f>IFERROR(__xludf.DUMMYFUNCTION("""COMPUTED_VALUE"""),FALSE)</f>
        <v>0</v>
      </c>
    </row>
    <row r="860" hidden="1">
      <c r="A860" s="76" t="str">
        <f>IFERROR(__xludf.DUMMYFUNCTION("""COMPUTED_VALUE"""),"Doom Prevails")</f>
        <v>Doom Prevails</v>
      </c>
      <c r="B860" s="76" t="str">
        <f>IFERROR(__xludf.DUMMYFUNCTION("""COMPUTED_VALUE"""),"The Hosts of Mordor")</f>
        <v>The Hosts of Mordor</v>
      </c>
      <c r="C860" s="77">
        <f>IFERROR(__xludf.DUMMYFUNCTION("""COMPUTED_VALUE"""),0.0)</f>
        <v>0</v>
      </c>
      <c r="D860" s="77">
        <f>IFERROR(__xludf.DUMMYFUNCTION("""COMPUTED_VALUE"""),0.0)</f>
        <v>0</v>
      </c>
      <c r="E860" s="46" t="b">
        <f>IFERROR(__xludf.DUMMYFUNCTION("""COMPUTED_VALUE"""),TRUE)</f>
        <v>1</v>
      </c>
    </row>
    <row r="861" hidden="1">
      <c r="A861" s="76" t="str">
        <f>IFERROR(__xludf.DUMMYFUNCTION("""COMPUTED_VALUE"""),"Doom Prevails")</f>
        <v>Doom Prevails</v>
      </c>
      <c r="B861" s="76" t="str">
        <f>IFERROR(__xludf.DUMMYFUNCTION("""COMPUTED_VALUE"""),"The Ruinous Powers")</f>
        <v>The Ruinous Powers</v>
      </c>
      <c r="C861" s="77">
        <f>IFERROR(__xludf.DUMMYFUNCTION("""COMPUTED_VALUE"""),0.0)</f>
        <v>0</v>
      </c>
      <c r="D861" s="77">
        <f>IFERROR(__xludf.DUMMYFUNCTION("""COMPUTED_VALUE"""),0.0)</f>
        <v>0</v>
      </c>
      <c r="E861" s="46" t="b">
        <f>IFERROR(__xludf.DUMMYFUNCTION("""COMPUTED_VALUE"""),TRUE)</f>
        <v>1</v>
      </c>
    </row>
    <row r="862" hidden="1">
      <c r="A862" s="76" t="str">
        <f>IFERROR(__xludf.DUMMYFUNCTION("""COMPUTED_VALUE"""),"Doom Prevails")</f>
        <v>Doom Prevails</v>
      </c>
      <c r="B862" s="76" t="str">
        <f>IFERROR(__xludf.DUMMYFUNCTION("""COMPUTED_VALUE"""),"Timey-Wimey")</f>
        <v>Timey-Wimey</v>
      </c>
      <c r="C862" s="77">
        <f>IFERROR(__xludf.DUMMYFUNCTION("""COMPUTED_VALUE"""),0.0)</f>
        <v>0</v>
      </c>
      <c r="D862" s="77">
        <f>IFERROR(__xludf.DUMMYFUNCTION("""COMPUTED_VALUE"""),0.0)</f>
        <v>0</v>
      </c>
      <c r="E862" s="46" t="b">
        <f>IFERROR(__xludf.DUMMYFUNCTION("""COMPUTED_VALUE"""),TRUE)</f>
        <v>1</v>
      </c>
    </row>
    <row r="863" hidden="1">
      <c r="A863" s="76" t="str">
        <f>IFERROR(__xludf.DUMMYFUNCTION("""COMPUTED_VALUE"""),"Doom Prevails")</f>
        <v>Doom Prevails</v>
      </c>
      <c r="B863" s="76" t="str">
        <f>IFERROR(__xludf.DUMMYFUNCTION("""COMPUTED_VALUE"""),"Tinker Time")</f>
        <v>Tinker Time</v>
      </c>
      <c r="C863" s="77">
        <f>IFERROR(__xludf.DUMMYFUNCTION("""COMPUTED_VALUE"""),0.0)</f>
        <v>0</v>
      </c>
      <c r="D863" s="77">
        <f>IFERROR(__xludf.DUMMYFUNCTION("""COMPUTED_VALUE"""),0.0)</f>
        <v>0</v>
      </c>
      <c r="E863" s="46" t="b">
        <f>IFERROR(__xludf.DUMMYFUNCTION("""COMPUTED_VALUE"""),TRUE)</f>
        <v>1</v>
      </c>
    </row>
    <row r="864" hidden="1">
      <c r="A864" s="76" t="str">
        <f>IFERROR(__xludf.DUMMYFUNCTION("""COMPUTED_VALUE"""),"Doom Prevails")</f>
        <v>Doom Prevails</v>
      </c>
      <c r="B864" s="76" t="str">
        <f>IFERROR(__xludf.DUMMYFUNCTION("""COMPUTED_VALUE"""),"Turtle Power!")</f>
        <v>Turtle Power!</v>
      </c>
      <c r="C864" s="77">
        <f>IFERROR(__xludf.DUMMYFUNCTION("""COMPUTED_VALUE"""),0.0)</f>
        <v>0</v>
      </c>
      <c r="D864" s="77">
        <f>IFERROR(__xludf.DUMMYFUNCTION("""COMPUTED_VALUE"""),0.0)</f>
        <v>0</v>
      </c>
      <c r="E864" s="46" t="b">
        <f>IFERROR(__xludf.DUMMYFUNCTION("""COMPUTED_VALUE"""),TRUE)</f>
        <v>1</v>
      </c>
    </row>
    <row r="865" hidden="1">
      <c r="A865" s="76" t="str">
        <f>IFERROR(__xludf.DUMMYFUNCTION("""COMPUTED_VALUE"""),"Doom Prevails")</f>
        <v>Doom Prevails</v>
      </c>
      <c r="B865" s="76" t="str">
        <f>IFERROR(__xludf.DUMMYFUNCTION("""COMPUTED_VALUE"""),"Veloci-ramp-tor")</f>
        <v>Veloci-ramp-tor</v>
      </c>
      <c r="C865" s="77">
        <f>IFERROR(__xludf.DUMMYFUNCTION("""COMPUTED_VALUE"""),0.0)</f>
        <v>0</v>
      </c>
      <c r="D865" s="77">
        <f>IFERROR(__xludf.DUMMYFUNCTION("""COMPUTED_VALUE"""),0.0)</f>
        <v>0</v>
      </c>
      <c r="E865" s="46" t="b">
        <f>IFERROR(__xludf.DUMMYFUNCTION("""COMPUTED_VALUE"""),TRUE)</f>
        <v>1</v>
      </c>
    </row>
    <row r="866" hidden="1">
      <c r="A866" s="76" t="str">
        <f>IFERROR(__xludf.DUMMYFUNCTION("""COMPUTED_VALUE"""),"Eldrazi Incursion")</f>
        <v>Eldrazi Incursion</v>
      </c>
      <c r="B866" s="76" t="str">
        <f>IFERROR(__xludf.DUMMYFUNCTION("""COMPUTED_VALUE"""),"Ahoy Mateys")</f>
        <v>Ahoy Mateys</v>
      </c>
      <c r="C866" s="77">
        <f>IFERROR(__xludf.DUMMYFUNCTION("""COMPUTED_VALUE"""),0.0)</f>
        <v>0</v>
      </c>
      <c r="D866" s="77">
        <f>IFERROR(__xludf.DUMMYFUNCTION("""COMPUTED_VALUE"""),0.0)</f>
        <v>0</v>
      </c>
      <c r="E866" s="46" t="b">
        <f>IFERROR(__xludf.DUMMYFUNCTION("""COMPUTED_VALUE"""),TRUE)</f>
        <v>1</v>
      </c>
    </row>
    <row r="867" hidden="1">
      <c r="A867" s="76" t="str">
        <f>IFERROR(__xludf.DUMMYFUNCTION("""COMPUTED_VALUE"""),"Eldrazi Incursion")</f>
        <v>Eldrazi Incursion</v>
      </c>
      <c r="B867" s="76" t="str">
        <f>IFERROR(__xludf.DUMMYFUNCTION("""COMPUTED_VALUE"""),"Animated Army")</f>
        <v>Animated Army</v>
      </c>
      <c r="C867" s="77">
        <f>IFERROR(__xludf.DUMMYFUNCTION("""COMPUTED_VALUE"""),0.0)</f>
        <v>0</v>
      </c>
      <c r="D867" s="77">
        <f>IFERROR(__xludf.DUMMYFUNCTION("""COMPUTED_VALUE"""),0.0)</f>
        <v>0</v>
      </c>
      <c r="E867" s="46" t="b">
        <f>IFERROR(__xludf.DUMMYFUNCTION("""COMPUTED_VALUE"""),TRUE)</f>
        <v>1</v>
      </c>
    </row>
    <row r="868">
      <c r="A868" s="76" t="str">
        <f>IFERROR(__xludf.DUMMYFUNCTION("""COMPUTED_VALUE"""),"Eldrazi Incursion")</f>
        <v>Eldrazi Incursion</v>
      </c>
      <c r="B868" s="76" t="str">
        <f>IFERROR(__xludf.DUMMYFUNCTION("""COMPUTED_VALUE"""),"Arcane Maelstrom")</f>
        <v>Arcane Maelstrom</v>
      </c>
      <c r="C868" s="77">
        <f>IFERROR(__xludf.DUMMYFUNCTION("""COMPUTED_VALUE"""),0.0)</f>
        <v>0</v>
      </c>
      <c r="D868" s="77">
        <f>IFERROR(__xludf.DUMMYFUNCTION("""COMPUTED_VALUE"""),0.0)</f>
        <v>0</v>
      </c>
      <c r="E868" s="46" t="b">
        <f>IFERROR(__xludf.DUMMYFUNCTION("""COMPUTED_VALUE"""),TRUE)</f>
        <v>1</v>
      </c>
    </row>
    <row r="869" hidden="1">
      <c r="A869" s="76" t="str">
        <f>IFERROR(__xludf.DUMMYFUNCTION("""COMPUTED_VALUE"""),"Eldrazi Incursion")</f>
        <v>Eldrazi Incursion</v>
      </c>
      <c r="B869" s="76" t="str">
        <f>IFERROR(__xludf.DUMMYFUNCTION("""COMPUTED_VALUE"""),"Blame Game")</f>
        <v>Blame Game</v>
      </c>
      <c r="C869" s="77">
        <f>IFERROR(__xludf.DUMMYFUNCTION("""COMPUTED_VALUE"""),0.0)</f>
        <v>0</v>
      </c>
      <c r="D869" s="77">
        <f>IFERROR(__xludf.DUMMYFUNCTION("""COMPUTED_VALUE"""),0.0)</f>
        <v>0</v>
      </c>
      <c r="E869" s="46" t="b">
        <f>IFERROR(__xludf.DUMMYFUNCTION("""COMPUTED_VALUE"""),TRUE)</f>
        <v>1</v>
      </c>
    </row>
    <row r="870" hidden="1">
      <c r="A870" s="76" t="str">
        <f>IFERROR(__xludf.DUMMYFUNCTION("""COMPUTED_VALUE"""),"Eldrazi Incursion")</f>
        <v>Eldrazi Incursion</v>
      </c>
      <c r="B870" s="76" t="str">
        <f>IFERROR(__xludf.DUMMYFUNCTION("""COMPUTED_VALUE"""),"Blight Curse")</f>
        <v>Blight Curse</v>
      </c>
      <c r="C870" s="77">
        <f>IFERROR(__xludf.DUMMYFUNCTION("""COMPUTED_VALUE"""),0.0)</f>
        <v>0</v>
      </c>
      <c r="D870" s="77">
        <f>IFERROR(__xludf.DUMMYFUNCTION("""COMPUTED_VALUE"""),0.0)</f>
        <v>0</v>
      </c>
      <c r="E870" s="46" t="b">
        <f>IFERROR(__xludf.DUMMYFUNCTION("""COMPUTED_VALUE"""),TRUE)</f>
        <v>1</v>
      </c>
    </row>
    <row r="871" hidden="1">
      <c r="A871" s="78" t="str">
        <f>IFERROR(__xludf.DUMMYFUNCTION("""COMPUTED_VALUE"""),"Eldrazi Incursion")</f>
        <v>Eldrazi Incursion</v>
      </c>
      <c r="B871" s="78" t="str">
        <f>IFERROR(__xludf.DUMMYFUNCTION("""COMPUTED_VALUE"""),"Blood Rites")</f>
        <v>Blood Rites</v>
      </c>
      <c r="C871" s="79">
        <f>IFERROR(__xludf.DUMMYFUNCTION("""COMPUTED_VALUE"""),0.0)</f>
        <v>0</v>
      </c>
      <c r="D871" s="79">
        <f>IFERROR(__xludf.DUMMYFUNCTION("""COMPUTED_VALUE"""),0.0)</f>
        <v>0</v>
      </c>
      <c r="E871" s="69" t="b">
        <f>IFERROR(__xludf.DUMMYFUNCTION("""COMPUTED_VALUE"""),TRUE)</f>
        <v>1</v>
      </c>
    </row>
    <row r="872">
      <c r="A872" s="76" t="str">
        <f>IFERROR(__xludf.DUMMYFUNCTION("""COMPUTED_VALUE"""),"Eldrazi Incursion")</f>
        <v>Eldrazi Incursion</v>
      </c>
      <c r="B872" s="76" t="str">
        <f>IFERROR(__xludf.DUMMYFUNCTION("""COMPUTED_VALUE"""),"Buckle Up")</f>
        <v>Buckle Up</v>
      </c>
      <c r="C872" s="77">
        <f>IFERROR(__xludf.DUMMYFUNCTION("""COMPUTED_VALUE"""),0.0)</f>
        <v>0</v>
      </c>
      <c r="D872" s="77">
        <f>IFERROR(__xludf.DUMMYFUNCTION("""COMPUTED_VALUE"""),0.0)</f>
        <v>0</v>
      </c>
      <c r="E872" s="46" t="b">
        <f>IFERROR(__xludf.DUMMYFUNCTION("""COMPUTED_VALUE"""),TRUE)</f>
        <v>1</v>
      </c>
    </row>
    <row r="873">
      <c r="A873" s="76" t="str">
        <f>IFERROR(__xludf.DUMMYFUNCTION("""COMPUTED_VALUE"""),"Eldrazi Incursion")</f>
        <v>Eldrazi Incursion</v>
      </c>
      <c r="B873" s="76" t="str">
        <f>IFERROR(__xludf.DUMMYFUNCTION("""COMPUTED_VALUE"""),"Cabaretti Cacophony")</f>
        <v>Cabaretti Cacophony</v>
      </c>
      <c r="C873" s="77">
        <f>IFERROR(__xludf.DUMMYFUNCTION("""COMPUTED_VALUE"""),0.0)</f>
        <v>0</v>
      </c>
      <c r="D873" s="77">
        <f>IFERROR(__xludf.DUMMYFUNCTION("""COMPUTED_VALUE"""),0.0)</f>
        <v>0</v>
      </c>
      <c r="E873" s="46" t="b">
        <f>IFERROR(__xludf.DUMMYFUNCTION("""COMPUTED_VALUE"""),TRUE)</f>
        <v>1</v>
      </c>
    </row>
    <row r="874" hidden="1">
      <c r="A874" s="76" t="str">
        <f>IFERROR(__xludf.DUMMYFUNCTION("""COMPUTED_VALUE"""),"Eldrazi Incursion")</f>
        <v>Eldrazi Incursion</v>
      </c>
      <c r="B874" s="76" t="str">
        <f>IFERROR(__xludf.DUMMYFUNCTION("""COMPUTED_VALUE"""),"Cavalry Charge")</f>
        <v>Cavalry Charge</v>
      </c>
      <c r="C874" s="77">
        <f>IFERROR(__xludf.DUMMYFUNCTION("""COMPUTED_VALUE"""),0.0)</f>
        <v>0</v>
      </c>
      <c r="D874" s="77">
        <f>IFERROR(__xludf.DUMMYFUNCTION("""COMPUTED_VALUE"""),0.0)</f>
        <v>0</v>
      </c>
      <c r="E874" s="46" t="b">
        <f>IFERROR(__xludf.DUMMYFUNCTION("""COMPUTED_VALUE"""),TRUE)</f>
        <v>1</v>
      </c>
    </row>
    <row r="875" hidden="1">
      <c r="A875" s="76" t="str">
        <f>IFERROR(__xludf.DUMMYFUNCTION("""COMPUTED_VALUE"""),"Eldrazi Incursion")</f>
        <v>Eldrazi Incursion</v>
      </c>
      <c r="B875" s="76" t="str">
        <f>IFERROR(__xludf.DUMMYFUNCTION("""COMPUTED_VALUE"""),"Corrupting Influence")</f>
        <v>Corrupting Influence</v>
      </c>
      <c r="C875" s="77">
        <f>IFERROR(__xludf.DUMMYFUNCTION("""COMPUTED_VALUE"""),0.0)</f>
        <v>0</v>
      </c>
      <c r="D875" s="77">
        <f>IFERROR(__xludf.DUMMYFUNCTION("""COMPUTED_VALUE"""),0.0)</f>
        <v>0</v>
      </c>
      <c r="E875" s="46" t="b">
        <f>IFERROR(__xludf.DUMMYFUNCTION("""COMPUTED_VALUE"""),TRUE)</f>
        <v>1</v>
      </c>
    </row>
    <row r="876">
      <c r="A876" s="76" t="str">
        <f>IFERROR(__xludf.DUMMYFUNCTION("""COMPUTED_VALUE"""),"Eldrazi Incursion")</f>
        <v>Eldrazi Incursion</v>
      </c>
      <c r="B876" s="76" t="str">
        <f>IFERROR(__xludf.DUMMYFUNCTION("""COMPUTED_VALUE"""),"Counter Blitz")</f>
        <v>Counter Blitz</v>
      </c>
      <c r="C876" s="77">
        <f>IFERROR(__xludf.DUMMYFUNCTION("""COMPUTED_VALUE"""),0.0)</f>
        <v>0</v>
      </c>
      <c r="D876" s="77">
        <f>IFERROR(__xludf.DUMMYFUNCTION("""COMPUTED_VALUE"""),0.0)</f>
        <v>0</v>
      </c>
      <c r="E876" s="46" t="b">
        <f>IFERROR(__xludf.DUMMYFUNCTION("""COMPUTED_VALUE"""),TRUE)</f>
        <v>1</v>
      </c>
    </row>
    <row r="877">
      <c r="A877" s="76" t="str">
        <f>IFERROR(__xludf.DUMMYFUNCTION("""COMPUTED_VALUE"""),"Eldrazi Incursion")</f>
        <v>Eldrazi Incursion</v>
      </c>
      <c r="B877" s="76" t="str">
        <f>IFERROR(__xludf.DUMMYFUNCTION("""COMPUTED_VALUE"""),"Counter Intelligence")</f>
        <v>Counter Intelligence</v>
      </c>
      <c r="C877" s="77">
        <f>IFERROR(__xludf.DUMMYFUNCTION("""COMPUTED_VALUE"""),0.0)</f>
        <v>0</v>
      </c>
      <c r="D877" s="77">
        <f>IFERROR(__xludf.DUMMYFUNCTION("""COMPUTED_VALUE"""),0.0)</f>
        <v>0</v>
      </c>
      <c r="E877" s="46" t="b">
        <f>IFERROR(__xludf.DUMMYFUNCTION("""COMPUTED_VALUE"""),TRUE)</f>
        <v>1</v>
      </c>
    </row>
    <row r="878">
      <c r="A878" s="76" t="str">
        <f>IFERROR(__xludf.DUMMYFUNCTION("""COMPUTED_VALUE"""),"Eldrazi Incursion")</f>
        <v>Eldrazi Incursion</v>
      </c>
      <c r="B878" s="76" t="str">
        <f>IFERROR(__xludf.DUMMYFUNCTION("""COMPUTED_VALUE"""),"Creative Energy")</f>
        <v>Creative Energy</v>
      </c>
      <c r="C878" s="77">
        <f>IFERROR(__xludf.DUMMYFUNCTION("""COMPUTED_VALUE"""),0.0)</f>
        <v>0</v>
      </c>
      <c r="D878" s="77">
        <f>IFERROR(__xludf.DUMMYFUNCTION("""COMPUTED_VALUE"""),1.0)</f>
        <v>1</v>
      </c>
      <c r="E878" s="46" t="b">
        <f>IFERROR(__xludf.DUMMYFUNCTION("""COMPUTED_VALUE"""),FALSE)</f>
        <v>0</v>
      </c>
    </row>
    <row r="879" hidden="1">
      <c r="A879" s="76" t="str">
        <f>IFERROR(__xludf.DUMMYFUNCTION("""COMPUTED_VALUE"""),"Eldrazi Incursion")</f>
        <v>Eldrazi Incursion</v>
      </c>
      <c r="B879" s="76" t="str">
        <f>IFERROR(__xludf.DUMMYFUNCTION("""COMPUTED_VALUE"""),"Dance of the Elements")</f>
        <v>Dance of the Elements</v>
      </c>
      <c r="C879" s="77">
        <f>IFERROR(__xludf.DUMMYFUNCTION("""COMPUTED_VALUE"""),0.0)</f>
        <v>0</v>
      </c>
      <c r="D879" s="77">
        <f>IFERROR(__xludf.DUMMYFUNCTION("""COMPUTED_VALUE"""),0.0)</f>
        <v>0</v>
      </c>
      <c r="E879" s="46" t="b">
        <f>IFERROR(__xludf.DUMMYFUNCTION("""COMPUTED_VALUE"""),TRUE)</f>
        <v>1</v>
      </c>
    </row>
    <row r="880" hidden="1">
      <c r="A880" s="78" t="str">
        <f>IFERROR(__xludf.DUMMYFUNCTION("""COMPUTED_VALUE"""),"Eldrazi Incursion")</f>
        <v>Eldrazi Incursion</v>
      </c>
      <c r="B880" s="78" t="str">
        <f>IFERROR(__xludf.DUMMYFUNCTION("""COMPUTED_VALUE"""),"Deep Clue Sea")</f>
        <v>Deep Clue Sea</v>
      </c>
      <c r="C880" s="79">
        <f>IFERROR(__xludf.DUMMYFUNCTION("""COMPUTED_VALUE"""),0.0)</f>
        <v>0</v>
      </c>
      <c r="D880" s="79">
        <f>IFERROR(__xludf.DUMMYFUNCTION("""COMPUTED_VALUE"""),0.0)</f>
        <v>0</v>
      </c>
      <c r="E880" s="69" t="b">
        <f>IFERROR(__xludf.DUMMYFUNCTION("""COMPUTED_VALUE"""),TRUE)</f>
        <v>1</v>
      </c>
    </row>
    <row r="881" hidden="1">
      <c r="A881" s="76" t="str">
        <f>IFERROR(__xludf.DUMMYFUNCTION("""COMPUTED_VALUE"""),"Eldrazi Incursion")</f>
        <v>Eldrazi Incursion</v>
      </c>
      <c r="B881" s="76" t="str">
        <f>IFERROR(__xludf.DUMMYFUNCTION("""COMPUTED_VALUE"""),"Doom Prevails")</f>
        <v>Doom Prevails</v>
      </c>
      <c r="C881" s="77">
        <f>IFERROR(__xludf.DUMMYFUNCTION("""COMPUTED_VALUE"""),0.0)</f>
        <v>0</v>
      </c>
      <c r="D881" s="77">
        <f>IFERROR(__xludf.DUMMYFUNCTION("""COMPUTED_VALUE"""),0.0)</f>
        <v>0</v>
      </c>
      <c r="E881" s="46" t="b">
        <f>IFERROR(__xludf.DUMMYFUNCTION("""COMPUTED_VALUE"""),TRUE)</f>
        <v>1</v>
      </c>
    </row>
    <row r="882" hidden="1">
      <c r="A882" s="78" t="str">
        <f>IFERROR(__xludf.DUMMYFUNCTION("""COMPUTED_VALUE"""),"Eldrazi Incursion")</f>
        <v>Eldrazi Incursion</v>
      </c>
      <c r="B882" s="78" t="str">
        <f>IFERROR(__xludf.DUMMYFUNCTION("""COMPUTED_VALUE"""),"Eldrazi Incursion")</f>
        <v>Eldrazi Incursion</v>
      </c>
      <c r="C882" s="79">
        <f>IFERROR(__xludf.DUMMYFUNCTION("""COMPUTED_VALUE"""),0.0)</f>
        <v>0</v>
      </c>
      <c r="D882" s="79">
        <f>IFERROR(__xludf.DUMMYFUNCTION("""COMPUTED_VALUE"""),0.0)</f>
        <v>0</v>
      </c>
      <c r="E882" s="69" t="b">
        <f>IFERROR(__xludf.DUMMYFUNCTION("""COMPUTED_VALUE"""),TRUE)</f>
        <v>1</v>
      </c>
    </row>
    <row r="883">
      <c r="A883" s="78" t="str">
        <f>IFERROR(__xludf.DUMMYFUNCTION("""COMPUTED_VALUE"""),"Eldrazi Incursion")</f>
        <v>Eldrazi Incursion</v>
      </c>
      <c r="B883" s="78" t="str">
        <f>IFERROR(__xludf.DUMMYFUNCTION("""COMPUTED_VALUE"""),"Eldrazi Unbound")</f>
        <v>Eldrazi Unbound</v>
      </c>
      <c r="C883" s="79">
        <f>IFERROR(__xludf.DUMMYFUNCTION("""COMPUTED_VALUE"""),0.0)</f>
        <v>0</v>
      </c>
      <c r="D883" s="79">
        <f>IFERROR(__xludf.DUMMYFUNCTION("""COMPUTED_VALUE"""),0.0)</f>
        <v>0</v>
      </c>
      <c r="E883" s="69" t="b">
        <f>IFERROR(__xludf.DUMMYFUNCTION("""COMPUTED_VALUE"""),TRUE)</f>
        <v>1</v>
      </c>
    </row>
    <row r="884">
      <c r="A884" s="76" t="str">
        <f>IFERROR(__xludf.DUMMYFUNCTION("""COMPUTED_VALUE"""),"Eldrazi Incursion")</f>
        <v>Eldrazi Incursion</v>
      </c>
      <c r="B884" s="76" t="str">
        <f>IFERROR(__xludf.DUMMYFUNCTION("""COMPUTED_VALUE"""),"Endless Punishment")</f>
        <v>Endless Punishment</v>
      </c>
      <c r="C884" s="77">
        <f>IFERROR(__xludf.DUMMYFUNCTION("""COMPUTED_VALUE"""),0.0)</f>
        <v>0</v>
      </c>
      <c r="D884" s="77">
        <f>IFERROR(__xludf.DUMMYFUNCTION("""COMPUTED_VALUE"""),0.0)</f>
        <v>0</v>
      </c>
      <c r="E884" s="46" t="b">
        <f>IFERROR(__xludf.DUMMYFUNCTION("""COMPUTED_VALUE"""),TRUE)</f>
        <v>1</v>
      </c>
    </row>
    <row r="885" hidden="1">
      <c r="A885" s="76" t="str">
        <f>IFERROR(__xludf.DUMMYFUNCTION("""COMPUTED_VALUE"""),"Eldrazi Incursion")</f>
        <v>Eldrazi Incursion</v>
      </c>
      <c r="B885" s="76" t="str">
        <f>IFERROR(__xludf.DUMMYFUNCTION("""COMPUTED_VALUE"""),"Enduring Enchantments")</f>
        <v>Enduring Enchantments</v>
      </c>
      <c r="C885" s="77">
        <f>IFERROR(__xludf.DUMMYFUNCTION("""COMPUTED_VALUE"""),0.0)</f>
        <v>0</v>
      </c>
      <c r="D885" s="77">
        <f>IFERROR(__xludf.DUMMYFUNCTION("""COMPUTED_VALUE"""),0.0)</f>
        <v>0</v>
      </c>
      <c r="E885" s="46" t="b">
        <f>IFERROR(__xludf.DUMMYFUNCTION("""COMPUTED_VALUE"""),TRUE)</f>
        <v>1</v>
      </c>
    </row>
    <row r="886" hidden="1">
      <c r="A886" s="76" t="str">
        <f>IFERROR(__xludf.DUMMYFUNCTION("""COMPUTED_VALUE"""),"Eldrazi Incursion")</f>
        <v>Eldrazi Incursion</v>
      </c>
      <c r="B886" s="76" t="str">
        <f>IFERROR(__xludf.DUMMYFUNCTION("""COMPUTED_VALUE"""),"Explorers of the Deep")</f>
        <v>Explorers of the Deep</v>
      </c>
      <c r="C886" s="77">
        <f>IFERROR(__xludf.DUMMYFUNCTION("""COMPUTED_VALUE"""),0.0)</f>
        <v>0</v>
      </c>
      <c r="D886" s="77">
        <f>IFERROR(__xludf.DUMMYFUNCTION("""COMPUTED_VALUE"""),0.0)</f>
        <v>0</v>
      </c>
      <c r="E886" s="46" t="b">
        <f>IFERROR(__xludf.DUMMYFUNCTION("""COMPUTED_VALUE"""),TRUE)</f>
        <v>1</v>
      </c>
    </row>
    <row r="887" hidden="1">
      <c r="A887" s="78" t="str">
        <f>IFERROR(__xludf.DUMMYFUNCTION("""COMPUTED_VALUE"""),"Eldrazi Incursion")</f>
        <v>Eldrazi Incursion</v>
      </c>
      <c r="B887" s="78" t="str">
        <f>IFERROR(__xludf.DUMMYFUNCTION("""COMPUTED_VALUE"""),"Family Matters")</f>
        <v>Family Matters</v>
      </c>
      <c r="C887" s="79">
        <f>IFERROR(__xludf.DUMMYFUNCTION("""COMPUTED_VALUE"""),0.0)</f>
        <v>0</v>
      </c>
      <c r="D887" s="79">
        <f>IFERROR(__xludf.DUMMYFUNCTION("""COMPUTED_VALUE"""),0.0)</f>
        <v>0</v>
      </c>
      <c r="E887" s="69" t="b">
        <f>IFERROR(__xludf.DUMMYFUNCTION("""COMPUTED_VALUE"""),TRUE)</f>
        <v>1</v>
      </c>
    </row>
    <row r="888" hidden="1">
      <c r="A888" s="76" t="str">
        <f>IFERROR(__xludf.DUMMYFUNCTION("""COMPUTED_VALUE"""),"Eldrazi Incursion")</f>
        <v>Eldrazi Incursion</v>
      </c>
      <c r="B888" s="76" t="str">
        <f>IFERROR(__xludf.DUMMYFUNCTION("""COMPUTED_VALUE"""),"Food and Fellowship")</f>
        <v>Food and Fellowship</v>
      </c>
      <c r="C888" s="77">
        <f>IFERROR(__xludf.DUMMYFUNCTION("""COMPUTED_VALUE"""),0.0)</f>
        <v>0</v>
      </c>
      <c r="D888" s="77">
        <f>IFERROR(__xludf.DUMMYFUNCTION("""COMPUTED_VALUE"""),0.0)</f>
        <v>0</v>
      </c>
      <c r="E888" s="46" t="b">
        <f>IFERROR(__xludf.DUMMYFUNCTION("""COMPUTED_VALUE"""),TRUE)</f>
        <v>1</v>
      </c>
    </row>
    <row r="889">
      <c r="A889" s="76" t="str">
        <f>IFERROR(__xludf.DUMMYFUNCTION("""COMPUTED_VALUE"""),"Eldrazi Incursion")</f>
        <v>Eldrazi Incursion</v>
      </c>
      <c r="B889" s="76" t="str">
        <f>IFERROR(__xludf.DUMMYFUNCTION("""COMPUTED_VALUE"""),"Jeskai Striker")</f>
        <v>Jeskai Striker</v>
      </c>
      <c r="C889" s="77">
        <f>IFERROR(__xludf.DUMMYFUNCTION("""COMPUTED_VALUE"""),0.0)</f>
        <v>0</v>
      </c>
      <c r="D889" s="77">
        <f>IFERROR(__xludf.DUMMYFUNCTION("""COMPUTED_VALUE"""),0.0)</f>
        <v>0</v>
      </c>
      <c r="E889" s="46" t="b">
        <f>IFERROR(__xludf.DUMMYFUNCTION("""COMPUTED_VALUE"""),TRUE)</f>
        <v>1</v>
      </c>
    </row>
    <row r="890" hidden="1">
      <c r="A890" s="76" t="str">
        <f>IFERROR(__xludf.DUMMYFUNCTION("""COMPUTED_VALUE"""),"Eldrazi Incursion")</f>
        <v>Eldrazi Incursion</v>
      </c>
      <c r="B890" s="76" t="str">
        <f>IFERROR(__xludf.DUMMYFUNCTION("""COMPUTED_VALUE"""),"Legends' Legacy")</f>
        <v>Legends' Legacy</v>
      </c>
      <c r="C890" s="77">
        <f>IFERROR(__xludf.DUMMYFUNCTION("""COMPUTED_VALUE"""),0.0)</f>
        <v>0</v>
      </c>
      <c r="D890" s="77">
        <f>IFERROR(__xludf.DUMMYFUNCTION("""COMPUTED_VALUE"""),0.0)</f>
        <v>0</v>
      </c>
      <c r="E890" s="46" t="b">
        <f>IFERROR(__xludf.DUMMYFUNCTION("""COMPUTED_VALUE"""),TRUE)</f>
        <v>1</v>
      </c>
    </row>
    <row r="891" hidden="1">
      <c r="A891" s="76" t="str">
        <f>IFERROR(__xludf.DUMMYFUNCTION("""COMPUTED_VALUE"""),"Eldrazi Incursion")</f>
        <v>Eldrazi Incursion</v>
      </c>
      <c r="B891" s="76" t="str">
        <f>IFERROR(__xludf.DUMMYFUNCTION("""COMPUTED_VALUE"""),"Limit Break")</f>
        <v>Limit Break</v>
      </c>
      <c r="C891" s="77">
        <f>IFERROR(__xludf.DUMMYFUNCTION("""COMPUTED_VALUE"""),0.0)</f>
        <v>0</v>
      </c>
      <c r="D891" s="77">
        <f>IFERROR(__xludf.DUMMYFUNCTION("""COMPUTED_VALUE"""),0.0)</f>
        <v>0</v>
      </c>
      <c r="E891" s="46" t="b">
        <f>IFERROR(__xludf.DUMMYFUNCTION("""COMPUTED_VALUE"""),TRUE)</f>
        <v>1</v>
      </c>
    </row>
    <row r="892">
      <c r="A892" s="76" t="str">
        <f>IFERROR(__xludf.DUMMYFUNCTION("""COMPUTED_VALUE"""),"Eldrazi Incursion")</f>
        <v>Eldrazi Incursion</v>
      </c>
      <c r="B892" s="76" t="str">
        <f>IFERROR(__xludf.DUMMYFUNCTION("""COMPUTED_VALUE"""),"Lorehold Spirit")</f>
        <v>Lorehold Spirit</v>
      </c>
      <c r="C892" s="77">
        <f>IFERROR(__xludf.DUMMYFUNCTION("""COMPUTED_VALUE"""),0.0)</f>
        <v>0</v>
      </c>
      <c r="D892" s="77">
        <f>IFERROR(__xludf.DUMMYFUNCTION("""COMPUTED_VALUE"""),0.0)</f>
        <v>0</v>
      </c>
      <c r="E892" s="46" t="b">
        <f>IFERROR(__xludf.DUMMYFUNCTION("""COMPUTED_VALUE"""),TRUE)</f>
        <v>1</v>
      </c>
    </row>
    <row r="893" hidden="1">
      <c r="A893" s="76" t="str">
        <f>IFERROR(__xludf.DUMMYFUNCTION("""COMPUTED_VALUE"""),"Eldrazi Incursion")</f>
        <v>Eldrazi Incursion</v>
      </c>
      <c r="B893" s="76" t="str">
        <f>IFERROR(__xludf.DUMMYFUNCTION("""COMPUTED_VALUE"""),"Mutant Menace")</f>
        <v>Mutant Menace</v>
      </c>
      <c r="C893" s="77">
        <f>IFERROR(__xludf.DUMMYFUNCTION("""COMPUTED_VALUE"""),0.0)</f>
        <v>0</v>
      </c>
      <c r="D893" s="77">
        <f>IFERROR(__xludf.DUMMYFUNCTION("""COMPUTED_VALUE"""),0.0)</f>
        <v>0</v>
      </c>
      <c r="E893" s="46" t="b">
        <f>IFERROR(__xludf.DUMMYFUNCTION("""COMPUTED_VALUE"""),TRUE)</f>
        <v>1</v>
      </c>
    </row>
    <row r="894" hidden="1">
      <c r="A894" s="76" t="str">
        <f>IFERROR(__xludf.DUMMYFUNCTION("""COMPUTED_VALUE"""),"Eldrazi Incursion")</f>
        <v>Eldrazi Incursion</v>
      </c>
      <c r="B894" s="76" t="str">
        <f>IFERROR(__xludf.DUMMYFUNCTION("""COMPUTED_VALUE"""),"Party Time")</f>
        <v>Party Time</v>
      </c>
      <c r="C894" s="77">
        <f>IFERROR(__xludf.DUMMYFUNCTION("""COMPUTED_VALUE"""),0.0)</f>
        <v>0</v>
      </c>
      <c r="D894" s="77">
        <f>IFERROR(__xludf.DUMMYFUNCTION("""COMPUTED_VALUE"""),0.0)</f>
        <v>0</v>
      </c>
      <c r="E894" s="46" t="b">
        <f>IFERROR(__xludf.DUMMYFUNCTION("""COMPUTED_VALUE"""),TRUE)</f>
        <v>1</v>
      </c>
    </row>
    <row r="895" hidden="1">
      <c r="A895" s="76" t="str">
        <f>IFERROR(__xludf.DUMMYFUNCTION("""COMPUTED_VALUE"""),"Eldrazi Incursion")</f>
        <v>Eldrazi Incursion</v>
      </c>
      <c r="B895" s="76" t="str">
        <f>IFERROR(__xludf.DUMMYFUNCTION("""COMPUTED_VALUE"""),"Peace Offering")</f>
        <v>Peace Offering</v>
      </c>
      <c r="C895" s="77">
        <f>IFERROR(__xludf.DUMMYFUNCTION("""COMPUTED_VALUE"""),0.0)</f>
        <v>0</v>
      </c>
      <c r="D895" s="77">
        <f>IFERROR(__xludf.DUMMYFUNCTION("""COMPUTED_VALUE"""),0.0)</f>
        <v>0</v>
      </c>
      <c r="E895" s="46" t="b">
        <f>IFERROR(__xludf.DUMMYFUNCTION("""COMPUTED_VALUE"""),TRUE)</f>
        <v>1</v>
      </c>
    </row>
    <row r="896" hidden="1">
      <c r="A896" s="76" t="str">
        <f>IFERROR(__xludf.DUMMYFUNCTION("""COMPUTED_VALUE"""),"Eldrazi Incursion")</f>
        <v>Eldrazi Incursion</v>
      </c>
      <c r="B896" s="76" t="str">
        <f>IFERROR(__xludf.DUMMYFUNCTION("""COMPUTED_VALUE"""),"Power Hungry")</f>
        <v>Power Hungry</v>
      </c>
      <c r="C896" s="77">
        <f>IFERROR(__xludf.DUMMYFUNCTION("""COMPUTED_VALUE"""),0.0)</f>
        <v>0</v>
      </c>
      <c r="D896" s="77">
        <f>IFERROR(__xludf.DUMMYFUNCTION("""COMPUTED_VALUE"""),0.0)</f>
        <v>0</v>
      </c>
      <c r="E896" s="46" t="b">
        <f>IFERROR(__xludf.DUMMYFUNCTION("""COMPUTED_VALUE"""),TRUE)</f>
        <v>1</v>
      </c>
    </row>
    <row r="897">
      <c r="A897" s="76" t="str">
        <f>IFERROR(__xludf.DUMMYFUNCTION("""COMPUTED_VALUE"""),"Eldrazi Incursion")</f>
        <v>Eldrazi Incursion</v>
      </c>
      <c r="B897" s="76" t="str">
        <f>IFERROR(__xludf.DUMMYFUNCTION("""COMPUTED_VALUE"""),"Primal Genesis")</f>
        <v>Primal Genesis</v>
      </c>
      <c r="C897" s="77">
        <f>IFERROR(__xludf.DUMMYFUNCTION("""COMPUTED_VALUE"""),0.0)</f>
        <v>0</v>
      </c>
      <c r="D897" s="77">
        <f>IFERROR(__xludf.DUMMYFUNCTION("""COMPUTED_VALUE"""),0.0)</f>
        <v>0</v>
      </c>
      <c r="E897" s="46" t="b">
        <f>IFERROR(__xludf.DUMMYFUNCTION("""COMPUTED_VALUE"""),TRUE)</f>
        <v>1</v>
      </c>
    </row>
    <row r="898" hidden="1">
      <c r="A898" s="76" t="str">
        <f>IFERROR(__xludf.DUMMYFUNCTION("""COMPUTED_VALUE"""),"Eldrazi Incursion")</f>
        <v>Eldrazi Incursion</v>
      </c>
      <c r="B898" s="76" t="str">
        <f>IFERROR(__xludf.DUMMYFUNCTION("""COMPUTED_VALUE"""),"Prismari Artistry")</f>
        <v>Prismari Artistry</v>
      </c>
      <c r="C898" s="77">
        <f>IFERROR(__xludf.DUMMYFUNCTION("""COMPUTED_VALUE"""),0.0)</f>
        <v>0</v>
      </c>
      <c r="D898" s="77">
        <f>IFERROR(__xludf.DUMMYFUNCTION("""COMPUTED_VALUE"""),0.0)</f>
        <v>0</v>
      </c>
      <c r="E898" s="46" t="b">
        <f>IFERROR(__xludf.DUMMYFUNCTION("""COMPUTED_VALUE"""),TRUE)</f>
        <v>1</v>
      </c>
    </row>
    <row r="899">
      <c r="A899" s="76" t="str">
        <f>IFERROR(__xludf.DUMMYFUNCTION("""COMPUTED_VALUE"""),"Eldrazi Incursion")</f>
        <v>Eldrazi Incursion</v>
      </c>
      <c r="B899" s="76" t="str">
        <f>IFERROR(__xludf.DUMMYFUNCTION("""COMPUTED_VALUE"""),"Prismari Performance")</f>
        <v>Prismari Performance</v>
      </c>
      <c r="C899" s="77">
        <f>IFERROR(__xludf.DUMMYFUNCTION("""COMPUTED_VALUE"""),0.0)</f>
        <v>0</v>
      </c>
      <c r="D899" s="77">
        <f>IFERROR(__xludf.DUMMYFUNCTION("""COMPUTED_VALUE"""),0.0)</f>
        <v>0</v>
      </c>
      <c r="E899" s="46" t="b">
        <f>IFERROR(__xludf.DUMMYFUNCTION("""COMPUTED_VALUE"""),TRUE)</f>
        <v>1</v>
      </c>
    </row>
    <row r="900" hidden="1">
      <c r="A900" s="78" t="str">
        <f>IFERROR(__xludf.DUMMYFUNCTION("""COMPUTED_VALUE"""),"Eldrazi Incursion")</f>
        <v>Eldrazi Incursion</v>
      </c>
      <c r="B900" s="78" t="str">
        <f>IFERROR(__xludf.DUMMYFUNCTION("""COMPUTED_VALUE"""),"Quandrix Unlimited")</f>
        <v>Quandrix Unlimited</v>
      </c>
      <c r="C900" s="79">
        <f>IFERROR(__xludf.DUMMYFUNCTION("""COMPUTED_VALUE"""),0.0)</f>
        <v>0</v>
      </c>
      <c r="D900" s="79">
        <f>IFERROR(__xludf.DUMMYFUNCTION("""COMPUTED_VALUE"""),0.0)</f>
        <v>0</v>
      </c>
      <c r="E900" s="69" t="b">
        <f>IFERROR(__xludf.DUMMYFUNCTION("""COMPUTED_VALUE"""),TRUE)</f>
        <v>1</v>
      </c>
    </row>
    <row r="901">
      <c r="A901" s="76" t="str">
        <f>IFERROR(__xludf.DUMMYFUNCTION("""COMPUTED_VALUE"""),"Eldrazi Incursion")</f>
        <v>Eldrazi Incursion</v>
      </c>
      <c r="B901" s="76" t="str">
        <f>IFERROR(__xludf.DUMMYFUNCTION("""COMPUTED_VALUE"""),"Quick Draw")</f>
        <v>Quick Draw</v>
      </c>
      <c r="C901" s="77">
        <f>IFERROR(__xludf.DUMMYFUNCTION("""COMPUTED_VALUE"""),0.0)</f>
        <v>0</v>
      </c>
      <c r="D901" s="77">
        <f>IFERROR(__xludf.DUMMYFUNCTION("""COMPUTED_VALUE"""),0.0)</f>
        <v>0</v>
      </c>
      <c r="E901" s="46" t="b">
        <f>IFERROR(__xludf.DUMMYFUNCTION("""COMPUTED_VALUE"""),TRUE)</f>
        <v>1</v>
      </c>
    </row>
    <row r="902" hidden="1">
      <c r="A902" s="76" t="str">
        <f>IFERROR(__xludf.DUMMYFUNCTION("""COMPUTED_VALUE"""),"Eldrazi Incursion")</f>
        <v>Eldrazi Incursion</v>
      </c>
      <c r="B902" s="76" t="str">
        <f>IFERROR(__xludf.DUMMYFUNCTION("""COMPUTED_VALUE"""),"Reap the Tides")</f>
        <v>Reap the Tides</v>
      </c>
      <c r="C902" s="77">
        <f>IFERROR(__xludf.DUMMYFUNCTION("""COMPUTED_VALUE"""),0.0)</f>
        <v>0</v>
      </c>
      <c r="D902" s="77">
        <f>IFERROR(__xludf.DUMMYFUNCTION("""COMPUTED_VALUE"""),0.0)</f>
        <v>0</v>
      </c>
      <c r="E902" s="46" t="b">
        <f>IFERROR(__xludf.DUMMYFUNCTION("""COMPUTED_VALUE"""),TRUE)</f>
        <v>1</v>
      </c>
    </row>
    <row r="903" hidden="1">
      <c r="A903" s="78" t="str">
        <f>IFERROR(__xludf.DUMMYFUNCTION("""COMPUTED_VALUE"""),"Eldrazi Incursion")</f>
        <v>Eldrazi Incursion</v>
      </c>
      <c r="B903" s="78" t="str">
        <f>IFERROR(__xludf.DUMMYFUNCTION("""COMPUTED_VALUE"""),"Rebellion Rising")</f>
        <v>Rebellion Rising</v>
      </c>
      <c r="C903" s="79">
        <f>IFERROR(__xludf.DUMMYFUNCTION("""COMPUTED_VALUE"""),0.0)</f>
        <v>0</v>
      </c>
      <c r="D903" s="79">
        <f>IFERROR(__xludf.DUMMYFUNCTION("""COMPUTED_VALUE"""),0.0)</f>
        <v>0</v>
      </c>
      <c r="E903" s="69" t="b">
        <f>IFERROR(__xludf.DUMMYFUNCTION("""COMPUTED_VALUE"""),TRUE)</f>
        <v>1</v>
      </c>
    </row>
    <row r="904">
      <c r="A904" s="76" t="str">
        <f>IFERROR(__xludf.DUMMYFUNCTION("""COMPUTED_VALUE"""),"Eldrazi Incursion")</f>
        <v>Eldrazi Incursion</v>
      </c>
      <c r="B904" s="76" t="str">
        <f>IFERROR(__xludf.DUMMYFUNCTION("""COMPUTED_VALUE"""),"Revival Trance")</f>
        <v>Revival Trance</v>
      </c>
      <c r="C904" s="77">
        <f>IFERROR(__xludf.DUMMYFUNCTION("""COMPUTED_VALUE"""),0.0)</f>
        <v>0</v>
      </c>
      <c r="D904" s="77">
        <f>IFERROR(__xludf.DUMMYFUNCTION("""COMPUTED_VALUE"""),0.0)</f>
        <v>0</v>
      </c>
      <c r="E904" s="46" t="b">
        <f>IFERROR(__xludf.DUMMYFUNCTION("""COMPUTED_VALUE"""),TRUE)</f>
        <v>1</v>
      </c>
    </row>
    <row r="905" hidden="1">
      <c r="A905" s="76" t="str">
        <f>IFERROR(__xludf.DUMMYFUNCTION("""COMPUTED_VALUE"""),"Eldrazi Incursion")</f>
        <v>Eldrazi Incursion</v>
      </c>
      <c r="B905" s="76" t="str">
        <f>IFERROR(__xludf.DUMMYFUNCTION("""COMPUTED_VALUE"""),"Riders of Rohan")</f>
        <v>Riders of Rohan</v>
      </c>
      <c r="C905" s="77">
        <f>IFERROR(__xludf.DUMMYFUNCTION("""COMPUTED_VALUE"""),0.0)</f>
        <v>0</v>
      </c>
      <c r="D905" s="77">
        <f>IFERROR(__xludf.DUMMYFUNCTION("""COMPUTED_VALUE"""),0.0)</f>
        <v>0</v>
      </c>
      <c r="E905" s="46" t="b">
        <f>IFERROR(__xludf.DUMMYFUNCTION("""COMPUTED_VALUE"""),TRUE)</f>
        <v>1</v>
      </c>
    </row>
    <row r="906" hidden="1">
      <c r="A906" s="76" t="str">
        <f>IFERROR(__xludf.DUMMYFUNCTION("""COMPUTED_VALUE"""),"Eldrazi Incursion")</f>
        <v>Eldrazi Incursion</v>
      </c>
      <c r="B906" s="76" t="str">
        <f>IFERROR(__xludf.DUMMYFUNCTION("""COMPUTED_VALUE"""),"Science!")</f>
        <v>Science!</v>
      </c>
      <c r="C906" s="77">
        <f>IFERROR(__xludf.DUMMYFUNCTION("""COMPUTED_VALUE"""),0.0)</f>
        <v>0</v>
      </c>
      <c r="D906" s="77">
        <f>IFERROR(__xludf.DUMMYFUNCTION("""COMPUTED_VALUE"""),0.0)</f>
        <v>0</v>
      </c>
      <c r="E906" s="46" t="b">
        <f>IFERROR(__xludf.DUMMYFUNCTION("""COMPUTED_VALUE"""),TRUE)</f>
        <v>1</v>
      </c>
    </row>
    <row r="907" hidden="1">
      <c r="A907" s="76" t="str">
        <f>IFERROR(__xludf.DUMMYFUNCTION("""COMPUTED_VALUE"""),"Eldrazi Incursion")</f>
        <v>Eldrazi Incursion</v>
      </c>
      <c r="B907" s="76" t="str">
        <f>IFERROR(__xludf.DUMMYFUNCTION("""COMPUTED_VALUE"""),"Scions &amp; Spellcraft")</f>
        <v>Scions &amp; Spellcraft</v>
      </c>
      <c r="C907" s="77">
        <f>IFERROR(__xludf.DUMMYFUNCTION("""COMPUTED_VALUE"""),0.0)</f>
        <v>0</v>
      </c>
      <c r="D907" s="77">
        <f>IFERROR(__xludf.DUMMYFUNCTION("""COMPUTED_VALUE"""),0.0)</f>
        <v>0</v>
      </c>
      <c r="E907" s="46" t="b">
        <f>IFERROR(__xludf.DUMMYFUNCTION("""COMPUTED_VALUE"""),TRUE)</f>
        <v>1</v>
      </c>
    </row>
    <row r="908">
      <c r="A908" s="76" t="str">
        <f>IFERROR(__xludf.DUMMYFUNCTION("""COMPUTED_VALUE"""),"Eldrazi Incursion")</f>
        <v>Eldrazi Incursion</v>
      </c>
      <c r="B908" s="76" t="str">
        <f>IFERROR(__xludf.DUMMYFUNCTION("""COMPUTED_VALUE"""),"Scrappy Survivors")</f>
        <v>Scrappy Survivors</v>
      </c>
      <c r="C908" s="77">
        <f>IFERROR(__xludf.DUMMYFUNCTION("""COMPUTED_VALUE"""),0.0)</f>
        <v>0</v>
      </c>
      <c r="D908" s="77">
        <f>IFERROR(__xludf.DUMMYFUNCTION("""COMPUTED_VALUE"""),0.0)</f>
        <v>0</v>
      </c>
      <c r="E908" s="46" t="b">
        <f>IFERROR(__xludf.DUMMYFUNCTION("""COMPUTED_VALUE"""),TRUE)</f>
        <v>1</v>
      </c>
    </row>
    <row r="909" hidden="1">
      <c r="A909" s="76" t="str">
        <f>IFERROR(__xludf.DUMMYFUNCTION("""COMPUTED_VALUE"""),"Eldrazi Incursion")</f>
        <v>Eldrazi Incursion</v>
      </c>
      <c r="B909" s="76" t="str">
        <f>IFERROR(__xludf.DUMMYFUNCTION("""COMPUTED_VALUE"""),"Silverquill Influence")</f>
        <v>Silverquill Influence</v>
      </c>
      <c r="C909" s="77">
        <f>IFERROR(__xludf.DUMMYFUNCTION("""COMPUTED_VALUE"""),0.0)</f>
        <v>0</v>
      </c>
      <c r="D909" s="77">
        <f>IFERROR(__xludf.DUMMYFUNCTION("""COMPUTED_VALUE"""),0.0)</f>
        <v>0</v>
      </c>
      <c r="E909" s="46" t="b">
        <f>IFERROR(__xludf.DUMMYFUNCTION("""COMPUTED_VALUE"""),TRUE)</f>
        <v>1</v>
      </c>
    </row>
    <row r="910">
      <c r="A910" s="76" t="str">
        <f>IFERROR(__xludf.DUMMYFUNCTION("""COMPUTED_VALUE"""),"Eldrazi Incursion")</f>
        <v>Eldrazi Incursion</v>
      </c>
      <c r="B910" s="76" t="str">
        <f>IFERROR(__xludf.DUMMYFUNCTION("""COMPUTED_VALUE"""),"Spirit Squadron")</f>
        <v>Spirit Squadron</v>
      </c>
      <c r="C910" s="77">
        <f>IFERROR(__xludf.DUMMYFUNCTION("""COMPUTED_VALUE"""),0.0)</f>
        <v>0</v>
      </c>
      <c r="D910" s="77">
        <f>IFERROR(__xludf.DUMMYFUNCTION("""COMPUTED_VALUE"""),0.0)</f>
        <v>0</v>
      </c>
      <c r="E910" s="46" t="b">
        <f>IFERROR(__xludf.DUMMYFUNCTION("""COMPUTED_VALUE"""),TRUE)</f>
        <v>1</v>
      </c>
    </row>
    <row r="911" hidden="1">
      <c r="A911" s="76" t="str">
        <f>IFERROR(__xludf.DUMMYFUNCTION("""COMPUTED_VALUE"""),"Eldrazi Incursion")</f>
        <v>Eldrazi Incursion</v>
      </c>
      <c r="B911" s="76" t="str">
        <f>IFERROR(__xludf.DUMMYFUNCTION("""COMPUTED_VALUE"""),"Squirreled Away")</f>
        <v>Squirreled Away</v>
      </c>
      <c r="C911" s="77">
        <f>IFERROR(__xludf.DUMMYFUNCTION("""COMPUTED_VALUE"""),0.0)</f>
        <v>0</v>
      </c>
      <c r="D911" s="77">
        <f>IFERROR(__xludf.DUMMYFUNCTION("""COMPUTED_VALUE"""),0.0)</f>
        <v>0</v>
      </c>
      <c r="E911" s="46" t="b">
        <f>IFERROR(__xludf.DUMMYFUNCTION("""COMPUTED_VALUE"""),TRUE)</f>
        <v>1</v>
      </c>
    </row>
    <row r="912" hidden="1">
      <c r="A912" s="76" t="str">
        <f>IFERROR(__xludf.DUMMYFUNCTION("""COMPUTED_VALUE"""),"Eldrazi Incursion")</f>
        <v>Eldrazi Incursion</v>
      </c>
      <c r="B912" s="76" t="str">
        <f>IFERROR(__xludf.DUMMYFUNCTION("""COMPUTED_VALUE"""),"Sultai Arisen")</f>
        <v>Sultai Arisen</v>
      </c>
      <c r="C912" s="77">
        <f>IFERROR(__xludf.DUMMYFUNCTION("""COMPUTED_VALUE"""),0.0)</f>
        <v>0</v>
      </c>
      <c r="D912" s="77">
        <f>IFERROR(__xludf.DUMMYFUNCTION("""COMPUTED_VALUE"""),0.0)</f>
        <v>0</v>
      </c>
      <c r="E912" s="46" t="b">
        <f>IFERROR(__xludf.DUMMYFUNCTION("""COMPUTED_VALUE"""),TRUE)</f>
        <v>1</v>
      </c>
    </row>
    <row r="913" hidden="1">
      <c r="A913" s="76" t="str">
        <f>IFERROR(__xludf.DUMMYFUNCTION("""COMPUTED_VALUE"""),"Eldrazi Incursion")</f>
        <v>Eldrazi Incursion</v>
      </c>
      <c r="B913" s="76" t="str">
        <f>IFERROR(__xludf.DUMMYFUNCTION("""COMPUTED_VALUE"""),"Temur Roar")</f>
        <v>Temur Roar</v>
      </c>
      <c r="C913" s="77">
        <f>IFERROR(__xludf.DUMMYFUNCTION("""COMPUTED_VALUE"""),0.0)</f>
        <v>0</v>
      </c>
      <c r="D913" s="77">
        <f>IFERROR(__xludf.DUMMYFUNCTION("""COMPUTED_VALUE"""),0.0)</f>
        <v>0</v>
      </c>
      <c r="E913" s="46" t="b">
        <f>IFERROR(__xludf.DUMMYFUNCTION("""COMPUTED_VALUE"""),TRUE)</f>
        <v>1</v>
      </c>
    </row>
    <row r="914">
      <c r="A914" s="76" t="str">
        <f>IFERROR(__xludf.DUMMYFUNCTION("""COMPUTED_VALUE"""),"Eldrazi Incursion")</f>
        <v>Eldrazi Incursion</v>
      </c>
      <c r="B914" s="76" t="str">
        <f>IFERROR(__xludf.DUMMYFUNCTION("""COMPUTED_VALUE"""),"The Hosts of Mordor")</f>
        <v>The Hosts of Mordor</v>
      </c>
      <c r="C914" s="77">
        <f>IFERROR(__xludf.DUMMYFUNCTION("""COMPUTED_VALUE"""),0.0)</f>
        <v>0</v>
      </c>
      <c r="D914" s="77">
        <f>IFERROR(__xludf.DUMMYFUNCTION("""COMPUTED_VALUE"""),0.0)</f>
        <v>0</v>
      </c>
      <c r="E914" s="46" t="b">
        <f>IFERROR(__xludf.DUMMYFUNCTION("""COMPUTED_VALUE"""),TRUE)</f>
        <v>1</v>
      </c>
    </row>
    <row r="915">
      <c r="A915" s="78" t="str">
        <f>IFERROR(__xludf.DUMMYFUNCTION("""COMPUTED_VALUE"""),"Eldrazi Incursion")</f>
        <v>Eldrazi Incursion</v>
      </c>
      <c r="B915" s="78" t="str">
        <f>IFERROR(__xludf.DUMMYFUNCTION("""COMPUTED_VALUE"""),"The Ruinous Powers")</f>
        <v>The Ruinous Powers</v>
      </c>
      <c r="C915" s="79">
        <f>IFERROR(__xludf.DUMMYFUNCTION("""COMPUTED_VALUE"""),0.0)</f>
        <v>0</v>
      </c>
      <c r="D915" s="79">
        <f>IFERROR(__xludf.DUMMYFUNCTION("""COMPUTED_VALUE"""),0.0)</f>
        <v>0</v>
      </c>
      <c r="E915" s="69" t="b">
        <f>IFERROR(__xludf.DUMMYFUNCTION("""COMPUTED_VALUE"""),TRUE)</f>
        <v>1</v>
      </c>
    </row>
    <row r="916" hidden="1">
      <c r="A916" s="76" t="str">
        <f>IFERROR(__xludf.DUMMYFUNCTION("""COMPUTED_VALUE"""),"Eldrazi Incursion")</f>
        <v>Eldrazi Incursion</v>
      </c>
      <c r="B916" s="76" t="str">
        <f>IFERROR(__xludf.DUMMYFUNCTION("""COMPUTED_VALUE"""),"Timey-Wimey")</f>
        <v>Timey-Wimey</v>
      </c>
      <c r="C916" s="77">
        <f>IFERROR(__xludf.DUMMYFUNCTION("""COMPUTED_VALUE"""),0.0)</f>
        <v>0</v>
      </c>
      <c r="D916" s="77">
        <f>IFERROR(__xludf.DUMMYFUNCTION("""COMPUTED_VALUE"""),0.0)</f>
        <v>0</v>
      </c>
      <c r="E916" s="46" t="b">
        <f>IFERROR(__xludf.DUMMYFUNCTION("""COMPUTED_VALUE"""),TRUE)</f>
        <v>1</v>
      </c>
    </row>
    <row r="917" hidden="1">
      <c r="A917" s="78" t="str">
        <f>IFERROR(__xludf.DUMMYFUNCTION("""COMPUTED_VALUE"""),"Eldrazi Incursion")</f>
        <v>Eldrazi Incursion</v>
      </c>
      <c r="B917" s="78" t="str">
        <f>IFERROR(__xludf.DUMMYFUNCTION("""COMPUTED_VALUE"""),"Tinker Time")</f>
        <v>Tinker Time</v>
      </c>
      <c r="C917" s="79">
        <f>IFERROR(__xludf.DUMMYFUNCTION("""COMPUTED_VALUE"""),0.0)</f>
        <v>0</v>
      </c>
      <c r="D917" s="79">
        <f>IFERROR(__xludf.DUMMYFUNCTION("""COMPUTED_VALUE"""),0.0)</f>
        <v>0</v>
      </c>
      <c r="E917" s="69" t="b">
        <f>IFERROR(__xludf.DUMMYFUNCTION("""COMPUTED_VALUE"""),TRUE)</f>
        <v>1</v>
      </c>
    </row>
    <row r="918" hidden="1">
      <c r="A918" s="76" t="str">
        <f>IFERROR(__xludf.DUMMYFUNCTION("""COMPUTED_VALUE"""),"Eldrazi Incursion")</f>
        <v>Eldrazi Incursion</v>
      </c>
      <c r="B918" s="76" t="str">
        <f>IFERROR(__xludf.DUMMYFUNCTION("""COMPUTED_VALUE"""),"Turtle Power!")</f>
        <v>Turtle Power!</v>
      </c>
      <c r="C918" s="77">
        <f>IFERROR(__xludf.DUMMYFUNCTION("""COMPUTED_VALUE"""),0.0)</f>
        <v>0</v>
      </c>
      <c r="D918" s="77">
        <f>IFERROR(__xludf.DUMMYFUNCTION("""COMPUTED_VALUE"""),0.0)</f>
        <v>0</v>
      </c>
      <c r="E918" s="46" t="b">
        <f>IFERROR(__xludf.DUMMYFUNCTION("""COMPUTED_VALUE"""),TRUE)</f>
        <v>1</v>
      </c>
    </row>
    <row r="919">
      <c r="A919" s="76" t="str">
        <f>IFERROR(__xludf.DUMMYFUNCTION("""COMPUTED_VALUE"""),"Eldrazi Incursion")</f>
        <v>Eldrazi Incursion</v>
      </c>
      <c r="B919" s="76" t="str">
        <f>IFERROR(__xludf.DUMMYFUNCTION("""COMPUTED_VALUE"""),"Veloci-ramp-tor")</f>
        <v>Veloci-ramp-tor</v>
      </c>
      <c r="C919" s="77">
        <f>IFERROR(__xludf.DUMMYFUNCTION("""COMPUTED_VALUE"""),0.0)</f>
        <v>0</v>
      </c>
      <c r="D919" s="77">
        <f>IFERROR(__xludf.DUMMYFUNCTION("""COMPUTED_VALUE"""),0.0)</f>
        <v>0</v>
      </c>
      <c r="E919" s="46" t="b">
        <f>IFERROR(__xludf.DUMMYFUNCTION("""COMPUTED_VALUE"""),TRUE)</f>
        <v>1</v>
      </c>
    </row>
    <row r="920" hidden="1">
      <c r="A920" s="76" t="str">
        <f>IFERROR(__xludf.DUMMYFUNCTION("""COMPUTED_VALUE"""),"Eldrazi Unbound")</f>
        <v>Eldrazi Unbound</v>
      </c>
      <c r="B920" s="76" t="str">
        <f>IFERROR(__xludf.DUMMYFUNCTION("""COMPUTED_VALUE"""),"Ahoy Mateys")</f>
        <v>Ahoy Mateys</v>
      </c>
      <c r="C920" s="77">
        <f>IFERROR(__xludf.DUMMYFUNCTION("""COMPUTED_VALUE"""),0.0)</f>
        <v>0</v>
      </c>
      <c r="D920" s="77">
        <f>IFERROR(__xludf.DUMMYFUNCTION("""COMPUTED_VALUE"""),0.0)</f>
        <v>0</v>
      </c>
      <c r="E920" s="46" t="b">
        <f>IFERROR(__xludf.DUMMYFUNCTION("""COMPUTED_VALUE"""),TRUE)</f>
        <v>1</v>
      </c>
    </row>
    <row r="921" hidden="1">
      <c r="A921" s="76" t="str">
        <f>IFERROR(__xludf.DUMMYFUNCTION("""COMPUTED_VALUE"""),"Eldrazi Unbound")</f>
        <v>Eldrazi Unbound</v>
      </c>
      <c r="B921" s="76" t="str">
        <f>IFERROR(__xludf.DUMMYFUNCTION("""COMPUTED_VALUE"""),"Animated Army")</f>
        <v>Animated Army</v>
      </c>
      <c r="C921" s="77">
        <f>IFERROR(__xludf.DUMMYFUNCTION("""COMPUTED_VALUE"""),0.0)</f>
        <v>0</v>
      </c>
      <c r="D921" s="77">
        <f>IFERROR(__xludf.DUMMYFUNCTION("""COMPUTED_VALUE"""),0.0)</f>
        <v>0</v>
      </c>
      <c r="E921" s="46" t="b">
        <f>IFERROR(__xludf.DUMMYFUNCTION("""COMPUTED_VALUE"""),TRUE)</f>
        <v>1</v>
      </c>
    </row>
    <row r="922" hidden="1">
      <c r="A922" s="76" t="str">
        <f>IFERROR(__xludf.DUMMYFUNCTION("""COMPUTED_VALUE"""),"Eldrazi Unbound")</f>
        <v>Eldrazi Unbound</v>
      </c>
      <c r="B922" s="76" t="str">
        <f>IFERROR(__xludf.DUMMYFUNCTION("""COMPUTED_VALUE"""),"Arcane Maelstrom")</f>
        <v>Arcane Maelstrom</v>
      </c>
      <c r="C922" s="77">
        <f>IFERROR(__xludf.DUMMYFUNCTION("""COMPUTED_VALUE"""),0.0)</f>
        <v>0</v>
      </c>
      <c r="D922" s="77">
        <f>IFERROR(__xludf.DUMMYFUNCTION("""COMPUTED_VALUE"""),0.0)</f>
        <v>0</v>
      </c>
      <c r="E922" s="46" t="b">
        <f>IFERROR(__xludf.DUMMYFUNCTION("""COMPUTED_VALUE"""),TRUE)</f>
        <v>1</v>
      </c>
    </row>
    <row r="923" hidden="1">
      <c r="A923" s="76" t="str">
        <f>IFERROR(__xludf.DUMMYFUNCTION("""COMPUTED_VALUE"""),"Eldrazi Unbound")</f>
        <v>Eldrazi Unbound</v>
      </c>
      <c r="B923" s="76" t="str">
        <f>IFERROR(__xludf.DUMMYFUNCTION("""COMPUTED_VALUE"""),"Blame Game")</f>
        <v>Blame Game</v>
      </c>
      <c r="C923" s="77">
        <f>IFERROR(__xludf.DUMMYFUNCTION("""COMPUTED_VALUE"""),0.0)</f>
        <v>0</v>
      </c>
      <c r="D923" s="77">
        <f>IFERROR(__xludf.DUMMYFUNCTION("""COMPUTED_VALUE"""),0.0)</f>
        <v>0</v>
      </c>
      <c r="E923" s="46" t="b">
        <f>IFERROR(__xludf.DUMMYFUNCTION("""COMPUTED_VALUE"""),TRUE)</f>
        <v>1</v>
      </c>
    </row>
    <row r="924" hidden="1">
      <c r="A924" s="76" t="str">
        <f>IFERROR(__xludf.DUMMYFUNCTION("""COMPUTED_VALUE"""),"Eldrazi Unbound")</f>
        <v>Eldrazi Unbound</v>
      </c>
      <c r="B924" s="76" t="str">
        <f>IFERROR(__xludf.DUMMYFUNCTION("""COMPUTED_VALUE"""),"Blight Curse")</f>
        <v>Blight Curse</v>
      </c>
      <c r="C924" s="77">
        <f>IFERROR(__xludf.DUMMYFUNCTION("""COMPUTED_VALUE"""),0.0)</f>
        <v>0</v>
      </c>
      <c r="D924" s="77">
        <f>IFERROR(__xludf.DUMMYFUNCTION("""COMPUTED_VALUE"""),0.0)</f>
        <v>0</v>
      </c>
      <c r="E924" s="46" t="b">
        <f>IFERROR(__xludf.DUMMYFUNCTION("""COMPUTED_VALUE"""),TRUE)</f>
        <v>1</v>
      </c>
    </row>
    <row r="925" hidden="1">
      <c r="A925" s="76" t="str">
        <f>IFERROR(__xludf.DUMMYFUNCTION("""COMPUTED_VALUE"""),"Eldrazi Unbound")</f>
        <v>Eldrazi Unbound</v>
      </c>
      <c r="B925" s="76" t="str">
        <f>IFERROR(__xludf.DUMMYFUNCTION("""COMPUTED_VALUE"""),"Blood Rites")</f>
        <v>Blood Rites</v>
      </c>
      <c r="C925" s="77">
        <f>IFERROR(__xludf.DUMMYFUNCTION("""COMPUTED_VALUE"""),0.0)</f>
        <v>0</v>
      </c>
      <c r="D925" s="77">
        <f>IFERROR(__xludf.DUMMYFUNCTION("""COMPUTED_VALUE"""),0.0)</f>
        <v>0</v>
      </c>
      <c r="E925" s="46" t="b">
        <f>IFERROR(__xludf.DUMMYFUNCTION("""COMPUTED_VALUE"""),TRUE)</f>
        <v>1</v>
      </c>
    </row>
    <row r="926" hidden="1">
      <c r="A926" s="76" t="str">
        <f>IFERROR(__xludf.DUMMYFUNCTION("""COMPUTED_VALUE"""),"Eldrazi Unbound")</f>
        <v>Eldrazi Unbound</v>
      </c>
      <c r="B926" s="76" t="str">
        <f>IFERROR(__xludf.DUMMYFUNCTION("""COMPUTED_VALUE"""),"Buckle Up")</f>
        <v>Buckle Up</v>
      </c>
      <c r="C926" s="77">
        <f>IFERROR(__xludf.DUMMYFUNCTION("""COMPUTED_VALUE"""),0.0)</f>
        <v>0</v>
      </c>
      <c r="D926" s="77">
        <f>IFERROR(__xludf.DUMMYFUNCTION("""COMPUTED_VALUE"""),0.0)</f>
        <v>0</v>
      </c>
      <c r="E926" s="46" t="b">
        <f>IFERROR(__xludf.DUMMYFUNCTION("""COMPUTED_VALUE"""),TRUE)</f>
        <v>1</v>
      </c>
    </row>
    <row r="927" hidden="1">
      <c r="A927" s="76" t="str">
        <f>IFERROR(__xludf.DUMMYFUNCTION("""COMPUTED_VALUE"""),"Eldrazi Unbound")</f>
        <v>Eldrazi Unbound</v>
      </c>
      <c r="B927" s="76" t="str">
        <f>IFERROR(__xludf.DUMMYFUNCTION("""COMPUTED_VALUE"""),"Cabaretti Cacophony")</f>
        <v>Cabaretti Cacophony</v>
      </c>
      <c r="C927" s="77">
        <f>IFERROR(__xludf.DUMMYFUNCTION("""COMPUTED_VALUE"""),0.0)</f>
        <v>0</v>
      </c>
      <c r="D927" s="77">
        <f>IFERROR(__xludf.DUMMYFUNCTION("""COMPUTED_VALUE"""),0.0)</f>
        <v>0</v>
      </c>
      <c r="E927" s="46" t="b">
        <f>IFERROR(__xludf.DUMMYFUNCTION("""COMPUTED_VALUE"""),TRUE)</f>
        <v>1</v>
      </c>
    </row>
    <row r="928" hidden="1">
      <c r="A928" s="76" t="str">
        <f>IFERROR(__xludf.DUMMYFUNCTION("""COMPUTED_VALUE"""),"Eldrazi Unbound")</f>
        <v>Eldrazi Unbound</v>
      </c>
      <c r="B928" s="76" t="str">
        <f>IFERROR(__xludf.DUMMYFUNCTION("""COMPUTED_VALUE"""),"Cavalry Charge")</f>
        <v>Cavalry Charge</v>
      </c>
      <c r="C928" s="77">
        <f>IFERROR(__xludf.DUMMYFUNCTION("""COMPUTED_VALUE"""),0.0)</f>
        <v>0</v>
      </c>
      <c r="D928" s="77">
        <f>IFERROR(__xludf.DUMMYFUNCTION("""COMPUTED_VALUE"""),0.0)</f>
        <v>0</v>
      </c>
      <c r="E928" s="46" t="b">
        <f>IFERROR(__xludf.DUMMYFUNCTION("""COMPUTED_VALUE"""),TRUE)</f>
        <v>1</v>
      </c>
    </row>
    <row r="929" hidden="1">
      <c r="A929" s="76" t="str">
        <f>IFERROR(__xludf.DUMMYFUNCTION("""COMPUTED_VALUE"""),"Eldrazi Unbound")</f>
        <v>Eldrazi Unbound</v>
      </c>
      <c r="B929" s="76" t="str">
        <f>IFERROR(__xludf.DUMMYFUNCTION("""COMPUTED_VALUE"""),"Corrupting Influence")</f>
        <v>Corrupting Influence</v>
      </c>
      <c r="C929" s="77">
        <f>IFERROR(__xludf.DUMMYFUNCTION("""COMPUTED_VALUE"""),0.0)</f>
        <v>0</v>
      </c>
      <c r="D929" s="77">
        <f>IFERROR(__xludf.DUMMYFUNCTION("""COMPUTED_VALUE"""),0.0)</f>
        <v>0</v>
      </c>
      <c r="E929" s="46" t="b">
        <f>IFERROR(__xludf.DUMMYFUNCTION("""COMPUTED_VALUE"""),TRUE)</f>
        <v>1</v>
      </c>
    </row>
    <row r="930" hidden="1">
      <c r="A930" s="76" t="str">
        <f>IFERROR(__xludf.DUMMYFUNCTION("""COMPUTED_VALUE"""),"Eldrazi Unbound")</f>
        <v>Eldrazi Unbound</v>
      </c>
      <c r="B930" s="76" t="str">
        <f>IFERROR(__xludf.DUMMYFUNCTION("""COMPUTED_VALUE"""),"Counter Blitz")</f>
        <v>Counter Blitz</v>
      </c>
      <c r="C930" s="77">
        <f>IFERROR(__xludf.DUMMYFUNCTION("""COMPUTED_VALUE"""),0.0)</f>
        <v>0</v>
      </c>
      <c r="D930" s="77">
        <f>IFERROR(__xludf.DUMMYFUNCTION("""COMPUTED_VALUE"""),0.0)</f>
        <v>0</v>
      </c>
      <c r="E930" s="46" t="b">
        <f>IFERROR(__xludf.DUMMYFUNCTION("""COMPUTED_VALUE"""),TRUE)</f>
        <v>1</v>
      </c>
    </row>
    <row r="931" hidden="1">
      <c r="A931" s="76" t="str">
        <f>IFERROR(__xludf.DUMMYFUNCTION("""COMPUTED_VALUE"""),"Eldrazi Unbound")</f>
        <v>Eldrazi Unbound</v>
      </c>
      <c r="B931" s="76" t="str">
        <f>IFERROR(__xludf.DUMMYFUNCTION("""COMPUTED_VALUE"""),"Counter Intelligence")</f>
        <v>Counter Intelligence</v>
      </c>
      <c r="C931" s="77">
        <f>IFERROR(__xludf.DUMMYFUNCTION("""COMPUTED_VALUE"""),0.0)</f>
        <v>0</v>
      </c>
      <c r="D931" s="77">
        <f>IFERROR(__xludf.DUMMYFUNCTION("""COMPUTED_VALUE"""),0.0)</f>
        <v>0</v>
      </c>
      <c r="E931" s="46" t="b">
        <f>IFERROR(__xludf.DUMMYFUNCTION("""COMPUTED_VALUE"""),TRUE)</f>
        <v>1</v>
      </c>
    </row>
    <row r="932">
      <c r="A932" s="76" t="str">
        <f>IFERROR(__xludf.DUMMYFUNCTION("""COMPUTED_VALUE"""),"Eldrazi Unbound")</f>
        <v>Eldrazi Unbound</v>
      </c>
      <c r="B932" s="76" t="str">
        <f>IFERROR(__xludf.DUMMYFUNCTION("""COMPUTED_VALUE"""),"Creative Energy")</f>
        <v>Creative Energy</v>
      </c>
      <c r="C932" s="77">
        <f>IFERROR(__xludf.DUMMYFUNCTION("""COMPUTED_VALUE"""),0.0)</f>
        <v>0</v>
      </c>
      <c r="D932" s="77">
        <f>IFERROR(__xludf.DUMMYFUNCTION("""COMPUTED_VALUE"""),0.0)</f>
        <v>0</v>
      </c>
      <c r="E932" s="46" t="b">
        <f>IFERROR(__xludf.DUMMYFUNCTION("""COMPUTED_VALUE"""),TRUE)</f>
        <v>1</v>
      </c>
    </row>
    <row r="933">
      <c r="A933" s="76" t="str">
        <f>IFERROR(__xludf.DUMMYFUNCTION("""COMPUTED_VALUE"""),"Eldrazi Unbound")</f>
        <v>Eldrazi Unbound</v>
      </c>
      <c r="B933" s="76" t="str">
        <f>IFERROR(__xludf.DUMMYFUNCTION("""COMPUTED_VALUE"""),"Dance of the Elements")</f>
        <v>Dance of the Elements</v>
      </c>
      <c r="C933" s="77">
        <f>IFERROR(__xludf.DUMMYFUNCTION("""COMPUTED_VALUE"""),0.0)</f>
        <v>0</v>
      </c>
      <c r="D933" s="77">
        <f>IFERROR(__xludf.DUMMYFUNCTION("""COMPUTED_VALUE"""),0.0)</f>
        <v>0</v>
      </c>
      <c r="E933" s="46" t="b">
        <f>IFERROR(__xludf.DUMMYFUNCTION("""COMPUTED_VALUE"""),TRUE)</f>
        <v>1</v>
      </c>
    </row>
    <row r="934" hidden="1">
      <c r="A934" s="76" t="str">
        <f>IFERROR(__xludf.DUMMYFUNCTION("""COMPUTED_VALUE"""),"Eldrazi Unbound")</f>
        <v>Eldrazi Unbound</v>
      </c>
      <c r="B934" s="76" t="str">
        <f>IFERROR(__xludf.DUMMYFUNCTION("""COMPUTED_VALUE"""),"Deep Clue Sea")</f>
        <v>Deep Clue Sea</v>
      </c>
      <c r="C934" s="77">
        <f>IFERROR(__xludf.DUMMYFUNCTION("""COMPUTED_VALUE"""),0.0)</f>
        <v>0</v>
      </c>
      <c r="D934" s="77">
        <f>IFERROR(__xludf.DUMMYFUNCTION("""COMPUTED_VALUE"""),0.0)</f>
        <v>0</v>
      </c>
      <c r="E934" s="46" t="b">
        <f>IFERROR(__xludf.DUMMYFUNCTION("""COMPUTED_VALUE"""),TRUE)</f>
        <v>1</v>
      </c>
    </row>
    <row r="935" hidden="1">
      <c r="A935" s="76" t="str">
        <f>IFERROR(__xludf.DUMMYFUNCTION("""COMPUTED_VALUE"""),"Eldrazi Unbound")</f>
        <v>Eldrazi Unbound</v>
      </c>
      <c r="B935" s="76" t="str">
        <f>IFERROR(__xludf.DUMMYFUNCTION("""COMPUTED_VALUE"""),"Doom Prevails")</f>
        <v>Doom Prevails</v>
      </c>
      <c r="C935" s="77">
        <f>IFERROR(__xludf.DUMMYFUNCTION("""COMPUTED_VALUE"""),0.0)</f>
        <v>0</v>
      </c>
      <c r="D935" s="77">
        <f>IFERROR(__xludf.DUMMYFUNCTION("""COMPUTED_VALUE"""),0.0)</f>
        <v>0</v>
      </c>
      <c r="E935" s="46" t="b">
        <f>IFERROR(__xludf.DUMMYFUNCTION("""COMPUTED_VALUE"""),TRUE)</f>
        <v>1</v>
      </c>
    </row>
    <row r="936">
      <c r="A936" s="76" t="str">
        <f>IFERROR(__xludf.DUMMYFUNCTION("""COMPUTED_VALUE"""),"Eldrazi Unbound")</f>
        <v>Eldrazi Unbound</v>
      </c>
      <c r="B936" s="76" t="str">
        <f>IFERROR(__xludf.DUMMYFUNCTION("""COMPUTED_VALUE"""),"Eldrazi Incursion")</f>
        <v>Eldrazi Incursion</v>
      </c>
      <c r="C936" s="77">
        <f>IFERROR(__xludf.DUMMYFUNCTION("""COMPUTED_VALUE"""),0.0)</f>
        <v>0</v>
      </c>
      <c r="D936" s="77">
        <f>IFERROR(__xludf.DUMMYFUNCTION("""COMPUTED_VALUE"""),0.0)</f>
        <v>0</v>
      </c>
      <c r="E936" s="46" t="b">
        <f>IFERROR(__xludf.DUMMYFUNCTION("""COMPUTED_VALUE"""),TRUE)</f>
        <v>1</v>
      </c>
    </row>
    <row r="937" hidden="1">
      <c r="A937" s="76" t="str">
        <f>IFERROR(__xludf.DUMMYFUNCTION("""COMPUTED_VALUE"""),"Eldrazi Unbound")</f>
        <v>Eldrazi Unbound</v>
      </c>
      <c r="B937" s="76" t="str">
        <f>IFERROR(__xludf.DUMMYFUNCTION("""COMPUTED_VALUE"""),"Eldrazi Unbound")</f>
        <v>Eldrazi Unbound</v>
      </c>
      <c r="C937" s="77">
        <f>IFERROR(__xludf.DUMMYFUNCTION("""COMPUTED_VALUE"""),0.0)</f>
        <v>0</v>
      </c>
      <c r="D937" s="77">
        <f>IFERROR(__xludf.DUMMYFUNCTION("""COMPUTED_VALUE"""),0.0)</f>
        <v>0</v>
      </c>
      <c r="E937" s="46" t="b">
        <f>IFERROR(__xludf.DUMMYFUNCTION("""COMPUTED_VALUE"""),TRUE)</f>
        <v>1</v>
      </c>
    </row>
    <row r="938">
      <c r="A938" s="76" t="str">
        <f>IFERROR(__xludf.DUMMYFUNCTION("""COMPUTED_VALUE"""),"Eldrazi Unbound")</f>
        <v>Eldrazi Unbound</v>
      </c>
      <c r="B938" s="76" t="str">
        <f>IFERROR(__xludf.DUMMYFUNCTION("""COMPUTED_VALUE"""),"Endless Punishment")</f>
        <v>Endless Punishment</v>
      </c>
      <c r="C938" s="77">
        <f>IFERROR(__xludf.DUMMYFUNCTION("""COMPUTED_VALUE"""),0.0)</f>
        <v>0</v>
      </c>
      <c r="D938" s="77">
        <f>IFERROR(__xludf.DUMMYFUNCTION("""COMPUTED_VALUE"""),0.0)</f>
        <v>0</v>
      </c>
      <c r="E938" s="46" t="b">
        <f>IFERROR(__xludf.DUMMYFUNCTION("""COMPUTED_VALUE"""),TRUE)</f>
        <v>1</v>
      </c>
    </row>
    <row r="939" hidden="1">
      <c r="A939" s="78" t="str">
        <f>IFERROR(__xludf.DUMMYFUNCTION("""COMPUTED_VALUE"""),"Eldrazi Unbound")</f>
        <v>Eldrazi Unbound</v>
      </c>
      <c r="B939" s="78" t="str">
        <f>IFERROR(__xludf.DUMMYFUNCTION("""COMPUTED_VALUE"""),"Enduring Enchantments")</f>
        <v>Enduring Enchantments</v>
      </c>
      <c r="C939" s="79">
        <f>IFERROR(__xludf.DUMMYFUNCTION("""COMPUTED_VALUE"""),0.0)</f>
        <v>0</v>
      </c>
      <c r="D939" s="79">
        <f>IFERROR(__xludf.DUMMYFUNCTION("""COMPUTED_VALUE"""),0.0)</f>
        <v>0</v>
      </c>
      <c r="E939" s="69" t="b">
        <f>IFERROR(__xludf.DUMMYFUNCTION("""COMPUTED_VALUE"""),TRUE)</f>
        <v>1</v>
      </c>
    </row>
    <row r="940" hidden="1">
      <c r="A940" s="76" t="str">
        <f>IFERROR(__xludf.DUMMYFUNCTION("""COMPUTED_VALUE"""),"Eldrazi Unbound")</f>
        <v>Eldrazi Unbound</v>
      </c>
      <c r="B940" s="76" t="str">
        <f>IFERROR(__xludf.DUMMYFUNCTION("""COMPUTED_VALUE"""),"Explorers of the Deep")</f>
        <v>Explorers of the Deep</v>
      </c>
      <c r="C940" s="77">
        <f>IFERROR(__xludf.DUMMYFUNCTION("""COMPUTED_VALUE"""),0.0)</f>
        <v>0</v>
      </c>
      <c r="D940" s="77">
        <f>IFERROR(__xludf.DUMMYFUNCTION("""COMPUTED_VALUE"""),0.0)</f>
        <v>0</v>
      </c>
      <c r="E940" s="46" t="b">
        <f>IFERROR(__xludf.DUMMYFUNCTION("""COMPUTED_VALUE"""),TRUE)</f>
        <v>1</v>
      </c>
    </row>
    <row r="941" hidden="1">
      <c r="A941" s="76" t="str">
        <f>IFERROR(__xludf.DUMMYFUNCTION("""COMPUTED_VALUE"""),"Eldrazi Unbound")</f>
        <v>Eldrazi Unbound</v>
      </c>
      <c r="B941" s="76" t="str">
        <f>IFERROR(__xludf.DUMMYFUNCTION("""COMPUTED_VALUE"""),"Family Matters")</f>
        <v>Family Matters</v>
      </c>
      <c r="C941" s="77">
        <f>IFERROR(__xludf.DUMMYFUNCTION("""COMPUTED_VALUE"""),0.0)</f>
        <v>0</v>
      </c>
      <c r="D941" s="77">
        <f>IFERROR(__xludf.DUMMYFUNCTION("""COMPUTED_VALUE"""),0.0)</f>
        <v>0</v>
      </c>
      <c r="E941" s="46" t="b">
        <f>IFERROR(__xludf.DUMMYFUNCTION("""COMPUTED_VALUE"""),TRUE)</f>
        <v>1</v>
      </c>
    </row>
    <row r="942" hidden="1">
      <c r="A942" s="76" t="str">
        <f>IFERROR(__xludf.DUMMYFUNCTION("""COMPUTED_VALUE"""),"Eldrazi Unbound")</f>
        <v>Eldrazi Unbound</v>
      </c>
      <c r="B942" s="76" t="str">
        <f>IFERROR(__xludf.DUMMYFUNCTION("""COMPUTED_VALUE"""),"Food and Fellowship")</f>
        <v>Food and Fellowship</v>
      </c>
      <c r="C942" s="77">
        <f>IFERROR(__xludf.DUMMYFUNCTION("""COMPUTED_VALUE"""),0.0)</f>
        <v>0</v>
      </c>
      <c r="D942" s="77">
        <f>IFERROR(__xludf.DUMMYFUNCTION("""COMPUTED_VALUE"""),0.0)</f>
        <v>0</v>
      </c>
      <c r="E942" s="46" t="b">
        <f>IFERROR(__xludf.DUMMYFUNCTION("""COMPUTED_VALUE"""),TRUE)</f>
        <v>1</v>
      </c>
    </row>
    <row r="943" hidden="1">
      <c r="A943" s="76" t="str">
        <f>IFERROR(__xludf.DUMMYFUNCTION("""COMPUTED_VALUE"""),"Eldrazi Unbound")</f>
        <v>Eldrazi Unbound</v>
      </c>
      <c r="B943" s="76" t="str">
        <f>IFERROR(__xludf.DUMMYFUNCTION("""COMPUTED_VALUE"""),"Jeskai Striker")</f>
        <v>Jeskai Striker</v>
      </c>
      <c r="C943" s="77">
        <f>IFERROR(__xludf.DUMMYFUNCTION("""COMPUTED_VALUE"""),0.0)</f>
        <v>0</v>
      </c>
      <c r="D943" s="77">
        <f>IFERROR(__xludf.DUMMYFUNCTION("""COMPUTED_VALUE"""),0.0)</f>
        <v>0</v>
      </c>
      <c r="E943" s="46" t="b">
        <f>IFERROR(__xludf.DUMMYFUNCTION("""COMPUTED_VALUE"""),TRUE)</f>
        <v>1</v>
      </c>
    </row>
    <row r="944" hidden="1">
      <c r="A944" s="76" t="str">
        <f>IFERROR(__xludf.DUMMYFUNCTION("""COMPUTED_VALUE"""),"Eldrazi Unbound")</f>
        <v>Eldrazi Unbound</v>
      </c>
      <c r="B944" s="76" t="str">
        <f>IFERROR(__xludf.DUMMYFUNCTION("""COMPUTED_VALUE"""),"Legends' Legacy")</f>
        <v>Legends' Legacy</v>
      </c>
      <c r="C944" s="77">
        <f>IFERROR(__xludf.DUMMYFUNCTION("""COMPUTED_VALUE"""),0.0)</f>
        <v>0</v>
      </c>
      <c r="D944" s="77">
        <f>IFERROR(__xludf.DUMMYFUNCTION("""COMPUTED_VALUE"""),0.0)</f>
        <v>0</v>
      </c>
      <c r="E944" s="46" t="b">
        <f>IFERROR(__xludf.DUMMYFUNCTION("""COMPUTED_VALUE"""),TRUE)</f>
        <v>1</v>
      </c>
    </row>
    <row r="945" hidden="1">
      <c r="A945" s="76" t="str">
        <f>IFERROR(__xludf.DUMMYFUNCTION("""COMPUTED_VALUE"""),"Eldrazi Unbound")</f>
        <v>Eldrazi Unbound</v>
      </c>
      <c r="B945" s="76" t="str">
        <f>IFERROR(__xludf.DUMMYFUNCTION("""COMPUTED_VALUE"""),"Limit Break")</f>
        <v>Limit Break</v>
      </c>
      <c r="C945" s="77">
        <f>IFERROR(__xludf.DUMMYFUNCTION("""COMPUTED_VALUE"""),0.0)</f>
        <v>0</v>
      </c>
      <c r="D945" s="77">
        <f>IFERROR(__xludf.DUMMYFUNCTION("""COMPUTED_VALUE"""),0.0)</f>
        <v>0</v>
      </c>
      <c r="E945" s="46" t="b">
        <f>IFERROR(__xludf.DUMMYFUNCTION("""COMPUTED_VALUE"""),TRUE)</f>
        <v>1</v>
      </c>
    </row>
    <row r="946" hidden="1">
      <c r="A946" s="76" t="str">
        <f>IFERROR(__xludf.DUMMYFUNCTION("""COMPUTED_VALUE"""),"Eldrazi Unbound")</f>
        <v>Eldrazi Unbound</v>
      </c>
      <c r="B946" s="76" t="str">
        <f>IFERROR(__xludf.DUMMYFUNCTION("""COMPUTED_VALUE"""),"Lorehold Spirit")</f>
        <v>Lorehold Spirit</v>
      </c>
      <c r="C946" s="77">
        <f>IFERROR(__xludf.DUMMYFUNCTION("""COMPUTED_VALUE"""),0.0)</f>
        <v>0</v>
      </c>
      <c r="D946" s="77">
        <f>IFERROR(__xludf.DUMMYFUNCTION("""COMPUTED_VALUE"""),0.0)</f>
        <v>0</v>
      </c>
      <c r="E946" s="46" t="b">
        <f>IFERROR(__xludf.DUMMYFUNCTION("""COMPUTED_VALUE"""),TRUE)</f>
        <v>1</v>
      </c>
    </row>
    <row r="947" hidden="1">
      <c r="A947" s="76" t="str">
        <f>IFERROR(__xludf.DUMMYFUNCTION("""COMPUTED_VALUE"""),"Eldrazi Unbound")</f>
        <v>Eldrazi Unbound</v>
      </c>
      <c r="B947" s="76" t="str">
        <f>IFERROR(__xludf.DUMMYFUNCTION("""COMPUTED_VALUE"""),"Mutant Menace")</f>
        <v>Mutant Menace</v>
      </c>
      <c r="C947" s="77">
        <f>IFERROR(__xludf.DUMMYFUNCTION("""COMPUTED_VALUE"""),0.0)</f>
        <v>0</v>
      </c>
      <c r="D947" s="77">
        <f>IFERROR(__xludf.DUMMYFUNCTION("""COMPUTED_VALUE"""),0.0)</f>
        <v>0</v>
      </c>
      <c r="E947" s="46" t="b">
        <f>IFERROR(__xludf.DUMMYFUNCTION("""COMPUTED_VALUE"""),TRUE)</f>
        <v>1</v>
      </c>
    </row>
    <row r="948" hidden="1">
      <c r="A948" s="76" t="str">
        <f>IFERROR(__xludf.DUMMYFUNCTION("""COMPUTED_VALUE"""),"Eldrazi Unbound")</f>
        <v>Eldrazi Unbound</v>
      </c>
      <c r="B948" s="76" t="str">
        <f>IFERROR(__xludf.DUMMYFUNCTION("""COMPUTED_VALUE"""),"Party Time")</f>
        <v>Party Time</v>
      </c>
      <c r="C948" s="77">
        <f>IFERROR(__xludf.DUMMYFUNCTION("""COMPUTED_VALUE"""),0.0)</f>
        <v>0</v>
      </c>
      <c r="D948" s="77">
        <f>IFERROR(__xludf.DUMMYFUNCTION("""COMPUTED_VALUE"""),0.0)</f>
        <v>0</v>
      </c>
      <c r="E948" s="46" t="b">
        <f>IFERROR(__xludf.DUMMYFUNCTION("""COMPUTED_VALUE"""),TRUE)</f>
        <v>1</v>
      </c>
    </row>
    <row r="949" hidden="1">
      <c r="A949" s="76" t="str">
        <f>IFERROR(__xludf.DUMMYFUNCTION("""COMPUTED_VALUE"""),"Eldrazi Unbound")</f>
        <v>Eldrazi Unbound</v>
      </c>
      <c r="B949" s="76" t="str">
        <f>IFERROR(__xludf.DUMMYFUNCTION("""COMPUTED_VALUE"""),"Peace Offering")</f>
        <v>Peace Offering</v>
      </c>
      <c r="C949" s="77">
        <f>IFERROR(__xludf.DUMMYFUNCTION("""COMPUTED_VALUE"""),0.0)</f>
        <v>0</v>
      </c>
      <c r="D949" s="77">
        <f>IFERROR(__xludf.DUMMYFUNCTION("""COMPUTED_VALUE"""),0.0)</f>
        <v>0</v>
      </c>
      <c r="E949" s="46" t="b">
        <f>IFERROR(__xludf.DUMMYFUNCTION("""COMPUTED_VALUE"""),TRUE)</f>
        <v>1</v>
      </c>
    </row>
    <row r="950" hidden="1">
      <c r="A950" s="76" t="str">
        <f>IFERROR(__xludf.DUMMYFUNCTION("""COMPUTED_VALUE"""),"Eldrazi Unbound")</f>
        <v>Eldrazi Unbound</v>
      </c>
      <c r="B950" s="76" t="str">
        <f>IFERROR(__xludf.DUMMYFUNCTION("""COMPUTED_VALUE"""),"Power Hungry")</f>
        <v>Power Hungry</v>
      </c>
      <c r="C950" s="77">
        <f>IFERROR(__xludf.DUMMYFUNCTION("""COMPUTED_VALUE"""),0.0)</f>
        <v>0</v>
      </c>
      <c r="D950" s="77">
        <f>IFERROR(__xludf.DUMMYFUNCTION("""COMPUTED_VALUE"""),0.0)</f>
        <v>0</v>
      </c>
      <c r="E950" s="46" t="b">
        <f>IFERROR(__xludf.DUMMYFUNCTION("""COMPUTED_VALUE"""),TRUE)</f>
        <v>1</v>
      </c>
    </row>
    <row r="951" hidden="1">
      <c r="A951" s="76" t="str">
        <f>IFERROR(__xludf.DUMMYFUNCTION("""COMPUTED_VALUE"""),"Eldrazi Unbound")</f>
        <v>Eldrazi Unbound</v>
      </c>
      <c r="B951" s="76" t="str">
        <f>IFERROR(__xludf.DUMMYFUNCTION("""COMPUTED_VALUE"""),"Primal Genesis")</f>
        <v>Primal Genesis</v>
      </c>
      <c r="C951" s="77">
        <f>IFERROR(__xludf.DUMMYFUNCTION("""COMPUTED_VALUE"""),0.0)</f>
        <v>0</v>
      </c>
      <c r="D951" s="77">
        <f>IFERROR(__xludf.DUMMYFUNCTION("""COMPUTED_VALUE"""),0.0)</f>
        <v>0</v>
      </c>
      <c r="E951" s="46" t="b">
        <f>IFERROR(__xludf.DUMMYFUNCTION("""COMPUTED_VALUE"""),TRUE)</f>
        <v>1</v>
      </c>
    </row>
    <row r="952" hidden="1">
      <c r="A952" s="76" t="str">
        <f>IFERROR(__xludf.DUMMYFUNCTION("""COMPUTED_VALUE"""),"Eldrazi Unbound")</f>
        <v>Eldrazi Unbound</v>
      </c>
      <c r="B952" s="76" t="str">
        <f>IFERROR(__xludf.DUMMYFUNCTION("""COMPUTED_VALUE"""),"Prismari Artistry")</f>
        <v>Prismari Artistry</v>
      </c>
      <c r="C952" s="77">
        <f>IFERROR(__xludf.DUMMYFUNCTION("""COMPUTED_VALUE"""),0.0)</f>
        <v>0</v>
      </c>
      <c r="D952" s="77">
        <f>IFERROR(__xludf.DUMMYFUNCTION("""COMPUTED_VALUE"""),0.0)</f>
        <v>0</v>
      </c>
      <c r="E952" s="46" t="b">
        <f>IFERROR(__xludf.DUMMYFUNCTION("""COMPUTED_VALUE"""),TRUE)</f>
        <v>1</v>
      </c>
    </row>
    <row r="953" hidden="1">
      <c r="A953" s="76" t="str">
        <f>IFERROR(__xludf.DUMMYFUNCTION("""COMPUTED_VALUE"""),"Eldrazi Unbound")</f>
        <v>Eldrazi Unbound</v>
      </c>
      <c r="B953" s="76" t="str">
        <f>IFERROR(__xludf.DUMMYFUNCTION("""COMPUTED_VALUE"""),"Prismari Performance")</f>
        <v>Prismari Performance</v>
      </c>
      <c r="C953" s="77">
        <f>IFERROR(__xludf.DUMMYFUNCTION("""COMPUTED_VALUE"""),0.0)</f>
        <v>0</v>
      </c>
      <c r="D953" s="77">
        <f>IFERROR(__xludf.DUMMYFUNCTION("""COMPUTED_VALUE"""),0.0)</f>
        <v>0</v>
      </c>
      <c r="E953" s="46" t="b">
        <f>IFERROR(__xludf.DUMMYFUNCTION("""COMPUTED_VALUE"""),TRUE)</f>
        <v>1</v>
      </c>
    </row>
    <row r="954" hidden="1">
      <c r="A954" s="76" t="str">
        <f>IFERROR(__xludf.DUMMYFUNCTION("""COMPUTED_VALUE"""),"Eldrazi Unbound")</f>
        <v>Eldrazi Unbound</v>
      </c>
      <c r="B954" s="76" t="str">
        <f>IFERROR(__xludf.DUMMYFUNCTION("""COMPUTED_VALUE"""),"Quandrix Unlimited")</f>
        <v>Quandrix Unlimited</v>
      </c>
      <c r="C954" s="77">
        <f>IFERROR(__xludf.DUMMYFUNCTION("""COMPUTED_VALUE"""),0.0)</f>
        <v>0</v>
      </c>
      <c r="D954" s="77">
        <f>IFERROR(__xludf.DUMMYFUNCTION("""COMPUTED_VALUE"""),0.0)</f>
        <v>0</v>
      </c>
      <c r="E954" s="46" t="b">
        <f>IFERROR(__xludf.DUMMYFUNCTION("""COMPUTED_VALUE"""),TRUE)</f>
        <v>1</v>
      </c>
    </row>
    <row r="955" hidden="1">
      <c r="A955" s="76" t="str">
        <f>IFERROR(__xludf.DUMMYFUNCTION("""COMPUTED_VALUE"""),"Eldrazi Unbound")</f>
        <v>Eldrazi Unbound</v>
      </c>
      <c r="B955" s="76" t="str">
        <f>IFERROR(__xludf.DUMMYFUNCTION("""COMPUTED_VALUE"""),"Quick Draw")</f>
        <v>Quick Draw</v>
      </c>
      <c r="C955" s="77">
        <f>IFERROR(__xludf.DUMMYFUNCTION("""COMPUTED_VALUE"""),0.0)</f>
        <v>0</v>
      </c>
      <c r="D955" s="77">
        <f>IFERROR(__xludf.DUMMYFUNCTION("""COMPUTED_VALUE"""),0.0)</f>
        <v>0</v>
      </c>
      <c r="E955" s="46" t="b">
        <f>IFERROR(__xludf.DUMMYFUNCTION("""COMPUTED_VALUE"""),TRUE)</f>
        <v>1</v>
      </c>
    </row>
    <row r="956" hidden="1">
      <c r="A956" s="76" t="str">
        <f>IFERROR(__xludf.DUMMYFUNCTION("""COMPUTED_VALUE"""),"Eldrazi Unbound")</f>
        <v>Eldrazi Unbound</v>
      </c>
      <c r="B956" s="76" t="str">
        <f>IFERROR(__xludf.DUMMYFUNCTION("""COMPUTED_VALUE"""),"Reap the Tides")</f>
        <v>Reap the Tides</v>
      </c>
      <c r="C956" s="77">
        <f>IFERROR(__xludf.DUMMYFUNCTION("""COMPUTED_VALUE"""),0.0)</f>
        <v>0</v>
      </c>
      <c r="D956" s="77">
        <f>IFERROR(__xludf.DUMMYFUNCTION("""COMPUTED_VALUE"""),0.0)</f>
        <v>0</v>
      </c>
      <c r="E956" s="46" t="b">
        <f>IFERROR(__xludf.DUMMYFUNCTION("""COMPUTED_VALUE"""),TRUE)</f>
        <v>1</v>
      </c>
    </row>
    <row r="957" hidden="1">
      <c r="A957" s="76" t="str">
        <f>IFERROR(__xludf.DUMMYFUNCTION("""COMPUTED_VALUE"""),"Eldrazi Unbound")</f>
        <v>Eldrazi Unbound</v>
      </c>
      <c r="B957" s="76" t="str">
        <f>IFERROR(__xludf.DUMMYFUNCTION("""COMPUTED_VALUE"""),"Rebellion Rising")</f>
        <v>Rebellion Rising</v>
      </c>
      <c r="C957" s="77">
        <f>IFERROR(__xludf.DUMMYFUNCTION("""COMPUTED_VALUE"""),0.0)</f>
        <v>0</v>
      </c>
      <c r="D957" s="77">
        <f>IFERROR(__xludf.DUMMYFUNCTION("""COMPUTED_VALUE"""),0.0)</f>
        <v>0</v>
      </c>
      <c r="E957" s="46" t="b">
        <f>IFERROR(__xludf.DUMMYFUNCTION("""COMPUTED_VALUE"""),TRUE)</f>
        <v>1</v>
      </c>
    </row>
    <row r="958">
      <c r="A958" s="76" t="str">
        <f>IFERROR(__xludf.DUMMYFUNCTION("""COMPUTED_VALUE"""),"Eldrazi Unbound")</f>
        <v>Eldrazi Unbound</v>
      </c>
      <c r="B958" s="76" t="str">
        <f>IFERROR(__xludf.DUMMYFUNCTION("""COMPUTED_VALUE"""),"Revival Trance")</f>
        <v>Revival Trance</v>
      </c>
      <c r="C958" s="77">
        <f>IFERROR(__xludf.DUMMYFUNCTION("""COMPUTED_VALUE"""),0.0)</f>
        <v>0</v>
      </c>
      <c r="D958" s="77">
        <f>IFERROR(__xludf.DUMMYFUNCTION("""COMPUTED_VALUE"""),0.0)</f>
        <v>0</v>
      </c>
      <c r="E958" s="46" t="b">
        <f>IFERROR(__xludf.DUMMYFUNCTION("""COMPUTED_VALUE"""),TRUE)</f>
        <v>1</v>
      </c>
    </row>
    <row r="959" hidden="1">
      <c r="A959" s="76" t="str">
        <f>IFERROR(__xludf.DUMMYFUNCTION("""COMPUTED_VALUE"""),"Eldrazi Unbound")</f>
        <v>Eldrazi Unbound</v>
      </c>
      <c r="B959" s="76" t="str">
        <f>IFERROR(__xludf.DUMMYFUNCTION("""COMPUTED_VALUE"""),"Riders of Rohan")</f>
        <v>Riders of Rohan</v>
      </c>
      <c r="C959" s="77">
        <f>IFERROR(__xludf.DUMMYFUNCTION("""COMPUTED_VALUE"""),0.0)</f>
        <v>0</v>
      </c>
      <c r="D959" s="77">
        <f>IFERROR(__xludf.DUMMYFUNCTION("""COMPUTED_VALUE"""),0.0)</f>
        <v>0</v>
      </c>
      <c r="E959" s="46" t="b">
        <f>IFERROR(__xludf.DUMMYFUNCTION("""COMPUTED_VALUE"""),TRUE)</f>
        <v>1</v>
      </c>
    </row>
    <row r="960" hidden="1">
      <c r="A960" s="76" t="str">
        <f>IFERROR(__xludf.DUMMYFUNCTION("""COMPUTED_VALUE"""),"Eldrazi Unbound")</f>
        <v>Eldrazi Unbound</v>
      </c>
      <c r="B960" s="76" t="str">
        <f>IFERROR(__xludf.DUMMYFUNCTION("""COMPUTED_VALUE"""),"Science!")</f>
        <v>Science!</v>
      </c>
      <c r="C960" s="77">
        <f>IFERROR(__xludf.DUMMYFUNCTION("""COMPUTED_VALUE"""),0.0)</f>
        <v>0</v>
      </c>
      <c r="D960" s="77">
        <f>IFERROR(__xludf.DUMMYFUNCTION("""COMPUTED_VALUE"""),0.0)</f>
        <v>0</v>
      </c>
      <c r="E960" s="46" t="b">
        <f>IFERROR(__xludf.DUMMYFUNCTION("""COMPUTED_VALUE"""),TRUE)</f>
        <v>1</v>
      </c>
    </row>
    <row r="961" hidden="1">
      <c r="A961" s="76" t="str">
        <f>IFERROR(__xludf.DUMMYFUNCTION("""COMPUTED_VALUE"""),"Eldrazi Unbound")</f>
        <v>Eldrazi Unbound</v>
      </c>
      <c r="B961" s="76" t="str">
        <f>IFERROR(__xludf.DUMMYFUNCTION("""COMPUTED_VALUE"""),"Scions &amp; Spellcraft")</f>
        <v>Scions &amp; Spellcraft</v>
      </c>
      <c r="C961" s="77">
        <f>IFERROR(__xludf.DUMMYFUNCTION("""COMPUTED_VALUE"""),0.0)</f>
        <v>0</v>
      </c>
      <c r="D961" s="77">
        <f>IFERROR(__xludf.DUMMYFUNCTION("""COMPUTED_VALUE"""),0.0)</f>
        <v>0</v>
      </c>
      <c r="E961" s="46" t="b">
        <f>IFERROR(__xludf.DUMMYFUNCTION("""COMPUTED_VALUE"""),TRUE)</f>
        <v>1</v>
      </c>
    </row>
    <row r="962">
      <c r="A962" s="76" t="str">
        <f>IFERROR(__xludf.DUMMYFUNCTION("""COMPUTED_VALUE"""),"Eldrazi Unbound")</f>
        <v>Eldrazi Unbound</v>
      </c>
      <c r="B962" s="76" t="str">
        <f>IFERROR(__xludf.DUMMYFUNCTION("""COMPUTED_VALUE"""),"Scrappy Survivors")</f>
        <v>Scrappy Survivors</v>
      </c>
      <c r="C962" s="77">
        <f>IFERROR(__xludf.DUMMYFUNCTION("""COMPUTED_VALUE"""),0.0)</f>
        <v>0</v>
      </c>
      <c r="D962" s="77">
        <f>IFERROR(__xludf.DUMMYFUNCTION("""COMPUTED_VALUE"""),0.0)</f>
        <v>0</v>
      </c>
      <c r="E962" s="46" t="b">
        <f>IFERROR(__xludf.DUMMYFUNCTION("""COMPUTED_VALUE"""),TRUE)</f>
        <v>1</v>
      </c>
    </row>
    <row r="963">
      <c r="A963" s="76" t="str">
        <f>IFERROR(__xludf.DUMMYFUNCTION("""COMPUTED_VALUE"""),"Eldrazi Unbound")</f>
        <v>Eldrazi Unbound</v>
      </c>
      <c r="B963" s="76" t="str">
        <f>IFERROR(__xludf.DUMMYFUNCTION("""COMPUTED_VALUE"""),"Silverquill Influence")</f>
        <v>Silverquill Influence</v>
      </c>
      <c r="C963" s="77">
        <f>IFERROR(__xludf.DUMMYFUNCTION("""COMPUTED_VALUE"""),0.0)</f>
        <v>0</v>
      </c>
      <c r="D963" s="77">
        <f>IFERROR(__xludf.DUMMYFUNCTION("""COMPUTED_VALUE"""),0.0)</f>
        <v>0</v>
      </c>
      <c r="E963" s="46" t="b">
        <f>IFERROR(__xludf.DUMMYFUNCTION("""COMPUTED_VALUE"""),TRUE)</f>
        <v>1</v>
      </c>
    </row>
    <row r="964" hidden="1">
      <c r="A964" s="76" t="str">
        <f>IFERROR(__xludf.DUMMYFUNCTION("""COMPUTED_VALUE"""),"Eldrazi Unbound")</f>
        <v>Eldrazi Unbound</v>
      </c>
      <c r="B964" s="76" t="str">
        <f>IFERROR(__xludf.DUMMYFUNCTION("""COMPUTED_VALUE"""),"Spirit Squadron")</f>
        <v>Spirit Squadron</v>
      </c>
      <c r="C964" s="77">
        <f>IFERROR(__xludf.DUMMYFUNCTION("""COMPUTED_VALUE"""),0.0)</f>
        <v>0</v>
      </c>
      <c r="D964" s="77">
        <f>IFERROR(__xludf.DUMMYFUNCTION("""COMPUTED_VALUE"""),0.0)</f>
        <v>0</v>
      </c>
      <c r="E964" s="46" t="b">
        <f>IFERROR(__xludf.DUMMYFUNCTION("""COMPUTED_VALUE"""),TRUE)</f>
        <v>1</v>
      </c>
    </row>
    <row r="965" hidden="1">
      <c r="A965" s="76" t="str">
        <f>IFERROR(__xludf.DUMMYFUNCTION("""COMPUTED_VALUE"""),"Eldrazi Unbound")</f>
        <v>Eldrazi Unbound</v>
      </c>
      <c r="B965" s="76" t="str">
        <f>IFERROR(__xludf.DUMMYFUNCTION("""COMPUTED_VALUE"""),"Squirreled Away")</f>
        <v>Squirreled Away</v>
      </c>
      <c r="C965" s="77">
        <f>IFERROR(__xludf.DUMMYFUNCTION("""COMPUTED_VALUE"""),0.0)</f>
        <v>0</v>
      </c>
      <c r="D965" s="77">
        <f>IFERROR(__xludf.DUMMYFUNCTION("""COMPUTED_VALUE"""),0.0)</f>
        <v>0</v>
      </c>
      <c r="E965" s="46" t="b">
        <f>IFERROR(__xludf.DUMMYFUNCTION("""COMPUTED_VALUE"""),TRUE)</f>
        <v>1</v>
      </c>
    </row>
    <row r="966" hidden="1">
      <c r="A966" s="76" t="str">
        <f>IFERROR(__xludf.DUMMYFUNCTION("""COMPUTED_VALUE"""),"Eldrazi Unbound")</f>
        <v>Eldrazi Unbound</v>
      </c>
      <c r="B966" s="76" t="str">
        <f>IFERROR(__xludf.DUMMYFUNCTION("""COMPUTED_VALUE"""),"Sultai Arisen")</f>
        <v>Sultai Arisen</v>
      </c>
      <c r="C966" s="77">
        <f>IFERROR(__xludf.DUMMYFUNCTION("""COMPUTED_VALUE"""),0.0)</f>
        <v>0</v>
      </c>
      <c r="D966" s="77">
        <f>IFERROR(__xludf.DUMMYFUNCTION("""COMPUTED_VALUE"""),0.0)</f>
        <v>0</v>
      </c>
      <c r="E966" s="46" t="b">
        <f>IFERROR(__xludf.DUMMYFUNCTION("""COMPUTED_VALUE"""),TRUE)</f>
        <v>1</v>
      </c>
    </row>
    <row r="967" hidden="1">
      <c r="A967" s="76" t="str">
        <f>IFERROR(__xludf.DUMMYFUNCTION("""COMPUTED_VALUE"""),"Eldrazi Unbound")</f>
        <v>Eldrazi Unbound</v>
      </c>
      <c r="B967" s="76" t="str">
        <f>IFERROR(__xludf.DUMMYFUNCTION("""COMPUTED_VALUE"""),"Temur Roar")</f>
        <v>Temur Roar</v>
      </c>
      <c r="C967" s="77">
        <f>IFERROR(__xludf.DUMMYFUNCTION("""COMPUTED_VALUE"""),0.0)</f>
        <v>0</v>
      </c>
      <c r="D967" s="77">
        <f>IFERROR(__xludf.DUMMYFUNCTION("""COMPUTED_VALUE"""),0.0)</f>
        <v>0</v>
      </c>
      <c r="E967" s="46" t="b">
        <f>IFERROR(__xludf.DUMMYFUNCTION("""COMPUTED_VALUE"""),TRUE)</f>
        <v>1</v>
      </c>
    </row>
    <row r="968" hidden="1">
      <c r="A968" s="78" t="str">
        <f>IFERROR(__xludf.DUMMYFUNCTION("""COMPUTED_VALUE"""),"Eldrazi Unbound")</f>
        <v>Eldrazi Unbound</v>
      </c>
      <c r="B968" s="78" t="str">
        <f>IFERROR(__xludf.DUMMYFUNCTION("""COMPUTED_VALUE"""),"The Hosts of Mordor")</f>
        <v>The Hosts of Mordor</v>
      </c>
      <c r="C968" s="79">
        <f>IFERROR(__xludf.DUMMYFUNCTION("""COMPUTED_VALUE"""),0.0)</f>
        <v>0</v>
      </c>
      <c r="D968" s="79">
        <f>IFERROR(__xludf.DUMMYFUNCTION("""COMPUTED_VALUE"""),0.0)</f>
        <v>0</v>
      </c>
      <c r="E968" s="69" t="b">
        <f>IFERROR(__xludf.DUMMYFUNCTION("""COMPUTED_VALUE"""),TRUE)</f>
        <v>1</v>
      </c>
    </row>
    <row r="969" hidden="1">
      <c r="A969" s="78" t="str">
        <f>IFERROR(__xludf.DUMMYFUNCTION("""COMPUTED_VALUE"""),"Eldrazi Unbound")</f>
        <v>Eldrazi Unbound</v>
      </c>
      <c r="B969" s="78" t="str">
        <f>IFERROR(__xludf.DUMMYFUNCTION("""COMPUTED_VALUE"""),"The Ruinous Powers")</f>
        <v>The Ruinous Powers</v>
      </c>
      <c r="C969" s="79">
        <f>IFERROR(__xludf.DUMMYFUNCTION("""COMPUTED_VALUE"""),0.0)</f>
        <v>0</v>
      </c>
      <c r="D969" s="79">
        <f>IFERROR(__xludf.DUMMYFUNCTION("""COMPUTED_VALUE"""),0.0)</f>
        <v>0</v>
      </c>
      <c r="E969" s="69" t="b">
        <f>IFERROR(__xludf.DUMMYFUNCTION("""COMPUTED_VALUE"""),TRUE)</f>
        <v>1</v>
      </c>
    </row>
    <row r="970">
      <c r="A970" s="76" t="str">
        <f>IFERROR(__xludf.DUMMYFUNCTION("""COMPUTED_VALUE"""),"Eldrazi Unbound")</f>
        <v>Eldrazi Unbound</v>
      </c>
      <c r="B970" s="76" t="str">
        <f>IFERROR(__xludf.DUMMYFUNCTION("""COMPUTED_VALUE"""),"Timey-Wimey")</f>
        <v>Timey-Wimey</v>
      </c>
      <c r="C970" s="77">
        <f>IFERROR(__xludf.DUMMYFUNCTION("""COMPUTED_VALUE"""),0.0)</f>
        <v>0</v>
      </c>
      <c r="D970" s="77">
        <f>IFERROR(__xludf.DUMMYFUNCTION("""COMPUTED_VALUE"""),0.0)</f>
        <v>0</v>
      </c>
      <c r="E970" s="46" t="b">
        <f>IFERROR(__xludf.DUMMYFUNCTION("""COMPUTED_VALUE"""),TRUE)</f>
        <v>1</v>
      </c>
    </row>
    <row r="971" hidden="1">
      <c r="A971" s="78" t="str">
        <f>IFERROR(__xludf.DUMMYFUNCTION("""COMPUTED_VALUE"""),"Eldrazi Unbound")</f>
        <v>Eldrazi Unbound</v>
      </c>
      <c r="B971" s="78" t="str">
        <f>IFERROR(__xludf.DUMMYFUNCTION("""COMPUTED_VALUE"""),"Tinker Time")</f>
        <v>Tinker Time</v>
      </c>
      <c r="C971" s="79">
        <f>IFERROR(__xludf.DUMMYFUNCTION("""COMPUTED_VALUE"""),0.0)</f>
        <v>0</v>
      </c>
      <c r="D971" s="79">
        <f>IFERROR(__xludf.DUMMYFUNCTION("""COMPUTED_VALUE"""),0.0)</f>
        <v>0</v>
      </c>
      <c r="E971" s="69" t="b">
        <f>IFERROR(__xludf.DUMMYFUNCTION("""COMPUTED_VALUE"""),TRUE)</f>
        <v>1</v>
      </c>
    </row>
    <row r="972" hidden="1">
      <c r="A972" s="76" t="str">
        <f>IFERROR(__xludf.DUMMYFUNCTION("""COMPUTED_VALUE"""),"Eldrazi Unbound")</f>
        <v>Eldrazi Unbound</v>
      </c>
      <c r="B972" s="76" t="str">
        <f>IFERROR(__xludf.DUMMYFUNCTION("""COMPUTED_VALUE"""),"Turtle Power!")</f>
        <v>Turtle Power!</v>
      </c>
      <c r="C972" s="77">
        <f>IFERROR(__xludf.DUMMYFUNCTION("""COMPUTED_VALUE"""),0.0)</f>
        <v>0</v>
      </c>
      <c r="D972" s="77">
        <f>IFERROR(__xludf.DUMMYFUNCTION("""COMPUTED_VALUE"""),0.0)</f>
        <v>0</v>
      </c>
      <c r="E972" s="46" t="b">
        <f>IFERROR(__xludf.DUMMYFUNCTION("""COMPUTED_VALUE"""),TRUE)</f>
        <v>1</v>
      </c>
    </row>
    <row r="973" hidden="1">
      <c r="A973" s="78" t="str">
        <f>IFERROR(__xludf.DUMMYFUNCTION("""COMPUTED_VALUE"""),"Eldrazi Unbound")</f>
        <v>Eldrazi Unbound</v>
      </c>
      <c r="B973" s="78" t="str">
        <f>IFERROR(__xludf.DUMMYFUNCTION("""COMPUTED_VALUE"""),"Veloci-ramp-tor")</f>
        <v>Veloci-ramp-tor</v>
      </c>
      <c r="C973" s="79">
        <f>IFERROR(__xludf.DUMMYFUNCTION("""COMPUTED_VALUE"""),0.0)</f>
        <v>0</v>
      </c>
      <c r="D973" s="79">
        <f>IFERROR(__xludf.DUMMYFUNCTION("""COMPUTED_VALUE"""),0.0)</f>
        <v>0</v>
      </c>
      <c r="E973" s="69" t="b">
        <f>IFERROR(__xludf.DUMMYFUNCTION("""COMPUTED_VALUE"""),TRUE)</f>
        <v>1</v>
      </c>
    </row>
    <row r="974" hidden="1">
      <c r="A974" s="76" t="str">
        <f>IFERROR(__xludf.DUMMYFUNCTION("""COMPUTED_VALUE"""),"Endless Punishment")</f>
        <v>Endless Punishment</v>
      </c>
      <c r="B974" s="76" t="str">
        <f>IFERROR(__xludf.DUMMYFUNCTION("""COMPUTED_VALUE"""),"Ahoy Mateys")</f>
        <v>Ahoy Mateys</v>
      </c>
      <c r="C974" s="77">
        <f>IFERROR(__xludf.DUMMYFUNCTION("""COMPUTED_VALUE"""),0.0)</f>
        <v>0</v>
      </c>
      <c r="D974" s="77">
        <f>IFERROR(__xludf.DUMMYFUNCTION("""COMPUTED_VALUE"""),0.0)</f>
        <v>0</v>
      </c>
      <c r="E974" s="46" t="b">
        <f>IFERROR(__xludf.DUMMYFUNCTION("""COMPUTED_VALUE"""),TRUE)</f>
        <v>1</v>
      </c>
    </row>
    <row r="975" hidden="1">
      <c r="A975" s="76" t="str">
        <f>IFERROR(__xludf.DUMMYFUNCTION("""COMPUTED_VALUE"""),"Endless Punishment")</f>
        <v>Endless Punishment</v>
      </c>
      <c r="B975" s="76" t="str">
        <f>IFERROR(__xludf.DUMMYFUNCTION("""COMPUTED_VALUE"""),"Animated Army")</f>
        <v>Animated Army</v>
      </c>
      <c r="C975" s="77">
        <f>IFERROR(__xludf.DUMMYFUNCTION("""COMPUTED_VALUE"""),0.0)</f>
        <v>0</v>
      </c>
      <c r="D975" s="77">
        <f>IFERROR(__xludf.DUMMYFUNCTION("""COMPUTED_VALUE"""),0.0)</f>
        <v>0</v>
      </c>
      <c r="E975" s="46" t="b">
        <f>IFERROR(__xludf.DUMMYFUNCTION("""COMPUTED_VALUE"""),TRUE)</f>
        <v>1</v>
      </c>
    </row>
    <row r="976" hidden="1">
      <c r="A976" s="78" t="str">
        <f>IFERROR(__xludf.DUMMYFUNCTION("""COMPUTED_VALUE"""),"Endless Punishment")</f>
        <v>Endless Punishment</v>
      </c>
      <c r="B976" s="78" t="str">
        <f>IFERROR(__xludf.DUMMYFUNCTION("""COMPUTED_VALUE"""),"Arcane Maelstrom")</f>
        <v>Arcane Maelstrom</v>
      </c>
      <c r="C976" s="79">
        <f>IFERROR(__xludf.DUMMYFUNCTION("""COMPUTED_VALUE"""),0.0)</f>
        <v>0</v>
      </c>
      <c r="D976" s="79">
        <f>IFERROR(__xludf.DUMMYFUNCTION("""COMPUTED_VALUE"""),0.0)</f>
        <v>0</v>
      </c>
      <c r="E976" s="69" t="b">
        <f>IFERROR(__xludf.DUMMYFUNCTION("""COMPUTED_VALUE"""),TRUE)</f>
        <v>1</v>
      </c>
    </row>
    <row r="977">
      <c r="A977" s="76" t="str">
        <f>IFERROR(__xludf.DUMMYFUNCTION("""COMPUTED_VALUE"""),"Endless Punishment")</f>
        <v>Endless Punishment</v>
      </c>
      <c r="B977" s="76" t="str">
        <f>IFERROR(__xludf.DUMMYFUNCTION("""COMPUTED_VALUE"""),"Blame Game")</f>
        <v>Blame Game</v>
      </c>
      <c r="C977" s="77">
        <f>IFERROR(__xludf.DUMMYFUNCTION("""COMPUTED_VALUE"""),0.0)</f>
        <v>0</v>
      </c>
      <c r="D977" s="77">
        <f>IFERROR(__xludf.DUMMYFUNCTION("""COMPUTED_VALUE"""),0.0)</f>
        <v>0</v>
      </c>
      <c r="E977" s="46" t="b">
        <f>IFERROR(__xludf.DUMMYFUNCTION("""COMPUTED_VALUE"""),TRUE)</f>
        <v>1</v>
      </c>
    </row>
    <row r="978" hidden="1">
      <c r="A978" s="76" t="str">
        <f>IFERROR(__xludf.DUMMYFUNCTION("""COMPUTED_VALUE"""),"Endless Punishment")</f>
        <v>Endless Punishment</v>
      </c>
      <c r="B978" s="76" t="str">
        <f>IFERROR(__xludf.DUMMYFUNCTION("""COMPUTED_VALUE"""),"Blight Curse")</f>
        <v>Blight Curse</v>
      </c>
      <c r="C978" s="77">
        <f>IFERROR(__xludf.DUMMYFUNCTION("""COMPUTED_VALUE"""),2.0)</f>
        <v>2</v>
      </c>
      <c r="D978" s="77">
        <f>IFERROR(__xludf.DUMMYFUNCTION("""COMPUTED_VALUE"""),0.0)</f>
        <v>0</v>
      </c>
      <c r="E978" s="46" t="b">
        <f>IFERROR(__xludf.DUMMYFUNCTION("""COMPUTED_VALUE"""),FALSE)</f>
        <v>0</v>
      </c>
    </row>
    <row r="979" hidden="1">
      <c r="A979" s="76" t="str">
        <f>IFERROR(__xludf.DUMMYFUNCTION("""COMPUTED_VALUE"""),"Endless Punishment")</f>
        <v>Endless Punishment</v>
      </c>
      <c r="B979" s="76" t="str">
        <f>IFERROR(__xludf.DUMMYFUNCTION("""COMPUTED_VALUE"""),"Blood Rites")</f>
        <v>Blood Rites</v>
      </c>
      <c r="C979" s="77">
        <f>IFERROR(__xludf.DUMMYFUNCTION("""COMPUTED_VALUE"""),0.0)</f>
        <v>0</v>
      </c>
      <c r="D979" s="77">
        <f>IFERROR(__xludf.DUMMYFUNCTION("""COMPUTED_VALUE"""),0.0)</f>
        <v>0</v>
      </c>
      <c r="E979" s="46" t="b">
        <f>IFERROR(__xludf.DUMMYFUNCTION("""COMPUTED_VALUE"""),TRUE)</f>
        <v>1</v>
      </c>
    </row>
    <row r="980" hidden="1">
      <c r="A980" s="76" t="str">
        <f>IFERROR(__xludf.DUMMYFUNCTION("""COMPUTED_VALUE"""),"Endless Punishment")</f>
        <v>Endless Punishment</v>
      </c>
      <c r="B980" s="76" t="str">
        <f>IFERROR(__xludf.DUMMYFUNCTION("""COMPUTED_VALUE"""),"Buckle Up")</f>
        <v>Buckle Up</v>
      </c>
      <c r="C980" s="77">
        <f>IFERROR(__xludf.DUMMYFUNCTION("""COMPUTED_VALUE"""),0.0)</f>
        <v>0</v>
      </c>
      <c r="D980" s="77">
        <f>IFERROR(__xludf.DUMMYFUNCTION("""COMPUTED_VALUE"""),0.0)</f>
        <v>0</v>
      </c>
      <c r="E980" s="46" t="b">
        <f>IFERROR(__xludf.DUMMYFUNCTION("""COMPUTED_VALUE"""),TRUE)</f>
        <v>1</v>
      </c>
    </row>
    <row r="981" hidden="1">
      <c r="A981" s="76" t="str">
        <f>IFERROR(__xludf.DUMMYFUNCTION("""COMPUTED_VALUE"""),"Endless Punishment")</f>
        <v>Endless Punishment</v>
      </c>
      <c r="B981" s="76" t="str">
        <f>IFERROR(__xludf.DUMMYFUNCTION("""COMPUTED_VALUE"""),"Cabaretti Cacophony")</f>
        <v>Cabaretti Cacophony</v>
      </c>
      <c r="C981" s="77">
        <f>IFERROR(__xludf.DUMMYFUNCTION("""COMPUTED_VALUE"""),0.0)</f>
        <v>0</v>
      </c>
      <c r="D981" s="77">
        <f>IFERROR(__xludf.DUMMYFUNCTION("""COMPUTED_VALUE"""),0.0)</f>
        <v>0</v>
      </c>
      <c r="E981" s="46" t="b">
        <f>IFERROR(__xludf.DUMMYFUNCTION("""COMPUTED_VALUE"""),TRUE)</f>
        <v>1</v>
      </c>
    </row>
    <row r="982" hidden="1">
      <c r="A982" s="78" t="str">
        <f>IFERROR(__xludf.DUMMYFUNCTION("""COMPUTED_VALUE"""),"Endless Punishment")</f>
        <v>Endless Punishment</v>
      </c>
      <c r="B982" s="78" t="str">
        <f>IFERROR(__xludf.DUMMYFUNCTION("""COMPUTED_VALUE"""),"Cavalry Charge")</f>
        <v>Cavalry Charge</v>
      </c>
      <c r="C982" s="79">
        <f>IFERROR(__xludf.DUMMYFUNCTION("""COMPUTED_VALUE"""),2.0)</f>
        <v>2</v>
      </c>
      <c r="D982" s="79">
        <f>IFERROR(__xludf.DUMMYFUNCTION("""COMPUTED_VALUE"""),2.0)</f>
        <v>2</v>
      </c>
      <c r="E982" s="69" t="b">
        <f>IFERROR(__xludf.DUMMYFUNCTION("""COMPUTED_VALUE"""),FALSE)</f>
        <v>0</v>
      </c>
    </row>
    <row r="983" hidden="1">
      <c r="A983" s="76" t="str">
        <f>IFERROR(__xludf.DUMMYFUNCTION("""COMPUTED_VALUE"""),"Endless Punishment")</f>
        <v>Endless Punishment</v>
      </c>
      <c r="B983" s="76" t="str">
        <f>IFERROR(__xludf.DUMMYFUNCTION("""COMPUTED_VALUE"""),"Corrupting Influence")</f>
        <v>Corrupting Influence</v>
      </c>
      <c r="C983" s="77">
        <f>IFERROR(__xludf.DUMMYFUNCTION("""COMPUTED_VALUE"""),1.0)</f>
        <v>1</v>
      </c>
      <c r="D983" s="77">
        <f>IFERROR(__xludf.DUMMYFUNCTION("""COMPUTED_VALUE"""),1.0)</f>
        <v>1</v>
      </c>
      <c r="E983" s="46" t="b">
        <f>IFERROR(__xludf.DUMMYFUNCTION("""COMPUTED_VALUE"""),FALSE)</f>
        <v>0</v>
      </c>
    </row>
    <row r="984">
      <c r="A984" s="78" t="str">
        <f>IFERROR(__xludf.DUMMYFUNCTION("""COMPUTED_VALUE"""),"Endless Punishment")</f>
        <v>Endless Punishment</v>
      </c>
      <c r="B984" s="78" t="str">
        <f>IFERROR(__xludf.DUMMYFUNCTION("""COMPUTED_VALUE"""),"Counter Blitz")</f>
        <v>Counter Blitz</v>
      </c>
      <c r="C984" s="79">
        <f>IFERROR(__xludf.DUMMYFUNCTION("""COMPUTED_VALUE"""),0.0)</f>
        <v>0</v>
      </c>
      <c r="D984" s="79">
        <f>IFERROR(__xludf.DUMMYFUNCTION("""COMPUTED_VALUE"""),0.0)</f>
        <v>0</v>
      </c>
      <c r="E984" s="69" t="b">
        <f>IFERROR(__xludf.DUMMYFUNCTION("""COMPUTED_VALUE"""),TRUE)</f>
        <v>1</v>
      </c>
    </row>
    <row r="985" hidden="1">
      <c r="A985" s="76" t="str">
        <f>IFERROR(__xludf.DUMMYFUNCTION("""COMPUTED_VALUE"""),"Endless Punishment")</f>
        <v>Endless Punishment</v>
      </c>
      <c r="B985" s="76" t="str">
        <f>IFERROR(__xludf.DUMMYFUNCTION("""COMPUTED_VALUE"""),"Counter Intelligence")</f>
        <v>Counter Intelligence</v>
      </c>
      <c r="C985" s="77">
        <f>IFERROR(__xludf.DUMMYFUNCTION("""COMPUTED_VALUE"""),0.0)</f>
        <v>0</v>
      </c>
      <c r="D985" s="77">
        <f>IFERROR(__xludf.DUMMYFUNCTION("""COMPUTED_VALUE"""),0.0)</f>
        <v>0</v>
      </c>
      <c r="E985" s="46" t="b">
        <f>IFERROR(__xludf.DUMMYFUNCTION("""COMPUTED_VALUE"""),TRUE)</f>
        <v>1</v>
      </c>
    </row>
    <row r="986" hidden="1">
      <c r="A986" s="76" t="str">
        <f>IFERROR(__xludf.DUMMYFUNCTION("""COMPUTED_VALUE"""),"Endless Punishment")</f>
        <v>Endless Punishment</v>
      </c>
      <c r="B986" s="76" t="str">
        <f>IFERROR(__xludf.DUMMYFUNCTION("""COMPUTED_VALUE"""),"Creative Energy")</f>
        <v>Creative Energy</v>
      </c>
      <c r="C986" s="77">
        <f>IFERROR(__xludf.DUMMYFUNCTION("""COMPUTED_VALUE"""),2.0)</f>
        <v>2</v>
      </c>
      <c r="D986" s="77">
        <f>IFERROR(__xludf.DUMMYFUNCTION("""COMPUTED_VALUE"""),0.0)</f>
        <v>0</v>
      </c>
      <c r="E986" s="46" t="b">
        <f>IFERROR(__xludf.DUMMYFUNCTION("""COMPUTED_VALUE"""),FALSE)</f>
        <v>0</v>
      </c>
    </row>
    <row r="987" hidden="1">
      <c r="A987" s="78" t="str">
        <f>IFERROR(__xludf.DUMMYFUNCTION("""COMPUTED_VALUE"""),"Endless Punishment")</f>
        <v>Endless Punishment</v>
      </c>
      <c r="B987" s="78" t="str">
        <f>IFERROR(__xludf.DUMMYFUNCTION("""COMPUTED_VALUE"""),"Dance of the Elements")</f>
        <v>Dance of the Elements</v>
      </c>
      <c r="C987" s="79">
        <f>IFERROR(__xludf.DUMMYFUNCTION("""COMPUTED_VALUE"""),1.0)</f>
        <v>1</v>
      </c>
      <c r="D987" s="79">
        <f>IFERROR(__xludf.DUMMYFUNCTION("""COMPUTED_VALUE"""),0.0)</f>
        <v>0</v>
      </c>
      <c r="E987" s="69" t="b">
        <f>IFERROR(__xludf.DUMMYFUNCTION("""COMPUTED_VALUE"""),FALSE)</f>
        <v>0</v>
      </c>
    </row>
    <row r="988" hidden="1">
      <c r="A988" s="76" t="str">
        <f>IFERROR(__xludf.DUMMYFUNCTION("""COMPUTED_VALUE"""),"Endless Punishment")</f>
        <v>Endless Punishment</v>
      </c>
      <c r="B988" s="76" t="str">
        <f>IFERROR(__xludf.DUMMYFUNCTION("""COMPUTED_VALUE"""),"Deep Clue Sea")</f>
        <v>Deep Clue Sea</v>
      </c>
      <c r="C988" s="77">
        <f>IFERROR(__xludf.DUMMYFUNCTION("""COMPUTED_VALUE"""),1.0)</f>
        <v>1</v>
      </c>
      <c r="D988" s="77">
        <f>IFERROR(__xludf.DUMMYFUNCTION("""COMPUTED_VALUE"""),0.0)</f>
        <v>0</v>
      </c>
      <c r="E988" s="46" t="b">
        <f>IFERROR(__xludf.DUMMYFUNCTION("""COMPUTED_VALUE"""),FALSE)</f>
        <v>0</v>
      </c>
    </row>
    <row r="989" hidden="1">
      <c r="A989" s="76" t="str">
        <f>IFERROR(__xludf.DUMMYFUNCTION("""COMPUTED_VALUE"""),"Endless Punishment")</f>
        <v>Endless Punishment</v>
      </c>
      <c r="B989" s="76" t="str">
        <f>IFERROR(__xludf.DUMMYFUNCTION("""COMPUTED_VALUE"""),"Doom Prevails")</f>
        <v>Doom Prevails</v>
      </c>
      <c r="C989" s="77">
        <f>IFERROR(__xludf.DUMMYFUNCTION("""COMPUTED_VALUE"""),0.0)</f>
        <v>0</v>
      </c>
      <c r="D989" s="77">
        <f>IFERROR(__xludf.DUMMYFUNCTION("""COMPUTED_VALUE"""),0.0)</f>
        <v>0</v>
      </c>
      <c r="E989" s="46" t="b">
        <f>IFERROR(__xludf.DUMMYFUNCTION("""COMPUTED_VALUE"""),TRUE)</f>
        <v>1</v>
      </c>
    </row>
    <row r="990">
      <c r="A990" s="76" t="str">
        <f>IFERROR(__xludf.DUMMYFUNCTION("""COMPUTED_VALUE"""),"Endless Punishment")</f>
        <v>Endless Punishment</v>
      </c>
      <c r="B990" s="76" t="str">
        <f>IFERROR(__xludf.DUMMYFUNCTION("""COMPUTED_VALUE"""),"Eldrazi Incursion")</f>
        <v>Eldrazi Incursion</v>
      </c>
      <c r="C990" s="77">
        <f>IFERROR(__xludf.DUMMYFUNCTION("""COMPUTED_VALUE"""),0.0)</f>
        <v>0</v>
      </c>
      <c r="D990" s="77">
        <f>IFERROR(__xludf.DUMMYFUNCTION("""COMPUTED_VALUE"""),0.0)</f>
        <v>0</v>
      </c>
      <c r="E990" s="46" t="b">
        <f>IFERROR(__xludf.DUMMYFUNCTION("""COMPUTED_VALUE"""),TRUE)</f>
        <v>1</v>
      </c>
    </row>
    <row r="991">
      <c r="A991" s="76" t="str">
        <f>IFERROR(__xludf.DUMMYFUNCTION("""COMPUTED_VALUE"""),"Endless Punishment")</f>
        <v>Endless Punishment</v>
      </c>
      <c r="B991" s="76" t="str">
        <f>IFERROR(__xludf.DUMMYFUNCTION("""COMPUTED_VALUE"""),"Eldrazi Unbound")</f>
        <v>Eldrazi Unbound</v>
      </c>
      <c r="C991" s="77">
        <f>IFERROR(__xludf.DUMMYFUNCTION("""COMPUTED_VALUE"""),0.0)</f>
        <v>0</v>
      </c>
      <c r="D991" s="77">
        <f>IFERROR(__xludf.DUMMYFUNCTION("""COMPUTED_VALUE"""),0.0)</f>
        <v>0</v>
      </c>
      <c r="E991" s="46" t="b">
        <f>IFERROR(__xludf.DUMMYFUNCTION("""COMPUTED_VALUE"""),TRUE)</f>
        <v>1</v>
      </c>
    </row>
    <row r="992" hidden="1">
      <c r="A992" s="76" t="str">
        <f>IFERROR(__xludf.DUMMYFUNCTION("""COMPUTED_VALUE"""),"Endless Punishment")</f>
        <v>Endless Punishment</v>
      </c>
      <c r="B992" s="76" t="str">
        <f>IFERROR(__xludf.DUMMYFUNCTION("""COMPUTED_VALUE"""),"Endless Punishment")</f>
        <v>Endless Punishment</v>
      </c>
      <c r="C992" s="77">
        <f>IFERROR(__xludf.DUMMYFUNCTION("""COMPUTED_VALUE"""),7.0)</f>
        <v>7</v>
      </c>
      <c r="D992" s="77">
        <f>IFERROR(__xludf.DUMMYFUNCTION("""COMPUTED_VALUE"""),7.0)</f>
        <v>7</v>
      </c>
      <c r="E992" s="46" t="b">
        <f>IFERROR(__xludf.DUMMYFUNCTION("""COMPUTED_VALUE"""),TRUE)</f>
        <v>1</v>
      </c>
    </row>
    <row r="993" hidden="1">
      <c r="A993" s="78" t="str">
        <f>IFERROR(__xludf.DUMMYFUNCTION("""COMPUTED_VALUE"""),"Endless Punishment")</f>
        <v>Endless Punishment</v>
      </c>
      <c r="B993" s="78" t="str">
        <f>IFERROR(__xludf.DUMMYFUNCTION("""COMPUTED_VALUE"""),"Enduring Enchantments")</f>
        <v>Enduring Enchantments</v>
      </c>
      <c r="C993" s="79">
        <f>IFERROR(__xludf.DUMMYFUNCTION("""COMPUTED_VALUE"""),0.0)</f>
        <v>0</v>
      </c>
      <c r="D993" s="79">
        <f>IFERROR(__xludf.DUMMYFUNCTION("""COMPUTED_VALUE"""),0.0)</f>
        <v>0</v>
      </c>
      <c r="E993" s="69" t="b">
        <f>IFERROR(__xludf.DUMMYFUNCTION("""COMPUTED_VALUE"""),TRUE)</f>
        <v>1</v>
      </c>
    </row>
    <row r="994" hidden="1">
      <c r="A994" s="76" t="str">
        <f>IFERROR(__xludf.DUMMYFUNCTION("""COMPUTED_VALUE"""),"Endless Punishment")</f>
        <v>Endless Punishment</v>
      </c>
      <c r="B994" s="76" t="str">
        <f>IFERROR(__xludf.DUMMYFUNCTION("""COMPUTED_VALUE"""),"Explorers of the Deep")</f>
        <v>Explorers of the Deep</v>
      </c>
      <c r="C994" s="77">
        <f>IFERROR(__xludf.DUMMYFUNCTION("""COMPUTED_VALUE"""),1.0)</f>
        <v>1</v>
      </c>
      <c r="D994" s="77">
        <f>IFERROR(__xludf.DUMMYFUNCTION("""COMPUTED_VALUE"""),0.0)</f>
        <v>0</v>
      </c>
      <c r="E994" s="46" t="b">
        <f>IFERROR(__xludf.DUMMYFUNCTION("""COMPUTED_VALUE"""),FALSE)</f>
        <v>0</v>
      </c>
    </row>
    <row r="995" hidden="1">
      <c r="A995" s="76" t="str">
        <f>IFERROR(__xludf.DUMMYFUNCTION("""COMPUTED_VALUE"""),"Endless Punishment")</f>
        <v>Endless Punishment</v>
      </c>
      <c r="B995" s="76" t="str">
        <f>IFERROR(__xludf.DUMMYFUNCTION("""COMPUTED_VALUE"""),"Family Matters")</f>
        <v>Family Matters</v>
      </c>
      <c r="C995" s="77">
        <f>IFERROR(__xludf.DUMMYFUNCTION("""COMPUTED_VALUE"""),0.0)</f>
        <v>0</v>
      </c>
      <c r="D995" s="77">
        <f>IFERROR(__xludf.DUMMYFUNCTION("""COMPUTED_VALUE"""),1.0)</f>
        <v>1</v>
      </c>
      <c r="E995" s="46" t="b">
        <f>IFERROR(__xludf.DUMMYFUNCTION("""COMPUTED_VALUE"""),FALSE)</f>
        <v>0</v>
      </c>
    </row>
    <row r="996" hidden="1">
      <c r="A996" s="76" t="str">
        <f>IFERROR(__xludf.DUMMYFUNCTION("""COMPUTED_VALUE"""),"Endless Punishment")</f>
        <v>Endless Punishment</v>
      </c>
      <c r="B996" s="76" t="str">
        <f>IFERROR(__xludf.DUMMYFUNCTION("""COMPUTED_VALUE"""),"Food and Fellowship")</f>
        <v>Food and Fellowship</v>
      </c>
      <c r="C996" s="77">
        <f>IFERROR(__xludf.DUMMYFUNCTION("""COMPUTED_VALUE"""),0.0)</f>
        <v>0</v>
      </c>
      <c r="D996" s="77">
        <f>IFERROR(__xludf.DUMMYFUNCTION("""COMPUTED_VALUE"""),0.0)</f>
        <v>0</v>
      </c>
      <c r="E996" s="46" t="b">
        <f>IFERROR(__xludf.DUMMYFUNCTION("""COMPUTED_VALUE"""),TRUE)</f>
        <v>1</v>
      </c>
    </row>
    <row r="997" hidden="1">
      <c r="A997" s="76" t="str">
        <f>IFERROR(__xludf.DUMMYFUNCTION("""COMPUTED_VALUE"""),"Endless Punishment")</f>
        <v>Endless Punishment</v>
      </c>
      <c r="B997" s="76" t="str">
        <f>IFERROR(__xludf.DUMMYFUNCTION("""COMPUTED_VALUE"""),"Jeskai Striker")</f>
        <v>Jeskai Striker</v>
      </c>
      <c r="C997" s="77">
        <f>IFERROR(__xludf.DUMMYFUNCTION("""COMPUTED_VALUE"""),0.0)</f>
        <v>0</v>
      </c>
      <c r="D997" s="77">
        <f>IFERROR(__xludf.DUMMYFUNCTION("""COMPUTED_VALUE"""),0.0)</f>
        <v>0</v>
      </c>
      <c r="E997" s="46" t="b">
        <f>IFERROR(__xludf.DUMMYFUNCTION("""COMPUTED_VALUE"""),TRUE)</f>
        <v>1</v>
      </c>
    </row>
    <row r="998" hidden="1">
      <c r="A998" s="76" t="str">
        <f>IFERROR(__xludf.DUMMYFUNCTION("""COMPUTED_VALUE"""),"Endless Punishment")</f>
        <v>Endless Punishment</v>
      </c>
      <c r="B998" s="76" t="str">
        <f>IFERROR(__xludf.DUMMYFUNCTION("""COMPUTED_VALUE"""),"Legends' Legacy")</f>
        <v>Legends' Legacy</v>
      </c>
      <c r="C998" s="77">
        <f>IFERROR(__xludf.DUMMYFUNCTION("""COMPUTED_VALUE"""),0.0)</f>
        <v>0</v>
      </c>
      <c r="D998" s="77">
        <f>IFERROR(__xludf.DUMMYFUNCTION("""COMPUTED_VALUE"""),0.0)</f>
        <v>0</v>
      </c>
      <c r="E998" s="46" t="b">
        <f>IFERROR(__xludf.DUMMYFUNCTION("""COMPUTED_VALUE"""),TRUE)</f>
        <v>1</v>
      </c>
    </row>
    <row r="999">
      <c r="A999" s="76" t="str">
        <f>IFERROR(__xludf.DUMMYFUNCTION("""COMPUTED_VALUE"""),"Endless Punishment")</f>
        <v>Endless Punishment</v>
      </c>
      <c r="B999" s="76" t="str">
        <f>IFERROR(__xludf.DUMMYFUNCTION("""COMPUTED_VALUE"""),"Limit Break")</f>
        <v>Limit Break</v>
      </c>
      <c r="C999" s="77">
        <f>IFERROR(__xludf.DUMMYFUNCTION("""COMPUTED_VALUE"""),0.0)</f>
        <v>0</v>
      </c>
      <c r="D999" s="77">
        <f>IFERROR(__xludf.DUMMYFUNCTION("""COMPUTED_VALUE"""),0.0)</f>
        <v>0</v>
      </c>
      <c r="E999" s="46" t="b">
        <f>IFERROR(__xludf.DUMMYFUNCTION("""COMPUTED_VALUE"""),TRUE)</f>
        <v>1</v>
      </c>
    </row>
    <row r="1000" hidden="1">
      <c r="A1000" s="76" t="str">
        <f>IFERROR(__xludf.DUMMYFUNCTION("""COMPUTED_VALUE"""),"Endless Punishment")</f>
        <v>Endless Punishment</v>
      </c>
      <c r="B1000" s="76" t="str">
        <f>IFERROR(__xludf.DUMMYFUNCTION("""COMPUTED_VALUE"""),"Lorehold Spirit")</f>
        <v>Lorehold Spirit</v>
      </c>
      <c r="C1000" s="77">
        <f>IFERROR(__xludf.DUMMYFUNCTION("""COMPUTED_VALUE"""),1.0)</f>
        <v>1</v>
      </c>
      <c r="D1000" s="77">
        <f>IFERROR(__xludf.DUMMYFUNCTION("""COMPUTED_VALUE"""),2.0)</f>
        <v>2</v>
      </c>
      <c r="E1000" s="46" t="b">
        <f>IFERROR(__xludf.DUMMYFUNCTION("""COMPUTED_VALUE"""),FALSE)</f>
        <v>0</v>
      </c>
    </row>
    <row r="1001" hidden="1">
      <c r="A1001" s="76" t="str">
        <f>IFERROR(__xludf.DUMMYFUNCTION("""COMPUTED_VALUE"""),"Endless Punishment")</f>
        <v>Endless Punishment</v>
      </c>
      <c r="B1001" s="76" t="str">
        <f>IFERROR(__xludf.DUMMYFUNCTION("""COMPUTED_VALUE"""),"Mutant Menace")</f>
        <v>Mutant Menace</v>
      </c>
      <c r="C1001" s="77">
        <f>IFERROR(__xludf.DUMMYFUNCTION("""COMPUTED_VALUE"""),0.0)</f>
        <v>0</v>
      </c>
      <c r="D1001" s="77">
        <f>IFERROR(__xludf.DUMMYFUNCTION("""COMPUTED_VALUE"""),0.0)</f>
        <v>0</v>
      </c>
      <c r="E1001" s="46" t="b">
        <f>IFERROR(__xludf.DUMMYFUNCTION("""COMPUTED_VALUE"""),TRUE)</f>
        <v>1</v>
      </c>
    </row>
    <row r="1002" hidden="1">
      <c r="A1002" s="78" t="str">
        <f>IFERROR(__xludf.DUMMYFUNCTION("""COMPUTED_VALUE"""),"Endless Punishment")</f>
        <v>Endless Punishment</v>
      </c>
      <c r="B1002" s="78" t="str">
        <f>IFERROR(__xludf.DUMMYFUNCTION("""COMPUTED_VALUE"""),"Party Time")</f>
        <v>Party Time</v>
      </c>
      <c r="C1002" s="79">
        <f>IFERROR(__xludf.DUMMYFUNCTION("""COMPUTED_VALUE"""),0.0)</f>
        <v>0</v>
      </c>
      <c r="D1002" s="79">
        <f>IFERROR(__xludf.DUMMYFUNCTION("""COMPUTED_VALUE"""),0.0)</f>
        <v>0</v>
      </c>
      <c r="E1002" s="69" t="b">
        <f>IFERROR(__xludf.DUMMYFUNCTION("""COMPUTED_VALUE"""),TRUE)</f>
        <v>1</v>
      </c>
    </row>
    <row r="1003" hidden="1">
      <c r="A1003" s="76" t="str">
        <f>IFERROR(__xludf.DUMMYFUNCTION("""COMPUTED_VALUE"""),"Endless Punishment")</f>
        <v>Endless Punishment</v>
      </c>
      <c r="B1003" s="76" t="str">
        <f>IFERROR(__xludf.DUMMYFUNCTION("""COMPUTED_VALUE"""),"Peace Offering")</f>
        <v>Peace Offering</v>
      </c>
      <c r="C1003" s="77">
        <f>IFERROR(__xludf.DUMMYFUNCTION("""COMPUTED_VALUE"""),1.0)</f>
        <v>1</v>
      </c>
      <c r="D1003" s="77">
        <f>IFERROR(__xludf.DUMMYFUNCTION("""COMPUTED_VALUE"""),0.0)</f>
        <v>0</v>
      </c>
      <c r="E1003" s="46" t="b">
        <f>IFERROR(__xludf.DUMMYFUNCTION("""COMPUTED_VALUE"""),FALSE)</f>
        <v>0</v>
      </c>
    </row>
    <row r="1004" hidden="1">
      <c r="A1004" s="76" t="str">
        <f>IFERROR(__xludf.DUMMYFUNCTION("""COMPUTED_VALUE"""),"Endless Punishment")</f>
        <v>Endless Punishment</v>
      </c>
      <c r="B1004" s="76" t="str">
        <f>IFERROR(__xludf.DUMMYFUNCTION("""COMPUTED_VALUE"""),"Power Hungry")</f>
        <v>Power Hungry</v>
      </c>
      <c r="C1004" s="77">
        <f>IFERROR(__xludf.DUMMYFUNCTION("""COMPUTED_VALUE"""),0.0)</f>
        <v>0</v>
      </c>
      <c r="D1004" s="77">
        <f>IFERROR(__xludf.DUMMYFUNCTION("""COMPUTED_VALUE"""),0.0)</f>
        <v>0</v>
      </c>
      <c r="E1004" s="46" t="b">
        <f>IFERROR(__xludf.DUMMYFUNCTION("""COMPUTED_VALUE"""),TRUE)</f>
        <v>1</v>
      </c>
    </row>
    <row r="1005" hidden="1">
      <c r="A1005" s="76" t="str">
        <f>IFERROR(__xludf.DUMMYFUNCTION("""COMPUTED_VALUE"""),"Endless Punishment")</f>
        <v>Endless Punishment</v>
      </c>
      <c r="B1005" s="76" t="str">
        <f>IFERROR(__xludf.DUMMYFUNCTION("""COMPUTED_VALUE"""),"Primal Genesis")</f>
        <v>Primal Genesis</v>
      </c>
      <c r="C1005" s="77">
        <f>IFERROR(__xludf.DUMMYFUNCTION("""COMPUTED_VALUE"""),0.0)</f>
        <v>0</v>
      </c>
      <c r="D1005" s="77">
        <f>IFERROR(__xludf.DUMMYFUNCTION("""COMPUTED_VALUE"""),0.0)</f>
        <v>0</v>
      </c>
      <c r="E1005" s="46" t="b">
        <f>IFERROR(__xludf.DUMMYFUNCTION("""COMPUTED_VALUE"""),TRUE)</f>
        <v>1</v>
      </c>
    </row>
    <row r="1006">
      <c r="A1006" s="76" t="str">
        <f>IFERROR(__xludf.DUMMYFUNCTION("""COMPUTED_VALUE"""),"Endless Punishment")</f>
        <v>Endless Punishment</v>
      </c>
      <c r="B1006" s="76" t="str">
        <f>IFERROR(__xludf.DUMMYFUNCTION("""COMPUTED_VALUE"""),"Prismari Artistry")</f>
        <v>Prismari Artistry</v>
      </c>
      <c r="C1006" s="77">
        <f>IFERROR(__xludf.DUMMYFUNCTION("""COMPUTED_VALUE"""),0.0)</f>
        <v>0</v>
      </c>
      <c r="D1006" s="77">
        <f>IFERROR(__xludf.DUMMYFUNCTION("""COMPUTED_VALUE"""),0.0)</f>
        <v>0</v>
      </c>
      <c r="E1006" s="46" t="b">
        <f>IFERROR(__xludf.DUMMYFUNCTION("""COMPUTED_VALUE"""),TRUE)</f>
        <v>1</v>
      </c>
    </row>
    <row r="1007" hidden="1">
      <c r="A1007" s="76" t="str">
        <f>IFERROR(__xludf.DUMMYFUNCTION("""COMPUTED_VALUE"""),"Endless Punishment")</f>
        <v>Endless Punishment</v>
      </c>
      <c r="B1007" s="76" t="str">
        <f>IFERROR(__xludf.DUMMYFUNCTION("""COMPUTED_VALUE"""),"Prismari Performance")</f>
        <v>Prismari Performance</v>
      </c>
      <c r="C1007" s="77">
        <f>IFERROR(__xludf.DUMMYFUNCTION("""COMPUTED_VALUE"""),0.0)</f>
        <v>0</v>
      </c>
      <c r="D1007" s="77">
        <f>IFERROR(__xludf.DUMMYFUNCTION("""COMPUTED_VALUE"""),0.0)</f>
        <v>0</v>
      </c>
      <c r="E1007" s="46" t="b">
        <f>IFERROR(__xludf.DUMMYFUNCTION("""COMPUTED_VALUE"""),TRUE)</f>
        <v>1</v>
      </c>
    </row>
    <row r="1008" hidden="1">
      <c r="A1008" s="76" t="str">
        <f>IFERROR(__xludf.DUMMYFUNCTION("""COMPUTED_VALUE"""),"Endless Punishment")</f>
        <v>Endless Punishment</v>
      </c>
      <c r="B1008" s="76" t="str">
        <f>IFERROR(__xludf.DUMMYFUNCTION("""COMPUTED_VALUE"""),"Quandrix Unlimited")</f>
        <v>Quandrix Unlimited</v>
      </c>
      <c r="C1008" s="77">
        <f>IFERROR(__xludf.DUMMYFUNCTION("""COMPUTED_VALUE"""),1.0)</f>
        <v>1</v>
      </c>
      <c r="D1008" s="77">
        <f>IFERROR(__xludf.DUMMYFUNCTION("""COMPUTED_VALUE"""),1.0)</f>
        <v>1</v>
      </c>
      <c r="E1008" s="46" t="b">
        <f>IFERROR(__xludf.DUMMYFUNCTION("""COMPUTED_VALUE"""),FALSE)</f>
        <v>0</v>
      </c>
    </row>
    <row r="1009" hidden="1">
      <c r="A1009" s="76" t="str">
        <f>IFERROR(__xludf.DUMMYFUNCTION("""COMPUTED_VALUE"""),"Endless Punishment")</f>
        <v>Endless Punishment</v>
      </c>
      <c r="B1009" s="76" t="str">
        <f>IFERROR(__xludf.DUMMYFUNCTION("""COMPUTED_VALUE"""),"Quick Draw")</f>
        <v>Quick Draw</v>
      </c>
      <c r="C1009" s="77">
        <f>IFERROR(__xludf.DUMMYFUNCTION("""COMPUTED_VALUE"""),0.0)</f>
        <v>0</v>
      </c>
      <c r="D1009" s="77">
        <f>IFERROR(__xludf.DUMMYFUNCTION("""COMPUTED_VALUE"""),0.0)</f>
        <v>0</v>
      </c>
      <c r="E1009" s="46" t="b">
        <f>IFERROR(__xludf.DUMMYFUNCTION("""COMPUTED_VALUE"""),TRUE)</f>
        <v>1</v>
      </c>
    </row>
    <row r="1010" hidden="1">
      <c r="A1010" s="76" t="str">
        <f>IFERROR(__xludf.DUMMYFUNCTION("""COMPUTED_VALUE"""),"Endless Punishment")</f>
        <v>Endless Punishment</v>
      </c>
      <c r="B1010" s="76" t="str">
        <f>IFERROR(__xludf.DUMMYFUNCTION("""COMPUTED_VALUE"""),"Reap the Tides")</f>
        <v>Reap the Tides</v>
      </c>
      <c r="C1010" s="77">
        <f>IFERROR(__xludf.DUMMYFUNCTION("""COMPUTED_VALUE"""),0.0)</f>
        <v>0</v>
      </c>
      <c r="D1010" s="77">
        <f>IFERROR(__xludf.DUMMYFUNCTION("""COMPUTED_VALUE"""),1.0)</f>
        <v>1</v>
      </c>
      <c r="E1010" s="46" t="b">
        <f>IFERROR(__xludf.DUMMYFUNCTION("""COMPUTED_VALUE"""),FALSE)</f>
        <v>0</v>
      </c>
    </row>
    <row r="1011" hidden="1">
      <c r="A1011" s="76" t="str">
        <f>IFERROR(__xludf.DUMMYFUNCTION("""COMPUTED_VALUE"""),"Endless Punishment")</f>
        <v>Endless Punishment</v>
      </c>
      <c r="B1011" s="76" t="str">
        <f>IFERROR(__xludf.DUMMYFUNCTION("""COMPUTED_VALUE"""),"Rebellion Rising")</f>
        <v>Rebellion Rising</v>
      </c>
      <c r="C1011" s="77">
        <f>IFERROR(__xludf.DUMMYFUNCTION("""COMPUTED_VALUE"""),0.0)</f>
        <v>0</v>
      </c>
      <c r="D1011" s="77">
        <f>IFERROR(__xludf.DUMMYFUNCTION("""COMPUTED_VALUE"""),0.0)</f>
        <v>0</v>
      </c>
      <c r="E1011" s="46" t="b">
        <f>IFERROR(__xludf.DUMMYFUNCTION("""COMPUTED_VALUE"""),TRUE)</f>
        <v>1</v>
      </c>
    </row>
    <row r="1012" hidden="1">
      <c r="A1012" s="76" t="str">
        <f>IFERROR(__xludf.DUMMYFUNCTION("""COMPUTED_VALUE"""),"Endless Punishment")</f>
        <v>Endless Punishment</v>
      </c>
      <c r="B1012" s="76" t="str">
        <f>IFERROR(__xludf.DUMMYFUNCTION("""COMPUTED_VALUE"""),"Revival Trance")</f>
        <v>Revival Trance</v>
      </c>
      <c r="C1012" s="77">
        <f>IFERROR(__xludf.DUMMYFUNCTION("""COMPUTED_VALUE"""),1.0)</f>
        <v>1</v>
      </c>
      <c r="D1012" s="77">
        <f>IFERROR(__xludf.DUMMYFUNCTION("""COMPUTED_VALUE"""),0.0)</f>
        <v>0</v>
      </c>
      <c r="E1012" s="46" t="b">
        <f>IFERROR(__xludf.DUMMYFUNCTION("""COMPUTED_VALUE"""),FALSE)</f>
        <v>0</v>
      </c>
    </row>
    <row r="1013" hidden="1">
      <c r="A1013" s="76" t="str">
        <f>IFERROR(__xludf.DUMMYFUNCTION("""COMPUTED_VALUE"""),"Endless Punishment")</f>
        <v>Endless Punishment</v>
      </c>
      <c r="B1013" s="76" t="str">
        <f>IFERROR(__xludf.DUMMYFUNCTION("""COMPUTED_VALUE"""),"Riders of Rohan")</f>
        <v>Riders of Rohan</v>
      </c>
      <c r="C1013" s="77">
        <f>IFERROR(__xludf.DUMMYFUNCTION("""COMPUTED_VALUE"""),0.0)</f>
        <v>0</v>
      </c>
      <c r="D1013" s="77">
        <f>IFERROR(__xludf.DUMMYFUNCTION("""COMPUTED_VALUE"""),0.0)</f>
        <v>0</v>
      </c>
      <c r="E1013" s="46" t="b">
        <f>IFERROR(__xludf.DUMMYFUNCTION("""COMPUTED_VALUE"""),TRUE)</f>
        <v>1</v>
      </c>
    </row>
    <row r="1014" hidden="1">
      <c r="A1014" s="76" t="str">
        <f>IFERROR(__xludf.DUMMYFUNCTION("""COMPUTED_VALUE"""),"Endless Punishment")</f>
        <v>Endless Punishment</v>
      </c>
      <c r="B1014" s="76" t="str">
        <f>IFERROR(__xludf.DUMMYFUNCTION("""COMPUTED_VALUE"""),"Science!")</f>
        <v>Science!</v>
      </c>
      <c r="C1014" s="77">
        <f>IFERROR(__xludf.DUMMYFUNCTION("""COMPUTED_VALUE"""),0.0)</f>
        <v>0</v>
      </c>
      <c r="D1014" s="77">
        <f>IFERROR(__xludf.DUMMYFUNCTION("""COMPUTED_VALUE"""),0.0)</f>
        <v>0</v>
      </c>
      <c r="E1014" s="46" t="b">
        <f>IFERROR(__xludf.DUMMYFUNCTION("""COMPUTED_VALUE"""),TRUE)</f>
        <v>1</v>
      </c>
    </row>
    <row r="1015" hidden="1">
      <c r="A1015" s="76" t="str">
        <f>IFERROR(__xludf.DUMMYFUNCTION("""COMPUTED_VALUE"""),"Endless Punishment")</f>
        <v>Endless Punishment</v>
      </c>
      <c r="B1015" s="76" t="str">
        <f>IFERROR(__xludf.DUMMYFUNCTION("""COMPUTED_VALUE"""),"Scions &amp; Spellcraft")</f>
        <v>Scions &amp; Spellcraft</v>
      </c>
      <c r="C1015" s="77">
        <f>IFERROR(__xludf.DUMMYFUNCTION("""COMPUTED_VALUE"""),1.0)</f>
        <v>1</v>
      </c>
      <c r="D1015" s="77">
        <f>IFERROR(__xludf.DUMMYFUNCTION("""COMPUTED_VALUE"""),0.0)</f>
        <v>0</v>
      </c>
      <c r="E1015" s="46" t="b">
        <f>IFERROR(__xludf.DUMMYFUNCTION("""COMPUTED_VALUE"""),FALSE)</f>
        <v>0</v>
      </c>
    </row>
    <row r="1016" hidden="1">
      <c r="A1016" s="76" t="str">
        <f>IFERROR(__xludf.DUMMYFUNCTION("""COMPUTED_VALUE"""),"Endless Punishment")</f>
        <v>Endless Punishment</v>
      </c>
      <c r="B1016" s="76" t="str">
        <f>IFERROR(__xludf.DUMMYFUNCTION("""COMPUTED_VALUE"""),"Scrappy Survivors")</f>
        <v>Scrappy Survivors</v>
      </c>
      <c r="C1016" s="77">
        <f>IFERROR(__xludf.DUMMYFUNCTION("""COMPUTED_VALUE"""),0.0)</f>
        <v>0</v>
      </c>
      <c r="D1016" s="77">
        <f>IFERROR(__xludf.DUMMYFUNCTION("""COMPUTED_VALUE"""),0.0)</f>
        <v>0</v>
      </c>
      <c r="E1016" s="46" t="b">
        <f>IFERROR(__xludf.DUMMYFUNCTION("""COMPUTED_VALUE"""),TRUE)</f>
        <v>1</v>
      </c>
    </row>
    <row r="1017" hidden="1">
      <c r="A1017" s="76" t="str">
        <f>IFERROR(__xludf.DUMMYFUNCTION("""COMPUTED_VALUE"""),"Endless Punishment")</f>
        <v>Endless Punishment</v>
      </c>
      <c r="B1017" s="76" t="str">
        <f>IFERROR(__xludf.DUMMYFUNCTION("""COMPUTED_VALUE"""),"Silverquill Influence")</f>
        <v>Silverquill Influence</v>
      </c>
      <c r="C1017" s="77">
        <f>IFERROR(__xludf.DUMMYFUNCTION("""COMPUTED_VALUE"""),0.0)</f>
        <v>0</v>
      </c>
      <c r="D1017" s="77">
        <f>IFERROR(__xludf.DUMMYFUNCTION("""COMPUTED_VALUE"""),0.0)</f>
        <v>0</v>
      </c>
      <c r="E1017" s="46" t="b">
        <f>IFERROR(__xludf.DUMMYFUNCTION("""COMPUTED_VALUE"""),TRUE)</f>
        <v>1</v>
      </c>
    </row>
    <row r="1018" hidden="1">
      <c r="A1018" s="76" t="str">
        <f>IFERROR(__xludf.DUMMYFUNCTION("""COMPUTED_VALUE"""),"Endless Punishment")</f>
        <v>Endless Punishment</v>
      </c>
      <c r="B1018" s="76" t="str">
        <f>IFERROR(__xludf.DUMMYFUNCTION("""COMPUTED_VALUE"""),"Spirit Squadron")</f>
        <v>Spirit Squadron</v>
      </c>
      <c r="C1018" s="77">
        <f>IFERROR(__xludf.DUMMYFUNCTION("""COMPUTED_VALUE"""),0.0)</f>
        <v>0</v>
      </c>
      <c r="D1018" s="77">
        <f>IFERROR(__xludf.DUMMYFUNCTION("""COMPUTED_VALUE"""),0.0)</f>
        <v>0</v>
      </c>
      <c r="E1018" s="46" t="b">
        <f>IFERROR(__xludf.DUMMYFUNCTION("""COMPUTED_VALUE"""),TRUE)</f>
        <v>1</v>
      </c>
    </row>
    <row r="1019" hidden="1">
      <c r="A1019" s="76" t="str">
        <f>IFERROR(__xludf.DUMMYFUNCTION("""COMPUTED_VALUE"""),"Endless Punishment")</f>
        <v>Endless Punishment</v>
      </c>
      <c r="B1019" s="76" t="str">
        <f>IFERROR(__xludf.DUMMYFUNCTION("""COMPUTED_VALUE"""),"Squirreled Away")</f>
        <v>Squirreled Away</v>
      </c>
      <c r="C1019" s="77">
        <f>IFERROR(__xludf.DUMMYFUNCTION("""COMPUTED_VALUE"""),1.0)</f>
        <v>1</v>
      </c>
      <c r="D1019" s="77">
        <f>IFERROR(__xludf.DUMMYFUNCTION("""COMPUTED_VALUE"""),1.0)</f>
        <v>1</v>
      </c>
      <c r="E1019" s="46" t="b">
        <f>IFERROR(__xludf.DUMMYFUNCTION("""COMPUTED_VALUE"""),FALSE)</f>
        <v>0</v>
      </c>
    </row>
    <row r="1020" hidden="1">
      <c r="A1020" s="76" t="str">
        <f>IFERROR(__xludf.DUMMYFUNCTION("""COMPUTED_VALUE"""),"Endless Punishment")</f>
        <v>Endless Punishment</v>
      </c>
      <c r="B1020" s="76" t="str">
        <f>IFERROR(__xludf.DUMMYFUNCTION("""COMPUTED_VALUE"""),"Sultai Arisen")</f>
        <v>Sultai Arisen</v>
      </c>
      <c r="C1020" s="77">
        <f>IFERROR(__xludf.DUMMYFUNCTION("""COMPUTED_VALUE"""),0.0)</f>
        <v>0</v>
      </c>
      <c r="D1020" s="77">
        <f>IFERROR(__xludf.DUMMYFUNCTION("""COMPUTED_VALUE"""),0.0)</f>
        <v>0</v>
      </c>
      <c r="E1020" s="46" t="b">
        <f>IFERROR(__xludf.DUMMYFUNCTION("""COMPUTED_VALUE"""),TRUE)</f>
        <v>1</v>
      </c>
    </row>
    <row r="1021" hidden="1">
      <c r="A1021" s="76" t="str">
        <f>IFERROR(__xludf.DUMMYFUNCTION("""COMPUTED_VALUE"""),"Endless Punishment")</f>
        <v>Endless Punishment</v>
      </c>
      <c r="B1021" s="76" t="str">
        <f>IFERROR(__xludf.DUMMYFUNCTION("""COMPUTED_VALUE"""),"Temur Roar")</f>
        <v>Temur Roar</v>
      </c>
      <c r="C1021" s="77">
        <f>IFERROR(__xludf.DUMMYFUNCTION("""COMPUTED_VALUE"""),1.0)</f>
        <v>1</v>
      </c>
      <c r="D1021" s="77">
        <f>IFERROR(__xludf.DUMMYFUNCTION("""COMPUTED_VALUE"""),1.0)</f>
        <v>1</v>
      </c>
      <c r="E1021" s="46" t="b">
        <f>IFERROR(__xludf.DUMMYFUNCTION("""COMPUTED_VALUE"""),FALSE)</f>
        <v>0</v>
      </c>
    </row>
    <row r="1022" hidden="1">
      <c r="A1022" s="76" t="str">
        <f>IFERROR(__xludf.DUMMYFUNCTION("""COMPUTED_VALUE"""),"Endless Punishment")</f>
        <v>Endless Punishment</v>
      </c>
      <c r="B1022" s="76" t="str">
        <f>IFERROR(__xludf.DUMMYFUNCTION("""COMPUTED_VALUE"""),"The Hosts of Mordor")</f>
        <v>The Hosts of Mordor</v>
      </c>
      <c r="C1022" s="77">
        <f>IFERROR(__xludf.DUMMYFUNCTION("""COMPUTED_VALUE"""),0.0)</f>
        <v>0</v>
      </c>
      <c r="D1022" s="77">
        <f>IFERROR(__xludf.DUMMYFUNCTION("""COMPUTED_VALUE"""),0.0)</f>
        <v>0</v>
      </c>
      <c r="E1022" s="46" t="b">
        <f>IFERROR(__xludf.DUMMYFUNCTION("""COMPUTED_VALUE"""),TRUE)</f>
        <v>1</v>
      </c>
    </row>
    <row r="1023" hidden="1">
      <c r="A1023" s="76" t="str">
        <f>IFERROR(__xludf.DUMMYFUNCTION("""COMPUTED_VALUE"""),"Endless Punishment")</f>
        <v>Endless Punishment</v>
      </c>
      <c r="B1023" s="76" t="str">
        <f>IFERROR(__xludf.DUMMYFUNCTION("""COMPUTED_VALUE"""),"The Ruinous Powers")</f>
        <v>The Ruinous Powers</v>
      </c>
      <c r="C1023" s="77">
        <f>IFERROR(__xludf.DUMMYFUNCTION("""COMPUTED_VALUE"""),0.0)</f>
        <v>0</v>
      </c>
      <c r="D1023" s="77">
        <f>IFERROR(__xludf.DUMMYFUNCTION("""COMPUTED_VALUE"""),0.0)</f>
        <v>0</v>
      </c>
      <c r="E1023" s="46" t="b">
        <f>IFERROR(__xludf.DUMMYFUNCTION("""COMPUTED_VALUE"""),TRUE)</f>
        <v>1</v>
      </c>
    </row>
    <row r="1024" hidden="1">
      <c r="A1024" s="76" t="str">
        <f>IFERROR(__xludf.DUMMYFUNCTION("""COMPUTED_VALUE"""),"Endless Punishment")</f>
        <v>Endless Punishment</v>
      </c>
      <c r="B1024" s="76" t="str">
        <f>IFERROR(__xludf.DUMMYFUNCTION("""COMPUTED_VALUE"""),"Timey-Wimey")</f>
        <v>Timey-Wimey</v>
      </c>
      <c r="C1024" s="77">
        <f>IFERROR(__xludf.DUMMYFUNCTION("""COMPUTED_VALUE"""),0.0)</f>
        <v>0</v>
      </c>
      <c r="D1024" s="77">
        <f>IFERROR(__xludf.DUMMYFUNCTION("""COMPUTED_VALUE"""),0.0)</f>
        <v>0</v>
      </c>
      <c r="E1024" s="46" t="b">
        <f>IFERROR(__xludf.DUMMYFUNCTION("""COMPUTED_VALUE"""),TRUE)</f>
        <v>1</v>
      </c>
    </row>
    <row r="1025" hidden="1">
      <c r="A1025" s="76" t="str">
        <f>IFERROR(__xludf.DUMMYFUNCTION("""COMPUTED_VALUE"""),"Endless Punishment")</f>
        <v>Endless Punishment</v>
      </c>
      <c r="B1025" s="76" t="str">
        <f>IFERROR(__xludf.DUMMYFUNCTION("""COMPUTED_VALUE"""),"Tinker Time")</f>
        <v>Tinker Time</v>
      </c>
      <c r="C1025" s="77">
        <f>IFERROR(__xludf.DUMMYFUNCTION("""COMPUTED_VALUE"""),1.0)</f>
        <v>1</v>
      </c>
      <c r="D1025" s="77">
        <f>IFERROR(__xludf.DUMMYFUNCTION("""COMPUTED_VALUE"""),0.0)</f>
        <v>0</v>
      </c>
      <c r="E1025" s="46" t="b">
        <f>IFERROR(__xludf.DUMMYFUNCTION("""COMPUTED_VALUE"""),FALSE)</f>
        <v>0</v>
      </c>
    </row>
    <row r="1026" hidden="1">
      <c r="A1026" s="76" t="str">
        <f>IFERROR(__xludf.DUMMYFUNCTION("""COMPUTED_VALUE"""),"Endless Punishment")</f>
        <v>Endless Punishment</v>
      </c>
      <c r="B1026" s="76" t="str">
        <f>IFERROR(__xludf.DUMMYFUNCTION("""COMPUTED_VALUE"""),"Turtle Power!")</f>
        <v>Turtle Power!</v>
      </c>
      <c r="C1026" s="77">
        <f>IFERROR(__xludf.DUMMYFUNCTION("""COMPUTED_VALUE"""),1.0)</f>
        <v>1</v>
      </c>
      <c r="D1026" s="77">
        <f>IFERROR(__xludf.DUMMYFUNCTION("""COMPUTED_VALUE"""),0.0)</f>
        <v>0</v>
      </c>
      <c r="E1026" s="46" t="b">
        <f>IFERROR(__xludf.DUMMYFUNCTION("""COMPUTED_VALUE"""),FALSE)</f>
        <v>0</v>
      </c>
    </row>
    <row r="1027" hidden="1">
      <c r="A1027" s="76" t="str">
        <f>IFERROR(__xludf.DUMMYFUNCTION("""COMPUTED_VALUE"""),"Endless Punishment")</f>
        <v>Endless Punishment</v>
      </c>
      <c r="B1027" s="76" t="str">
        <f>IFERROR(__xludf.DUMMYFUNCTION("""COMPUTED_VALUE"""),"Veloci-ramp-tor")</f>
        <v>Veloci-ramp-tor</v>
      </c>
      <c r="C1027" s="77">
        <f>IFERROR(__xludf.DUMMYFUNCTION("""COMPUTED_VALUE"""),0.0)</f>
        <v>0</v>
      </c>
      <c r="D1027" s="77">
        <f>IFERROR(__xludf.DUMMYFUNCTION("""COMPUTED_VALUE"""),0.0)</f>
        <v>0</v>
      </c>
      <c r="E1027" s="46" t="b">
        <f>IFERROR(__xludf.DUMMYFUNCTION("""COMPUTED_VALUE"""),TRUE)</f>
        <v>1</v>
      </c>
    </row>
    <row r="1028" hidden="1">
      <c r="A1028" s="76" t="str">
        <f>IFERROR(__xludf.DUMMYFUNCTION("""COMPUTED_VALUE"""),"Enduring Enchantments")</f>
        <v>Enduring Enchantments</v>
      </c>
      <c r="B1028" s="76" t="str">
        <f>IFERROR(__xludf.DUMMYFUNCTION("""COMPUTED_VALUE"""),"Ahoy Mateys")</f>
        <v>Ahoy Mateys</v>
      </c>
      <c r="C1028" s="77">
        <f>IFERROR(__xludf.DUMMYFUNCTION("""COMPUTED_VALUE"""),0.0)</f>
        <v>0</v>
      </c>
      <c r="D1028" s="77">
        <f>IFERROR(__xludf.DUMMYFUNCTION("""COMPUTED_VALUE"""),0.0)</f>
        <v>0</v>
      </c>
      <c r="E1028" s="46" t="b">
        <f>IFERROR(__xludf.DUMMYFUNCTION("""COMPUTED_VALUE"""),TRUE)</f>
        <v>1</v>
      </c>
    </row>
    <row r="1029" hidden="1">
      <c r="A1029" s="76" t="str">
        <f>IFERROR(__xludf.DUMMYFUNCTION("""COMPUTED_VALUE"""),"Enduring Enchantments")</f>
        <v>Enduring Enchantments</v>
      </c>
      <c r="B1029" s="76" t="str">
        <f>IFERROR(__xludf.DUMMYFUNCTION("""COMPUTED_VALUE"""),"Animated Army")</f>
        <v>Animated Army</v>
      </c>
      <c r="C1029" s="77">
        <f>IFERROR(__xludf.DUMMYFUNCTION("""COMPUTED_VALUE"""),0.0)</f>
        <v>0</v>
      </c>
      <c r="D1029" s="77">
        <f>IFERROR(__xludf.DUMMYFUNCTION("""COMPUTED_VALUE"""),0.0)</f>
        <v>0</v>
      </c>
      <c r="E1029" s="46" t="b">
        <f>IFERROR(__xludf.DUMMYFUNCTION("""COMPUTED_VALUE"""),TRUE)</f>
        <v>1</v>
      </c>
    </row>
    <row r="1030" hidden="1">
      <c r="A1030" s="76" t="str">
        <f>IFERROR(__xludf.DUMMYFUNCTION("""COMPUTED_VALUE"""),"Enduring Enchantments")</f>
        <v>Enduring Enchantments</v>
      </c>
      <c r="B1030" s="76" t="str">
        <f>IFERROR(__xludf.DUMMYFUNCTION("""COMPUTED_VALUE"""),"Arcane Maelstrom")</f>
        <v>Arcane Maelstrom</v>
      </c>
      <c r="C1030" s="77">
        <f>IFERROR(__xludf.DUMMYFUNCTION("""COMPUTED_VALUE"""),0.0)</f>
        <v>0</v>
      </c>
      <c r="D1030" s="77">
        <f>IFERROR(__xludf.DUMMYFUNCTION("""COMPUTED_VALUE"""),0.0)</f>
        <v>0</v>
      </c>
      <c r="E1030" s="46" t="b">
        <f>IFERROR(__xludf.DUMMYFUNCTION("""COMPUTED_VALUE"""),TRUE)</f>
        <v>1</v>
      </c>
    </row>
    <row r="1031" hidden="1">
      <c r="A1031" s="76" t="str">
        <f>IFERROR(__xludf.DUMMYFUNCTION("""COMPUTED_VALUE"""),"Enduring Enchantments")</f>
        <v>Enduring Enchantments</v>
      </c>
      <c r="B1031" s="76" t="str">
        <f>IFERROR(__xludf.DUMMYFUNCTION("""COMPUTED_VALUE"""),"Blame Game")</f>
        <v>Blame Game</v>
      </c>
      <c r="C1031" s="77">
        <f>IFERROR(__xludf.DUMMYFUNCTION("""COMPUTED_VALUE"""),0.0)</f>
        <v>0</v>
      </c>
      <c r="D1031" s="77">
        <f>IFERROR(__xludf.DUMMYFUNCTION("""COMPUTED_VALUE"""),0.0)</f>
        <v>0</v>
      </c>
      <c r="E1031" s="46" t="b">
        <f>IFERROR(__xludf.DUMMYFUNCTION("""COMPUTED_VALUE"""),TRUE)</f>
        <v>1</v>
      </c>
    </row>
    <row r="1032" hidden="1">
      <c r="A1032" s="78" t="str">
        <f>IFERROR(__xludf.DUMMYFUNCTION("""COMPUTED_VALUE"""),"Enduring Enchantments")</f>
        <v>Enduring Enchantments</v>
      </c>
      <c r="B1032" s="78" t="str">
        <f>IFERROR(__xludf.DUMMYFUNCTION("""COMPUTED_VALUE"""),"Blight Curse")</f>
        <v>Blight Curse</v>
      </c>
      <c r="C1032" s="79">
        <f>IFERROR(__xludf.DUMMYFUNCTION("""COMPUTED_VALUE"""),0.0)</f>
        <v>0</v>
      </c>
      <c r="D1032" s="79">
        <f>IFERROR(__xludf.DUMMYFUNCTION("""COMPUTED_VALUE"""),0.0)</f>
        <v>0</v>
      </c>
      <c r="E1032" s="69" t="b">
        <f>IFERROR(__xludf.DUMMYFUNCTION("""COMPUTED_VALUE"""),TRUE)</f>
        <v>1</v>
      </c>
    </row>
    <row r="1033" hidden="1">
      <c r="A1033" s="76" t="str">
        <f>IFERROR(__xludf.DUMMYFUNCTION("""COMPUTED_VALUE"""),"Enduring Enchantments")</f>
        <v>Enduring Enchantments</v>
      </c>
      <c r="B1033" s="76" t="str">
        <f>IFERROR(__xludf.DUMMYFUNCTION("""COMPUTED_VALUE"""),"Blood Rites")</f>
        <v>Blood Rites</v>
      </c>
      <c r="C1033" s="77">
        <f>IFERROR(__xludf.DUMMYFUNCTION("""COMPUTED_VALUE"""),0.0)</f>
        <v>0</v>
      </c>
      <c r="D1033" s="77">
        <f>IFERROR(__xludf.DUMMYFUNCTION("""COMPUTED_VALUE"""),0.0)</f>
        <v>0</v>
      </c>
      <c r="E1033" s="46" t="b">
        <f>IFERROR(__xludf.DUMMYFUNCTION("""COMPUTED_VALUE"""),TRUE)</f>
        <v>1</v>
      </c>
    </row>
    <row r="1034" hidden="1">
      <c r="A1034" s="76" t="str">
        <f>IFERROR(__xludf.DUMMYFUNCTION("""COMPUTED_VALUE"""),"Enduring Enchantments")</f>
        <v>Enduring Enchantments</v>
      </c>
      <c r="B1034" s="76" t="str">
        <f>IFERROR(__xludf.DUMMYFUNCTION("""COMPUTED_VALUE"""),"Buckle Up")</f>
        <v>Buckle Up</v>
      </c>
      <c r="C1034" s="77">
        <f>IFERROR(__xludf.DUMMYFUNCTION("""COMPUTED_VALUE"""),0.0)</f>
        <v>0</v>
      </c>
      <c r="D1034" s="77">
        <f>IFERROR(__xludf.DUMMYFUNCTION("""COMPUTED_VALUE"""),0.0)</f>
        <v>0</v>
      </c>
      <c r="E1034" s="46" t="b">
        <f>IFERROR(__xludf.DUMMYFUNCTION("""COMPUTED_VALUE"""),TRUE)</f>
        <v>1</v>
      </c>
    </row>
    <row r="1035" hidden="1">
      <c r="A1035" s="76" t="str">
        <f>IFERROR(__xludf.DUMMYFUNCTION("""COMPUTED_VALUE"""),"Enduring Enchantments")</f>
        <v>Enduring Enchantments</v>
      </c>
      <c r="B1035" s="76" t="str">
        <f>IFERROR(__xludf.DUMMYFUNCTION("""COMPUTED_VALUE"""),"Cabaretti Cacophony")</f>
        <v>Cabaretti Cacophony</v>
      </c>
      <c r="C1035" s="77">
        <f>IFERROR(__xludf.DUMMYFUNCTION("""COMPUTED_VALUE"""),0.0)</f>
        <v>0</v>
      </c>
      <c r="D1035" s="77">
        <f>IFERROR(__xludf.DUMMYFUNCTION("""COMPUTED_VALUE"""),0.0)</f>
        <v>0</v>
      </c>
      <c r="E1035" s="46" t="b">
        <f>IFERROR(__xludf.DUMMYFUNCTION("""COMPUTED_VALUE"""),TRUE)</f>
        <v>1</v>
      </c>
    </row>
    <row r="1036" hidden="1">
      <c r="A1036" s="76" t="str">
        <f>IFERROR(__xludf.DUMMYFUNCTION("""COMPUTED_VALUE"""),"Enduring Enchantments")</f>
        <v>Enduring Enchantments</v>
      </c>
      <c r="B1036" s="76" t="str">
        <f>IFERROR(__xludf.DUMMYFUNCTION("""COMPUTED_VALUE"""),"Cavalry Charge")</f>
        <v>Cavalry Charge</v>
      </c>
      <c r="C1036" s="77">
        <f>IFERROR(__xludf.DUMMYFUNCTION("""COMPUTED_VALUE"""),0.0)</f>
        <v>0</v>
      </c>
      <c r="D1036" s="77">
        <f>IFERROR(__xludf.DUMMYFUNCTION("""COMPUTED_VALUE"""),0.0)</f>
        <v>0</v>
      </c>
      <c r="E1036" s="46" t="b">
        <f>IFERROR(__xludf.DUMMYFUNCTION("""COMPUTED_VALUE"""),TRUE)</f>
        <v>1</v>
      </c>
    </row>
    <row r="1037" hidden="1">
      <c r="A1037" s="76" t="str">
        <f>IFERROR(__xludf.DUMMYFUNCTION("""COMPUTED_VALUE"""),"Enduring Enchantments")</f>
        <v>Enduring Enchantments</v>
      </c>
      <c r="B1037" s="76" t="str">
        <f>IFERROR(__xludf.DUMMYFUNCTION("""COMPUTED_VALUE"""),"Corrupting Influence")</f>
        <v>Corrupting Influence</v>
      </c>
      <c r="C1037" s="77">
        <f>IFERROR(__xludf.DUMMYFUNCTION("""COMPUTED_VALUE"""),0.0)</f>
        <v>0</v>
      </c>
      <c r="D1037" s="77">
        <f>IFERROR(__xludf.DUMMYFUNCTION("""COMPUTED_VALUE"""),0.0)</f>
        <v>0</v>
      </c>
      <c r="E1037" s="46" t="b">
        <f>IFERROR(__xludf.DUMMYFUNCTION("""COMPUTED_VALUE"""),TRUE)</f>
        <v>1</v>
      </c>
    </row>
    <row r="1038" hidden="1">
      <c r="A1038" s="76" t="str">
        <f>IFERROR(__xludf.DUMMYFUNCTION("""COMPUTED_VALUE"""),"Enduring Enchantments")</f>
        <v>Enduring Enchantments</v>
      </c>
      <c r="B1038" s="76" t="str">
        <f>IFERROR(__xludf.DUMMYFUNCTION("""COMPUTED_VALUE"""),"Counter Blitz")</f>
        <v>Counter Blitz</v>
      </c>
      <c r="C1038" s="77">
        <f>IFERROR(__xludf.DUMMYFUNCTION("""COMPUTED_VALUE"""),0.0)</f>
        <v>0</v>
      </c>
      <c r="D1038" s="77">
        <f>IFERROR(__xludf.DUMMYFUNCTION("""COMPUTED_VALUE"""),0.0)</f>
        <v>0</v>
      </c>
      <c r="E1038" s="46" t="b">
        <f>IFERROR(__xludf.DUMMYFUNCTION("""COMPUTED_VALUE"""),TRUE)</f>
        <v>1</v>
      </c>
    </row>
    <row r="1039" hidden="1">
      <c r="A1039" s="78" t="str">
        <f>IFERROR(__xludf.DUMMYFUNCTION("""COMPUTED_VALUE"""),"Enduring Enchantments")</f>
        <v>Enduring Enchantments</v>
      </c>
      <c r="B1039" s="78" t="str">
        <f>IFERROR(__xludf.DUMMYFUNCTION("""COMPUTED_VALUE"""),"Counter Intelligence")</f>
        <v>Counter Intelligence</v>
      </c>
      <c r="C1039" s="79">
        <f>IFERROR(__xludf.DUMMYFUNCTION("""COMPUTED_VALUE"""),0.0)</f>
        <v>0</v>
      </c>
      <c r="D1039" s="79">
        <f>IFERROR(__xludf.DUMMYFUNCTION("""COMPUTED_VALUE"""),0.0)</f>
        <v>0</v>
      </c>
      <c r="E1039" s="69" t="b">
        <f>IFERROR(__xludf.DUMMYFUNCTION("""COMPUTED_VALUE"""),TRUE)</f>
        <v>1</v>
      </c>
    </row>
    <row r="1040" hidden="1">
      <c r="A1040" s="76" t="str">
        <f>IFERROR(__xludf.DUMMYFUNCTION("""COMPUTED_VALUE"""),"Enduring Enchantments")</f>
        <v>Enduring Enchantments</v>
      </c>
      <c r="B1040" s="76" t="str">
        <f>IFERROR(__xludf.DUMMYFUNCTION("""COMPUTED_VALUE"""),"Creative Energy")</f>
        <v>Creative Energy</v>
      </c>
      <c r="C1040" s="77">
        <f>IFERROR(__xludf.DUMMYFUNCTION("""COMPUTED_VALUE"""),0.0)</f>
        <v>0</v>
      </c>
      <c r="D1040" s="77">
        <f>IFERROR(__xludf.DUMMYFUNCTION("""COMPUTED_VALUE"""),0.0)</f>
        <v>0</v>
      </c>
      <c r="E1040" s="46" t="b">
        <f>IFERROR(__xludf.DUMMYFUNCTION("""COMPUTED_VALUE"""),TRUE)</f>
        <v>1</v>
      </c>
    </row>
    <row r="1041" hidden="1">
      <c r="A1041" s="76" t="str">
        <f>IFERROR(__xludf.DUMMYFUNCTION("""COMPUTED_VALUE"""),"Enduring Enchantments")</f>
        <v>Enduring Enchantments</v>
      </c>
      <c r="B1041" s="76" t="str">
        <f>IFERROR(__xludf.DUMMYFUNCTION("""COMPUTED_VALUE"""),"Dance of the Elements")</f>
        <v>Dance of the Elements</v>
      </c>
      <c r="C1041" s="77">
        <f>IFERROR(__xludf.DUMMYFUNCTION("""COMPUTED_VALUE"""),0.0)</f>
        <v>0</v>
      </c>
      <c r="D1041" s="77">
        <f>IFERROR(__xludf.DUMMYFUNCTION("""COMPUTED_VALUE"""),0.0)</f>
        <v>0</v>
      </c>
      <c r="E1041" s="46" t="b">
        <f>IFERROR(__xludf.DUMMYFUNCTION("""COMPUTED_VALUE"""),TRUE)</f>
        <v>1</v>
      </c>
    </row>
    <row r="1042" hidden="1">
      <c r="A1042" s="76" t="str">
        <f>IFERROR(__xludf.DUMMYFUNCTION("""COMPUTED_VALUE"""),"Enduring Enchantments")</f>
        <v>Enduring Enchantments</v>
      </c>
      <c r="B1042" s="76" t="str">
        <f>IFERROR(__xludf.DUMMYFUNCTION("""COMPUTED_VALUE"""),"Deep Clue Sea")</f>
        <v>Deep Clue Sea</v>
      </c>
      <c r="C1042" s="77">
        <f>IFERROR(__xludf.DUMMYFUNCTION("""COMPUTED_VALUE"""),0.0)</f>
        <v>0</v>
      </c>
      <c r="D1042" s="77">
        <f>IFERROR(__xludf.DUMMYFUNCTION("""COMPUTED_VALUE"""),0.0)</f>
        <v>0</v>
      </c>
      <c r="E1042" s="46" t="b">
        <f>IFERROR(__xludf.DUMMYFUNCTION("""COMPUTED_VALUE"""),TRUE)</f>
        <v>1</v>
      </c>
    </row>
    <row r="1043" hidden="1">
      <c r="A1043" s="76" t="str">
        <f>IFERROR(__xludf.DUMMYFUNCTION("""COMPUTED_VALUE"""),"Enduring Enchantments")</f>
        <v>Enduring Enchantments</v>
      </c>
      <c r="B1043" s="76" t="str">
        <f>IFERROR(__xludf.DUMMYFUNCTION("""COMPUTED_VALUE"""),"Doom Prevails")</f>
        <v>Doom Prevails</v>
      </c>
      <c r="C1043" s="77">
        <f>IFERROR(__xludf.DUMMYFUNCTION("""COMPUTED_VALUE"""),0.0)</f>
        <v>0</v>
      </c>
      <c r="D1043" s="77">
        <f>IFERROR(__xludf.DUMMYFUNCTION("""COMPUTED_VALUE"""),0.0)</f>
        <v>0</v>
      </c>
      <c r="E1043" s="46" t="b">
        <f>IFERROR(__xludf.DUMMYFUNCTION("""COMPUTED_VALUE"""),TRUE)</f>
        <v>1</v>
      </c>
    </row>
    <row r="1044" hidden="1">
      <c r="A1044" s="76" t="str">
        <f>IFERROR(__xludf.DUMMYFUNCTION("""COMPUTED_VALUE"""),"Enduring Enchantments")</f>
        <v>Enduring Enchantments</v>
      </c>
      <c r="B1044" s="76" t="str">
        <f>IFERROR(__xludf.DUMMYFUNCTION("""COMPUTED_VALUE"""),"Eldrazi Incursion")</f>
        <v>Eldrazi Incursion</v>
      </c>
      <c r="C1044" s="77">
        <f>IFERROR(__xludf.DUMMYFUNCTION("""COMPUTED_VALUE"""),0.0)</f>
        <v>0</v>
      </c>
      <c r="D1044" s="77">
        <f>IFERROR(__xludf.DUMMYFUNCTION("""COMPUTED_VALUE"""),0.0)</f>
        <v>0</v>
      </c>
      <c r="E1044" s="46" t="b">
        <f>IFERROR(__xludf.DUMMYFUNCTION("""COMPUTED_VALUE"""),TRUE)</f>
        <v>1</v>
      </c>
    </row>
    <row r="1045" hidden="1">
      <c r="A1045" s="76" t="str">
        <f>IFERROR(__xludf.DUMMYFUNCTION("""COMPUTED_VALUE"""),"Enduring Enchantments")</f>
        <v>Enduring Enchantments</v>
      </c>
      <c r="B1045" s="76" t="str">
        <f>IFERROR(__xludf.DUMMYFUNCTION("""COMPUTED_VALUE"""),"Eldrazi Unbound")</f>
        <v>Eldrazi Unbound</v>
      </c>
      <c r="C1045" s="77">
        <f>IFERROR(__xludf.DUMMYFUNCTION("""COMPUTED_VALUE"""),0.0)</f>
        <v>0</v>
      </c>
      <c r="D1045" s="77">
        <f>IFERROR(__xludf.DUMMYFUNCTION("""COMPUTED_VALUE"""),0.0)</f>
        <v>0</v>
      </c>
      <c r="E1045" s="46" t="b">
        <f>IFERROR(__xludf.DUMMYFUNCTION("""COMPUTED_VALUE"""),TRUE)</f>
        <v>1</v>
      </c>
    </row>
    <row r="1046" hidden="1">
      <c r="A1046" s="78" t="str">
        <f>IFERROR(__xludf.DUMMYFUNCTION("""COMPUTED_VALUE"""),"Enduring Enchantments")</f>
        <v>Enduring Enchantments</v>
      </c>
      <c r="B1046" s="78" t="str">
        <f>IFERROR(__xludf.DUMMYFUNCTION("""COMPUTED_VALUE"""),"Endless Punishment")</f>
        <v>Endless Punishment</v>
      </c>
      <c r="C1046" s="79">
        <f>IFERROR(__xludf.DUMMYFUNCTION("""COMPUTED_VALUE"""),0.0)</f>
        <v>0</v>
      </c>
      <c r="D1046" s="79">
        <f>IFERROR(__xludf.DUMMYFUNCTION("""COMPUTED_VALUE"""),0.0)</f>
        <v>0</v>
      </c>
      <c r="E1046" s="69" t="b">
        <f>IFERROR(__xludf.DUMMYFUNCTION("""COMPUTED_VALUE"""),TRUE)</f>
        <v>1</v>
      </c>
    </row>
    <row r="1047" hidden="1">
      <c r="A1047" s="76" t="str">
        <f>IFERROR(__xludf.DUMMYFUNCTION("""COMPUTED_VALUE"""),"Enduring Enchantments")</f>
        <v>Enduring Enchantments</v>
      </c>
      <c r="B1047" s="76" t="str">
        <f>IFERROR(__xludf.DUMMYFUNCTION("""COMPUTED_VALUE"""),"Enduring Enchantments")</f>
        <v>Enduring Enchantments</v>
      </c>
      <c r="C1047" s="77">
        <f>IFERROR(__xludf.DUMMYFUNCTION("""COMPUTED_VALUE"""),0.0)</f>
        <v>0</v>
      </c>
      <c r="D1047" s="77">
        <f>IFERROR(__xludf.DUMMYFUNCTION("""COMPUTED_VALUE"""),0.0)</f>
        <v>0</v>
      </c>
      <c r="E1047" s="46" t="b">
        <f>IFERROR(__xludf.DUMMYFUNCTION("""COMPUTED_VALUE"""),TRUE)</f>
        <v>1</v>
      </c>
    </row>
    <row r="1048" hidden="1">
      <c r="A1048" s="76" t="str">
        <f>IFERROR(__xludf.DUMMYFUNCTION("""COMPUTED_VALUE"""),"Enduring Enchantments")</f>
        <v>Enduring Enchantments</v>
      </c>
      <c r="B1048" s="76" t="str">
        <f>IFERROR(__xludf.DUMMYFUNCTION("""COMPUTED_VALUE"""),"Explorers of the Deep")</f>
        <v>Explorers of the Deep</v>
      </c>
      <c r="C1048" s="77">
        <f>IFERROR(__xludf.DUMMYFUNCTION("""COMPUTED_VALUE"""),0.0)</f>
        <v>0</v>
      </c>
      <c r="D1048" s="77">
        <f>IFERROR(__xludf.DUMMYFUNCTION("""COMPUTED_VALUE"""),0.0)</f>
        <v>0</v>
      </c>
      <c r="E1048" s="46" t="b">
        <f>IFERROR(__xludf.DUMMYFUNCTION("""COMPUTED_VALUE"""),TRUE)</f>
        <v>1</v>
      </c>
    </row>
    <row r="1049" hidden="1">
      <c r="A1049" s="76" t="str">
        <f>IFERROR(__xludf.DUMMYFUNCTION("""COMPUTED_VALUE"""),"Enduring Enchantments")</f>
        <v>Enduring Enchantments</v>
      </c>
      <c r="B1049" s="76" t="str">
        <f>IFERROR(__xludf.DUMMYFUNCTION("""COMPUTED_VALUE"""),"Family Matters")</f>
        <v>Family Matters</v>
      </c>
      <c r="C1049" s="77">
        <f>IFERROR(__xludf.DUMMYFUNCTION("""COMPUTED_VALUE"""),0.0)</f>
        <v>0</v>
      </c>
      <c r="D1049" s="77">
        <f>IFERROR(__xludf.DUMMYFUNCTION("""COMPUTED_VALUE"""),0.0)</f>
        <v>0</v>
      </c>
      <c r="E1049" s="46" t="b">
        <f>IFERROR(__xludf.DUMMYFUNCTION("""COMPUTED_VALUE"""),TRUE)</f>
        <v>1</v>
      </c>
    </row>
    <row r="1050" hidden="1">
      <c r="A1050" s="76" t="str">
        <f>IFERROR(__xludf.DUMMYFUNCTION("""COMPUTED_VALUE"""),"Enduring Enchantments")</f>
        <v>Enduring Enchantments</v>
      </c>
      <c r="B1050" s="76" t="str">
        <f>IFERROR(__xludf.DUMMYFUNCTION("""COMPUTED_VALUE"""),"Food and Fellowship")</f>
        <v>Food and Fellowship</v>
      </c>
      <c r="C1050" s="77">
        <f>IFERROR(__xludf.DUMMYFUNCTION("""COMPUTED_VALUE"""),0.0)</f>
        <v>0</v>
      </c>
      <c r="D1050" s="77">
        <f>IFERROR(__xludf.DUMMYFUNCTION("""COMPUTED_VALUE"""),0.0)</f>
        <v>0</v>
      </c>
      <c r="E1050" s="46" t="b">
        <f>IFERROR(__xludf.DUMMYFUNCTION("""COMPUTED_VALUE"""),TRUE)</f>
        <v>1</v>
      </c>
    </row>
    <row r="1051" hidden="1">
      <c r="A1051" s="76" t="str">
        <f>IFERROR(__xludf.DUMMYFUNCTION("""COMPUTED_VALUE"""),"Enduring Enchantments")</f>
        <v>Enduring Enchantments</v>
      </c>
      <c r="B1051" s="76" t="str">
        <f>IFERROR(__xludf.DUMMYFUNCTION("""COMPUTED_VALUE"""),"Jeskai Striker")</f>
        <v>Jeskai Striker</v>
      </c>
      <c r="C1051" s="77">
        <f>IFERROR(__xludf.DUMMYFUNCTION("""COMPUTED_VALUE"""),0.0)</f>
        <v>0</v>
      </c>
      <c r="D1051" s="77">
        <f>IFERROR(__xludf.DUMMYFUNCTION("""COMPUTED_VALUE"""),0.0)</f>
        <v>0</v>
      </c>
      <c r="E1051" s="46" t="b">
        <f>IFERROR(__xludf.DUMMYFUNCTION("""COMPUTED_VALUE"""),TRUE)</f>
        <v>1</v>
      </c>
    </row>
    <row r="1052" hidden="1">
      <c r="A1052" s="76" t="str">
        <f>IFERROR(__xludf.DUMMYFUNCTION("""COMPUTED_VALUE"""),"Enduring Enchantments")</f>
        <v>Enduring Enchantments</v>
      </c>
      <c r="B1052" s="76" t="str">
        <f>IFERROR(__xludf.DUMMYFUNCTION("""COMPUTED_VALUE"""),"Legends' Legacy")</f>
        <v>Legends' Legacy</v>
      </c>
      <c r="C1052" s="77">
        <f>IFERROR(__xludf.DUMMYFUNCTION("""COMPUTED_VALUE"""),0.0)</f>
        <v>0</v>
      </c>
      <c r="D1052" s="77">
        <f>IFERROR(__xludf.DUMMYFUNCTION("""COMPUTED_VALUE"""),0.0)</f>
        <v>0</v>
      </c>
      <c r="E1052" s="46" t="b">
        <f>IFERROR(__xludf.DUMMYFUNCTION("""COMPUTED_VALUE"""),TRUE)</f>
        <v>1</v>
      </c>
    </row>
    <row r="1053" hidden="1">
      <c r="A1053" s="76" t="str">
        <f>IFERROR(__xludf.DUMMYFUNCTION("""COMPUTED_VALUE"""),"Enduring Enchantments")</f>
        <v>Enduring Enchantments</v>
      </c>
      <c r="B1053" s="76" t="str">
        <f>IFERROR(__xludf.DUMMYFUNCTION("""COMPUTED_VALUE"""),"Limit Break")</f>
        <v>Limit Break</v>
      </c>
      <c r="C1053" s="77">
        <f>IFERROR(__xludf.DUMMYFUNCTION("""COMPUTED_VALUE"""),0.0)</f>
        <v>0</v>
      </c>
      <c r="D1053" s="77">
        <f>IFERROR(__xludf.DUMMYFUNCTION("""COMPUTED_VALUE"""),0.0)</f>
        <v>0</v>
      </c>
      <c r="E1053" s="46" t="b">
        <f>IFERROR(__xludf.DUMMYFUNCTION("""COMPUTED_VALUE"""),TRUE)</f>
        <v>1</v>
      </c>
    </row>
    <row r="1054" hidden="1">
      <c r="A1054" s="76" t="str">
        <f>IFERROR(__xludf.DUMMYFUNCTION("""COMPUTED_VALUE"""),"Enduring Enchantments")</f>
        <v>Enduring Enchantments</v>
      </c>
      <c r="B1054" s="76" t="str">
        <f>IFERROR(__xludf.DUMMYFUNCTION("""COMPUTED_VALUE"""),"Lorehold Spirit")</f>
        <v>Lorehold Spirit</v>
      </c>
      <c r="C1054" s="77">
        <f>IFERROR(__xludf.DUMMYFUNCTION("""COMPUTED_VALUE"""),0.0)</f>
        <v>0</v>
      </c>
      <c r="D1054" s="77">
        <f>IFERROR(__xludf.DUMMYFUNCTION("""COMPUTED_VALUE"""),0.0)</f>
        <v>0</v>
      </c>
      <c r="E1054" s="46" t="b">
        <f>IFERROR(__xludf.DUMMYFUNCTION("""COMPUTED_VALUE"""),TRUE)</f>
        <v>1</v>
      </c>
    </row>
    <row r="1055" hidden="1">
      <c r="A1055" s="76" t="str">
        <f>IFERROR(__xludf.DUMMYFUNCTION("""COMPUTED_VALUE"""),"Enduring Enchantments")</f>
        <v>Enduring Enchantments</v>
      </c>
      <c r="B1055" s="76" t="str">
        <f>IFERROR(__xludf.DUMMYFUNCTION("""COMPUTED_VALUE"""),"Mutant Menace")</f>
        <v>Mutant Menace</v>
      </c>
      <c r="C1055" s="77">
        <f>IFERROR(__xludf.DUMMYFUNCTION("""COMPUTED_VALUE"""),0.0)</f>
        <v>0</v>
      </c>
      <c r="D1055" s="77">
        <f>IFERROR(__xludf.DUMMYFUNCTION("""COMPUTED_VALUE"""),0.0)</f>
        <v>0</v>
      </c>
      <c r="E1055" s="46" t="b">
        <f>IFERROR(__xludf.DUMMYFUNCTION("""COMPUTED_VALUE"""),TRUE)</f>
        <v>1</v>
      </c>
    </row>
    <row r="1056" hidden="1">
      <c r="A1056" s="76" t="str">
        <f>IFERROR(__xludf.DUMMYFUNCTION("""COMPUTED_VALUE"""),"Enduring Enchantments")</f>
        <v>Enduring Enchantments</v>
      </c>
      <c r="B1056" s="76" t="str">
        <f>IFERROR(__xludf.DUMMYFUNCTION("""COMPUTED_VALUE"""),"Party Time")</f>
        <v>Party Time</v>
      </c>
      <c r="C1056" s="77">
        <f>IFERROR(__xludf.DUMMYFUNCTION("""COMPUTED_VALUE"""),0.0)</f>
        <v>0</v>
      </c>
      <c r="D1056" s="77">
        <f>IFERROR(__xludf.DUMMYFUNCTION("""COMPUTED_VALUE"""),0.0)</f>
        <v>0</v>
      </c>
      <c r="E1056" s="46" t="b">
        <f>IFERROR(__xludf.DUMMYFUNCTION("""COMPUTED_VALUE"""),TRUE)</f>
        <v>1</v>
      </c>
    </row>
    <row r="1057" hidden="1">
      <c r="A1057" s="76" t="str">
        <f>IFERROR(__xludf.DUMMYFUNCTION("""COMPUTED_VALUE"""),"Enduring Enchantments")</f>
        <v>Enduring Enchantments</v>
      </c>
      <c r="B1057" s="76" t="str">
        <f>IFERROR(__xludf.DUMMYFUNCTION("""COMPUTED_VALUE"""),"Peace Offering")</f>
        <v>Peace Offering</v>
      </c>
      <c r="C1057" s="77">
        <f>IFERROR(__xludf.DUMMYFUNCTION("""COMPUTED_VALUE"""),0.0)</f>
        <v>0</v>
      </c>
      <c r="D1057" s="77">
        <f>IFERROR(__xludf.DUMMYFUNCTION("""COMPUTED_VALUE"""),0.0)</f>
        <v>0</v>
      </c>
      <c r="E1057" s="46" t="b">
        <f>IFERROR(__xludf.DUMMYFUNCTION("""COMPUTED_VALUE"""),TRUE)</f>
        <v>1</v>
      </c>
    </row>
    <row r="1058" hidden="1">
      <c r="A1058" s="76" t="str">
        <f>IFERROR(__xludf.DUMMYFUNCTION("""COMPUTED_VALUE"""),"Enduring Enchantments")</f>
        <v>Enduring Enchantments</v>
      </c>
      <c r="B1058" s="76" t="str">
        <f>IFERROR(__xludf.DUMMYFUNCTION("""COMPUTED_VALUE"""),"Power Hungry")</f>
        <v>Power Hungry</v>
      </c>
      <c r="C1058" s="77">
        <f>IFERROR(__xludf.DUMMYFUNCTION("""COMPUTED_VALUE"""),0.0)</f>
        <v>0</v>
      </c>
      <c r="D1058" s="77">
        <f>IFERROR(__xludf.DUMMYFUNCTION("""COMPUTED_VALUE"""),0.0)</f>
        <v>0</v>
      </c>
      <c r="E1058" s="46" t="b">
        <f>IFERROR(__xludf.DUMMYFUNCTION("""COMPUTED_VALUE"""),TRUE)</f>
        <v>1</v>
      </c>
    </row>
    <row r="1059" hidden="1">
      <c r="A1059" s="76" t="str">
        <f>IFERROR(__xludf.DUMMYFUNCTION("""COMPUTED_VALUE"""),"Enduring Enchantments")</f>
        <v>Enduring Enchantments</v>
      </c>
      <c r="B1059" s="76" t="str">
        <f>IFERROR(__xludf.DUMMYFUNCTION("""COMPUTED_VALUE"""),"Primal Genesis")</f>
        <v>Primal Genesis</v>
      </c>
      <c r="C1059" s="77">
        <f>IFERROR(__xludf.DUMMYFUNCTION("""COMPUTED_VALUE"""),0.0)</f>
        <v>0</v>
      </c>
      <c r="D1059" s="77">
        <f>IFERROR(__xludf.DUMMYFUNCTION("""COMPUTED_VALUE"""),0.0)</f>
        <v>0</v>
      </c>
      <c r="E1059" s="46" t="b">
        <f>IFERROR(__xludf.DUMMYFUNCTION("""COMPUTED_VALUE"""),TRUE)</f>
        <v>1</v>
      </c>
    </row>
    <row r="1060">
      <c r="A1060" s="76" t="str">
        <f>IFERROR(__xludf.DUMMYFUNCTION("""COMPUTED_VALUE"""),"Enduring Enchantments")</f>
        <v>Enduring Enchantments</v>
      </c>
      <c r="B1060" s="76" t="str">
        <f>IFERROR(__xludf.DUMMYFUNCTION("""COMPUTED_VALUE"""),"Prismari Artistry")</f>
        <v>Prismari Artistry</v>
      </c>
      <c r="C1060" s="77">
        <f>IFERROR(__xludf.DUMMYFUNCTION("""COMPUTED_VALUE"""),0.0)</f>
        <v>0</v>
      </c>
      <c r="D1060" s="77">
        <f>IFERROR(__xludf.DUMMYFUNCTION("""COMPUTED_VALUE"""),0.0)</f>
        <v>0</v>
      </c>
      <c r="E1060" s="46" t="b">
        <f>IFERROR(__xludf.DUMMYFUNCTION("""COMPUTED_VALUE"""),TRUE)</f>
        <v>1</v>
      </c>
    </row>
    <row r="1061" hidden="1">
      <c r="A1061" s="76" t="str">
        <f>IFERROR(__xludf.DUMMYFUNCTION("""COMPUTED_VALUE"""),"Enduring Enchantments")</f>
        <v>Enduring Enchantments</v>
      </c>
      <c r="B1061" s="76" t="str">
        <f>IFERROR(__xludf.DUMMYFUNCTION("""COMPUTED_VALUE"""),"Prismari Performance")</f>
        <v>Prismari Performance</v>
      </c>
      <c r="C1061" s="77">
        <f>IFERROR(__xludf.DUMMYFUNCTION("""COMPUTED_VALUE"""),0.0)</f>
        <v>0</v>
      </c>
      <c r="D1061" s="77">
        <f>IFERROR(__xludf.DUMMYFUNCTION("""COMPUTED_VALUE"""),0.0)</f>
        <v>0</v>
      </c>
      <c r="E1061" s="46" t="b">
        <f>IFERROR(__xludf.DUMMYFUNCTION("""COMPUTED_VALUE"""),TRUE)</f>
        <v>1</v>
      </c>
    </row>
    <row r="1062" hidden="1">
      <c r="A1062" s="76" t="str">
        <f>IFERROR(__xludf.DUMMYFUNCTION("""COMPUTED_VALUE"""),"Enduring Enchantments")</f>
        <v>Enduring Enchantments</v>
      </c>
      <c r="B1062" s="76" t="str">
        <f>IFERROR(__xludf.DUMMYFUNCTION("""COMPUTED_VALUE"""),"Quandrix Unlimited")</f>
        <v>Quandrix Unlimited</v>
      </c>
      <c r="C1062" s="77">
        <f>IFERROR(__xludf.DUMMYFUNCTION("""COMPUTED_VALUE"""),0.0)</f>
        <v>0</v>
      </c>
      <c r="D1062" s="77">
        <f>IFERROR(__xludf.DUMMYFUNCTION("""COMPUTED_VALUE"""),0.0)</f>
        <v>0</v>
      </c>
      <c r="E1062" s="46" t="b">
        <f>IFERROR(__xludf.DUMMYFUNCTION("""COMPUTED_VALUE"""),TRUE)</f>
        <v>1</v>
      </c>
    </row>
    <row r="1063" hidden="1">
      <c r="A1063" s="76" t="str">
        <f>IFERROR(__xludf.DUMMYFUNCTION("""COMPUTED_VALUE"""),"Enduring Enchantments")</f>
        <v>Enduring Enchantments</v>
      </c>
      <c r="B1063" s="76" t="str">
        <f>IFERROR(__xludf.DUMMYFUNCTION("""COMPUTED_VALUE"""),"Quick Draw")</f>
        <v>Quick Draw</v>
      </c>
      <c r="C1063" s="77">
        <f>IFERROR(__xludf.DUMMYFUNCTION("""COMPUTED_VALUE"""),0.0)</f>
        <v>0</v>
      </c>
      <c r="D1063" s="77">
        <f>IFERROR(__xludf.DUMMYFUNCTION("""COMPUTED_VALUE"""),0.0)</f>
        <v>0</v>
      </c>
      <c r="E1063" s="46" t="b">
        <f>IFERROR(__xludf.DUMMYFUNCTION("""COMPUTED_VALUE"""),TRUE)</f>
        <v>1</v>
      </c>
    </row>
    <row r="1064" hidden="1">
      <c r="A1064" s="76" t="str">
        <f>IFERROR(__xludf.DUMMYFUNCTION("""COMPUTED_VALUE"""),"Enduring Enchantments")</f>
        <v>Enduring Enchantments</v>
      </c>
      <c r="B1064" s="76" t="str">
        <f>IFERROR(__xludf.DUMMYFUNCTION("""COMPUTED_VALUE"""),"Reap the Tides")</f>
        <v>Reap the Tides</v>
      </c>
      <c r="C1064" s="77">
        <f>IFERROR(__xludf.DUMMYFUNCTION("""COMPUTED_VALUE"""),0.0)</f>
        <v>0</v>
      </c>
      <c r="D1064" s="77">
        <f>IFERROR(__xludf.DUMMYFUNCTION("""COMPUTED_VALUE"""),0.0)</f>
        <v>0</v>
      </c>
      <c r="E1064" s="46" t="b">
        <f>IFERROR(__xludf.DUMMYFUNCTION("""COMPUTED_VALUE"""),TRUE)</f>
        <v>1</v>
      </c>
    </row>
    <row r="1065" hidden="1">
      <c r="A1065" s="76" t="str">
        <f>IFERROR(__xludf.DUMMYFUNCTION("""COMPUTED_VALUE"""),"Enduring Enchantments")</f>
        <v>Enduring Enchantments</v>
      </c>
      <c r="B1065" s="76" t="str">
        <f>IFERROR(__xludf.DUMMYFUNCTION("""COMPUTED_VALUE"""),"Rebellion Rising")</f>
        <v>Rebellion Rising</v>
      </c>
      <c r="C1065" s="77">
        <f>IFERROR(__xludf.DUMMYFUNCTION("""COMPUTED_VALUE"""),0.0)</f>
        <v>0</v>
      </c>
      <c r="D1065" s="77">
        <f>IFERROR(__xludf.DUMMYFUNCTION("""COMPUTED_VALUE"""),0.0)</f>
        <v>0</v>
      </c>
      <c r="E1065" s="46" t="b">
        <f>IFERROR(__xludf.DUMMYFUNCTION("""COMPUTED_VALUE"""),TRUE)</f>
        <v>1</v>
      </c>
    </row>
    <row r="1066" hidden="1">
      <c r="A1066" s="76" t="str">
        <f>IFERROR(__xludf.DUMMYFUNCTION("""COMPUTED_VALUE"""),"Enduring Enchantments")</f>
        <v>Enduring Enchantments</v>
      </c>
      <c r="B1066" s="76" t="str">
        <f>IFERROR(__xludf.DUMMYFUNCTION("""COMPUTED_VALUE"""),"Revival Trance")</f>
        <v>Revival Trance</v>
      </c>
      <c r="C1066" s="77">
        <f>IFERROR(__xludf.DUMMYFUNCTION("""COMPUTED_VALUE"""),0.0)</f>
        <v>0</v>
      </c>
      <c r="D1066" s="77">
        <f>IFERROR(__xludf.DUMMYFUNCTION("""COMPUTED_VALUE"""),0.0)</f>
        <v>0</v>
      </c>
      <c r="E1066" s="46" t="b">
        <f>IFERROR(__xludf.DUMMYFUNCTION("""COMPUTED_VALUE"""),TRUE)</f>
        <v>1</v>
      </c>
    </row>
    <row r="1067" hidden="1">
      <c r="A1067" s="76" t="str">
        <f>IFERROR(__xludf.DUMMYFUNCTION("""COMPUTED_VALUE"""),"Enduring Enchantments")</f>
        <v>Enduring Enchantments</v>
      </c>
      <c r="B1067" s="76" t="str">
        <f>IFERROR(__xludf.DUMMYFUNCTION("""COMPUTED_VALUE"""),"Riders of Rohan")</f>
        <v>Riders of Rohan</v>
      </c>
      <c r="C1067" s="77">
        <f>IFERROR(__xludf.DUMMYFUNCTION("""COMPUTED_VALUE"""),0.0)</f>
        <v>0</v>
      </c>
      <c r="D1067" s="77">
        <f>IFERROR(__xludf.DUMMYFUNCTION("""COMPUTED_VALUE"""),0.0)</f>
        <v>0</v>
      </c>
      <c r="E1067" s="46" t="b">
        <f>IFERROR(__xludf.DUMMYFUNCTION("""COMPUTED_VALUE"""),TRUE)</f>
        <v>1</v>
      </c>
    </row>
    <row r="1068" hidden="1">
      <c r="A1068" s="76" t="str">
        <f>IFERROR(__xludf.DUMMYFUNCTION("""COMPUTED_VALUE"""),"Enduring Enchantments")</f>
        <v>Enduring Enchantments</v>
      </c>
      <c r="B1068" s="76" t="str">
        <f>IFERROR(__xludf.DUMMYFUNCTION("""COMPUTED_VALUE"""),"Science!")</f>
        <v>Science!</v>
      </c>
      <c r="C1068" s="77">
        <f>IFERROR(__xludf.DUMMYFUNCTION("""COMPUTED_VALUE"""),0.0)</f>
        <v>0</v>
      </c>
      <c r="D1068" s="77">
        <f>IFERROR(__xludf.DUMMYFUNCTION("""COMPUTED_VALUE"""),0.0)</f>
        <v>0</v>
      </c>
      <c r="E1068" s="46" t="b">
        <f>IFERROR(__xludf.DUMMYFUNCTION("""COMPUTED_VALUE"""),TRUE)</f>
        <v>1</v>
      </c>
    </row>
    <row r="1069" hidden="1">
      <c r="A1069" s="76" t="str">
        <f>IFERROR(__xludf.DUMMYFUNCTION("""COMPUTED_VALUE"""),"Enduring Enchantments")</f>
        <v>Enduring Enchantments</v>
      </c>
      <c r="B1069" s="76" t="str">
        <f>IFERROR(__xludf.DUMMYFUNCTION("""COMPUTED_VALUE"""),"Scions &amp; Spellcraft")</f>
        <v>Scions &amp; Spellcraft</v>
      </c>
      <c r="C1069" s="77">
        <f>IFERROR(__xludf.DUMMYFUNCTION("""COMPUTED_VALUE"""),0.0)</f>
        <v>0</v>
      </c>
      <c r="D1069" s="77">
        <f>IFERROR(__xludf.DUMMYFUNCTION("""COMPUTED_VALUE"""),0.0)</f>
        <v>0</v>
      </c>
      <c r="E1069" s="46" t="b">
        <f>IFERROR(__xludf.DUMMYFUNCTION("""COMPUTED_VALUE"""),TRUE)</f>
        <v>1</v>
      </c>
    </row>
    <row r="1070" hidden="1">
      <c r="A1070" s="76" t="str">
        <f>IFERROR(__xludf.DUMMYFUNCTION("""COMPUTED_VALUE"""),"Enduring Enchantments")</f>
        <v>Enduring Enchantments</v>
      </c>
      <c r="B1070" s="76" t="str">
        <f>IFERROR(__xludf.DUMMYFUNCTION("""COMPUTED_VALUE"""),"Scrappy Survivors")</f>
        <v>Scrappy Survivors</v>
      </c>
      <c r="C1070" s="77">
        <f>IFERROR(__xludf.DUMMYFUNCTION("""COMPUTED_VALUE"""),0.0)</f>
        <v>0</v>
      </c>
      <c r="D1070" s="77">
        <f>IFERROR(__xludf.DUMMYFUNCTION("""COMPUTED_VALUE"""),0.0)</f>
        <v>0</v>
      </c>
      <c r="E1070" s="46" t="b">
        <f>IFERROR(__xludf.DUMMYFUNCTION("""COMPUTED_VALUE"""),TRUE)</f>
        <v>1</v>
      </c>
    </row>
    <row r="1071" hidden="1">
      <c r="A1071" s="76" t="str">
        <f>IFERROR(__xludf.DUMMYFUNCTION("""COMPUTED_VALUE"""),"Enduring Enchantments")</f>
        <v>Enduring Enchantments</v>
      </c>
      <c r="B1071" s="76" t="str">
        <f>IFERROR(__xludf.DUMMYFUNCTION("""COMPUTED_VALUE"""),"Silverquill Influence")</f>
        <v>Silverquill Influence</v>
      </c>
      <c r="C1071" s="77">
        <f>IFERROR(__xludf.DUMMYFUNCTION("""COMPUTED_VALUE"""),0.0)</f>
        <v>0</v>
      </c>
      <c r="D1071" s="77">
        <f>IFERROR(__xludf.DUMMYFUNCTION("""COMPUTED_VALUE"""),0.0)</f>
        <v>0</v>
      </c>
      <c r="E1071" s="46" t="b">
        <f>IFERROR(__xludf.DUMMYFUNCTION("""COMPUTED_VALUE"""),TRUE)</f>
        <v>1</v>
      </c>
    </row>
    <row r="1072" hidden="1">
      <c r="A1072" s="76" t="str">
        <f>IFERROR(__xludf.DUMMYFUNCTION("""COMPUTED_VALUE"""),"Enduring Enchantments")</f>
        <v>Enduring Enchantments</v>
      </c>
      <c r="B1072" s="76" t="str">
        <f>IFERROR(__xludf.DUMMYFUNCTION("""COMPUTED_VALUE"""),"Spirit Squadron")</f>
        <v>Spirit Squadron</v>
      </c>
      <c r="C1072" s="77">
        <f>IFERROR(__xludf.DUMMYFUNCTION("""COMPUTED_VALUE"""),0.0)</f>
        <v>0</v>
      </c>
      <c r="D1072" s="77">
        <f>IFERROR(__xludf.DUMMYFUNCTION("""COMPUTED_VALUE"""),0.0)</f>
        <v>0</v>
      </c>
      <c r="E1072" s="46" t="b">
        <f>IFERROR(__xludf.DUMMYFUNCTION("""COMPUTED_VALUE"""),TRUE)</f>
        <v>1</v>
      </c>
    </row>
    <row r="1073" hidden="1">
      <c r="A1073" s="76" t="str">
        <f>IFERROR(__xludf.DUMMYFUNCTION("""COMPUTED_VALUE"""),"Enduring Enchantments")</f>
        <v>Enduring Enchantments</v>
      </c>
      <c r="B1073" s="76" t="str">
        <f>IFERROR(__xludf.DUMMYFUNCTION("""COMPUTED_VALUE"""),"Squirreled Away")</f>
        <v>Squirreled Away</v>
      </c>
      <c r="C1073" s="77">
        <f>IFERROR(__xludf.DUMMYFUNCTION("""COMPUTED_VALUE"""),0.0)</f>
        <v>0</v>
      </c>
      <c r="D1073" s="77">
        <f>IFERROR(__xludf.DUMMYFUNCTION("""COMPUTED_VALUE"""),0.0)</f>
        <v>0</v>
      </c>
      <c r="E1073" s="46" t="b">
        <f>IFERROR(__xludf.DUMMYFUNCTION("""COMPUTED_VALUE"""),TRUE)</f>
        <v>1</v>
      </c>
    </row>
    <row r="1074" hidden="1">
      <c r="A1074" s="76" t="str">
        <f>IFERROR(__xludf.DUMMYFUNCTION("""COMPUTED_VALUE"""),"Enduring Enchantments")</f>
        <v>Enduring Enchantments</v>
      </c>
      <c r="B1074" s="76" t="str">
        <f>IFERROR(__xludf.DUMMYFUNCTION("""COMPUTED_VALUE"""),"Sultai Arisen")</f>
        <v>Sultai Arisen</v>
      </c>
      <c r="C1074" s="77">
        <f>IFERROR(__xludf.DUMMYFUNCTION("""COMPUTED_VALUE"""),0.0)</f>
        <v>0</v>
      </c>
      <c r="D1074" s="77">
        <f>IFERROR(__xludf.DUMMYFUNCTION("""COMPUTED_VALUE"""),0.0)</f>
        <v>0</v>
      </c>
      <c r="E1074" s="46" t="b">
        <f>IFERROR(__xludf.DUMMYFUNCTION("""COMPUTED_VALUE"""),TRUE)</f>
        <v>1</v>
      </c>
    </row>
    <row r="1075" hidden="1">
      <c r="A1075" s="76" t="str">
        <f>IFERROR(__xludf.DUMMYFUNCTION("""COMPUTED_VALUE"""),"Enduring Enchantments")</f>
        <v>Enduring Enchantments</v>
      </c>
      <c r="B1075" s="76" t="str">
        <f>IFERROR(__xludf.DUMMYFUNCTION("""COMPUTED_VALUE"""),"Temur Roar")</f>
        <v>Temur Roar</v>
      </c>
      <c r="C1075" s="77">
        <f>IFERROR(__xludf.DUMMYFUNCTION("""COMPUTED_VALUE"""),0.0)</f>
        <v>0</v>
      </c>
      <c r="D1075" s="77">
        <f>IFERROR(__xludf.DUMMYFUNCTION("""COMPUTED_VALUE"""),0.0)</f>
        <v>0</v>
      </c>
      <c r="E1075" s="46" t="b">
        <f>IFERROR(__xludf.DUMMYFUNCTION("""COMPUTED_VALUE"""),TRUE)</f>
        <v>1</v>
      </c>
    </row>
    <row r="1076" hidden="1">
      <c r="A1076" s="76" t="str">
        <f>IFERROR(__xludf.DUMMYFUNCTION("""COMPUTED_VALUE"""),"Enduring Enchantments")</f>
        <v>Enduring Enchantments</v>
      </c>
      <c r="B1076" s="76" t="str">
        <f>IFERROR(__xludf.DUMMYFUNCTION("""COMPUTED_VALUE"""),"The Hosts of Mordor")</f>
        <v>The Hosts of Mordor</v>
      </c>
      <c r="C1076" s="77">
        <f>IFERROR(__xludf.DUMMYFUNCTION("""COMPUTED_VALUE"""),0.0)</f>
        <v>0</v>
      </c>
      <c r="D1076" s="77">
        <f>IFERROR(__xludf.DUMMYFUNCTION("""COMPUTED_VALUE"""),0.0)</f>
        <v>0</v>
      </c>
      <c r="E1076" s="46" t="b">
        <f>IFERROR(__xludf.DUMMYFUNCTION("""COMPUTED_VALUE"""),TRUE)</f>
        <v>1</v>
      </c>
    </row>
    <row r="1077" hidden="1">
      <c r="A1077" s="76" t="str">
        <f>IFERROR(__xludf.DUMMYFUNCTION("""COMPUTED_VALUE"""),"Enduring Enchantments")</f>
        <v>Enduring Enchantments</v>
      </c>
      <c r="B1077" s="76" t="str">
        <f>IFERROR(__xludf.DUMMYFUNCTION("""COMPUTED_VALUE"""),"The Ruinous Powers")</f>
        <v>The Ruinous Powers</v>
      </c>
      <c r="C1077" s="77">
        <f>IFERROR(__xludf.DUMMYFUNCTION("""COMPUTED_VALUE"""),0.0)</f>
        <v>0</v>
      </c>
      <c r="D1077" s="77">
        <f>IFERROR(__xludf.DUMMYFUNCTION("""COMPUTED_VALUE"""),0.0)</f>
        <v>0</v>
      </c>
      <c r="E1077" s="46" t="b">
        <f>IFERROR(__xludf.DUMMYFUNCTION("""COMPUTED_VALUE"""),TRUE)</f>
        <v>1</v>
      </c>
    </row>
    <row r="1078" hidden="1">
      <c r="A1078" s="76" t="str">
        <f>IFERROR(__xludf.DUMMYFUNCTION("""COMPUTED_VALUE"""),"Enduring Enchantments")</f>
        <v>Enduring Enchantments</v>
      </c>
      <c r="B1078" s="76" t="str">
        <f>IFERROR(__xludf.DUMMYFUNCTION("""COMPUTED_VALUE"""),"Timey-Wimey")</f>
        <v>Timey-Wimey</v>
      </c>
      <c r="C1078" s="77">
        <f>IFERROR(__xludf.DUMMYFUNCTION("""COMPUTED_VALUE"""),0.0)</f>
        <v>0</v>
      </c>
      <c r="D1078" s="77">
        <f>IFERROR(__xludf.DUMMYFUNCTION("""COMPUTED_VALUE"""),0.0)</f>
        <v>0</v>
      </c>
      <c r="E1078" s="46" t="b">
        <f>IFERROR(__xludf.DUMMYFUNCTION("""COMPUTED_VALUE"""),TRUE)</f>
        <v>1</v>
      </c>
    </row>
    <row r="1079" hidden="1">
      <c r="A1079" s="76" t="str">
        <f>IFERROR(__xludf.DUMMYFUNCTION("""COMPUTED_VALUE"""),"Enduring Enchantments")</f>
        <v>Enduring Enchantments</v>
      </c>
      <c r="B1079" s="76" t="str">
        <f>IFERROR(__xludf.DUMMYFUNCTION("""COMPUTED_VALUE"""),"Tinker Time")</f>
        <v>Tinker Time</v>
      </c>
      <c r="C1079" s="77">
        <f>IFERROR(__xludf.DUMMYFUNCTION("""COMPUTED_VALUE"""),0.0)</f>
        <v>0</v>
      </c>
      <c r="D1079" s="77">
        <f>IFERROR(__xludf.DUMMYFUNCTION("""COMPUTED_VALUE"""),0.0)</f>
        <v>0</v>
      </c>
      <c r="E1079" s="46" t="b">
        <f>IFERROR(__xludf.DUMMYFUNCTION("""COMPUTED_VALUE"""),TRUE)</f>
        <v>1</v>
      </c>
    </row>
    <row r="1080" hidden="1">
      <c r="A1080" s="76" t="str">
        <f>IFERROR(__xludf.DUMMYFUNCTION("""COMPUTED_VALUE"""),"Enduring Enchantments")</f>
        <v>Enduring Enchantments</v>
      </c>
      <c r="B1080" s="76" t="str">
        <f>IFERROR(__xludf.DUMMYFUNCTION("""COMPUTED_VALUE"""),"Turtle Power!")</f>
        <v>Turtle Power!</v>
      </c>
      <c r="C1080" s="77">
        <f>IFERROR(__xludf.DUMMYFUNCTION("""COMPUTED_VALUE"""),0.0)</f>
        <v>0</v>
      </c>
      <c r="D1080" s="77">
        <f>IFERROR(__xludf.DUMMYFUNCTION("""COMPUTED_VALUE"""),0.0)</f>
        <v>0</v>
      </c>
      <c r="E1080" s="46" t="b">
        <f>IFERROR(__xludf.DUMMYFUNCTION("""COMPUTED_VALUE"""),TRUE)</f>
        <v>1</v>
      </c>
    </row>
    <row r="1081">
      <c r="A1081" s="76" t="str">
        <f>IFERROR(__xludf.DUMMYFUNCTION("""COMPUTED_VALUE"""),"Enduring Enchantments")</f>
        <v>Enduring Enchantments</v>
      </c>
      <c r="B1081" s="76" t="str">
        <f>IFERROR(__xludf.DUMMYFUNCTION("""COMPUTED_VALUE"""),"Veloci-ramp-tor")</f>
        <v>Veloci-ramp-tor</v>
      </c>
      <c r="C1081" s="77">
        <f>IFERROR(__xludf.DUMMYFUNCTION("""COMPUTED_VALUE"""),0.0)</f>
        <v>0</v>
      </c>
      <c r="D1081" s="77">
        <f>IFERROR(__xludf.DUMMYFUNCTION("""COMPUTED_VALUE"""),0.0)</f>
        <v>0</v>
      </c>
      <c r="E1081" s="46" t="b">
        <f>IFERROR(__xludf.DUMMYFUNCTION("""COMPUTED_VALUE"""),TRUE)</f>
        <v>1</v>
      </c>
    </row>
    <row r="1082" hidden="1">
      <c r="A1082" s="76" t="str">
        <f>IFERROR(__xludf.DUMMYFUNCTION("""COMPUTED_VALUE"""),"Explorers of the Deep")</f>
        <v>Explorers of the Deep</v>
      </c>
      <c r="B1082" s="76" t="str">
        <f>IFERROR(__xludf.DUMMYFUNCTION("""COMPUTED_VALUE"""),"Ahoy Mateys")</f>
        <v>Ahoy Mateys</v>
      </c>
      <c r="C1082" s="77">
        <f>IFERROR(__xludf.DUMMYFUNCTION("""COMPUTED_VALUE"""),0.0)</f>
        <v>0</v>
      </c>
      <c r="D1082" s="77">
        <f>IFERROR(__xludf.DUMMYFUNCTION("""COMPUTED_VALUE"""),0.0)</f>
        <v>0</v>
      </c>
      <c r="E1082" s="46" t="b">
        <f>IFERROR(__xludf.DUMMYFUNCTION("""COMPUTED_VALUE"""),TRUE)</f>
        <v>1</v>
      </c>
    </row>
    <row r="1083" hidden="1">
      <c r="A1083" s="76" t="str">
        <f>IFERROR(__xludf.DUMMYFUNCTION("""COMPUTED_VALUE"""),"Explorers of the Deep")</f>
        <v>Explorers of the Deep</v>
      </c>
      <c r="B1083" s="76" t="str">
        <f>IFERROR(__xludf.DUMMYFUNCTION("""COMPUTED_VALUE"""),"Animated Army")</f>
        <v>Animated Army</v>
      </c>
      <c r="C1083" s="77">
        <f>IFERROR(__xludf.DUMMYFUNCTION("""COMPUTED_VALUE"""),0.0)</f>
        <v>0</v>
      </c>
      <c r="D1083" s="77">
        <f>IFERROR(__xludf.DUMMYFUNCTION("""COMPUTED_VALUE"""),0.0)</f>
        <v>0</v>
      </c>
      <c r="E1083" s="46" t="b">
        <f>IFERROR(__xludf.DUMMYFUNCTION("""COMPUTED_VALUE"""),TRUE)</f>
        <v>1</v>
      </c>
    </row>
    <row r="1084" hidden="1">
      <c r="A1084" s="76" t="str">
        <f>IFERROR(__xludf.DUMMYFUNCTION("""COMPUTED_VALUE"""),"Explorers of the Deep")</f>
        <v>Explorers of the Deep</v>
      </c>
      <c r="B1084" s="76" t="str">
        <f>IFERROR(__xludf.DUMMYFUNCTION("""COMPUTED_VALUE"""),"Arcane Maelstrom")</f>
        <v>Arcane Maelstrom</v>
      </c>
      <c r="C1084" s="77">
        <f>IFERROR(__xludf.DUMMYFUNCTION("""COMPUTED_VALUE"""),0.0)</f>
        <v>0</v>
      </c>
      <c r="D1084" s="77">
        <f>IFERROR(__xludf.DUMMYFUNCTION("""COMPUTED_VALUE"""),0.0)</f>
        <v>0</v>
      </c>
      <c r="E1084" s="46" t="b">
        <f>IFERROR(__xludf.DUMMYFUNCTION("""COMPUTED_VALUE"""),TRUE)</f>
        <v>1</v>
      </c>
    </row>
    <row r="1085" hidden="1">
      <c r="A1085" s="76" t="str">
        <f>IFERROR(__xludf.DUMMYFUNCTION("""COMPUTED_VALUE"""),"Explorers of the Deep")</f>
        <v>Explorers of the Deep</v>
      </c>
      <c r="B1085" s="76" t="str">
        <f>IFERROR(__xludf.DUMMYFUNCTION("""COMPUTED_VALUE"""),"Blame Game")</f>
        <v>Blame Game</v>
      </c>
      <c r="C1085" s="77">
        <f>IFERROR(__xludf.DUMMYFUNCTION("""COMPUTED_VALUE"""),0.0)</f>
        <v>0</v>
      </c>
      <c r="D1085" s="77">
        <f>IFERROR(__xludf.DUMMYFUNCTION("""COMPUTED_VALUE"""),0.0)</f>
        <v>0</v>
      </c>
      <c r="E1085" s="46" t="b">
        <f>IFERROR(__xludf.DUMMYFUNCTION("""COMPUTED_VALUE"""),TRUE)</f>
        <v>1</v>
      </c>
    </row>
    <row r="1086">
      <c r="A1086" s="76" t="str">
        <f>IFERROR(__xludf.DUMMYFUNCTION("""COMPUTED_VALUE"""),"Explorers of the Deep")</f>
        <v>Explorers of the Deep</v>
      </c>
      <c r="B1086" s="76" t="str">
        <f>IFERROR(__xludf.DUMMYFUNCTION("""COMPUTED_VALUE"""),"Blight Curse")</f>
        <v>Blight Curse</v>
      </c>
      <c r="C1086" s="77">
        <f>IFERROR(__xludf.DUMMYFUNCTION("""COMPUTED_VALUE"""),0.0)</f>
        <v>0</v>
      </c>
      <c r="D1086" s="77">
        <f>IFERROR(__xludf.DUMMYFUNCTION("""COMPUTED_VALUE"""),0.0)</f>
        <v>0</v>
      </c>
      <c r="E1086" s="46" t="b">
        <f>IFERROR(__xludf.DUMMYFUNCTION("""COMPUTED_VALUE"""),TRUE)</f>
        <v>1</v>
      </c>
    </row>
    <row r="1087" hidden="1">
      <c r="A1087" s="76" t="str">
        <f>IFERROR(__xludf.DUMMYFUNCTION("""COMPUTED_VALUE"""),"Explorers of the Deep")</f>
        <v>Explorers of the Deep</v>
      </c>
      <c r="B1087" s="76" t="str">
        <f>IFERROR(__xludf.DUMMYFUNCTION("""COMPUTED_VALUE"""),"Blood Rites")</f>
        <v>Blood Rites</v>
      </c>
      <c r="C1087" s="77">
        <f>IFERROR(__xludf.DUMMYFUNCTION("""COMPUTED_VALUE"""),0.0)</f>
        <v>0</v>
      </c>
      <c r="D1087" s="77">
        <f>IFERROR(__xludf.DUMMYFUNCTION("""COMPUTED_VALUE"""),0.0)</f>
        <v>0</v>
      </c>
      <c r="E1087" s="46" t="b">
        <f>IFERROR(__xludf.DUMMYFUNCTION("""COMPUTED_VALUE"""),TRUE)</f>
        <v>1</v>
      </c>
    </row>
    <row r="1088" hidden="1">
      <c r="A1088" s="76" t="str">
        <f>IFERROR(__xludf.DUMMYFUNCTION("""COMPUTED_VALUE"""),"Explorers of the Deep")</f>
        <v>Explorers of the Deep</v>
      </c>
      <c r="B1088" s="76" t="str">
        <f>IFERROR(__xludf.DUMMYFUNCTION("""COMPUTED_VALUE"""),"Buckle Up")</f>
        <v>Buckle Up</v>
      </c>
      <c r="C1088" s="77">
        <f>IFERROR(__xludf.DUMMYFUNCTION("""COMPUTED_VALUE"""),0.0)</f>
        <v>0</v>
      </c>
      <c r="D1088" s="77">
        <f>IFERROR(__xludf.DUMMYFUNCTION("""COMPUTED_VALUE"""),0.0)</f>
        <v>0</v>
      </c>
      <c r="E1088" s="46" t="b">
        <f>IFERROR(__xludf.DUMMYFUNCTION("""COMPUTED_VALUE"""),TRUE)</f>
        <v>1</v>
      </c>
    </row>
    <row r="1089">
      <c r="A1089" s="76" t="str">
        <f>IFERROR(__xludf.DUMMYFUNCTION("""COMPUTED_VALUE"""),"Explorers of the Deep")</f>
        <v>Explorers of the Deep</v>
      </c>
      <c r="B1089" s="76" t="str">
        <f>IFERROR(__xludf.DUMMYFUNCTION("""COMPUTED_VALUE"""),"Cabaretti Cacophony")</f>
        <v>Cabaretti Cacophony</v>
      </c>
      <c r="C1089" s="77">
        <f>IFERROR(__xludf.DUMMYFUNCTION("""COMPUTED_VALUE"""),0.0)</f>
        <v>0</v>
      </c>
      <c r="D1089" s="77">
        <f>IFERROR(__xludf.DUMMYFUNCTION("""COMPUTED_VALUE"""),0.0)</f>
        <v>0</v>
      </c>
      <c r="E1089" s="46" t="b">
        <f>IFERROR(__xludf.DUMMYFUNCTION("""COMPUTED_VALUE"""),TRUE)</f>
        <v>1</v>
      </c>
    </row>
    <row r="1090" hidden="1">
      <c r="A1090" s="76" t="str">
        <f>IFERROR(__xludf.DUMMYFUNCTION("""COMPUTED_VALUE"""),"Explorers of the Deep")</f>
        <v>Explorers of the Deep</v>
      </c>
      <c r="B1090" s="76" t="str">
        <f>IFERROR(__xludf.DUMMYFUNCTION("""COMPUTED_VALUE"""),"Cavalry Charge")</f>
        <v>Cavalry Charge</v>
      </c>
      <c r="C1090" s="77">
        <f>IFERROR(__xludf.DUMMYFUNCTION("""COMPUTED_VALUE"""),0.0)</f>
        <v>0</v>
      </c>
      <c r="D1090" s="77">
        <f>IFERROR(__xludf.DUMMYFUNCTION("""COMPUTED_VALUE"""),0.0)</f>
        <v>0</v>
      </c>
      <c r="E1090" s="46" t="b">
        <f>IFERROR(__xludf.DUMMYFUNCTION("""COMPUTED_VALUE"""),TRUE)</f>
        <v>1</v>
      </c>
    </row>
    <row r="1091" hidden="1">
      <c r="A1091" s="76" t="str">
        <f>IFERROR(__xludf.DUMMYFUNCTION("""COMPUTED_VALUE"""),"Explorers of the Deep")</f>
        <v>Explorers of the Deep</v>
      </c>
      <c r="B1091" s="76" t="str">
        <f>IFERROR(__xludf.DUMMYFUNCTION("""COMPUTED_VALUE"""),"Corrupting Influence")</f>
        <v>Corrupting Influence</v>
      </c>
      <c r="C1091" s="77">
        <f>IFERROR(__xludf.DUMMYFUNCTION("""COMPUTED_VALUE"""),0.0)</f>
        <v>0</v>
      </c>
      <c r="D1091" s="77">
        <f>IFERROR(__xludf.DUMMYFUNCTION("""COMPUTED_VALUE"""),0.0)</f>
        <v>0</v>
      </c>
      <c r="E1091" s="46" t="b">
        <f>IFERROR(__xludf.DUMMYFUNCTION("""COMPUTED_VALUE"""),TRUE)</f>
        <v>1</v>
      </c>
    </row>
    <row r="1092">
      <c r="A1092" s="76" t="str">
        <f>IFERROR(__xludf.DUMMYFUNCTION("""COMPUTED_VALUE"""),"Explorers of the Deep")</f>
        <v>Explorers of the Deep</v>
      </c>
      <c r="B1092" s="76" t="str">
        <f>IFERROR(__xludf.DUMMYFUNCTION("""COMPUTED_VALUE"""),"Counter Blitz")</f>
        <v>Counter Blitz</v>
      </c>
      <c r="C1092" s="77">
        <f>IFERROR(__xludf.DUMMYFUNCTION("""COMPUTED_VALUE"""),0.0)</f>
        <v>0</v>
      </c>
      <c r="D1092" s="77">
        <f>IFERROR(__xludf.DUMMYFUNCTION("""COMPUTED_VALUE"""),0.0)</f>
        <v>0</v>
      </c>
      <c r="E1092" s="46" t="b">
        <f>IFERROR(__xludf.DUMMYFUNCTION("""COMPUTED_VALUE"""),TRUE)</f>
        <v>1</v>
      </c>
    </row>
    <row r="1093" hidden="1">
      <c r="A1093" s="76" t="str">
        <f>IFERROR(__xludf.DUMMYFUNCTION("""COMPUTED_VALUE"""),"Explorers of the Deep")</f>
        <v>Explorers of the Deep</v>
      </c>
      <c r="B1093" s="76" t="str">
        <f>IFERROR(__xludf.DUMMYFUNCTION("""COMPUTED_VALUE"""),"Counter Intelligence")</f>
        <v>Counter Intelligence</v>
      </c>
      <c r="C1093" s="77">
        <f>IFERROR(__xludf.DUMMYFUNCTION("""COMPUTED_VALUE"""),0.0)</f>
        <v>0</v>
      </c>
      <c r="D1093" s="77">
        <f>IFERROR(__xludf.DUMMYFUNCTION("""COMPUTED_VALUE"""),0.0)</f>
        <v>0</v>
      </c>
      <c r="E1093" s="46" t="b">
        <f>IFERROR(__xludf.DUMMYFUNCTION("""COMPUTED_VALUE"""),TRUE)</f>
        <v>1</v>
      </c>
    </row>
    <row r="1094" hidden="1">
      <c r="A1094" s="76" t="str">
        <f>IFERROR(__xludf.DUMMYFUNCTION("""COMPUTED_VALUE"""),"Explorers of the Deep")</f>
        <v>Explorers of the Deep</v>
      </c>
      <c r="B1094" s="76" t="str">
        <f>IFERROR(__xludf.DUMMYFUNCTION("""COMPUTED_VALUE"""),"Creative Energy")</f>
        <v>Creative Energy</v>
      </c>
      <c r="C1094" s="77">
        <f>IFERROR(__xludf.DUMMYFUNCTION("""COMPUTED_VALUE"""),0.0)</f>
        <v>0</v>
      </c>
      <c r="D1094" s="77">
        <f>IFERROR(__xludf.DUMMYFUNCTION("""COMPUTED_VALUE"""),0.0)</f>
        <v>0</v>
      </c>
      <c r="E1094" s="46" t="b">
        <f>IFERROR(__xludf.DUMMYFUNCTION("""COMPUTED_VALUE"""),TRUE)</f>
        <v>1</v>
      </c>
    </row>
    <row r="1095" hidden="1">
      <c r="A1095" s="76" t="str">
        <f>IFERROR(__xludf.DUMMYFUNCTION("""COMPUTED_VALUE"""),"Explorers of the Deep")</f>
        <v>Explorers of the Deep</v>
      </c>
      <c r="B1095" s="76" t="str">
        <f>IFERROR(__xludf.DUMMYFUNCTION("""COMPUTED_VALUE"""),"Dance of the Elements")</f>
        <v>Dance of the Elements</v>
      </c>
      <c r="C1095" s="77">
        <f>IFERROR(__xludf.DUMMYFUNCTION("""COMPUTED_VALUE"""),0.0)</f>
        <v>0</v>
      </c>
      <c r="D1095" s="77">
        <f>IFERROR(__xludf.DUMMYFUNCTION("""COMPUTED_VALUE"""),0.0)</f>
        <v>0</v>
      </c>
      <c r="E1095" s="46" t="b">
        <f>IFERROR(__xludf.DUMMYFUNCTION("""COMPUTED_VALUE"""),TRUE)</f>
        <v>1</v>
      </c>
    </row>
    <row r="1096" hidden="1">
      <c r="A1096" s="76" t="str">
        <f>IFERROR(__xludf.DUMMYFUNCTION("""COMPUTED_VALUE"""),"Explorers of the Deep")</f>
        <v>Explorers of the Deep</v>
      </c>
      <c r="B1096" s="76" t="str">
        <f>IFERROR(__xludf.DUMMYFUNCTION("""COMPUTED_VALUE"""),"Deep Clue Sea")</f>
        <v>Deep Clue Sea</v>
      </c>
      <c r="C1096" s="77">
        <f>IFERROR(__xludf.DUMMYFUNCTION("""COMPUTED_VALUE"""),0.0)</f>
        <v>0</v>
      </c>
      <c r="D1096" s="77">
        <f>IFERROR(__xludf.DUMMYFUNCTION("""COMPUTED_VALUE"""),1.0)</f>
        <v>1</v>
      </c>
      <c r="E1096" s="46" t="b">
        <f>IFERROR(__xludf.DUMMYFUNCTION("""COMPUTED_VALUE"""),FALSE)</f>
        <v>0</v>
      </c>
    </row>
    <row r="1097" hidden="1">
      <c r="A1097" s="78" t="str">
        <f>IFERROR(__xludf.DUMMYFUNCTION("""COMPUTED_VALUE"""),"Explorers of the Deep")</f>
        <v>Explorers of the Deep</v>
      </c>
      <c r="B1097" s="78" t="str">
        <f>IFERROR(__xludf.DUMMYFUNCTION("""COMPUTED_VALUE"""),"Doom Prevails")</f>
        <v>Doom Prevails</v>
      </c>
      <c r="C1097" s="79">
        <f>IFERROR(__xludf.DUMMYFUNCTION("""COMPUTED_VALUE"""),1.0)</f>
        <v>1</v>
      </c>
      <c r="D1097" s="79">
        <f>IFERROR(__xludf.DUMMYFUNCTION("""COMPUTED_VALUE"""),0.0)</f>
        <v>0</v>
      </c>
      <c r="E1097" s="69" t="b">
        <f>IFERROR(__xludf.DUMMYFUNCTION("""COMPUTED_VALUE"""),FALSE)</f>
        <v>0</v>
      </c>
    </row>
    <row r="1098" hidden="1">
      <c r="A1098" s="76" t="str">
        <f>IFERROR(__xludf.DUMMYFUNCTION("""COMPUTED_VALUE"""),"Explorers of the Deep")</f>
        <v>Explorers of the Deep</v>
      </c>
      <c r="B1098" s="76" t="str">
        <f>IFERROR(__xludf.DUMMYFUNCTION("""COMPUTED_VALUE"""),"Eldrazi Incursion")</f>
        <v>Eldrazi Incursion</v>
      </c>
      <c r="C1098" s="77">
        <f>IFERROR(__xludf.DUMMYFUNCTION("""COMPUTED_VALUE"""),0.0)</f>
        <v>0</v>
      </c>
      <c r="D1098" s="77">
        <f>IFERROR(__xludf.DUMMYFUNCTION("""COMPUTED_VALUE"""),0.0)</f>
        <v>0</v>
      </c>
      <c r="E1098" s="46" t="b">
        <f>IFERROR(__xludf.DUMMYFUNCTION("""COMPUTED_VALUE"""),TRUE)</f>
        <v>1</v>
      </c>
    </row>
    <row r="1099" hidden="1">
      <c r="A1099" s="76" t="str">
        <f>IFERROR(__xludf.DUMMYFUNCTION("""COMPUTED_VALUE"""),"Explorers of the Deep")</f>
        <v>Explorers of the Deep</v>
      </c>
      <c r="B1099" s="76" t="str">
        <f>IFERROR(__xludf.DUMMYFUNCTION("""COMPUTED_VALUE"""),"Eldrazi Unbound")</f>
        <v>Eldrazi Unbound</v>
      </c>
      <c r="C1099" s="77">
        <f>IFERROR(__xludf.DUMMYFUNCTION("""COMPUTED_VALUE"""),0.0)</f>
        <v>0</v>
      </c>
      <c r="D1099" s="77">
        <f>IFERROR(__xludf.DUMMYFUNCTION("""COMPUTED_VALUE"""),0.0)</f>
        <v>0</v>
      </c>
      <c r="E1099" s="46" t="b">
        <f>IFERROR(__xludf.DUMMYFUNCTION("""COMPUTED_VALUE"""),TRUE)</f>
        <v>1</v>
      </c>
    </row>
    <row r="1100" hidden="1">
      <c r="A1100" s="76" t="str">
        <f>IFERROR(__xludf.DUMMYFUNCTION("""COMPUTED_VALUE"""),"Explorers of the Deep")</f>
        <v>Explorers of the Deep</v>
      </c>
      <c r="B1100" s="76" t="str">
        <f>IFERROR(__xludf.DUMMYFUNCTION("""COMPUTED_VALUE"""),"Endless Punishment")</f>
        <v>Endless Punishment</v>
      </c>
      <c r="C1100" s="77">
        <f>IFERROR(__xludf.DUMMYFUNCTION("""COMPUTED_VALUE"""),0.0)</f>
        <v>0</v>
      </c>
      <c r="D1100" s="77">
        <f>IFERROR(__xludf.DUMMYFUNCTION("""COMPUTED_VALUE"""),1.0)</f>
        <v>1</v>
      </c>
      <c r="E1100" s="46" t="b">
        <f>IFERROR(__xludf.DUMMYFUNCTION("""COMPUTED_VALUE"""),FALSE)</f>
        <v>0</v>
      </c>
    </row>
    <row r="1101" hidden="1">
      <c r="A1101" s="76" t="str">
        <f>IFERROR(__xludf.DUMMYFUNCTION("""COMPUTED_VALUE"""),"Explorers of the Deep")</f>
        <v>Explorers of the Deep</v>
      </c>
      <c r="B1101" s="76" t="str">
        <f>IFERROR(__xludf.DUMMYFUNCTION("""COMPUTED_VALUE"""),"Enduring Enchantments")</f>
        <v>Enduring Enchantments</v>
      </c>
      <c r="C1101" s="77">
        <f>IFERROR(__xludf.DUMMYFUNCTION("""COMPUTED_VALUE"""),0.0)</f>
        <v>0</v>
      </c>
      <c r="D1101" s="77">
        <f>IFERROR(__xludf.DUMMYFUNCTION("""COMPUTED_VALUE"""),0.0)</f>
        <v>0</v>
      </c>
      <c r="E1101" s="46" t="b">
        <f>IFERROR(__xludf.DUMMYFUNCTION("""COMPUTED_VALUE"""),TRUE)</f>
        <v>1</v>
      </c>
    </row>
    <row r="1102" hidden="1">
      <c r="A1102" s="76" t="str">
        <f>IFERROR(__xludf.DUMMYFUNCTION("""COMPUTED_VALUE"""),"Explorers of the Deep")</f>
        <v>Explorers of the Deep</v>
      </c>
      <c r="B1102" s="76" t="str">
        <f>IFERROR(__xludf.DUMMYFUNCTION("""COMPUTED_VALUE"""),"Explorers of the Deep")</f>
        <v>Explorers of the Deep</v>
      </c>
      <c r="C1102" s="77">
        <f>IFERROR(__xludf.DUMMYFUNCTION("""COMPUTED_VALUE"""),2.0)</f>
        <v>2</v>
      </c>
      <c r="D1102" s="77">
        <f>IFERROR(__xludf.DUMMYFUNCTION("""COMPUTED_VALUE"""),2.0)</f>
        <v>2</v>
      </c>
      <c r="E1102" s="46" t="b">
        <f>IFERROR(__xludf.DUMMYFUNCTION("""COMPUTED_VALUE"""),TRUE)</f>
        <v>1</v>
      </c>
    </row>
    <row r="1103" hidden="1">
      <c r="A1103" s="76" t="str">
        <f>IFERROR(__xludf.DUMMYFUNCTION("""COMPUTED_VALUE"""),"Explorers of the Deep")</f>
        <v>Explorers of the Deep</v>
      </c>
      <c r="B1103" s="76" t="str">
        <f>IFERROR(__xludf.DUMMYFUNCTION("""COMPUTED_VALUE"""),"Family Matters")</f>
        <v>Family Matters</v>
      </c>
      <c r="C1103" s="77">
        <f>IFERROR(__xludf.DUMMYFUNCTION("""COMPUTED_VALUE"""),1.0)</f>
        <v>1</v>
      </c>
      <c r="D1103" s="77">
        <f>IFERROR(__xludf.DUMMYFUNCTION("""COMPUTED_VALUE"""),0.0)</f>
        <v>0</v>
      </c>
      <c r="E1103" s="46" t="b">
        <f>IFERROR(__xludf.DUMMYFUNCTION("""COMPUTED_VALUE"""),FALSE)</f>
        <v>0</v>
      </c>
    </row>
    <row r="1104" hidden="1">
      <c r="A1104" s="76" t="str">
        <f>IFERROR(__xludf.DUMMYFUNCTION("""COMPUTED_VALUE"""),"Explorers of the Deep")</f>
        <v>Explorers of the Deep</v>
      </c>
      <c r="B1104" s="76" t="str">
        <f>IFERROR(__xludf.DUMMYFUNCTION("""COMPUTED_VALUE"""),"Food and Fellowship")</f>
        <v>Food and Fellowship</v>
      </c>
      <c r="C1104" s="77">
        <f>IFERROR(__xludf.DUMMYFUNCTION("""COMPUTED_VALUE"""),0.0)</f>
        <v>0</v>
      </c>
      <c r="D1104" s="77">
        <f>IFERROR(__xludf.DUMMYFUNCTION("""COMPUTED_VALUE"""),0.0)</f>
        <v>0</v>
      </c>
      <c r="E1104" s="46" t="b">
        <f>IFERROR(__xludf.DUMMYFUNCTION("""COMPUTED_VALUE"""),TRUE)</f>
        <v>1</v>
      </c>
    </row>
    <row r="1105" hidden="1">
      <c r="A1105" s="76" t="str">
        <f>IFERROR(__xludf.DUMMYFUNCTION("""COMPUTED_VALUE"""),"Explorers of the Deep")</f>
        <v>Explorers of the Deep</v>
      </c>
      <c r="B1105" s="76" t="str">
        <f>IFERROR(__xludf.DUMMYFUNCTION("""COMPUTED_VALUE"""),"Jeskai Striker")</f>
        <v>Jeskai Striker</v>
      </c>
      <c r="C1105" s="77">
        <f>IFERROR(__xludf.DUMMYFUNCTION("""COMPUTED_VALUE"""),0.0)</f>
        <v>0</v>
      </c>
      <c r="D1105" s="77">
        <f>IFERROR(__xludf.DUMMYFUNCTION("""COMPUTED_VALUE"""),0.0)</f>
        <v>0</v>
      </c>
      <c r="E1105" s="46" t="b">
        <f>IFERROR(__xludf.DUMMYFUNCTION("""COMPUTED_VALUE"""),TRUE)</f>
        <v>1</v>
      </c>
    </row>
    <row r="1106" hidden="1">
      <c r="A1106" s="76" t="str">
        <f>IFERROR(__xludf.DUMMYFUNCTION("""COMPUTED_VALUE"""),"Explorers of the Deep")</f>
        <v>Explorers of the Deep</v>
      </c>
      <c r="B1106" s="76" t="str">
        <f>IFERROR(__xludf.DUMMYFUNCTION("""COMPUTED_VALUE"""),"Legends' Legacy")</f>
        <v>Legends' Legacy</v>
      </c>
      <c r="C1106" s="77">
        <f>IFERROR(__xludf.DUMMYFUNCTION("""COMPUTED_VALUE"""),0.0)</f>
        <v>0</v>
      </c>
      <c r="D1106" s="77">
        <f>IFERROR(__xludf.DUMMYFUNCTION("""COMPUTED_VALUE"""),0.0)</f>
        <v>0</v>
      </c>
      <c r="E1106" s="46" t="b">
        <f>IFERROR(__xludf.DUMMYFUNCTION("""COMPUTED_VALUE"""),TRUE)</f>
        <v>1</v>
      </c>
    </row>
    <row r="1107" hidden="1">
      <c r="A1107" s="76" t="str">
        <f>IFERROR(__xludf.DUMMYFUNCTION("""COMPUTED_VALUE"""),"Explorers of the Deep")</f>
        <v>Explorers of the Deep</v>
      </c>
      <c r="B1107" s="76" t="str">
        <f>IFERROR(__xludf.DUMMYFUNCTION("""COMPUTED_VALUE"""),"Limit Break")</f>
        <v>Limit Break</v>
      </c>
      <c r="C1107" s="77">
        <f>IFERROR(__xludf.DUMMYFUNCTION("""COMPUTED_VALUE"""),0.0)</f>
        <v>0</v>
      </c>
      <c r="D1107" s="77">
        <f>IFERROR(__xludf.DUMMYFUNCTION("""COMPUTED_VALUE"""),0.0)</f>
        <v>0</v>
      </c>
      <c r="E1107" s="46" t="b">
        <f>IFERROR(__xludf.DUMMYFUNCTION("""COMPUTED_VALUE"""),TRUE)</f>
        <v>1</v>
      </c>
    </row>
    <row r="1108" hidden="1">
      <c r="A1108" s="76" t="str">
        <f>IFERROR(__xludf.DUMMYFUNCTION("""COMPUTED_VALUE"""),"Explorers of the Deep")</f>
        <v>Explorers of the Deep</v>
      </c>
      <c r="B1108" s="76" t="str">
        <f>IFERROR(__xludf.DUMMYFUNCTION("""COMPUTED_VALUE"""),"Lorehold Spirit")</f>
        <v>Lorehold Spirit</v>
      </c>
      <c r="C1108" s="77">
        <f>IFERROR(__xludf.DUMMYFUNCTION("""COMPUTED_VALUE"""),0.0)</f>
        <v>0</v>
      </c>
      <c r="D1108" s="77">
        <f>IFERROR(__xludf.DUMMYFUNCTION("""COMPUTED_VALUE"""),0.0)</f>
        <v>0</v>
      </c>
      <c r="E1108" s="46" t="b">
        <f>IFERROR(__xludf.DUMMYFUNCTION("""COMPUTED_VALUE"""),TRUE)</f>
        <v>1</v>
      </c>
    </row>
    <row r="1109" hidden="1">
      <c r="A1109" s="76" t="str">
        <f>IFERROR(__xludf.DUMMYFUNCTION("""COMPUTED_VALUE"""),"Explorers of the Deep")</f>
        <v>Explorers of the Deep</v>
      </c>
      <c r="B1109" s="76" t="str">
        <f>IFERROR(__xludf.DUMMYFUNCTION("""COMPUTED_VALUE"""),"Mutant Menace")</f>
        <v>Mutant Menace</v>
      </c>
      <c r="C1109" s="77">
        <f>IFERROR(__xludf.DUMMYFUNCTION("""COMPUTED_VALUE"""),0.0)</f>
        <v>0</v>
      </c>
      <c r="D1109" s="77">
        <f>IFERROR(__xludf.DUMMYFUNCTION("""COMPUTED_VALUE"""),0.0)</f>
        <v>0</v>
      </c>
      <c r="E1109" s="46" t="b">
        <f>IFERROR(__xludf.DUMMYFUNCTION("""COMPUTED_VALUE"""),TRUE)</f>
        <v>1</v>
      </c>
    </row>
    <row r="1110" hidden="1">
      <c r="A1110" s="76" t="str">
        <f>IFERROR(__xludf.DUMMYFUNCTION("""COMPUTED_VALUE"""),"Explorers of the Deep")</f>
        <v>Explorers of the Deep</v>
      </c>
      <c r="B1110" s="76" t="str">
        <f>IFERROR(__xludf.DUMMYFUNCTION("""COMPUTED_VALUE"""),"Party Time")</f>
        <v>Party Time</v>
      </c>
      <c r="C1110" s="77">
        <f>IFERROR(__xludf.DUMMYFUNCTION("""COMPUTED_VALUE"""),0.0)</f>
        <v>0</v>
      </c>
      <c r="D1110" s="77">
        <f>IFERROR(__xludf.DUMMYFUNCTION("""COMPUTED_VALUE"""),0.0)</f>
        <v>0</v>
      </c>
      <c r="E1110" s="46" t="b">
        <f>IFERROR(__xludf.DUMMYFUNCTION("""COMPUTED_VALUE"""),TRUE)</f>
        <v>1</v>
      </c>
    </row>
    <row r="1111">
      <c r="A1111" s="76" t="str">
        <f>IFERROR(__xludf.DUMMYFUNCTION("""COMPUTED_VALUE"""),"Explorers of the Deep")</f>
        <v>Explorers of the Deep</v>
      </c>
      <c r="B1111" s="76" t="str">
        <f>IFERROR(__xludf.DUMMYFUNCTION("""COMPUTED_VALUE"""),"Peace Offering")</f>
        <v>Peace Offering</v>
      </c>
      <c r="C1111" s="77">
        <f>IFERROR(__xludf.DUMMYFUNCTION("""COMPUTED_VALUE"""),0.0)</f>
        <v>0</v>
      </c>
      <c r="D1111" s="77">
        <f>IFERROR(__xludf.DUMMYFUNCTION("""COMPUTED_VALUE"""),0.0)</f>
        <v>0</v>
      </c>
      <c r="E1111" s="46" t="b">
        <f>IFERROR(__xludf.DUMMYFUNCTION("""COMPUTED_VALUE"""),TRUE)</f>
        <v>1</v>
      </c>
    </row>
    <row r="1112" hidden="1">
      <c r="A1112" s="76" t="str">
        <f>IFERROR(__xludf.DUMMYFUNCTION("""COMPUTED_VALUE"""),"Explorers of the Deep")</f>
        <v>Explorers of the Deep</v>
      </c>
      <c r="B1112" s="76" t="str">
        <f>IFERROR(__xludf.DUMMYFUNCTION("""COMPUTED_VALUE"""),"Power Hungry")</f>
        <v>Power Hungry</v>
      </c>
      <c r="C1112" s="77">
        <f>IFERROR(__xludf.DUMMYFUNCTION("""COMPUTED_VALUE"""),0.0)</f>
        <v>0</v>
      </c>
      <c r="D1112" s="77">
        <f>IFERROR(__xludf.DUMMYFUNCTION("""COMPUTED_VALUE"""),0.0)</f>
        <v>0</v>
      </c>
      <c r="E1112" s="46" t="b">
        <f>IFERROR(__xludf.DUMMYFUNCTION("""COMPUTED_VALUE"""),TRUE)</f>
        <v>1</v>
      </c>
    </row>
    <row r="1113">
      <c r="A1113" s="76" t="str">
        <f>IFERROR(__xludf.DUMMYFUNCTION("""COMPUTED_VALUE"""),"Explorers of the Deep")</f>
        <v>Explorers of the Deep</v>
      </c>
      <c r="B1113" s="76" t="str">
        <f>IFERROR(__xludf.DUMMYFUNCTION("""COMPUTED_VALUE"""),"Primal Genesis")</f>
        <v>Primal Genesis</v>
      </c>
      <c r="C1113" s="77">
        <f>IFERROR(__xludf.DUMMYFUNCTION("""COMPUTED_VALUE"""),0.0)</f>
        <v>0</v>
      </c>
      <c r="D1113" s="77">
        <f>IFERROR(__xludf.DUMMYFUNCTION("""COMPUTED_VALUE"""),0.0)</f>
        <v>0</v>
      </c>
      <c r="E1113" s="46" t="b">
        <f>IFERROR(__xludf.DUMMYFUNCTION("""COMPUTED_VALUE"""),TRUE)</f>
        <v>1</v>
      </c>
    </row>
    <row r="1114">
      <c r="A1114" s="78" t="str">
        <f>IFERROR(__xludf.DUMMYFUNCTION("""COMPUTED_VALUE"""),"Explorers of the Deep")</f>
        <v>Explorers of the Deep</v>
      </c>
      <c r="B1114" s="78" t="str">
        <f>IFERROR(__xludf.DUMMYFUNCTION("""COMPUTED_VALUE"""),"Prismari Artistry")</f>
        <v>Prismari Artistry</v>
      </c>
      <c r="C1114" s="79">
        <f>IFERROR(__xludf.DUMMYFUNCTION("""COMPUTED_VALUE"""),0.0)</f>
        <v>0</v>
      </c>
      <c r="D1114" s="79">
        <f>IFERROR(__xludf.DUMMYFUNCTION("""COMPUTED_VALUE"""),0.0)</f>
        <v>0</v>
      </c>
      <c r="E1114" s="69" t="b">
        <f>IFERROR(__xludf.DUMMYFUNCTION("""COMPUTED_VALUE"""),TRUE)</f>
        <v>1</v>
      </c>
    </row>
    <row r="1115" hidden="1">
      <c r="A1115" s="76" t="str">
        <f>IFERROR(__xludf.DUMMYFUNCTION("""COMPUTED_VALUE"""),"Explorers of the Deep")</f>
        <v>Explorers of the Deep</v>
      </c>
      <c r="B1115" s="76" t="str">
        <f>IFERROR(__xludf.DUMMYFUNCTION("""COMPUTED_VALUE"""),"Prismari Performance")</f>
        <v>Prismari Performance</v>
      </c>
      <c r="C1115" s="77">
        <f>IFERROR(__xludf.DUMMYFUNCTION("""COMPUTED_VALUE"""),0.0)</f>
        <v>0</v>
      </c>
      <c r="D1115" s="77">
        <f>IFERROR(__xludf.DUMMYFUNCTION("""COMPUTED_VALUE"""),0.0)</f>
        <v>0</v>
      </c>
      <c r="E1115" s="46" t="b">
        <f>IFERROR(__xludf.DUMMYFUNCTION("""COMPUTED_VALUE"""),TRUE)</f>
        <v>1</v>
      </c>
    </row>
    <row r="1116" hidden="1">
      <c r="A1116" s="76" t="str">
        <f>IFERROR(__xludf.DUMMYFUNCTION("""COMPUTED_VALUE"""),"Explorers of the Deep")</f>
        <v>Explorers of the Deep</v>
      </c>
      <c r="B1116" s="76" t="str">
        <f>IFERROR(__xludf.DUMMYFUNCTION("""COMPUTED_VALUE"""),"Quandrix Unlimited")</f>
        <v>Quandrix Unlimited</v>
      </c>
      <c r="C1116" s="77">
        <f>IFERROR(__xludf.DUMMYFUNCTION("""COMPUTED_VALUE"""),0.0)</f>
        <v>0</v>
      </c>
      <c r="D1116" s="77">
        <f>IFERROR(__xludf.DUMMYFUNCTION("""COMPUTED_VALUE"""),0.0)</f>
        <v>0</v>
      </c>
      <c r="E1116" s="46" t="b">
        <f>IFERROR(__xludf.DUMMYFUNCTION("""COMPUTED_VALUE"""),TRUE)</f>
        <v>1</v>
      </c>
    </row>
    <row r="1117" hidden="1">
      <c r="A1117" s="78" t="str">
        <f>IFERROR(__xludf.DUMMYFUNCTION("""COMPUTED_VALUE"""),"Explorers of the Deep")</f>
        <v>Explorers of the Deep</v>
      </c>
      <c r="B1117" s="78" t="str">
        <f>IFERROR(__xludf.DUMMYFUNCTION("""COMPUTED_VALUE"""),"Quick Draw")</f>
        <v>Quick Draw</v>
      </c>
      <c r="C1117" s="79">
        <f>IFERROR(__xludf.DUMMYFUNCTION("""COMPUTED_VALUE"""),0.0)</f>
        <v>0</v>
      </c>
      <c r="D1117" s="79">
        <f>IFERROR(__xludf.DUMMYFUNCTION("""COMPUTED_VALUE"""),1.0)</f>
        <v>1</v>
      </c>
      <c r="E1117" s="69" t="b">
        <f>IFERROR(__xludf.DUMMYFUNCTION("""COMPUTED_VALUE"""),FALSE)</f>
        <v>0</v>
      </c>
    </row>
    <row r="1118">
      <c r="A1118" s="76" t="str">
        <f>IFERROR(__xludf.DUMMYFUNCTION("""COMPUTED_VALUE"""),"Explorers of the Deep")</f>
        <v>Explorers of the Deep</v>
      </c>
      <c r="B1118" s="76" t="str">
        <f>IFERROR(__xludf.DUMMYFUNCTION("""COMPUTED_VALUE"""),"Reap the Tides")</f>
        <v>Reap the Tides</v>
      </c>
      <c r="C1118" s="77">
        <f>IFERROR(__xludf.DUMMYFUNCTION("""COMPUTED_VALUE"""),0.0)</f>
        <v>0</v>
      </c>
      <c r="D1118" s="77">
        <f>IFERROR(__xludf.DUMMYFUNCTION("""COMPUTED_VALUE"""),0.0)</f>
        <v>0</v>
      </c>
      <c r="E1118" s="46" t="b">
        <f>IFERROR(__xludf.DUMMYFUNCTION("""COMPUTED_VALUE"""),TRUE)</f>
        <v>1</v>
      </c>
    </row>
    <row r="1119" hidden="1">
      <c r="A1119" s="76" t="str">
        <f>IFERROR(__xludf.DUMMYFUNCTION("""COMPUTED_VALUE"""),"Explorers of the Deep")</f>
        <v>Explorers of the Deep</v>
      </c>
      <c r="B1119" s="76" t="str">
        <f>IFERROR(__xludf.DUMMYFUNCTION("""COMPUTED_VALUE"""),"Rebellion Rising")</f>
        <v>Rebellion Rising</v>
      </c>
      <c r="C1119" s="77">
        <f>IFERROR(__xludf.DUMMYFUNCTION("""COMPUTED_VALUE"""),0.0)</f>
        <v>0</v>
      </c>
      <c r="D1119" s="77">
        <f>IFERROR(__xludf.DUMMYFUNCTION("""COMPUTED_VALUE"""),0.0)</f>
        <v>0</v>
      </c>
      <c r="E1119" s="46" t="b">
        <f>IFERROR(__xludf.DUMMYFUNCTION("""COMPUTED_VALUE"""),TRUE)</f>
        <v>1</v>
      </c>
    </row>
    <row r="1120" hidden="1">
      <c r="A1120" s="76" t="str">
        <f>IFERROR(__xludf.DUMMYFUNCTION("""COMPUTED_VALUE"""),"Explorers of the Deep")</f>
        <v>Explorers of the Deep</v>
      </c>
      <c r="B1120" s="76" t="str">
        <f>IFERROR(__xludf.DUMMYFUNCTION("""COMPUTED_VALUE"""),"Revival Trance")</f>
        <v>Revival Trance</v>
      </c>
      <c r="C1120" s="77">
        <f>IFERROR(__xludf.DUMMYFUNCTION("""COMPUTED_VALUE"""),0.0)</f>
        <v>0</v>
      </c>
      <c r="D1120" s="77">
        <f>IFERROR(__xludf.DUMMYFUNCTION("""COMPUTED_VALUE"""),0.0)</f>
        <v>0</v>
      </c>
      <c r="E1120" s="46" t="b">
        <f>IFERROR(__xludf.DUMMYFUNCTION("""COMPUTED_VALUE"""),TRUE)</f>
        <v>1</v>
      </c>
    </row>
    <row r="1121" hidden="1">
      <c r="A1121" s="76" t="str">
        <f>IFERROR(__xludf.DUMMYFUNCTION("""COMPUTED_VALUE"""),"Explorers of the Deep")</f>
        <v>Explorers of the Deep</v>
      </c>
      <c r="B1121" s="76" t="str">
        <f>IFERROR(__xludf.DUMMYFUNCTION("""COMPUTED_VALUE"""),"Riders of Rohan")</f>
        <v>Riders of Rohan</v>
      </c>
      <c r="C1121" s="77">
        <f>IFERROR(__xludf.DUMMYFUNCTION("""COMPUTED_VALUE"""),0.0)</f>
        <v>0</v>
      </c>
      <c r="D1121" s="77">
        <f>IFERROR(__xludf.DUMMYFUNCTION("""COMPUTED_VALUE"""),0.0)</f>
        <v>0</v>
      </c>
      <c r="E1121" s="46" t="b">
        <f>IFERROR(__xludf.DUMMYFUNCTION("""COMPUTED_VALUE"""),TRUE)</f>
        <v>1</v>
      </c>
    </row>
    <row r="1122" hidden="1">
      <c r="A1122" s="76" t="str">
        <f>IFERROR(__xludf.DUMMYFUNCTION("""COMPUTED_VALUE"""),"Explorers of the Deep")</f>
        <v>Explorers of the Deep</v>
      </c>
      <c r="B1122" s="76" t="str">
        <f>IFERROR(__xludf.DUMMYFUNCTION("""COMPUTED_VALUE"""),"Science!")</f>
        <v>Science!</v>
      </c>
      <c r="C1122" s="77">
        <f>IFERROR(__xludf.DUMMYFUNCTION("""COMPUTED_VALUE"""),0.0)</f>
        <v>0</v>
      </c>
      <c r="D1122" s="77">
        <f>IFERROR(__xludf.DUMMYFUNCTION("""COMPUTED_VALUE"""),0.0)</f>
        <v>0</v>
      </c>
      <c r="E1122" s="46" t="b">
        <f>IFERROR(__xludf.DUMMYFUNCTION("""COMPUTED_VALUE"""),TRUE)</f>
        <v>1</v>
      </c>
    </row>
    <row r="1123" hidden="1">
      <c r="A1123" s="76" t="str">
        <f>IFERROR(__xludf.DUMMYFUNCTION("""COMPUTED_VALUE"""),"Explorers of the Deep")</f>
        <v>Explorers of the Deep</v>
      </c>
      <c r="B1123" s="76" t="str">
        <f>IFERROR(__xludf.DUMMYFUNCTION("""COMPUTED_VALUE"""),"Scions &amp; Spellcraft")</f>
        <v>Scions &amp; Spellcraft</v>
      </c>
      <c r="C1123" s="77">
        <f>IFERROR(__xludf.DUMMYFUNCTION("""COMPUTED_VALUE"""),0.0)</f>
        <v>0</v>
      </c>
      <c r="D1123" s="77">
        <f>IFERROR(__xludf.DUMMYFUNCTION("""COMPUTED_VALUE"""),1.0)</f>
        <v>1</v>
      </c>
      <c r="E1123" s="46" t="b">
        <f>IFERROR(__xludf.DUMMYFUNCTION("""COMPUTED_VALUE"""),FALSE)</f>
        <v>0</v>
      </c>
    </row>
    <row r="1124" hidden="1">
      <c r="A1124" s="76" t="str">
        <f>IFERROR(__xludf.DUMMYFUNCTION("""COMPUTED_VALUE"""),"Explorers of the Deep")</f>
        <v>Explorers of the Deep</v>
      </c>
      <c r="B1124" s="76" t="str">
        <f>IFERROR(__xludf.DUMMYFUNCTION("""COMPUTED_VALUE"""),"Scrappy Survivors")</f>
        <v>Scrappy Survivors</v>
      </c>
      <c r="C1124" s="77">
        <f>IFERROR(__xludf.DUMMYFUNCTION("""COMPUTED_VALUE"""),0.0)</f>
        <v>0</v>
      </c>
      <c r="D1124" s="77">
        <f>IFERROR(__xludf.DUMMYFUNCTION("""COMPUTED_VALUE"""),0.0)</f>
        <v>0</v>
      </c>
      <c r="E1124" s="46" t="b">
        <f>IFERROR(__xludf.DUMMYFUNCTION("""COMPUTED_VALUE"""),TRUE)</f>
        <v>1</v>
      </c>
    </row>
    <row r="1125" hidden="1">
      <c r="A1125" s="76" t="str">
        <f>IFERROR(__xludf.DUMMYFUNCTION("""COMPUTED_VALUE"""),"Explorers of the Deep")</f>
        <v>Explorers of the Deep</v>
      </c>
      <c r="B1125" s="76" t="str">
        <f>IFERROR(__xludf.DUMMYFUNCTION("""COMPUTED_VALUE"""),"Silverquill Influence")</f>
        <v>Silverquill Influence</v>
      </c>
      <c r="C1125" s="77">
        <f>IFERROR(__xludf.DUMMYFUNCTION("""COMPUTED_VALUE"""),0.0)</f>
        <v>0</v>
      </c>
      <c r="D1125" s="77">
        <f>IFERROR(__xludf.DUMMYFUNCTION("""COMPUTED_VALUE"""),0.0)</f>
        <v>0</v>
      </c>
      <c r="E1125" s="46" t="b">
        <f>IFERROR(__xludf.DUMMYFUNCTION("""COMPUTED_VALUE"""),TRUE)</f>
        <v>1</v>
      </c>
    </row>
    <row r="1126" hidden="1">
      <c r="A1126" s="76" t="str">
        <f>IFERROR(__xludf.DUMMYFUNCTION("""COMPUTED_VALUE"""),"Explorers of the Deep")</f>
        <v>Explorers of the Deep</v>
      </c>
      <c r="B1126" s="76" t="str">
        <f>IFERROR(__xludf.DUMMYFUNCTION("""COMPUTED_VALUE"""),"Spirit Squadron")</f>
        <v>Spirit Squadron</v>
      </c>
      <c r="C1126" s="77">
        <f>IFERROR(__xludf.DUMMYFUNCTION("""COMPUTED_VALUE"""),0.0)</f>
        <v>0</v>
      </c>
      <c r="D1126" s="77">
        <f>IFERROR(__xludf.DUMMYFUNCTION("""COMPUTED_VALUE"""),0.0)</f>
        <v>0</v>
      </c>
      <c r="E1126" s="46" t="b">
        <f>IFERROR(__xludf.DUMMYFUNCTION("""COMPUTED_VALUE"""),TRUE)</f>
        <v>1</v>
      </c>
    </row>
    <row r="1127" hidden="1">
      <c r="A1127" s="76" t="str">
        <f>IFERROR(__xludf.DUMMYFUNCTION("""COMPUTED_VALUE"""),"Explorers of the Deep")</f>
        <v>Explorers of the Deep</v>
      </c>
      <c r="B1127" s="76" t="str">
        <f>IFERROR(__xludf.DUMMYFUNCTION("""COMPUTED_VALUE"""),"Squirreled Away")</f>
        <v>Squirreled Away</v>
      </c>
      <c r="C1127" s="77">
        <f>IFERROR(__xludf.DUMMYFUNCTION("""COMPUTED_VALUE"""),1.0)</f>
        <v>1</v>
      </c>
      <c r="D1127" s="77">
        <f>IFERROR(__xludf.DUMMYFUNCTION("""COMPUTED_VALUE"""),0.0)</f>
        <v>0</v>
      </c>
      <c r="E1127" s="46" t="b">
        <f>IFERROR(__xludf.DUMMYFUNCTION("""COMPUTED_VALUE"""),FALSE)</f>
        <v>0</v>
      </c>
    </row>
    <row r="1128" hidden="1">
      <c r="A1128" s="76" t="str">
        <f>IFERROR(__xludf.DUMMYFUNCTION("""COMPUTED_VALUE"""),"Explorers of the Deep")</f>
        <v>Explorers of the Deep</v>
      </c>
      <c r="B1128" s="76" t="str">
        <f>IFERROR(__xludf.DUMMYFUNCTION("""COMPUTED_VALUE"""),"Sultai Arisen")</f>
        <v>Sultai Arisen</v>
      </c>
      <c r="C1128" s="77">
        <f>IFERROR(__xludf.DUMMYFUNCTION("""COMPUTED_VALUE"""),1.0)</f>
        <v>1</v>
      </c>
      <c r="D1128" s="77">
        <f>IFERROR(__xludf.DUMMYFUNCTION("""COMPUTED_VALUE"""),0.0)</f>
        <v>0</v>
      </c>
      <c r="E1128" s="46" t="b">
        <f>IFERROR(__xludf.DUMMYFUNCTION("""COMPUTED_VALUE"""),FALSE)</f>
        <v>0</v>
      </c>
    </row>
    <row r="1129" hidden="1">
      <c r="A1129" s="76" t="str">
        <f>IFERROR(__xludf.DUMMYFUNCTION("""COMPUTED_VALUE"""),"Explorers of the Deep")</f>
        <v>Explorers of the Deep</v>
      </c>
      <c r="B1129" s="76" t="str">
        <f>IFERROR(__xludf.DUMMYFUNCTION("""COMPUTED_VALUE"""),"Temur Roar")</f>
        <v>Temur Roar</v>
      </c>
      <c r="C1129" s="77">
        <f>IFERROR(__xludf.DUMMYFUNCTION("""COMPUTED_VALUE"""),0.0)</f>
        <v>0</v>
      </c>
      <c r="D1129" s="77">
        <f>IFERROR(__xludf.DUMMYFUNCTION("""COMPUTED_VALUE"""),0.0)</f>
        <v>0</v>
      </c>
      <c r="E1129" s="46" t="b">
        <f>IFERROR(__xludf.DUMMYFUNCTION("""COMPUTED_VALUE"""),TRUE)</f>
        <v>1</v>
      </c>
    </row>
    <row r="1130" hidden="1">
      <c r="A1130" s="76" t="str">
        <f>IFERROR(__xludf.DUMMYFUNCTION("""COMPUTED_VALUE"""),"Explorers of the Deep")</f>
        <v>Explorers of the Deep</v>
      </c>
      <c r="B1130" s="76" t="str">
        <f>IFERROR(__xludf.DUMMYFUNCTION("""COMPUTED_VALUE"""),"The Hosts of Mordor")</f>
        <v>The Hosts of Mordor</v>
      </c>
      <c r="C1130" s="77">
        <f>IFERROR(__xludf.DUMMYFUNCTION("""COMPUTED_VALUE"""),0.0)</f>
        <v>0</v>
      </c>
      <c r="D1130" s="77">
        <f>IFERROR(__xludf.DUMMYFUNCTION("""COMPUTED_VALUE"""),0.0)</f>
        <v>0</v>
      </c>
      <c r="E1130" s="46" t="b">
        <f>IFERROR(__xludf.DUMMYFUNCTION("""COMPUTED_VALUE"""),TRUE)</f>
        <v>1</v>
      </c>
    </row>
    <row r="1131">
      <c r="A1131" s="76" t="str">
        <f>IFERROR(__xludf.DUMMYFUNCTION("""COMPUTED_VALUE"""),"Explorers of the Deep")</f>
        <v>Explorers of the Deep</v>
      </c>
      <c r="B1131" s="76" t="str">
        <f>IFERROR(__xludf.DUMMYFUNCTION("""COMPUTED_VALUE"""),"The Ruinous Powers")</f>
        <v>The Ruinous Powers</v>
      </c>
      <c r="C1131" s="77">
        <f>IFERROR(__xludf.DUMMYFUNCTION("""COMPUTED_VALUE"""),0.0)</f>
        <v>0</v>
      </c>
      <c r="D1131" s="77">
        <f>IFERROR(__xludf.DUMMYFUNCTION("""COMPUTED_VALUE"""),0.0)</f>
        <v>0</v>
      </c>
      <c r="E1131" s="46" t="b">
        <f>IFERROR(__xludf.DUMMYFUNCTION("""COMPUTED_VALUE"""),TRUE)</f>
        <v>1</v>
      </c>
    </row>
    <row r="1132" hidden="1">
      <c r="A1132" s="76" t="str">
        <f>IFERROR(__xludf.DUMMYFUNCTION("""COMPUTED_VALUE"""),"Explorers of the Deep")</f>
        <v>Explorers of the Deep</v>
      </c>
      <c r="B1132" s="76" t="str">
        <f>IFERROR(__xludf.DUMMYFUNCTION("""COMPUTED_VALUE"""),"Timey-Wimey")</f>
        <v>Timey-Wimey</v>
      </c>
      <c r="C1132" s="77">
        <f>IFERROR(__xludf.DUMMYFUNCTION("""COMPUTED_VALUE"""),0.0)</f>
        <v>0</v>
      </c>
      <c r="D1132" s="77">
        <f>IFERROR(__xludf.DUMMYFUNCTION("""COMPUTED_VALUE"""),0.0)</f>
        <v>0</v>
      </c>
      <c r="E1132" s="46" t="b">
        <f>IFERROR(__xludf.DUMMYFUNCTION("""COMPUTED_VALUE"""),TRUE)</f>
        <v>1</v>
      </c>
    </row>
    <row r="1133" hidden="1">
      <c r="A1133" s="76" t="str">
        <f>IFERROR(__xludf.DUMMYFUNCTION("""COMPUTED_VALUE"""),"Explorers of the Deep")</f>
        <v>Explorers of the Deep</v>
      </c>
      <c r="B1133" s="76" t="str">
        <f>IFERROR(__xludf.DUMMYFUNCTION("""COMPUTED_VALUE"""),"Tinker Time")</f>
        <v>Tinker Time</v>
      </c>
      <c r="C1133" s="77">
        <f>IFERROR(__xludf.DUMMYFUNCTION("""COMPUTED_VALUE"""),0.0)</f>
        <v>0</v>
      </c>
      <c r="D1133" s="77">
        <f>IFERROR(__xludf.DUMMYFUNCTION("""COMPUTED_VALUE"""),0.0)</f>
        <v>0</v>
      </c>
      <c r="E1133" s="46" t="b">
        <f>IFERROR(__xludf.DUMMYFUNCTION("""COMPUTED_VALUE"""),TRUE)</f>
        <v>1</v>
      </c>
    </row>
    <row r="1134">
      <c r="A1134" s="76" t="str">
        <f>IFERROR(__xludf.DUMMYFUNCTION("""COMPUTED_VALUE"""),"Explorers of the Deep")</f>
        <v>Explorers of the Deep</v>
      </c>
      <c r="B1134" s="76" t="str">
        <f>IFERROR(__xludf.DUMMYFUNCTION("""COMPUTED_VALUE"""),"Turtle Power!")</f>
        <v>Turtle Power!</v>
      </c>
      <c r="C1134" s="77">
        <f>IFERROR(__xludf.DUMMYFUNCTION("""COMPUTED_VALUE"""),0.0)</f>
        <v>0</v>
      </c>
      <c r="D1134" s="77">
        <f>IFERROR(__xludf.DUMMYFUNCTION("""COMPUTED_VALUE"""),0.0)</f>
        <v>0</v>
      </c>
      <c r="E1134" s="46" t="b">
        <f>IFERROR(__xludf.DUMMYFUNCTION("""COMPUTED_VALUE"""),TRUE)</f>
        <v>1</v>
      </c>
    </row>
    <row r="1135" hidden="1">
      <c r="A1135" s="78" t="str">
        <f>IFERROR(__xludf.DUMMYFUNCTION("""COMPUTED_VALUE"""),"Explorers of the Deep")</f>
        <v>Explorers of the Deep</v>
      </c>
      <c r="B1135" s="78" t="str">
        <f>IFERROR(__xludf.DUMMYFUNCTION("""COMPUTED_VALUE"""),"Veloci-ramp-tor")</f>
        <v>Veloci-ramp-tor</v>
      </c>
      <c r="C1135" s="79">
        <f>IFERROR(__xludf.DUMMYFUNCTION("""COMPUTED_VALUE"""),1.0)</f>
        <v>1</v>
      </c>
      <c r="D1135" s="79">
        <f>IFERROR(__xludf.DUMMYFUNCTION("""COMPUTED_VALUE"""),0.0)</f>
        <v>0</v>
      </c>
      <c r="E1135" s="69" t="b">
        <f>IFERROR(__xludf.DUMMYFUNCTION("""COMPUTED_VALUE"""),FALSE)</f>
        <v>0</v>
      </c>
    </row>
    <row r="1136" hidden="1">
      <c r="A1136" s="76" t="str">
        <f>IFERROR(__xludf.DUMMYFUNCTION("""COMPUTED_VALUE"""),"Family Matters")</f>
        <v>Family Matters</v>
      </c>
      <c r="B1136" s="76" t="str">
        <f>IFERROR(__xludf.DUMMYFUNCTION("""COMPUTED_VALUE"""),"Ahoy Mateys")</f>
        <v>Ahoy Mateys</v>
      </c>
      <c r="C1136" s="77">
        <f>IFERROR(__xludf.DUMMYFUNCTION("""COMPUTED_VALUE"""),0.0)</f>
        <v>0</v>
      </c>
      <c r="D1136" s="77">
        <f>IFERROR(__xludf.DUMMYFUNCTION("""COMPUTED_VALUE"""),0.0)</f>
        <v>0</v>
      </c>
      <c r="E1136" s="46" t="b">
        <f>IFERROR(__xludf.DUMMYFUNCTION("""COMPUTED_VALUE"""),TRUE)</f>
        <v>1</v>
      </c>
    </row>
    <row r="1137" hidden="1">
      <c r="A1137" s="76" t="str">
        <f>IFERROR(__xludf.DUMMYFUNCTION("""COMPUTED_VALUE"""),"Family Matters")</f>
        <v>Family Matters</v>
      </c>
      <c r="B1137" s="76" t="str">
        <f>IFERROR(__xludf.DUMMYFUNCTION("""COMPUTED_VALUE"""),"Animated Army")</f>
        <v>Animated Army</v>
      </c>
      <c r="C1137" s="77">
        <f>IFERROR(__xludf.DUMMYFUNCTION("""COMPUTED_VALUE"""),0.0)</f>
        <v>0</v>
      </c>
      <c r="D1137" s="77">
        <f>IFERROR(__xludf.DUMMYFUNCTION("""COMPUTED_VALUE"""),0.0)</f>
        <v>0</v>
      </c>
      <c r="E1137" s="46" t="b">
        <f>IFERROR(__xludf.DUMMYFUNCTION("""COMPUTED_VALUE"""),TRUE)</f>
        <v>1</v>
      </c>
    </row>
    <row r="1138" hidden="1">
      <c r="A1138" s="76" t="str">
        <f>IFERROR(__xludf.DUMMYFUNCTION("""COMPUTED_VALUE"""),"Family Matters")</f>
        <v>Family Matters</v>
      </c>
      <c r="B1138" s="76" t="str">
        <f>IFERROR(__xludf.DUMMYFUNCTION("""COMPUTED_VALUE"""),"Arcane Maelstrom")</f>
        <v>Arcane Maelstrom</v>
      </c>
      <c r="C1138" s="77">
        <f>IFERROR(__xludf.DUMMYFUNCTION("""COMPUTED_VALUE"""),0.0)</f>
        <v>0</v>
      </c>
      <c r="D1138" s="77">
        <f>IFERROR(__xludf.DUMMYFUNCTION("""COMPUTED_VALUE"""),0.0)</f>
        <v>0</v>
      </c>
      <c r="E1138" s="46" t="b">
        <f>IFERROR(__xludf.DUMMYFUNCTION("""COMPUTED_VALUE"""),TRUE)</f>
        <v>1</v>
      </c>
    </row>
    <row r="1139" hidden="1">
      <c r="A1139" s="76" t="str">
        <f>IFERROR(__xludf.DUMMYFUNCTION("""COMPUTED_VALUE"""),"Family Matters")</f>
        <v>Family Matters</v>
      </c>
      <c r="B1139" s="76" t="str">
        <f>IFERROR(__xludf.DUMMYFUNCTION("""COMPUTED_VALUE"""),"Blame Game")</f>
        <v>Blame Game</v>
      </c>
      <c r="C1139" s="77">
        <f>IFERROR(__xludf.DUMMYFUNCTION("""COMPUTED_VALUE"""),0.0)</f>
        <v>0</v>
      </c>
      <c r="D1139" s="77">
        <f>IFERROR(__xludf.DUMMYFUNCTION("""COMPUTED_VALUE"""),0.0)</f>
        <v>0</v>
      </c>
      <c r="E1139" s="46" t="b">
        <f>IFERROR(__xludf.DUMMYFUNCTION("""COMPUTED_VALUE"""),TRUE)</f>
        <v>1</v>
      </c>
    </row>
    <row r="1140" hidden="1">
      <c r="A1140" s="76" t="str">
        <f>IFERROR(__xludf.DUMMYFUNCTION("""COMPUTED_VALUE"""),"Family Matters")</f>
        <v>Family Matters</v>
      </c>
      <c r="B1140" s="76" t="str">
        <f>IFERROR(__xludf.DUMMYFUNCTION("""COMPUTED_VALUE"""),"Blight Curse")</f>
        <v>Blight Curse</v>
      </c>
      <c r="C1140" s="77">
        <f>IFERROR(__xludf.DUMMYFUNCTION("""COMPUTED_VALUE"""),0.0)</f>
        <v>0</v>
      </c>
      <c r="D1140" s="77">
        <f>IFERROR(__xludf.DUMMYFUNCTION("""COMPUTED_VALUE"""),0.0)</f>
        <v>0</v>
      </c>
      <c r="E1140" s="46" t="b">
        <f>IFERROR(__xludf.DUMMYFUNCTION("""COMPUTED_VALUE"""),TRUE)</f>
        <v>1</v>
      </c>
    </row>
    <row r="1141" hidden="1">
      <c r="A1141" s="76" t="str">
        <f>IFERROR(__xludf.DUMMYFUNCTION("""COMPUTED_VALUE"""),"Family Matters")</f>
        <v>Family Matters</v>
      </c>
      <c r="B1141" s="76" t="str">
        <f>IFERROR(__xludf.DUMMYFUNCTION("""COMPUTED_VALUE"""),"Blood Rites")</f>
        <v>Blood Rites</v>
      </c>
      <c r="C1141" s="77">
        <f>IFERROR(__xludf.DUMMYFUNCTION("""COMPUTED_VALUE"""),1.0)</f>
        <v>1</v>
      </c>
      <c r="D1141" s="77">
        <f>IFERROR(__xludf.DUMMYFUNCTION("""COMPUTED_VALUE"""),0.0)</f>
        <v>0</v>
      </c>
      <c r="E1141" s="46" t="b">
        <f>IFERROR(__xludf.DUMMYFUNCTION("""COMPUTED_VALUE"""),FALSE)</f>
        <v>0</v>
      </c>
    </row>
    <row r="1142" hidden="1">
      <c r="A1142" s="76" t="str">
        <f>IFERROR(__xludf.DUMMYFUNCTION("""COMPUTED_VALUE"""),"Family Matters")</f>
        <v>Family Matters</v>
      </c>
      <c r="B1142" s="76" t="str">
        <f>IFERROR(__xludf.DUMMYFUNCTION("""COMPUTED_VALUE"""),"Buckle Up")</f>
        <v>Buckle Up</v>
      </c>
      <c r="C1142" s="77">
        <f>IFERROR(__xludf.DUMMYFUNCTION("""COMPUTED_VALUE"""),0.0)</f>
        <v>0</v>
      </c>
      <c r="D1142" s="77">
        <f>IFERROR(__xludf.DUMMYFUNCTION("""COMPUTED_VALUE"""),0.0)</f>
        <v>0</v>
      </c>
      <c r="E1142" s="46" t="b">
        <f>IFERROR(__xludf.DUMMYFUNCTION("""COMPUTED_VALUE"""),TRUE)</f>
        <v>1</v>
      </c>
    </row>
    <row r="1143">
      <c r="A1143" s="76" t="str">
        <f>IFERROR(__xludf.DUMMYFUNCTION("""COMPUTED_VALUE"""),"Family Matters")</f>
        <v>Family Matters</v>
      </c>
      <c r="B1143" s="76" t="str">
        <f>IFERROR(__xludf.DUMMYFUNCTION("""COMPUTED_VALUE"""),"Cabaretti Cacophony")</f>
        <v>Cabaretti Cacophony</v>
      </c>
      <c r="C1143" s="77">
        <f>IFERROR(__xludf.DUMMYFUNCTION("""COMPUTED_VALUE"""),0.0)</f>
        <v>0</v>
      </c>
      <c r="D1143" s="77">
        <f>IFERROR(__xludf.DUMMYFUNCTION("""COMPUTED_VALUE"""),0.0)</f>
        <v>0</v>
      </c>
      <c r="E1143" s="46" t="b">
        <f>IFERROR(__xludf.DUMMYFUNCTION("""COMPUTED_VALUE"""),TRUE)</f>
        <v>1</v>
      </c>
    </row>
    <row r="1144" hidden="1">
      <c r="A1144" s="76" t="str">
        <f>IFERROR(__xludf.DUMMYFUNCTION("""COMPUTED_VALUE"""),"Family Matters")</f>
        <v>Family Matters</v>
      </c>
      <c r="B1144" s="76" t="str">
        <f>IFERROR(__xludf.DUMMYFUNCTION("""COMPUTED_VALUE"""),"Cavalry Charge")</f>
        <v>Cavalry Charge</v>
      </c>
      <c r="C1144" s="77">
        <f>IFERROR(__xludf.DUMMYFUNCTION("""COMPUTED_VALUE"""),0.0)</f>
        <v>0</v>
      </c>
      <c r="D1144" s="77">
        <f>IFERROR(__xludf.DUMMYFUNCTION("""COMPUTED_VALUE"""),0.0)</f>
        <v>0</v>
      </c>
      <c r="E1144" s="46" t="b">
        <f>IFERROR(__xludf.DUMMYFUNCTION("""COMPUTED_VALUE"""),TRUE)</f>
        <v>1</v>
      </c>
    </row>
    <row r="1145" hidden="1">
      <c r="A1145" s="76" t="str">
        <f>IFERROR(__xludf.DUMMYFUNCTION("""COMPUTED_VALUE"""),"Family Matters")</f>
        <v>Family Matters</v>
      </c>
      <c r="B1145" s="76" t="str">
        <f>IFERROR(__xludf.DUMMYFUNCTION("""COMPUTED_VALUE"""),"Corrupting Influence")</f>
        <v>Corrupting Influence</v>
      </c>
      <c r="C1145" s="77">
        <f>IFERROR(__xludf.DUMMYFUNCTION("""COMPUTED_VALUE"""),0.0)</f>
        <v>0</v>
      </c>
      <c r="D1145" s="77">
        <f>IFERROR(__xludf.DUMMYFUNCTION("""COMPUTED_VALUE"""),0.0)</f>
        <v>0</v>
      </c>
      <c r="E1145" s="46" t="b">
        <f>IFERROR(__xludf.DUMMYFUNCTION("""COMPUTED_VALUE"""),TRUE)</f>
        <v>1</v>
      </c>
    </row>
    <row r="1146" hidden="1">
      <c r="A1146" s="76" t="str">
        <f>IFERROR(__xludf.DUMMYFUNCTION("""COMPUTED_VALUE"""),"Family Matters")</f>
        <v>Family Matters</v>
      </c>
      <c r="B1146" s="76" t="str">
        <f>IFERROR(__xludf.DUMMYFUNCTION("""COMPUTED_VALUE"""),"Counter Blitz")</f>
        <v>Counter Blitz</v>
      </c>
      <c r="C1146" s="77">
        <f>IFERROR(__xludf.DUMMYFUNCTION("""COMPUTED_VALUE"""),0.0)</f>
        <v>0</v>
      </c>
      <c r="D1146" s="77">
        <f>IFERROR(__xludf.DUMMYFUNCTION("""COMPUTED_VALUE"""),0.0)</f>
        <v>0</v>
      </c>
      <c r="E1146" s="46" t="b">
        <f>IFERROR(__xludf.DUMMYFUNCTION("""COMPUTED_VALUE"""),TRUE)</f>
        <v>1</v>
      </c>
    </row>
    <row r="1147">
      <c r="A1147" s="76" t="str">
        <f>IFERROR(__xludf.DUMMYFUNCTION("""COMPUTED_VALUE"""),"Family Matters")</f>
        <v>Family Matters</v>
      </c>
      <c r="B1147" s="76" t="str">
        <f>IFERROR(__xludf.DUMMYFUNCTION("""COMPUTED_VALUE"""),"Counter Intelligence")</f>
        <v>Counter Intelligence</v>
      </c>
      <c r="C1147" s="77">
        <f>IFERROR(__xludf.DUMMYFUNCTION("""COMPUTED_VALUE"""),0.0)</f>
        <v>0</v>
      </c>
      <c r="D1147" s="77">
        <f>IFERROR(__xludf.DUMMYFUNCTION("""COMPUTED_VALUE"""),0.0)</f>
        <v>0</v>
      </c>
      <c r="E1147" s="46" t="b">
        <f>IFERROR(__xludf.DUMMYFUNCTION("""COMPUTED_VALUE"""),TRUE)</f>
        <v>1</v>
      </c>
    </row>
    <row r="1148">
      <c r="A1148" s="76" t="str">
        <f>IFERROR(__xludf.DUMMYFUNCTION("""COMPUTED_VALUE"""),"Family Matters")</f>
        <v>Family Matters</v>
      </c>
      <c r="B1148" s="76" t="str">
        <f>IFERROR(__xludf.DUMMYFUNCTION("""COMPUTED_VALUE"""),"Creative Energy")</f>
        <v>Creative Energy</v>
      </c>
      <c r="C1148" s="77">
        <f>IFERROR(__xludf.DUMMYFUNCTION("""COMPUTED_VALUE"""),1.0)</f>
        <v>1</v>
      </c>
      <c r="D1148" s="77">
        <f>IFERROR(__xludf.DUMMYFUNCTION("""COMPUTED_VALUE"""),1.0)</f>
        <v>1</v>
      </c>
      <c r="E1148" s="46" t="b">
        <f>IFERROR(__xludf.DUMMYFUNCTION("""COMPUTED_VALUE"""),FALSE)</f>
        <v>0</v>
      </c>
    </row>
    <row r="1149" hidden="1">
      <c r="A1149" s="76" t="str">
        <f>IFERROR(__xludf.DUMMYFUNCTION("""COMPUTED_VALUE"""),"Family Matters")</f>
        <v>Family Matters</v>
      </c>
      <c r="B1149" s="76" t="str">
        <f>IFERROR(__xludf.DUMMYFUNCTION("""COMPUTED_VALUE"""),"Dance of the Elements")</f>
        <v>Dance of the Elements</v>
      </c>
      <c r="C1149" s="77">
        <f>IFERROR(__xludf.DUMMYFUNCTION("""COMPUTED_VALUE"""),0.0)</f>
        <v>0</v>
      </c>
      <c r="D1149" s="77">
        <f>IFERROR(__xludf.DUMMYFUNCTION("""COMPUTED_VALUE"""),0.0)</f>
        <v>0</v>
      </c>
      <c r="E1149" s="46" t="b">
        <f>IFERROR(__xludf.DUMMYFUNCTION("""COMPUTED_VALUE"""),TRUE)</f>
        <v>1</v>
      </c>
    </row>
    <row r="1150" hidden="1">
      <c r="A1150" s="76" t="str">
        <f>IFERROR(__xludf.DUMMYFUNCTION("""COMPUTED_VALUE"""),"Family Matters")</f>
        <v>Family Matters</v>
      </c>
      <c r="B1150" s="76" t="str">
        <f>IFERROR(__xludf.DUMMYFUNCTION("""COMPUTED_VALUE"""),"Deep Clue Sea")</f>
        <v>Deep Clue Sea</v>
      </c>
      <c r="C1150" s="77">
        <f>IFERROR(__xludf.DUMMYFUNCTION("""COMPUTED_VALUE"""),0.0)</f>
        <v>0</v>
      </c>
      <c r="D1150" s="77">
        <f>IFERROR(__xludf.DUMMYFUNCTION("""COMPUTED_VALUE"""),0.0)</f>
        <v>0</v>
      </c>
      <c r="E1150" s="46" t="b">
        <f>IFERROR(__xludf.DUMMYFUNCTION("""COMPUTED_VALUE"""),TRUE)</f>
        <v>1</v>
      </c>
    </row>
    <row r="1151" hidden="1">
      <c r="A1151" s="76" t="str">
        <f>IFERROR(__xludf.DUMMYFUNCTION("""COMPUTED_VALUE"""),"Family Matters")</f>
        <v>Family Matters</v>
      </c>
      <c r="B1151" s="76" t="str">
        <f>IFERROR(__xludf.DUMMYFUNCTION("""COMPUTED_VALUE"""),"Doom Prevails")</f>
        <v>Doom Prevails</v>
      </c>
      <c r="C1151" s="77">
        <f>IFERROR(__xludf.DUMMYFUNCTION("""COMPUTED_VALUE"""),0.0)</f>
        <v>0</v>
      </c>
      <c r="D1151" s="77">
        <f>IFERROR(__xludf.DUMMYFUNCTION("""COMPUTED_VALUE"""),0.0)</f>
        <v>0</v>
      </c>
      <c r="E1151" s="46" t="b">
        <f>IFERROR(__xludf.DUMMYFUNCTION("""COMPUTED_VALUE"""),TRUE)</f>
        <v>1</v>
      </c>
    </row>
    <row r="1152" hidden="1">
      <c r="A1152" s="78" t="str">
        <f>IFERROR(__xludf.DUMMYFUNCTION("""COMPUTED_VALUE"""),"Family Matters")</f>
        <v>Family Matters</v>
      </c>
      <c r="B1152" s="78" t="str">
        <f>IFERROR(__xludf.DUMMYFUNCTION("""COMPUTED_VALUE"""),"Eldrazi Incursion")</f>
        <v>Eldrazi Incursion</v>
      </c>
      <c r="C1152" s="79">
        <f>IFERROR(__xludf.DUMMYFUNCTION("""COMPUTED_VALUE"""),0.0)</f>
        <v>0</v>
      </c>
      <c r="D1152" s="79">
        <f>IFERROR(__xludf.DUMMYFUNCTION("""COMPUTED_VALUE"""),0.0)</f>
        <v>0</v>
      </c>
      <c r="E1152" s="69" t="b">
        <f>IFERROR(__xludf.DUMMYFUNCTION("""COMPUTED_VALUE"""),TRUE)</f>
        <v>1</v>
      </c>
    </row>
    <row r="1153" hidden="1">
      <c r="A1153" s="76" t="str">
        <f>IFERROR(__xludf.DUMMYFUNCTION("""COMPUTED_VALUE"""),"Family Matters")</f>
        <v>Family Matters</v>
      </c>
      <c r="B1153" s="76" t="str">
        <f>IFERROR(__xludf.DUMMYFUNCTION("""COMPUTED_VALUE"""),"Eldrazi Unbound")</f>
        <v>Eldrazi Unbound</v>
      </c>
      <c r="C1153" s="77">
        <f>IFERROR(__xludf.DUMMYFUNCTION("""COMPUTED_VALUE"""),0.0)</f>
        <v>0</v>
      </c>
      <c r="D1153" s="77">
        <f>IFERROR(__xludf.DUMMYFUNCTION("""COMPUTED_VALUE"""),0.0)</f>
        <v>0</v>
      </c>
      <c r="E1153" s="46" t="b">
        <f>IFERROR(__xludf.DUMMYFUNCTION("""COMPUTED_VALUE"""),TRUE)</f>
        <v>1</v>
      </c>
    </row>
    <row r="1154" hidden="1">
      <c r="A1154" s="76" t="str">
        <f>IFERROR(__xludf.DUMMYFUNCTION("""COMPUTED_VALUE"""),"Family Matters")</f>
        <v>Family Matters</v>
      </c>
      <c r="B1154" s="76" t="str">
        <f>IFERROR(__xludf.DUMMYFUNCTION("""COMPUTED_VALUE"""),"Endless Punishment")</f>
        <v>Endless Punishment</v>
      </c>
      <c r="C1154" s="77">
        <f>IFERROR(__xludf.DUMMYFUNCTION("""COMPUTED_VALUE"""),1.0)</f>
        <v>1</v>
      </c>
      <c r="D1154" s="77">
        <f>IFERROR(__xludf.DUMMYFUNCTION("""COMPUTED_VALUE"""),0.0)</f>
        <v>0</v>
      </c>
      <c r="E1154" s="46" t="b">
        <f>IFERROR(__xludf.DUMMYFUNCTION("""COMPUTED_VALUE"""),FALSE)</f>
        <v>0</v>
      </c>
    </row>
    <row r="1155" hidden="1">
      <c r="A1155" s="76" t="str">
        <f>IFERROR(__xludf.DUMMYFUNCTION("""COMPUTED_VALUE"""),"Family Matters")</f>
        <v>Family Matters</v>
      </c>
      <c r="B1155" s="76" t="str">
        <f>IFERROR(__xludf.DUMMYFUNCTION("""COMPUTED_VALUE"""),"Enduring Enchantments")</f>
        <v>Enduring Enchantments</v>
      </c>
      <c r="C1155" s="77">
        <f>IFERROR(__xludf.DUMMYFUNCTION("""COMPUTED_VALUE"""),0.0)</f>
        <v>0</v>
      </c>
      <c r="D1155" s="77">
        <f>IFERROR(__xludf.DUMMYFUNCTION("""COMPUTED_VALUE"""),0.0)</f>
        <v>0</v>
      </c>
      <c r="E1155" s="46" t="b">
        <f>IFERROR(__xludf.DUMMYFUNCTION("""COMPUTED_VALUE"""),TRUE)</f>
        <v>1</v>
      </c>
    </row>
    <row r="1156" hidden="1">
      <c r="A1156" s="76" t="str">
        <f>IFERROR(__xludf.DUMMYFUNCTION("""COMPUTED_VALUE"""),"Family Matters")</f>
        <v>Family Matters</v>
      </c>
      <c r="B1156" s="76" t="str">
        <f>IFERROR(__xludf.DUMMYFUNCTION("""COMPUTED_VALUE"""),"Explorers of the Deep")</f>
        <v>Explorers of the Deep</v>
      </c>
      <c r="C1156" s="77">
        <f>IFERROR(__xludf.DUMMYFUNCTION("""COMPUTED_VALUE"""),0.0)</f>
        <v>0</v>
      </c>
      <c r="D1156" s="77">
        <f>IFERROR(__xludf.DUMMYFUNCTION("""COMPUTED_VALUE"""),1.0)</f>
        <v>1</v>
      </c>
      <c r="E1156" s="46" t="b">
        <f>IFERROR(__xludf.DUMMYFUNCTION("""COMPUTED_VALUE"""),FALSE)</f>
        <v>0</v>
      </c>
    </row>
    <row r="1157" hidden="1">
      <c r="A1157" s="76" t="str">
        <f>IFERROR(__xludf.DUMMYFUNCTION("""COMPUTED_VALUE"""),"Family Matters")</f>
        <v>Family Matters</v>
      </c>
      <c r="B1157" s="76" t="str">
        <f>IFERROR(__xludf.DUMMYFUNCTION("""COMPUTED_VALUE"""),"Family Matters")</f>
        <v>Family Matters</v>
      </c>
      <c r="C1157" s="77">
        <f>IFERROR(__xludf.DUMMYFUNCTION("""COMPUTED_VALUE"""),1.0)</f>
        <v>1</v>
      </c>
      <c r="D1157" s="77">
        <f>IFERROR(__xludf.DUMMYFUNCTION("""COMPUTED_VALUE"""),1.0)</f>
        <v>1</v>
      </c>
      <c r="E1157" s="46" t="b">
        <f>IFERROR(__xludf.DUMMYFUNCTION("""COMPUTED_VALUE"""),TRUE)</f>
        <v>1</v>
      </c>
    </row>
    <row r="1158" hidden="1">
      <c r="A1158" s="76" t="str">
        <f>IFERROR(__xludf.DUMMYFUNCTION("""COMPUTED_VALUE"""),"Family Matters")</f>
        <v>Family Matters</v>
      </c>
      <c r="B1158" s="76" t="str">
        <f>IFERROR(__xludf.DUMMYFUNCTION("""COMPUTED_VALUE"""),"Food and Fellowship")</f>
        <v>Food and Fellowship</v>
      </c>
      <c r="C1158" s="77">
        <f>IFERROR(__xludf.DUMMYFUNCTION("""COMPUTED_VALUE"""),0.0)</f>
        <v>0</v>
      </c>
      <c r="D1158" s="77">
        <f>IFERROR(__xludf.DUMMYFUNCTION("""COMPUTED_VALUE"""),0.0)</f>
        <v>0</v>
      </c>
      <c r="E1158" s="46" t="b">
        <f>IFERROR(__xludf.DUMMYFUNCTION("""COMPUTED_VALUE"""),TRUE)</f>
        <v>1</v>
      </c>
    </row>
    <row r="1159" hidden="1">
      <c r="A1159" s="76" t="str">
        <f>IFERROR(__xludf.DUMMYFUNCTION("""COMPUTED_VALUE"""),"Family Matters")</f>
        <v>Family Matters</v>
      </c>
      <c r="B1159" s="76" t="str">
        <f>IFERROR(__xludf.DUMMYFUNCTION("""COMPUTED_VALUE"""),"Jeskai Striker")</f>
        <v>Jeskai Striker</v>
      </c>
      <c r="C1159" s="77">
        <f>IFERROR(__xludf.DUMMYFUNCTION("""COMPUTED_VALUE"""),0.0)</f>
        <v>0</v>
      </c>
      <c r="D1159" s="77">
        <f>IFERROR(__xludf.DUMMYFUNCTION("""COMPUTED_VALUE"""),0.0)</f>
        <v>0</v>
      </c>
      <c r="E1159" s="46" t="b">
        <f>IFERROR(__xludf.DUMMYFUNCTION("""COMPUTED_VALUE"""),TRUE)</f>
        <v>1</v>
      </c>
    </row>
    <row r="1160" hidden="1">
      <c r="A1160" s="76" t="str">
        <f>IFERROR(__xludf.DUMMYFUNCTION("""COMPUTED_VALUE"""),"Family Matters")</f>
        <v>Family Matters</v>
      </c>
      <c r="B1160" s="76" t="str">
        <f>IFERROR(__xludf.DUMMYFUNCTION("""COMPUTED_VALUE"""),"Legends' Legacy")</f>
        <v>Legends' Legacy</v>
      </c>
      <c r="C1160" s="77">
        <f>IFERROR(__xludf.DUMMYFUNCTION("""COMPUTED_VALUE"""),0.0)</f>
        <v>0</v>
      </c>
      <c r="D1160" s="77">
        <f>IFERROR(__xludf.DUMMYFUNCTION("""COMPUTED_VALUE"""),0.0)</f>
        <v>0</v>
      </c>
      <c r="E1160" s="46" t="b">
        <f>IFERROR(__xludf.DUMMYFUNCTION("""COMPUTED_VALUE"""),TRUE)</f>
        <v>1</v>
      </c>
    </row>
    <row r="1161" hidden="1">
      <c r="A1161" s="76" t="str">
        <f>IFERROR(__xludf.DUMMYFUNCTION("""COMPUTED_VALUE"""),"Family Matters")</f>
        <v>Family Matters</v>
      </c>
      <c r="B1161" s="76" t="str">
        <f>IFERROR(__xludf.DUMMYFUNCTION("""COMPUTED_VALUE"""),"Limit Break")</f>
        <v>Limit Break</v>
      </c>
      <c r="C1161" s="77">
        <f>IFERROR(__xludf.DUMMYFUNCTION("""COMPUTED_VALUE"""),0.0)</f>
        <v>0</v>
      </c>
      <c r="D1161" s="77">
        <f>IFERROR(__xludf.DUMMYFUNCTION("""COMPUTED_VALUE"""),0.0)</f>
        <v>0</v>
      </c>
      <c r="E1161" s="46" t="b">
        <f>IFERROR(__xludf.DUMMYFUNCTION("""COMPUTED_VALUE"""),TRUE)</f>
        <v>1</v>
      </c>
    </row>
    <row r="1162" hidden="1">
      <c r="A1162" s="76" t="str">
        <f>IFERROR(__xludf.DUMMYFUNCTION("""COMPUTED_VALUE"""),"Family Matters")</f>
        <v>Family Matters</v>
      </c>
      <c r="B1162" s="76" t="str">
        <f>IFERROR(__xludf.DUMMYFUNCTION("""COMPUTED_VALUE"""),"Lorehold Spirit")</f>
        <v>Lorehold Spirit</v>
      </c>
      <c r="C1162" s="77">
        <f>IFERROR(__xludf.DUMMYFUNCTION("""COMPUTED_VALUE"""),0.0)</f>
        <v>0</v>
      </c>
      <c r="D1162" s="77">
        <f>IFERROR(__xludf.DUMMYFUNCTION("""COMPUTED_VALUE"""),0.0)</f>
        <v>0</v>
      </c>
      <c r="E1162" s="46" t="b">
        <f>IFERROR(__xludf.DUMMYFUNCTION("""COMPUTED_VALUE"""),TRUE)</f>
        <v>1</v>
      </c>
    </row>
    <row r="1163" hidden="1">
      <c r="A1163" s="76" t="str">
        <f>IFERROR(__xludf.DUMMYFUNCTION("""COMPUTED_VALUE"""),"Family Matters")</f>
        <v>Family Matters</v>
      </c>
      <c r="B1163" s="76" t="str">
        <f>IFERROR(__xludf.DUMMYFUNCTION("""COMPUTED_VALUE"""),"Mutant Menace")</f>
        <v>Mutant Menace</v>
      </c>
      <c r="C1163" s="77">
        <f>IFERROR(__xludf.DUMMYFUNCTION("""COMPUTED_VALUE"""),0.0)</f>
        <v>0</v>
      </c>
      <c r="D1163" s="77">
        <f>IFERROR(__xludf.DUMMYFUNCTION("""COMPUTED_VALUE"""),0.0)</f>
        <v>0</v>
      </c>
      <c r="E1163" s="46" t="b">
        <f>IFERROR(__xludf.DUMMYFUNCTION("""COMPUTED_VALUE"""),TRUE)</f>
        <v>1</v>
      </c>
    </row>
    <row r="1164" hidden="1">
      <c r="A1164" s="76" t="str">
        <f>IFERROR(__xludf.DUMMYFUNCTION("""COMPUTED_VALUE"""),"Family Matters")</f>
        <v>Family Matters</v>
      </c>
      <c r="B1164" s="76" t="str">
        <f>IFERROR(__xludf.DUMMYFUNCTION("""COMPUTED_VALUE"""),"Party Time")</f>
        <v>Party Time</v>
      </c>
      <c r="C1164" s="77">
        <f>IFERROR(__xludf.DUMMYFUNCTION("""COMPUTED_VALUE"""),0.0)</f>
        <v>0</v>
      </c>
      <c r="D1164" s="77">
        <f>IFERROR(__xludf.DUMMYFUNCTION("""COMPUTED_VALUE"""),1.0)</f>
        <v>1</v>
      </c>
      <c r="E1164" s="46" t="b">
        <f>IFERROR(__xludf.DUMMYFUNCTION("""COMPUTED_VALUE"""),FALSE)</f>
        <v>0</v>
      </c>
    </row>
    <row r="1165" hidden="1">
      <c r="A1165" s="76" t="str">
        <f>IFERROR(__xludf.DUMMYFUNCTION("""COMPUTED_VALUE"""),"Family Matters")</f>
        <v>Family Matters</v>
      </c>
      <c r="B1165" s="76" t="str">
        <f>IFERROR(__xludf.DUMMYFUNCTION("""COMPUTED_VALUE"""),"Peace Offering")</f>
        <v>Peace Offering</v>
      </c>
      <c r="C1165" s="77">
        <f>IFERROR(__xludf.DUMMYFUNCTION("""COMPUTED_VALUE"""),0.0)</f>
        <v>0</v>
      </c>
      <c r="D1165" s="77">
        <f>IFERROR(__xludf.DUMMYFUNCTION("""COMPUTED_VALUE"""),0.0)</f>
        <v>0</v>
      </c>
      <c r="E1165" s="46" t="b">
        <f>IFERROR(__xludf.DUMMYFUNCTION("""COMPUTED_VALUE"""),TRUE)</f>
        <v>1</v>
      </c>
    </row>
    <row r="1166" hidden="1">
      <c r="A1166" s="76" t="str">
        <f>IFERROR(__xludf.DUMMYFUNCTION("""COMPUTED_VALUE"""),"Family Matters")</f>
        <v>Family Matters</v>
      </c>
      <c r="B1166" s="76" t="str">
        <f>IFERROR(__xludf.DUMMYFUNCTION("""COMPUTED_VALUE"""),"Power Hungry")</f>
        <v>Power Hungry</v>
      </c>
      <c r="C1166" s="77">
        <f>IFERROR(__xludf.DUMMYFUNCTION("""COMPUTED_VALUE"""),0.0)</f>
        <v>0</v>
      </c>
      <c r="D1166" s="77">
        <f>IFERROR(__xludf.DUMMYFUNCTION("""COMPUTED_VALUE"""),0.0)</f>
        <v>0</v>
      </c>
      <c r="E1166" s="46" t="b">
        <f>IFERROR(__xludf.DUMMYFUNCTION("""COMPUTED_VALUE"""),TRUE)</f>
        <v>1</v>
      </c>
    </row>
    <row r="1167" hidden="1">
      <c r="A1167" s="76" t="str">
        <f>IFERROR(__xludf.DUMMYFUNCTION("""COMPUTED_VALUE"""),"Family Matters")</f>
        <v>Family Matters</v>
      </c>
      <c r="B1167" s="76" t="str">
        <f>IFERROR(__xludf.DUMMYFUNCTION("""COMPUTED_VALUE"""),"Primal Genesis")</f>
        <v>Primal Genesis</v>
      </c>
      <c r="C1167" s="77">
        <f>IFERROR(__xludf.DUMMYFUNCTION("""COMPUTED_VALUE"""),0.0)</f>
        <v>0</v>
      </c>
      <c r="D1167" s="77">
        <f>IFERROR(__xludf.DUMMYFUNCTION("""COMPUTED_VALUE"""),0.0)</f>
        <v>0</v>
      </c>
      <c r="E1167" s="46" t="b">
        <f>IFERROR(__xludf.DUMMYFUNCTION("""COMPUTED_VALUE"""),TRUE)</f>
        <v>1</v>
      </c>
    </row>
    <row r="1168">
      <c r="A1168" s="76" t="str">
        <f>IFERROR(__xludf.DUMMYFUNCTION("""COMPUTED_VALUE"""),"Family Matters")</f>
        <v>Family Matters</v>
      </c>
      <c r="B1168" s="76" t="str">
        <f>IFERROR(__xludf.DUMMYFUNCTION("""COMPUTED_VALUE"""),"Prismari Artistry")</f>
        <v>Prismari Artistry</v>
      </c>
      <c r="C1168" s="77">
        <f>IFERROR(__xludf.DUMMYFUNCTION("""COMPUTED_VALUE"""),0.0)</f>
        <v>0</v>
      </c>
      <c r="D1168" s="77">
        <f>IFERROR(__xludf.DUMMYFUNCTION("""COMPUTED_VALUE"""),0.0)</f>
        <v>0</v>
      </c>
      <c r="E1168" s="46" t="b">
        <f>IFERROR(__xludf.DUMMYFUNCTION("""COMPUTED_VALUE"""),TRUE)</f>
        <v>1</v>
      </c>
    </row>
    <row r="1169" hidden="1">
      <c r="A1169" s="76" t="str">
        <f>IFERROR(__xludf.DUMMYFUNCTION("""COMPUTED_VALUE"""),"Family Matters")</f>
        <v>Family Matters</v>
      </c>
      <c r="B1169" s="76" t="str">
        <f>IFERROR(__xludf.DUMMYFUNCTION("""COMPUTED_VALUE"""),"Prismari Performance")</f>
        <v>Prismari Performance</v>
      </c>
      <c r="C1169" s="77">
        <f>IFERROR(__xludf.DUMMYFUNCTION("""COMPUTED_VALUE"""),0.0)</f>
        <v>0</v>
      </c>
      <c r="D1169" s="77">
        <f>IFERROR(__xludf.DUMMYFUNCTION("""COMPUTED_VALUE"""),0.0)</f>
        <v>0</v>
      </c>
      <c r="E1169" s="46" t="b">
        <f>IFERROR(__xludf.DUMMYFUNCTION("""COMPUTED_VALUE"""),TRUE)</f>
        <v>1</v>
      </c>
    </row>
    <row r="1170">
      <c r="A1170" s="76" t="str">
        <f>IFERROR(__xludf.DUMMYFUNCTION("""COMPUTED_VALUE"""),"Family Matters")</f>
        <v>Family Matters</v>
      </c>
      <c r="B1170" s="76" t="str">
        <f>IFERROR(__xludf.DUMMYFUNCTION("""COMPUTED_VALUE"""),"Quandrix Unlimited")</f>
        <v>Quandrix Unlimited</v>
      </c>
      <c r="C1170" s="77">
        <f>IFERROR(__xludf.DUMMYFUNCTION("""COMPUTED_VALUE"""),0.0)</f>
        <v>0</v>
      </c>
      <c r="D1170" s="77">
        <f>IFERROR(__xludf.DUMMYFUNCTION("""COMPUTED_VALUE"""),0.0)</f>
        <v>0</v>
      </c>
      <c r="E1170" s="46" t="b">
        <f>IFERROR(__xludf.DUMMYFUNCTION("""COMPUTED_VALUE"""),TRUE)</f>
        <v>1</v>
      </c>
    </row>
    <row r="1171" hidden="1">
      <c r="A1171" s="76" t="str">
        <f>IFERROR(__xludf.DUMMYFUNCTION("""COMPUTED_VALUE"""),"Family Matters")</f>
        <v>Family Matters</v>
      </c>
      <c r="B1171" s="76" t="str">
        <f>IFERROR(__xludf.DUMMYFUNCTION("""COMPUTED_VALUE"""),"Quick Draw")</f>
        <v>Quick Draw</v>
      </c>
      <c r="C1171" s="77">
        <f>IFERROR(__xludf.DUMMYFUNCTION("""COMPUTED_VALUE"""),0.0)</f>
        <v>0</v>
      </c>
      <c r="D1171" s="77">
        <f>IFERROR(__xludf.DUMMYFUNCTION("""COMPUTED_VALUE"""),1.0)</f>
        <v>1</v>
      </c>
      <c r="E1171" s="46" t="b">
        <f>IFERROR(__xludf.DUMMYFUNCTION("""COMPUTED_VALUE"""),FALSE)</f>
        <v>0</v>
      </c>
    </row>
    <row r="1172" hidden="1">
      <c r="A1172" s="76" t="str">
        <f>IFERROR(__xludf.DUMMYFUNCTION("""COMPUTED_VALUE"""),"Family Matters")</f>
        <v>Family Matters</v>
      </c>
      <c r="B1172" s="76" t="str">
        <f>IFERROR(__xludf.DUMMYFUNCTION("""COMPUTED_VALUE"""),"Reap the Tides")</f>
        <v>Reap the Tides</v>
      </c>
      <c r="C1172" s="77">
        <f>IFERROR(__xludf.DUMMYFUNCTION("""COMPUTED_VALUE"""),0.0)</f>
        <v>0</v>
      </c>
      <c r="D1172" s="77">
        <f>IFERROR(__xludf.DUMMYFUNCTION("""COMPUTED_VALUE"""),0.0)</f>
        <v>0</v>
      </c>
      <c r="E1172" s="46" t="b">
        <f>IFERROR(__xludf.DUMMYFUNCTION("""COMPUTED_VALUE"""),TRUE)</f>
        <v>1</v>
      </c>
    </row>
    <row r="1173" hidden="1">
      <c r="A1173" s="76" t="str">
        <f>IFERROR(__xludf.DUMMYFUNCTION("""COMPUTED_VALUE"""),"Family Matters")</f>
        <v>Family Matters</v>
      </c>
      <c r="B1173" s="76" t="str">
        <f>IFERROR(__xludf.DUMMYFUNCTION("""COMPUTED_VALUE"""),"Rebellion Rising")</f>
        <v>Rebellion Rising</v>
      </c>
      <c r="C1173" s="77">
        <f>IFERROR(__xludf.DUMMYFUNCTION("""COMPUTED_VALUE"""),0.0)</f>
        <v>0</v>
      </c>
      <c r="D1173" s="77">
        <f>IFERROR(__xludf.DUMMYFUNCTION("""COMPUTED_VALUE"""),0.0)</f>
        <v>0</v>
      </c>
      <c r="E1173" s="46" t="b">
        <f>IFERROR(__xludf.DUMMYFUNCTION("""COMPUTED_VALUE"""),TRUE)</f>
        <v>1</v>
      </c>
    </row>
    <row r="1174" hidden="1">
      <c r="A1174" s="76" t="str">
        <f>IFERROR(__xludf.DUMMYFUNCTION("""COMPUTED_VALUE"""),"Family Matters")</f>
        <v>Family Matters</v>
      </c>
      <c r="B1174" s="76" t="str">
        <f>IFERROR(__xludf.DUMMYFUNCTION("""COMPUTED_VALUE"""),"Revival Trance")</f>
        <v>Revival Trance</v>
      </c>
      <c r="C1174" s="77">
        <f>IFERROR(__xludf.DUMMYFUNCTION("""COMPUTED_VALUE"""),0.0)</f>
        <v>0</v>
      </c>
      <c r="D1174" s="77">
        <f>IFERROR(__xludf.DUMMYFUNCTION("""COMPUTED_VALUE"""),0.0)</f>
        <v>0</v>
      </c>
      <c r="E1174" s="46" t="b">
        <f>IFERROR(__xludf.DUMMYFUNCTION("""COMPUTED_VALUE"""),TRUE)</f>
        <v>1</v>
      </c>
    </row>
    <row r="1175" hidden="1">
      <c r="A1175" s="76" t="str">
        <f>IFERROR(__xludf.DUMMYFUNCTION("""COMPUTED_VALUE"""),"Family Matters")</f>
        <v>Family Matters</v>
      </c>
      <c r="B1175" s="76" t="str">
        <f>IFERROR(__xludf.DUMMYFUNCTION("""COMPUTED_VALUE"""),"Riders of Rohan")</f>
        <v>Riders of Rohan</v>
      </c>
      <c r="C1175" s="77">
        <f>IFERROR(__xludf.DUMMYFUNCTION("""COMPUTED_VALUE"""),0.0)</f>
        <v>0</v>
      </c>
      <c r="D1175" s="77">
        <f>IFERROR(__xludf.DUMMYFUNCTION("""COMPUTED_VALUE"""),0.0)</f>
        <v>0</v>
      </c>
      <c r="E1175" s="46" t="b">
        <f>IFERROR(__xludf.DUMMYFUNCTION("""COMPUTED_VALUE"""),TRUE)</f>
        <v>1</v>
      </c>
    </row>
    <row r="1176" hidden="1">
      <c r="A1176" s="76" t="str">
        <f>IFERROR(__xludf.DUMMYFUNCTION("""COMPUTED_VALUE"""),"Family Matters")</f>
        <v>Family Matters</v>
      </c>
      <c r="B1176" s="76" t="str">
        <f>IFERROR(__xludf.DUMMYFUNCTION("""COMPUTED_VALUE"""),"Science!")</f>
        <v>Science!</v>
      </c>
      <c r="C1176" s="77">
        <f>IFERROR(__xludf.DUMMYFUNCTION("""COMPUTED_VALUE"""),0.0)</f>
        <v>0</v>
      </c>
      <c r="D1176" s="77">
        <f>IFERROR(__xludf.DUMMYFUNCTION("""COMPUTED_VALUE"""),0.0)</f>
        <v>0</v>
      </c>
      <c r="E1176" s="46" t="b">
        <f>IFERROR(__xludf.DUMMYFUNCTION("""COMPUTED_VALUE"""),TRUE)</f>
        <v>1</v>
      </c>
    </row>
    <row r="1177" hidden="1">
      <c r="A1177" s="76" t="str">
        <f>IFERROR(__xludf.DUMMYFUNCTION("""COMPUTED_VALUE"""),"Family Matters")</f>
        <v>Family Matters</v>
      </c>
      <c r="B1177" s="76" t="str">
        <f>IFERROR(__xludf.DUMMYFUNCTION("""COMPUTED_VALUE"""),"Scions &amp; Spellcraft")</f>
        <v>Scions &amp; Spellcraft</v>
      </c>
      <c r="C1177" s="77">
        <f>IFERROR(__xludf.DUMMYFUNCTION("""COMPUTED_VALUE"""),0.0)</f>
        <v>0</v>
      </c>
      <c r="D1177" s="77">
        <f>IFERROR(__xludf.DUMMYFUNCTION("""COMPUTED_VALUE"""),0.0)</f>
        <v>0</v>
      </c>
      <c r="E1177" s="46" t="b">
        <f>IFERROR(__xludf.DUMMYFUNCTION("""COMPUTED_VALUE"""),TRUE)</f>
        <v>1</v>
      </c>
    </row>
    <row r="1178" hidden="1">
      <c r="A1178" s="76" t="str">
        <f>IFERROR(__xludf.DUMMYFUNCTION("""COMPUTED_VALUE"""),"Family Matters")</f>
        <v>Family Matters</v>
      </c>
      <c r="B1178" s="76" t="str">
        <f>IFERROR(__xludf.DUMMYFUNCTION("""COMPUTED_VALUE"""),"Scrappy Survivors")</f>
        <v>Scrappy Survivors</v>
      </c>
      <c r="C1178" s="77">
        <f>IFERROR(__xludf.DUMMYFUNCTION("""COMPUTED_VALUE"""),0.0)</f>
        <v>0</v>
      </c>
      <c r="D1178" s="77">
        <f>IFERROR(__xludf.DUMMYFUNCTION("""COMPUTED_VALUE"""),0.0)</f>
        <v>0</v>
      </c>
      <c r="E1178" s="46" t="b">
        <f>IFERROR(__xludf.DUMMYFUNCTION("""COMPUTED_VALUE"""),TRUE)</f>
        <v>1</v>
      </c>
    </row>
    <row r="1179" hidden="1">
      <c r="A1179" s="76" t="str">
        <f>IFERROR(__xludf.DUMMYFUNCTION("""COMPUTED_VALUE"""),"Family Matters")</f>
        <v>Family Matters</v>
      </c>
      <c r="B1179" s="76" t="str">
        <f>IFERROR(__xludf.DUMMYFUNCTION("""COMPUTED_VALUE"""),"Silverquill Influence")</f>
        <v>Silverquill Influence</v>
      </c>
      <c r="C1179" s="77">
        <f>IFERROR(__xludf.DUMMYFUNCTION("""COMPUTED_VALUE"""),0.0)</f>
        <v>0</v>
      </c>
      <c r="D1179" s="77">
        <f>IFERROR(__xludf.DUMMYFUNCTION("""COMPUTED_VALUE"""),0.0)</f>
        <v>0</v>
      </c>
      <c r="E1179" s="46" t="b">
        <f>IFERROR(__xludf.DUMMYFUNCTION("""COMPUTED_VALUE"""),TRUE)</f>
        <v>1</v>
      </c>
    </row>
    <row r="1180" hidden="1">
      <c r="A1180" s="78" t="str">
        <f>IFERROR(__xludf.DUMMYFUNCTION("""COMPUTED_VALUE"""),"Family Matters")</f>
        <v>Family Matters</v>
      </c>
      <c r="B1180" s="78" t="str">
        <f>IFERROR(__xludf.DUMMYFUNCTION("""COMPUTED_VALUE"""),"Spirit Squadron")</f>
        <v>Spirit Squadron</v>
      </c>
      <c r="C1180" s="79">
        <f>IFERROR(__xludf.DUMMYFUNCTION("""COMPUTED_VALUE"""),0.0)</f>
        <v>0</v>
      </c>
      <c r="D1180" s="79">
        <f>IFERROR(__xludf.DUMMYFUNCTION("""COMPUTED_VALUE"""),0.0)</f>
        <v>0</v>
      </c>
      <c r="E1180" s="69" t="b">
        <f>IFERROR(__xludf.DUMMYFUNCTION("""COMPUTED_VALUE"""),TRUE)</f>
        <v>1</v>
      </c>
    </row>
    <row r="1181" hidden="1">
      <c r="A1181" s="78" t="str">
        <f>IFERROR(__xludf.DUMMYFUNCTION("""COMPUTED_VALUE"""),"Family Matters")</f>
        <v>Family Matters</v>
      </c>
      <c r="B1181" s="78" t="str">
        <f>IFERROR(__xludf.DUMMYFUNCTION("""COMPUTED_VALUE"""),"Squirreled Away")</f>
        <v>Squirreled Away</v>
      </c>
      <c r="C1181" s="79">
        <f>IFERROR(__xludf.DUMMYFUNCTION("""COMPUTED_VALUE"""),0.0)</f>
        <v>0</v>
      </c>
      <c r="D1181" s="79">
        <f>IFERROR(__xludf.DUMMYFUNCTION("""COMPUTED_VALUE"""),0.0)</f>
        <v>0</v>
      </c>
      <c r="E1181" s="69" t="b">
        <f>IFERROR(__xludf.DUMMYFUNCTION("""COMPUTED_VALUE"""),TRUE)</f>
        <v>1</v>
      </c>
    </row>
    <row r="1182" hidden="1">
      <c r="A1182" s="76" t="str">
        <f>IFERROR(__xludf.DUMMYFUNCTION("""COMPUTED_VALUE"""),"Family Matters")</f>
        <v>Family Matters</v>
      </c>
      <c r="B1182" s="76" t="str">
        <f>IFERROR(__xludf.DUMMYFUNCTION("""COMPUTED_VALUE"""),"Sultai Arisen")</f>
        <v>Sultai Arisen</v>
      </c>
      <c r="C1182" s="77">
        <f>IFERROR(__xludf.DUMMYFUNCTION("""COMPUTED_VALUE"""),0.0)</f>
        <v>0</v>
      </c>
      <c r="D1182" s="77">
        <f>IFERROR(__xludf.DUMMYFUNCTION("""COMPUTED_VALUE"""),0.0)</f>
        <v>0</v>
      </c>
      <c r="E1182" s="46" t="b">
        <f>IFERROR(__xludf.DUMMYFUNCTION("""COMPUTED_VALUE"""),TRUE)</f>
        <v>1</v>
      </c>
    </row>
    <row r="1183" hidden="1">
      <c r="A1183" s="76" t="str">
        <f>IFERROR(__xludf.DUMMYFUNCTION("""COMPUTED_VALUE"""),"Family Matters")</f>
        <v>Family Matters</v>
      </c>
      <c r="B1183" s="76" t="str">
        <f>IFERROR(__xludf.DUMMYFUNCTION("""COMPUTED_VALUE"""),"Temur Roar")</f>
        <v>Temur Roar</v>
      </c>
      <c r="C1183" s="77">
        <f>IFERROR(__xludf.DUMMYFUNCTION("""COMPUTED_VALUE"""),0.0)</f>
        <v>0</v>
      </c>
      <c r="D1183" s="77">
        <f>IFERROR(__xludf.DUMMYFUNCTION("""COMPUTED_VALUE"""),0.0)</f>
        <v>0</v>
      </c>
      <c r="E1183" s="46" t="b">
        <f>IFERROR(__xludf.DUMMYFUNCTION("""COMPUTED_VALUE"""),TRUE)</f>
        <v>1</v>
      </c>
    </row>
    <row r="1184" hidden="1">
      <c r="A1184" s="78" t="str">
        <f>IFERROR(__xludf.DUMMYFUNCTION("""COMPUTED_VALUE"""),"Family Matters")</f>
        <v>Family Matters</v>
      </c>
      <c r="B1184" s="78" t="str">
        <f>IFERROR(__xludf.DUMMYFUNCTION("""COMPUTED_VALUE"""),"The Hosts of Mordor")</f>
        <v>The Hosts of Mordor</v>
      </c>
      <c r="C1184" s="79">
        <f>IFERROR(__xludf.DUMMYFUNCTION("""COMPUTED_VALUE"""),0.0)</f>
        <v>0</v>
      </c>
      <c r="D1184" s="79">
        <f>IFERROR(__xludf.DUMMYFUNCTION("""COMPUTED_VALUE"""),0.0)</f>
        <v>0</v>
      </c>
      <c r="E1184" s="69" t="b">
        <f>IFERROR(__xludf.DUMMYFUNCTION("""COMPUTED_VALUE"""),TRUE)</f>
        <v>1</v>
      </c>
    </row>
    <row r="1185" hidden="1">
      <c r="A1185" s="76" t="str">
        <f>IFERROR(__xludf.DUMMYFUNCTION("""COMPUTED_VALUE"""),"Family Matters")</f>
        <v>Family Matters</v>
      </c>
      <c r="B1185" s="76" t="str">
        <f>IFERROR(__xludf.DUMMYFUNCTION("""COMPUTED_VALUE"""),"The Ruinous Powers")</f>
        <v>The Ruinous Powers</v>
      </c>
      <c r="C1185" s="77">
        <f>IFERROR(__xludf.DUMMYFUNCTION("""COMPUTED_VALUE"""),0.0)</f>
        <v>0</v>
      </c>
      <c r="D1185" s="77">
        <f>IFERROR(__xludf.DUMMYFUNCTION("""COMPUTED_VALUE"""),0.0)</f>
        <v>0</v>
      </c>
      <c r="E1185" s="46" t="b">
        <f>IFERROR(__xludf.DUMMYFUNCTION("""COMPUTED_VALUE"""),TRUE)</f>
        <v>1</v>
      </c>
    </row>
    <row r="1186" hidden="1">
      <c r="A1186" s="76" t="str">
        <f>IFERROR(__xludf.DUMMYFUNCTION("""COMPUTED_VALUE"""),"Family Matters")</f>
        <v>Family Matters</v>
      </c>
      <c r="B1186" s="76" t="str">
        <f>IFERROR(__xludf.DUMMYFUNCTION("""COMPUTED_VALUE"""),"Timey-Wimey")</f>
        <v>Timey-Wimey</v>
      </c>
      <c r="C1186" s="77">
        <f>IFERROR(__xludf.DUMMYFUNCTION("""COMPUTED_VALUE"""),0.0)</f>
        <v>0</v>
      </c>
      <c r="D1186" s="77">
        <f>IFERROR(__xludf.DUMMYFUNCTION("""COMPUTED_VALUE"""),0.0)</f>
        <v>0</v>
      </c>
      <c r="E1186" s="46" t="b">
        <f>IFERROR(__xludf.DUMMYFUNCTION("""COMPUTED_VALUE"""),TRUE)</f>
        <v>1</v>
      </c>
    </row>
    <row r="1187" hidden="1">
      <c r="A1187" s="76" t="str">
        <f>IFERROR(__xludf.DUMMYFUNCTION("""COMPUTED_VALUE"""),"Family Matters")</f>
        <v>Family Matters</v>
      </c>
      <c r="B1187" s="76" t="str">
        <f>IFERROR(__xludf.DUMMYFUNCTION("""COMPUTED_VALUE"""),"Tinker Time")</f>
        <v>Tinker Time</v>
      </c>
      <c r="C1187" s="77">
        <f>IFERROR(__xludf.DUMMYFUNCTION("""COMPUTED_VALUE"""),0.0)</f>
        <v>0</v>
      </c>
      <c r="D1187" s="77">
        <f>IFERROR(__xludf.DUMMYFUNCTION("""COMPUTED_VALUE"""),0.0)</f>
        <v>0</v>
      </c>
      <c r="E1187" s="46" t="b">
        <f>IFERROR(__xludf.DUMMYFUNCTION("""COMPUTED_VALUE"""),TRUE)</f>
        <v>1</v>
      </c>
    </row>
    <row r="1188" hidden="1">
      <c r="A1188" s="76" t="str">
        <f>IFERROR(__xludf.DUMMYFUNCTION("""COMPUTED_VALUE"""),"Family Matters")</f>
        <v>Family Matters</v>
      </c>
      <c r="B1188" s="76" t="str">
        <f>IFERROR(__xludf.DUMMYFUNCTION("""COMPUTED_VALUE"""),"Turtle Power!")</f>
        <v>Turtle Power!</v>
      </c>
      <c r="C1188" s="77">
        <f>IFERROR(__xludf.DUMMYFUNCTION("""COMPUTED_VALUE"""),0.0)</f>
        <v>0</v>
      </c>
      <c r="D1188" s="77">
        <f>IFERROR(__xludf.DUMMYFUNCTION("""COMPUTED_VALUE"""),0.0)</f>
        <v>0</v>
      </c>
      <c r="E1188" s="46" t="b">
        <f>IFERROR(__xludf.DUMMYFUNCTION("""COMPUTED_VALUE"""),TRUE)</f>
        <v>1</v>
      </c>
    </row>
    <row r="1189" hidden="1">
      <c r="A1189" s="76" t="str">
        <f>IFERROR(__xludf.DUMMYFUNCTION("""COMPUTED_VALUE"""),"Family Matters")</f>
        <v>Family Matters</v>
      </c>
      <c r="B1189" s="76" t="str">
        <f>IFERROR(__xludf.DUMMYFUNCTION("""COMPUTED_VALUE"""),"Veloci-ramp-tor")</f>
        <v>Veloci-ramp-tor</v>
      </c>
      <c r="C1189" s="77">
        <f>IFERROR(__xludf.DUMMYFUNCTION("""COMPUTED_VALUE"""),0.0)</f>
        <v>0</v>
      </c>
      <c r="D1189" s="77">
        <f>IFERROR(__xludf.DUMMYFUNCTION("""COMPUTED_VALUE"""),0.0)</f>
        <v>0</v>
      </c>
      <c r="E1189" s="46" t="b">
        <f>IFERROR(__xludf.DUMMYFUNCTION("""COMPUTED_VALUE"""),TRUE)</f>
        <v>1</v>
      </c>
    </row>
    <row r="1190" hidden="1">
      <c r="A1190" s="78" t="str">
        <f>IFERROR(__xludf.DUMMYFUNCTION("""COMPUTED_VALUE"""),"Food and Fellowship")</f>
        <v>Food and Fellowship</v>
      </c>
      <c r="B1190" s="78" t="str">
        <f>IFERROR(__xludf.DUMMYFUNCTION("""COMPUTED_VALUE"""),"Ahoy Mateys")</f>
        <v>Ahoy Mateys</v>
      </c>
      <c r="C1190" s="79">
        <f>IFERROR(__xludf.DUMMYFUNCTION("""COMPUTED_VALUE"""),0.0)</f>
        <v>0</v>
      </c>
      <c r="D1190" s="79">
        <f>IFERROR(__xludf.DUMMYFUNCTION("""COMPUTED_VALUE"""),0.0)</f>
        <v>0</v>
      </c>
      <c r="E1190" s="69" t="b">
        <f>IFERROR(__xludf.DUMMYFUNCTION("""COMPUTED_VALUE"""),TRUE)</f>
        <v>1</v>
      </c>
    </row>
    <row r="1191" hidden="1">
      <c r="A1191" s="78" t="str">
        <f>IFERROR(__xludf.DUMMYFUNCTION("""COMPUTED_VALUE"""),"Food and Fellowship")</f>
        <v>Food and Fellowship</v>
      </c>
      <c r="B1191" s="78" t="str">
        <f>IFERROR(__xludf.DUMMYFUNCTION("""COMPUTED_VALUE"""),"Animated Army")</f>
        <v>Animated Army</v>
      </c>
      <c r="C1191" s="79">
        <f>IFERROR(__xludf.DUMMYFUNCTION("""COMPUTED_VALUE"""),0.0)</f>
        <v>0</v>
      </c>
      <c r="D1191" s="79">
        <f>IFERROR(__xludf.DUMMYFUNCTION("""COMPUTED_VALUE"""),0.0)</f>
        <v>0</v>
      </c>
      <c r="E1191" s="69" t="b">
        <f>IFERROR(__xludf.DUMMYFUNCTION("""COMPUTED_VALUE"""),TRUE)</f>
        <v>1</v>
      </c>
    </row>
    <row r="1192" hidden="1">
      <c r="A1192" s="76" t="str">
        <f>IFERROR(__xludf.DUMMYFUNCTION("""COMPUTED_VALUE"""),"Food and Fellowship")</f>
        <v>Food and Fellowship</v>
      </c>
      <c r="B1192" s="76" t="str">
        <f>IFERROR(__xludf.DUMMYFUNCTION("""COMPUTED_VALUE"""),"Arcane Maelstrom")</f>
        <v>Arcane Maelstrom</v>
      </c>
      <c r="C1192" s="77">
        <f>IFERROR(__xludf.DUMMYFUNCTION("""COMPUTED_VALUE"""),0.0)</f>
        <v>0</v>
      </c>
      <c r="D1192" s="77">
        <f>IFERROR(__xludf.DUMMYFUNCTION("""COMPUTED_VALUE"""),0.0)</f>
        <v>0</v>
      </c>
      <c r="E1192" s="46" t="b">
        <f>IFERROR(__xludf.DUMMYFUNCTION("""COMPUTED_VALUE"""),TRUE)</f>
        <v>1</v>
      </c>
    </row>
    <row r="1193" hidden="1">
      <c r="A1193" s="76" t="str">
        <f>IFERROR(__xludf.DUMMYFUNCTION("""COMPUTED_VALUE"""),"Food and Fellowship")</f>
        <v>Food and Fellowship</v>
      </c>
      <c r="B1193" s="76" t="str">
        <f>IFERROR(__xludf.DUMMYFUNCTION("""COMPUTED_VALUE"""),"Blame Game")</f>
        <v>Blame Game</v>
      </c>
      <c r="C1193" s="77">
        <f>IFERROR(__xludf.DUMMYFUNCTION("""COMPUTED_VALUE"""),0.0)</f>
        <v>0</v>
      </c>
      <c r="D1193" s="77">
        <f>IFERROR(__xludf.DUMMYFUNCTION("""COMPUTED_VALUE"""),0.0)</f>
        <v>0</v>
      </c>
      <c r="E1193" s="46" t="b">
        <f>IFERROR(__xludf.DUMMYFUNCTION("""COMPUTED_VALUE"""),TRUE)</f>
        <v>1</v>
      </c>
    </row>
    <row r="1194" hidden="1">
      <c r="A1194" s="76" t="str">
        <f>IFERROR(__xludf.DUMMYFUNCTION("""COMPUTED_VALUE"""),"Food and Fellowship")</f>
        <v>Food and Fellowship</v>
      </c>
      <c r="B1194" s="76" t="str">
        <f>IFERROR(__xludf.DUMMYFUNCTION("""COMPUTED_VALUE"""),"Blight Curse")</f>
        <v>Blight Curse</v>
      </c>
      <c r="C1194" s="77">
        <f>IFERROR(__xludf.DUMMYFUNCTION("""COMPUTED_VALUE"""),0.0)</f>
        <v>0</v>
      </c>
      <c r="D1194" s="77">
        <f>IFERROR(__xludf.DUMMYFUNCTION("""COMPUTED_VALUE"""),0.0)</f>
        <v>0</v>
      </c>
      <c r="E1194" s="46" t="b">
        <f>IFERROR(__xludf.DUMMYFUNCTION("""COMPUTED_VALUE"""),TRUE)</f>
        <v>1</v>
      </c>
    </row>
    <row r="1195" hidden="1">
      <c r="A1195" s="76" t="str">
        <f>IFERROR(__xludf.DUMMYFUNCTION("""COMPUTED_VALUE"""),"Food and Fellowship")</f>
        <v>Food and Fellowship</v>
      </c>
      <c r="B1195" s="76" t="str">
        <f>IFERROR(__xludf.DUMMYFUNCTION("""COMPUTED_VALUE"""),"Blood Rites")</f>
        <v>Blood Rites</v>
      </c>
      <c r="C1195" s="77">
        <f>IFERROR(__xludf.DUMMYFUNCTION("""COMPUTED_VALUE"""),0.0)</f>
        <v>0</v>
      </c>
      <c r="D1195" s="77">
        <f>IFERROR(__xludf.DUMMYFUNCTION("""COMPUTED_VALUE"""),0.0)</f>
        <v>0</v>
      </c>
      <c r="E1195" s="46" t="b">
        <f>IFERROR(__xludf.DUMMYFUNCTION("""COMPUTED_VALUE"""),TRUE)</f>
        <v>1</v>
      </c>
    </row>
    <row r="1196" hidden="1">
      <c r="A1196" s="76" t="str">
        <f>IFERROR(__xludf.DUMMYFUNCTION("""COMPUTED_VALUE"""),"Food and Fellowship")</f>
        <v>Food and Fellowship</v>
      </c>
      <c r="B1196" s="76" t="str">
        <f>IFERROR(__xludf.DUMMYFUNCTION("""COMPUTED_VALUE"""),"Buckle Up")</f>
        <v>Buckle Up</v>
      </c>
      <c r="C1196" s="77">
        <f>IFERROR(__xludf.DUMMYFUNCTION("""COMPUTED_VALUE"""),0.0)</f>
        <v>0</v>
      </c>
      <c r="D1196" s="77">
        <f>IFERROR(__xludf.DUMMYFUNCTION("""COMPUTED_VALUE"""),0.0)</f>
        <v>0</v>
      </c>
      <c r="E1196" s="46" t="b">
        <f>IFERROR(__xludf.DUMMYFUNCTION("""COMPUTED_VALUE"""),TRUE)</f>
        <v>1</v>
      </c>
    </row>
    <row r="1197" hidden="1">
      <c r="A1197" s="78" t="str">
        <f>IFERROR(__xludf.DUMMYFUNCTION("""COMPUTED_VALUE"""),"Food and Fellowship")</f>
        <v>Food and Fellowship</v>
      </c>
      <c r="B1197" s="78" t="str">
        <f>IFERROR(__xludf.DUMMYFUNCTION("""COMPUTED_VALUE"""),"Cabaretti Cacophony")</f>
        <v>Cabaretti Cacophony</v>
      </c>
      <c r="C1197" s="79">
        <f>IFERROR(__xludf.DUMMYFUNCTION("""COMPUTED_VALUE"""),0.0)</f>
        <v>0</v>
      </c>
      <c r="D1197" s="79">
        <f>IFERROR(__xludf.DUMMYFUNCTION("""COMPUTED_VALUE"""),0.0)</f>
        <v>0</v>
      </c>
      <c r="E1197" s="69" t="b">
        <f>IFERROR(__xludf.DUMMYFUNCTION("""COMPUTED_VALUE"""),TRUE)</f>
        <v>1</v>
      </c>
    </row>
    <row r="1198" hidden="1">
      <c r="A1198" s="78" t="str">
        <f>IFERROR(__xludf.DUMMYFUNCTION("""COMPUTED_VALUE"""),"Food and Fellowship")</f>
        <v>Food and Fellowship</v>
      </c>
      <c r="B1198" s="78" t="str">
        <f>IFERROR(__xludf.DUMMYFUNCTION("""COMPUTED_VALUE"""),"Cavalry Charge")</f>
        <v>Cavalry Charge</v>
      </c>
      <c r="C1198" s="79">
        <f>IFERROR(__xludf.DUMMYFUNCTION("""COMPUTED_VALUE"""),0.0)</f>
        <v>0</v>
      </c>
      <c r="D1198" s="79">
        <f>IFERROR(__xludf.DUMMYFUNCTION("""COMPUTED_VALUE"""),0.0)</f>
        <v>0</v>
      </c>
      <c r="E1198" s="69" t="b">
        <f>IFERROR(__xludf.DUMMYFUNCTION("""COMPUTED_VALUE"""),TRUE)</f>
        <v>1</v>
      </c>
    </row>
    <row r="1199" hidden="1">
      <c r="A1199" s="76" t="str">
        <f>IFERROR(__xludf.DUMMYFUNCTION("""COMPUTED_VALUE"""),"Food and Fellowship")</f>
        <v>Food and Fellowship</v>
      </c>
      <c r="B1199" s="76" t="str">
        <f>IFERROR(__xludf.DUMMYFUNCTION("""COMPUTED_VALUE"""),"Corrupting Influence")</f>
        <v>Corrupting Influence</v>
      </c>
      <c r="C1199" s="77">
        <f>IFERROR(__xludf.DUMMYFUNCTION("""COMPUTED_VALUE"""),0.0)</f>
        <v>0</v>
      </c>
      <c r="D1199" s="77">
        <f>IFERROR(__xludf.DUMMYFUNCTION("""COMPUTED_VALUE"""),0.0)</f>
        <v>0</v>
      </c>
      <c r="E1199" s="46" t="b">
        <f>IFERROR(__xludf.DUMMYFUNCTION("""COMPUTED_VALUE"""),TRUE)</f>
        <v>1</v>
      </c>
    </row>
    <row r="1200" hidden="1">
      <c r="A1200" s="78" t="str">
        <f>IFERROR(__xludf.DUMMYFUNCTION("""COMPUTED_VALUE"""),"Food and Fellowship")</f>
        <v>Food and Fellowship</v>
      </c>
      <c r="B1200" s="78" t="str">
        <f>IFERROR(__xludf.DUMMYFUNCTION("""COMPUTED_VALUE"""),"Counter Blitz")</f>
        <v>Counter Blitz</v>
      </c>
      <c r="C1200" s="79">
        <f>IFERROR(__xludf.DUMMYFUNCTION("""COMPUTED_VALUE"""),0.0)</f>
        <v>0</v>
      </c>
      <c r="D1200" s="79">
        <f>IFERROR(__xludf.DUMMYFUNCTION("""COMPUTED_VALUE"""),0.0)</f>
        <v>0</v>
      </c>
      <c r="E1200" s="69" t="b">
        <f>IFERROR(__xludf.DUMMYFUNCTION("""COMPUTED_VALUE"""),TRUE)</f>
        <v>1</v>
      </c>
    </row>
    <row r="1201" hidden="1">
      <c r="A1201" s="76" t="str">
        <f>IFERROR(__xludf.DUMMYFUNCTION("""COMPUTED_VALUE"""),"Food and Fellowship")</f>
        <v>Food and Fellowship</v>
      </c>
      <c r="B1201" s="76" t="str">
        <f>IFERROR(__xludf.DUMMYFUNCTION("""COMPUTED_VALUE"""),"Counter Intelligence")</f>
        <v>Counter Intelligence</v>
      </c>
      <c r="C1201" s="77">
        <f>IFERROR(__xludf.DUMMYFUNCTION("""COMPUTED_VALUE"""),0.0)</f>
        <v>0</v>
      </c>
      <c r="D1201" s="77">
        <f>IFERROR(__xludf.DUMMYFUNCTION("""COMPUTED_VALUE"""),0.0)</f>
        <v>0</v>
      </c>
      <c r="E1201" s="46" t="b">
        <f>IFERROR(__xludf.DUMMYFUNCTION("""COMPUTED_VALUE"""),TRUE)</f>
        <v>1</v>
      </c>
    </row>
    <row r="1202" hidden="1">
      <c r="A1202" s="76" t="str">
        <f>IFERROR(__xludf.DUMMYFUNCTION("""COMPUTED_VALUE"""),"Food and Fellowship")</f>
        <v>Food and Fellowship</v>
      </c>
      <c r="B1202" s="76" t="str">
        <f>IFERROR(__xludf.DUMMYFUNCTION("""COMPUTED_VALUE"""),"Creative Energy")</f>
        <v>Creative Energy</v>
      </c>
      <c r="C1202" s="77">
        <f>IFERROR(__xludf.DUMMYFUNCTION("""COMPUTED_VALUE"""),0.0)</f>
        <v>0</v>
      </c>
      <c r="D1202" s="77">
        <f>IFERROR(__xludf.DUMMYFUNCTION("""COMPUTED_VALUE"""),0.0)</f>
        <v>0</v>
      </c>
      <c r="E1202" s="46" t="b">
        <f>IFERROR(__xludf.DUMMYFUNCTION("""COMPUTED_VALUE"""),TRUE)</f>
        <v>1</v>
      </c>
    </row>
    <row r="1203" hidden="1">
      <c r="A1203" s="76" t="str">
        <f>IFERROR(__xludf.DUMMYFUNCTION("""COMPUTED_VALUE"""),"Food and Fellowship")</f>
        <v>Food and Fellowship</v>
      </c>
      <c r="B1203" s="76" t="str">
        <f>IFERROR(__xludf.DUMMYFUNCTION("""COMPUTED_VALUE"""),"Dance of the Elements")</f>
        <v>Dance of the Elements</v>
      </c>
      <c r="C1203" s="77">
        <f>IFERROR(__xludf.DUMMYFUNCTION("""COMPUTED_VALUE"""),0.0)</f>
        <v>0</v>
      </c>
      <c r="D1203" s="77">
        <f>IFERROR(__xludf.DUMMYFUNCTION("""COMPUTED_VALUE"""),0.0)</f>
        <v>0</v>
      </c>
      <c r="E1203" s="46" t="b">
        <f>IFERROR(__xludf.DUMMYFUNCTION("""COMPUTED_VALUE"""),TRUE)</f>
        <v>1</v>
      </c>
    </row>
    <row r="1204" hidden="1">
      <c r="A1204" s="76" t="str">
        <f>IFERROR(__xludf.DUMMYFUNCTION("""COMPUTED_VALUE"""),"Food and Fellowship")</f>
        <v>Food and Fellowship</v>
      </c>
      <c r="B1204" s="76" t="str">
        <f>IFERROR(__xludf.DUMMYFUNCTION("""COMPUTED_VALUE"""),"Deep Clue Sea")</f>
        <v>Deep Clue Sea</v>
      </c>
      <c r="C1204" s="77">
        <f>IFERROR(__xludf.DUMMYFUNCTION("""COMPUTED_VALUE"""),0.0)</f>
        <v>0</v>
      </c>
      <c r="D1204" s="77">
        <f>IFERROR(__xludf.DUMMYFUNCTION("""COMPUTED_VALUE"""),0.0)</f>
        <v>0</v>
      </c>
      <c r="E1204" s="46" t="b">
        <f>IFERROR(__xludf.DUMMYFUNCTION("""COMPUTED_VALUE"""),TRUE)</f>
        <v>1</v>
      </c>
    </row>
    <row r="1205" hidden="1">
      <c r="A1205" s="78" t="str">
        <f>IFERROR(__xludf.DUMMYFUNCTION("""COMPUTED_VALUE"""),"Food and Fellowship")</f>
        <v>Food and Fellowship</v>
      </c>
      <c r="B1205" s="78" t="str">
        <f>IFERROR(__xludf.DUMMYFUNCTION("""COMPUTED_VALUE"""),"Doom Prevails")</f>
        <v>Doom Prevails</v>
      </c>
      <c r="C1205" s="79">
        <f>IFERROR(__xludf.DUMMYFUNCTION("""COMPUTED_VALUE"""),0.0)</f>
        <v>0</v>
      </c>
      <c r="D1205" s="79">
        <f>IFERROR(__xludf.DUMMYFUNCTION("""COMPUTED_VALUE"""),0.0)</f>
        <v>0</v>
      </c>
      <c r="E1205" s="69" t="b">
        <f>IFERROR(__xludf.DUMMYFUNCTION("""COMPUTED_VALUE"""),TRUE)</f>
        <v>1</v>
      </c>
    </row>
    <row r="1206" hidden="1">
      <c r="A1206" s="78" t="str">
        <f>IFERROR(__xludf.DUMMYFUNCTION("""COMPUTED_VALUE"""),"Food and Fellowship")</f>
        <v>Food and Fellowship</v>
      </c>
      <c r="B1206" s="78" t="str">
        <f>IFERROR(__xludf.DUMMYFUNCTION("""COMPUTED_VALUE"""),"Eldrazi Incursion")</f>
        <v>Eldrazi Incursion</v>
      </c>
      <c r="C1206" s="79">
        <f>IFERROR(__xludf.DUMMYFUNCTION("""COMPUTED_VALUE"""),0.0)</f>
        <v>0</v>
      </c>
      <c r="D1206" s="79">
        <f>IFERROR(__xludf.DUMMYFUNCTION("""COMPUTED_VALUE"""),0.0)</f>
        <v>0</v>
      </c>
      <c r="E1206" s="69" t="b">
        <f>IFERROR(__xludf.DUMMYFUNCTION("""COMPUTED_VALUE"""),TRUE)</f>
        <v>1</v>
      </c>
    </row>
    <row r="1207" hidden="1">
      <c r="A1207" s="78" t="str">
        <f>IFERROR(__xludf.DUMMYFUNCTION("""COMPUTED_VALUE"""),"Food and Fellowship")</f>
        <v>Food and Fellowship</v>
      </c>
      <c r="B1207" s="78" t="str">
        <f>IFERROR(__xludf.DUMMYFUNCTION("""COMPUTED_VALUE"""),"Eldrazi Unbound")</f>
        <v>Eldrazi Unbound</v>
      </c>
      <c r="C1207" s="79">
        <f>IFERROR(__xludf.DUMMYFUNCTION("""COMPUTED_VALUE"""),0.0)</f>
        <v>0</v>
      </c>
      <c r="D1207" s="79">
        <f>IFERROR(__xludf.DUMMYFUNCTION("""COMPUTED_VALUE"""),0.0)</f>
        <v>0</v>
      </c>
      <c r="E1207" s="69" t="b">
        <f>IFERROR(__xludf.DUMMYFUNCTION("""COMPUTED_VALUE"""),TRUE)</f>
        <v>1</v>
      </c>
    </row>
    <row r="1208" hidden="1">
      <c r="A1208" s="78" t="str">
        <f>IFERROR(__xludf.DUMMYFUNCTION("""COMPUTED_VALUE"""),"Food and Fellowship")</f>
        <v>Food and Fellowship</v>
      </c>
      <c r="B1208" s="78" t="str">
        <f>IFERROR(__xludf.DUMMYFUNCTION("""COMPUTED_VALUE"""),"Endless Punishment")</f>
        <v>Endless Punishment</v>
      </c>
      <c r="C1208" s="79">
        <f>IFERROR(__xludf.DUMMYFUNCTION("""COMPUTED_VALUE"""),0.0)</f>
        <v>0</v>
      </c>
      <c r="D1208" s="79">
        <f>IFERROR(__xludf.DUMMYFUNCTION("""COMPUTED_VALUE"""),0.0)</f>
        <v>0</v>
      </c>
      <c r="E1208" s="69" t="b">
        <f>IFERROR(__xludf.DUMMYFUNCTION("""COMPUTED_VALUE"""),TRUE)</f>
        <v>1</v>
      </c>
    </row>
    <row r="1209" hidden="1">
      <c r="A1209" s="76" t="str">
        <f>IFERROR(__xludf.DUMMYFUNCTION("""COMPUTED_VALUE"""),"Food and Fellowship")</f>
        <v>Food and Fellowship</v>
      </c>
      <c r="B1209" s="76" t="str">
        <f>IFERROR(__xludf.DUMMYFUNCTION("""COMPUTED_VALUE"""),"Enduring Enchantments")</f>
        <v>Enduring Enchantments</v>
      </c>
      <c r="C1209" s="77">
        <f>IFERROR(__xludf.DUMMYFUNCTION("""COMPUTED_VALUE"""),0.0)</f>
        <v>0</v>
      </c>
      <c r="D1209" s="77">
        <f>IFERROR(__xludf.DUMMYFUNCTION("""COMPUTED_VALUE"""),0.0)</f>
        <v>0</v>
      </c>
      <c r="E1209" s="46" t="b">
        <f>IFERROR(__xludf.DUMMYFUNCTION("""COMPUTED_VALUE"""),TRUE)</f>
        <v>1</v>
      </c>
    </row>
    <row r="1210" hidden="1">
      <c r="A1210" s="76" t="str">
        <f>IFERROR(__xludf.DUMMYFUNCTION("""COMPUTED_VALUE"""),"Food and Fellowship")</f>
        <v>Food and Fellowship</v>
      </c>
      <c r="B1210" s="76" t="str">
        <f>IFERROR(__xludf.DUMMYFUNCTION("""COMPUTED_VALUE"""),"Explorers of the Deep")</f>
        <v>Explorers of the Deep</v>
      </c>
      <c r="C1210" s="77">
        <f>IFERROR(__xludf.DUMMYFUNCTION("""COMPUTED_VALUE"""),0.0)</f>
        <v>0</v>
      </c>
      <c r="D1210" s="77">
        <f>IFERROR(__xludf.DUMMYFUNCTION("""COMPUTED_VALUE"""),0.0)</f>
        <v>0</v>
      </c>
      <c r="E1210" s="46" t="b">
        <f>IFERROR(__xludf.DUMMYFUNCTION("""COMPUTED_VALUE"""),TRUE)</f>
        <v>1</v>
      </c>
    </row>
    <row r="1211" hidden="1">
      <c r="A1211" s="78" t="str">
        <f>IFERROR(__xludf.DUMMYFUNCTION("""COMPUTED_VALUE"""),"Food and Fellowship")</f>
        <v>Food and Fellowship</v>
      </c>
      <c r="B1211" s="78" t="str">
        <f>IFERROR(__xludf.DUMMYFUNCTION("""COMPUTED_VALUE"""),"Family Matters")</f>
        <v>Family Matters</v>
      </c>
      <c r="C1211" s="79">
        <f>IFERROR(__xludf.DUMMYFUNCTION("""COMPUTED_VALUE"""),0.0)</f>
        <v>0</v>
      </c>
      <c r="D1211" s="79">
        <f>IFERROR(__xludf.DUMMYFUNCTION("""COMPUTED_VALUE"""),0.0)</f>
        <v>0</v>
      </c>
      <c r="E1211" s="69" t="b">
        <f>IFERROR(__xludf.DUMMYFUNCTION("""COMPUTED_VALUE"""),TRUE)</f>
        <v>1</v>
      </c>
    </row>
    <row r="1212" hidden="1">
      <c r="A1212" s="78" t="str">
        <f>IFERROR(__xludf.DUMMYFUNCTION("""COMPUTED_VALUE"""),"Food and Fellowship")</f>
        <v>Food and Fellowship</v>
      </c>
      <c r="B1212" s="78" t="str">
        <f>IFERROR(__xludf.DUMMYFUNCTION("""COMPUTED_VALUE"""),"Food and Fellowship")</f>
        <v>Food and Fellowship</v>
      </c>
      <c r="C1212" s="79">
        <f>IFERROR(__xludf.DUMMYFUNCTION("""COMPUTED_VALUE"""),0.0)</f>
        <v>0</v>
      </c>
      <c r="D1212" s="79">
        <f>IFERROR(__xludf.DUMMYFUNCTION("""COMPUTED_VALUE"""),0.0)</f>
        <v>0</v>
      </c>
      <c r="E1212" s="69" t="b">
        <f>IFERROR(__xludf.DUMMYFUNCTION("""COMPUTED_VALUE"""),TRUE)</f>
        <v>1</v>
      </c>
    </row>
    <row r="1213" hidden="1">
      <c r="A1213" s="76" t="str">
        <f>IFERROR(__xludf.DUMMYFUNCTION("""COMPUTED_VALUE"""),"Food and Fellowship")</f>
        <v>Food and Fellowship</v>
      </c>
      <c r="B1213" s="76" t="str">
        <f>IFERROR(__xludf.DUMMYFUNCTION("""COMPUTED_VALUE"""),"Jeskai Striker")</f>
        <v>Jeskai Striker</v>
      </c>
      <c r="C1213" s="77">
        <f>IFERROR(__xludf.DUMMYFUNCTION("""COMPUTED_VALUE"""),0.0)</f>
        <v>0</v>
      </c>
      <c r="D1213" s="77">
        <f>IFERROR(__xludf.DUMMYFUNCTION("""COMPUTED_VALUE"""),0.0)</f>
        <v>0</v>
      </c>
      <c r="E1213" s="46" t="b">
        <f>IFERROR(__xludf.DUMMYFUNCTION("""COMPUTED_VALUE"""),TRUE)</f>
        <v>1</v>
      </c>
    </row>
    <row r="1214" hidden="1">
      <c r="A1214" s="76" t="str">
        <f>IFERROR(__xludf.DUMMYFUNCTION("""COMPUTED_VALUE"""),"Food and Fellowship")</f>
        <v>Food and Fellowship</v>
      </c>
      <c r="B1214" s="76" t="str">
        <f>IFERROR(__xludf.DUMMYFUNCTION("""COMPUTED_VALUE"""),"Legends' Legacy")</f>
        <v>Legends' Legacy</v>
      </c>
      <c r="C1214" s="77">
        <f>IFERROR(__xludf.DUMMYFUNCTION("""COMPUTED_VALUE"""),0.0)</f>
        <v>0</v>
      </c>
      <c r="D1214" s="77">
        <f>IFERROR(__xludf.DUMMYFUNCTION("""COMPUTED_VALUE"""),0.0)</f>
        <v>0</v>
      </c>
      <c r="E1214" s="46" t="b">
        <f>IFERROR(__xludf.DUMMYFUNCTION("""COMPUTED_VALUE"""),TRUE)</f>
        <v>1</v>
      </c>
    </row>
    <row r="1215">
      <c r="A1215" s="76" t="str">
        <f>IFERROR(__xludf.DUMMYFUNCTION("""COMPUTED_VALUE"""),"Food and Fellowship")</f>
        <v>Food and Fellowship</v>
      </c>
      <c r="B1215" s="76" t="str">
        <f>IFERROR(__xludf.DUMMYFUNCTION("""COMPUTED_VALUE"""),"Limit Break")</f>
        <v>Limit Break</v>
      </c>
      <c r="C1215" s="77">
        <f>IFERROR(__xludf.DUMMYFUNCTION("""COMPUTED_VALUE"""),0.0)</f>
        <v>0</v>
      </c>
      <c r="D1215" s="77">
        <f>IFERROR(__xludf.DUMMYFUNCTION("""COMPUTED_VALUE"""),0.0)</f>
        <v>0</v>
      </c>
      <c r="E1215" s="46" t="b">
        <f>IFERROR(__xludf.DUMMYFUNCTION("""COMPUTED_VALUE"""),TRUE)</f>
        <v>1</v>
      </c>
    </row>
    <row r="1216" hidden="1">
      <c r="A1216" s="76" t="str">
        <f>IFERROR(__xludf.DUMMYFUNCTION("""COMPUTED_VALUE"""),"Food and Fellowship")</f>
        <v>Food and Fellowship</v>
      </c>
      <c r="B1216" s="76" t="str">
        <f>IFERROR(__xludf.DUMMYFUNCTION("""COMPUTED_VALUE"""),"Lorehold Spirit")</f>
        <v>Lorehold Spirit</v>
      </c>
      <c r="C1216" s="77">
        <f>IFERROR(__xludf.DUMMYFUNCTION("""COMPUTED_VALUE"""),0.0)</f>
        <v>0</v>
      </c>
      <c r="D1216" s="77">
        <f>IFERROR(__xludf.DUMMYFUNCTION("""COMPUTED_VALUE"""),0.0)</f>
        <v>0</v>
      </c>
      <c r="E1216" s="46" t="b">
        <f>IFERROR(__xludf.DUMMYFUNCTION("""COMPUTED_VALUE"""),TRUE)</f>
        <v>1</v>
      </c>
    </row>
    <row r="1217" hidden="1">
      <c r="A1217" s="76" t="str">
        <f>IFERROR(__xludf.DUMMYFUNCTION("""COMPUTED_VALUE"""),"Food and Fellowship")</f>
        <v>Food and Fellowship</v>
      </c>
      <c r="B1217" s="76" t="str">
        <f>IFERROR(__xludf.DUMMYFUNCTION("""COMPUTED_VALUE"""),"Mutant Menace")</f>
        <v>Mutant Menace</v>
      </c>
      <c r="C1217" s="77">
        <f>IFERROR(__xludf.DUMMYFUNCTION("""COMPUTED_VALUE"""),0.0)</f>
        <v>0</v>
      </c>
      <c r="D1217" s="77">
        <f>IFERROR(__xludf.DUMMYFUNCTION("""COMPUTED_VALUE"""),0.0)</f>
        <v>0</v>
      </c>
      <c r="E1217" s="46" t="b">
        <f>IFERROR(__xludf.DUMMYFUNCTION("""COMPUTED_VALUE"""),TRUE)</f>
        <v>1</v>
      </c>
    </row>
    <row r="1218" hidden="1">
      <c r="A1218" s="76" t="str">
        <f>IFERROR(__xludf.DUMMYFUNCTION("""COMPUTED_VALUE"""),"Food and Fellowship")</f>
        <v>Food and Fellowship</v>
      </c>
      <c r="B1218" s="76" t="str">
        <f>IFERROR(__xludf.DUMMYFUNCTION("""COMPUTED_VALUE"""),"Party Time")</f>
        <v>Party Time</v>
      </c>
      <c r="C1218" s="77">
        <f>IFERROR(__xludf.DUMMYFUNCTION("""COMPUTED_VALUE"""),0.0)</f>
        <v>0</v>
      </c>
      <c r="D1218" s="77">
        <f>IFERROR(__xludf.DUMMYFUNCTION("""COMPUTED_VALUE"""),0.0)</f>
        <v>0</v>
      </c>
      <c r="E1218" s="46" t="b">
        <f>IFERROR(__xludf.DUMMYFUNCTION("""COMPUTED_VALUE"""),TRUE)</f>
        <v>1</v>
      </c>
    </row>
    <row r="1219" hidden="1">
      <c r="A1219" s="76" t="str">
        <f>IFERROR(__xludf.DUMMYFUNCTION("""COMPUTED_VALUE"""),"Food and Fellowship")</f>
        <v>Food and Fellowship</v>
      </c>
      <c r="B1219" s="76" t="str">
        <f>IFERROR(__xludf.DUMMYFUNCTION("""COMPUTED_VALUE"""),"Peace Offering")</f>
        <v>Peace Offering</v>
      </c>
      <c r="C1219" s="77">
        <f>IFERROR(__xludf.DUMMYFUNCTION("""COMPUTED_VALUE"""),0.0)</f>
        <v>0</v>
      </c>
      <c r="D1219" s="77">
        <f>IFERROR(__xludf.DUMMYFUNCTION("""COMPUTED_VALUE"""),0.0)</f>
        <v>0</v>
      </c>
      <c r="E1219" s="46" t="b">
        <f>IFERROR(__xludf.DUMMYFUNCTION("""COMPUTED_VALUE"""),TRUE)</f>
        <v>1</v>
      </c>
    </row>
    <row r="1220" hidden="1">
      <c r="A1220" s="76" t="str">
        <f>IFERROR(__xludf.DUMMYFUNCTION("""COMPUTED_VALUE"""),"Food and Fellowship")</f>
        <v>Food and Fellowship</v>
      </c>
      <c r="B1220" s="76" t="str">
        <f>IFERROR(__xludf.DUMMYFUNCTION("""COMPUTED_VALUE"""),"Power Hungry")</f>
        <v>Power Hungry</v>
      </c>
      <c r="C1220" s="77">
        <f>IFERROR(__xludf.DUMMYFUNCTION("""COMPUTED_VALUE"""),0.0)</f>
        <v>0</v>
      </c>
      <c r="D1220" s="77">
        <f>IFERROR(__xludf.DUMMYFUNCTION("""COMPUTED_VALUE"""),0.0)</f>
        <v>0</v>
      </c>
      <c r="E1220" s="46" t="b">
        <f>IFERROR(__xludf.DUMMYFUNCTION("""COMPUTED_VALUE"""),TRUE)</f>
        <v>1</v>
      </c>
    </row>
    <row r="1221" hidden="1">
      <c r="A1221" s="76" t="str">
        <f>IFERROR(__xludf.DUMMYFUNCTION("""COMPUTED_VALUE"""),"Food and Fellowship")</f>
        <v>Food and Fellowship</v>
      </c>
      <c r="B1221" s="76" t="str">
        <f>IFERROR(__xludf.DUMMYFUNCTION("""COMPUTED_VALUE"""),"Primal Genesis")</f>
        <v>Primal Genesis</v>
      </c>
      <c r="C1221" s="77">
        <f>IFERROR(__xludf.DUMMYFUNCTION("""COMPUTED_VALUE"""),0.0)</f>
        <v>0</v>
      </c>
      <c r="D1221" s="77">
        <f>IFERROR(__xludf.DUMMYFUNCTION("""COMPUTED_VALUE"""),0.0)</f>
        <v>0</v>
      </c>
      <c r="E1221" s="46" t="b">
        <f>IFERROR(__xludf.DUMMYFUNCTION("""COMPUTED_VALUE"""),TRUE)</f>
        <v>1</v>
      </c>
    </row>
    <row r="1222" hidden="1">
      <c r="A1222" s="76" t="str">
        <f>IFERROR(__xludf.DUMMYFUNCTION("""COMPUTED_VALUE"""),"Food and Fellowship")</f>
        <v>Food and Fellowship</v>
      </c>
      <c r="B1222" s="76" t="str">
        <f>IFERROR(__xludf.DUMMYFUNCTION("""COMPUTED_VALUE"""),"Prismari Artistry")</f>
        <v>Prismari Artistry</v>
      </c>
      <c r="C1222" s="77">
        <f>IFERROR(__xludf.DUMMYFUNCTION("""COMPUTED_VALUE"""),0.0)</f>
        <v>0</v>
      </c>
      <c r="D1222" s="77">
        <f>IFERROR(__xludf.DUMMYFUNCTION("""COMPUTED_VALUE"""),0.0)</f>
        <v>0</v>
      </c>
      <c r="E1222" s="46" t="b">
        <f>IFERROR(__xludf.DUMMYFUNCTION("""COMPUTED_VALUE"""),TRUE)</f>
        <v>1</v>
      </c>
    </row>
    <row r="1223" hidden="1">
      <c r="A1223" s="76" t="str">
        <f>IFERROR(__xludf.DUMMYFUNCTION("""COMPUTED_VALUE"""),"Food and Fellowship")</f>
        <v>Food and Fellowship</v>
      </c>
      <c r="B1223" s="76" t="str">
        <f>IFERROR(__xludf.DUMMYFUNCTION("""COMPUTED_VALUE"""),"Prismari Performance")</f>
        <v>Prismari Performance</v>
      </c>
      <c r="C1223" s="77">
        <f>IFERROR(__xludf.DUMMYFUNCTION("""COMPUTED_VALUE"""),0.0)</f>
        <v>0</v>
      </c>
      <c r="D1223" s="77">
        <f>IFERROR(__xludf.DUMMYFUNCTION("""COMPUTED_VALUE"""),0.0)</f>
        <v>0</v>
      </c>
      <c r="E1223" s="46" t="b">
        <f>IFERROR(__xludf.DUMMYFUNCTION("""COMPUTED_VALUE"""),TRUE)</f>
        <v>1</v>
      </c>
    </row>
    <row r="1224" hidden="1">
      <c r="A1224" s="76" t="str">
        <f>IFERROR(__xludf.DUMMYFUNCTION("""COMPUTED_VALUE"""),"Food and Fellowship")</f>
        <v>Food and Fellowship</v>
      </c>
      <c r="B1224" s="76" t="str">
        <f>IFERROR(__xludf.DUMMYFUNCTION("""COMPUTED_VALUE"""),"Quandrix Unlimited")</f>
        <v>Quandrix Unlimited</v>
      </c>
      <c r="C1224" s="77">
        <f>IFERROR(__xludf.DUMMYFUNCTION("""COMPUTED_VALUE"""),0.0)</f>
        <v>0</v>
      </c>
      <c r="D1224" s="77">
        <f>IFERROR(__xludf.DUMMYFUNCTION("""COMPUTED_VALUE"""),0.0)</f>
        <v>0</v>
      </c>
      <c r="E1224" s="46" t="b">
        <f>IFERROR(__xludf.DUMMYFUNCTION("""COMPUTED_VALUE"""),TRUE)</f>
        <v>1</v>
      </c>
    </row>
    <row r="1225" hidden="1">
      <c r="A1225" s="76" t="str">
        <f>IFERROR(__xludf.DUMMYFUNCTION("""COMPUTED_VALUE"""),"Food and Fellowship")</f>
        <v>Food and Fellowship</v>
      </c>
      <c r="B1225" s="76" t="str">
        <f>IFERROR(__xludf.DUMMYFUNCTION("""COMPUTED_VALUE"""),"Quick Draw")</f>
        <v>Quick Draw</v>
      </c>
      <c r="C1225" s="77">
        <f>IFERROR(__xludf.DUMMYFUNCTION("""COMPUTED_VALUE"""),0.0)</f>
        <v>0</v>
      </c>
      <c r="D1225" s="77">
        <f>IFERROR(__xludf.DUMMYFUNCTION("""COMPUTED_VALUE"""),1.0)</f>
        <v>1</v>
      </c>
      <c r="E1225" s="46" t="b">
        <f>IFERROR(__xludf.DUMMYFUNCTION("""COMPUTED_VALUE"""),FALSE)</f>
        <v>0</v>
      </c>
    </row>
    <row r="1226" hidden="1">
      <c r="A1226" s="76" t="str">
        <f>IFERROR(__xludf.DUMMYFUNCTION("""COMPUTED_VALUE"""),"Food and Fellowship")</f>
        <v>Food and Fellowship</v>
      </c>
      <c r="B1226" s="76" t="str">
        <f>IFERROR(__xludf.DUMMYFUNCTION("""COMPUTED_VALUE"""),"Reap the Tides")</f>
        <v>Reap the Tides</v>
      </c>
      <c r="C1226" s="77">
        <f>IFERROR(__xludf.DUMMYFUNCTION("""COMPUTED_VALUE"""),0.0)</f>
        <v>0</v>
      </c>
      <c r="D1226" s="77">
        <f>IFERROR(__xludf.DUMMYFUNCTION("""COMPUTED_VALUE"""),0.0)</f>
        <v>0</v>
      </c>
      <c r="E1226" s="46" t="b">
        <f>IFERROR(__xludf.DUMMYFUNCTION("""COMPUTED_VALUE"""),TRUE)</f>
        <v>1</v>
      </c>
    </row>
    <row r="1227" hidden="1">
      <c r="A1227" s="76" t="str">
        <f>IFERROR(__xludf.DUMMYFUNCTION("""COMPUTED_VALUE"""),"Food and Fellowship")</f>
        <v>Food and Fellowship</v>
      </c>
      <c r="B1227" s="76" t="str">
        <f>IFERROR(__xludf.DUMMYFUNCTION("""COMPUTED_VALUE"""),"Rebellion Rising")</f>
        <v>Rebellion Rising</v>
      </c>
      <c r="C1227" s="77">
        <f>IFERROR(__xludf.DUMMYFUNCTION("""COMPUTED_VALUE"""),0.0)</f>
        <v>0</v>
      </c>
      <c r="D1227" s="77">
        <f>IFERROR(__xludf.DUMMYFUNCTION("""COMPUTED_VALUE"""),0.0)</f>
        <v>0</v>
      </c>
      <c r="E1227" s="46" t="b">
        <f>IFERROR(__xludf.DUMMYFUNCTION("""COMPUTED_VALUE"""),TRUE)</f>
        <v>1</v>
      </c>
    </row>
    <row r="1228" hidden="1">
      <c r="A1228" s="76" t="str">
        <f>IFERROR(__xludf.DUMMYFUNCTION("""COMPUTED_VALUE"""),"Food and Fellowship")</f>
        <v>Food and Fellowship</v>
      </c>
      <c r="B1228" s="76" t="str">
        <f>IFERROR(__xludf.DUMMYFUNCTION("""COMPUTED_VALUE"""),"Revival Trance")</f>
        <v>Revival Trance</v>
      </c>
      <c r="C1228" s="77">
        <f>IFERROR(__xludf.DUMMYFUNCTION("""COMPUTED_VALUE"""),0.0)</f>
        <v>0</v>
      </c>
      <c r="D1228" s="77">
        <f>IFERROR(__xludf.DUMMYFUNCTION("""COMPUTED_VALUE"""),0.0)</f>
        <v>0</v>
      </c>
      <c r="E1228" s="46" t="b">
        <f>IFERROR(__xludf.DUMMYFUNCTION("""COMPUTED_VALUE"""),TRUE)</f>
        <v>1</v>
      </c>
    </row>
    <row r="1229" hidden="1">
      <c r="A1229" s="76" t="str">
        <f>IFERROR(__xludf.DUMMYFUNCTION("""COMPUTED_VALUE"""),"Food and Fellowship")</f>
        <v>Food and Fellowship</v>
      </c>
      <c r="B1229" s="76" t="str">
        <f>IFERROR(__xludf.DUMMYFUNCTION("""COMPUTED_VALUE"""),"Riders of Rohan")</f>
        <v>Riders of Rohan</v>
      </c>
      <c r="C1229" s="77">
        <f>IFERROR(__xludf.DUMMYFUNCTION("""COMPUTED_VALUE"""),0.0)</f>
        <v>0</v>
      </c>
      <c r="D1229" s="77">
        <f>IFERROR(__xludf.DUMMYFUNCTION("""COMPUTED_VALUE"""),0.0)</f>
        <v>0</v>
      </c>
      <c r="E1229" s="46" t="b">
        <f>IFERROR(__xludf.DUMMYFUNCTION("""COMPUTED_VALUE"""),TRUE)</f>
        <v>1</v>
      </c>
    </row>
    <row r="1230" hidden="1">
      <c r="A1230" s="76" t="str">
        <f>IFERROR(__xludf.DUMMYFUNCTION("""COMPUTED_VALUE"""),"Food and Fellowship")</f>
        <v>Food and Fellowship</v>
      </c>
      <c r="B1230" s="76" t="str">
        <f>IFERROR(__xludf.DUMMYFUNCTION("""COMPUTED_VALUE"""),"Science!")</f>
        <v>Science!</v>
      </c>
      <c r="C1230" s="77">
        <f>IFERROR(__xludf.DUMMYFUNCTION("""COMPUTED_VALUE"""),0.0)</f>
        <v>0</v>
      </c>
      <c r="D1230" s="77">
        <f>IFERROR(__xludf.DUMMYFUNCTION("""COMPUTED_VALUE"""),0.0)</f>
        <v>0</v>
      </c>
      <c r="E1230" s="46" t="b">
        <f>IFERROR(__xludf.DUMMYFUNCTION("""COMPUTED_VALUE"""),TRUE)</f>
        <v>1</v>
      </c>
    </row>
    <row r="1231" hidden="1">
      <c r="A1231" s="76" t="str">
        <f>IFERROR(__xludf.DUMMYFUNCTION("""COMPUTED_VALUE"""),"Food and Fellowship")</f>
        <v>Food and Fellowship</v>
      </c>
      <c r="B1231" s="76" t="str">
        <f>IFERROR(__xludf.DUMMYFUNCTION("""COMPUTED_VALUE"""),"Scions &amp; Spellcraft")</f>
        <v>Scions &amp; Spellcraft</v>
      </c>
      <c r="C1231" s="77">
        <f>IFERROR(__xludf.DUMMYFUNCTION("""COMPUTED_VALUE"""),0.0)</f>
        <v>0</v>
      </c>
      <c r="D1231" s="77">
        <f>IFERROR(__xludf.DUMMYFUNCTION("""COMPUTED_VALUE"""),0.0)</f>
        <v>0</v>
      </c>
      <c r="E1231" s="46" t="b">
        <f>IFERROR(__xludf.DUMMYFUNCTION("""COMPUTED_VALUE"""),TRUE)</f>
        <v>1</v>
      </c>
    </row>
    <row r="1232" hidden="1">
      <c r="A1232" s="76" t="str">
        <f>IFERROR(__xludf.DUMMYFUNCTION("""COMPUTED_VALUE"""),"Food and Fellowship")</f>
        <v>Food and Fellowship</v>
      </c>
      <c r="B1232" s="76" t="str">
        <f>IFERROR(__xludf.DUMMYFUNCTION("""COMPUTED_VALUE"""),"Scrappy Survivors")</f>
        <v>Scrappy Survivors</v>
      </c>
      <c r="C1232" s="77">
        <f>IFERROR(__xludf.DUMMYFUNCTION("""COMPUTED_VALUE"""),0.0)</f>
        <v>0</v>
      </c>
      <c r="D1232" s="77">
        <f>IFERROR(__xludf.DUMMYFUNCTION("""COMPUTED_VALUE"""),0.0)</f>
        <v>0</v>
      </c>
      <c r="E1232" s="46" t="b">
        <f>IFERROR(__xludf.DUMMYFUNCTION("""COMPUTED_VALUE"""),TRUE)</f>
        <v>1</v>
      </c>
    </row>
    <row r="1233" hidden="1">
      <c r="A1233" s="76" t="str">
        <f>IFERROR(__xludf.DUMMYFUNCTION("""COMPUTED_VALUE"""),"Food and Fellowship")</f>
        <v>Food and Fellowship</v>
      </c>
      <c r="B1233" s="76" t="str">
        <f>IFERROR(__xludf.DUMMYFUNCTION("""COMPUTED_VALUE"""),"Silverquill Influence")</f>
        <v>Silverquill Influence</v>
      </c>
      <c r="C1233" s="77">
        <f>IFERROR(__xludf.DUMMYFUNCTION("""COMPUTED_VALUE"""),0.0)</f>
        <v>0</v>
      </c>
      <c r="D1233" s="77">
        <f>IFERROR(__xludf.DUMMYFUNCTION("""COMPUTED_VALUE"""),0.0)</f>
        <v>0</v>
      </c>
      <c r="E1233" s="46" t="b">
        <f>IFERROR(__xludf.DUMMYFUNCTION("""COMPUTED_VALUE"""),TRUE)</f>
        <v>1</v>
      </c>
    </row>
    <row r="1234" hidden="1">
      <c r="A1234" s="76" t="str">
        <f>IFERROR(__xludf.DUMMYFUNCTION("""COMPUTED_VALUE"""),"Food and Fellowship")</f>
        <v>Food and Fellowship</v>
      </c>
      <c r="B1234" s="76" t="str">
        <f>IFERROR(__xludf.DUMMYFUNCTION("""COMPUTED_VALUE"""),"Spirit Squadron")</f>
        <v>Spirit Squadron</v>
      </c>
      <c r="C1234" s="77">
        <f>IFERROR(__xludf.DUMMYFUNCTION("""COMPUTED_VALUE"""),0.0)</f>
        <v>0</v>
      </c>
      <c r="D1234" s="77">
        <f>IFERROR(__xludf.DUMMYFUNCTION("""COMPUTED_VALUE"""),0.0)</f>
        <v>0</v>
      </c>
      <c r="E1234" s="46" t="b">
        <f>IFERROR(__xludf.DUMMYFUNCTION("""COMPUTED_VALUE"""),TRUE)</f>
        <v>1</v>
      </c>
    </row>
    <row r="1235" hidden="1">
      <c r="A1235" s="76" t="str">
        <f>IFERROR(__xludf.DUMMYFUNCTION("""COMPUTED_VALUE"""),"Food and Fellowship")</f>
        <v>Food and Fellowship</v>
      </c>
      <c r="B1235" s="76" t="str">
        <f>IFERROR(__xludf.DUMMYFUNCTION("""COMPUTED_VALUE"""),"Squirreled Away")</f>
        <v>Squirreled Away</v>
      </c>
      <c r="C1235" s="77">
        <f>IFERROR(__xludf.DUMMYFUNCTION("""COMPUTED_VALUE"""),0.0)</f>
        <v>0</v>
      </c>
      <c r="D1235" s="77">
        <f>IFERROR(__xludf.DUMMYFUNCTION("""COMPUTED_VALUE"""),0.0)</f>
        <v>0</v>
      </c>
      <c r="E1235" s="46" t="b">
        <f>IFERROR(__xludf.DUMMYFUNCTION("""COMPUTED_VALUE"""),TRUE)</f>
        <v>1</v>
      </c>
    </row>
    <row r="1236" hidden="1">
      <c r="A1236" s="76" t="str">
        <f>IFERROR(__xludf.DUMMYFUNCTION("""COMPUTED_VALUE"""),"Food and Fellowship")</f>
        <v>Food and Fellowship</v>
      </c>
      <c r="B1236" s="76" t="str">
        <f>IFERROR(__xludf.DUMMYFUNCTION("""COMPUTED_VALUE"""),"Sultai Arisen")</f>
        <v>Sultai Arisen</v>
      </c>
      <c r="C1236" s="77">
        <f>IFERROR(__xludf.DUMMYFUNCTION("""COMPUTED_VALUE"""),0.0)</f>
        <v>0</v>
      </c>
      <c r="D1236" s="77">
        <f>IFERROR(__xludf.DUMMYFUNCTION("""COMPUTED_VALUE"""),0.0)</f>
        <v>0</v>
      </c>
      <c r="E1236" s="46" t="b">
        <f>IFERROR(__xludf.DUMMYFUNCTION("""COMPUTED_VALUE"""),TRUE)</f>
        <v>1</v>
      </c>
    </row>
    <row r="1237" hidden="1">
      <c r="A1237" s="76" t="str">
        <f>IFERROR(__xludf.DUMMYFUNCTION("""COMPUTED_VALUE"""),"Food and Fellowship")</f>
        <v>Food and Fellowship</v>
      </c>
      <c r="B1237" s="76" t="str">
        <f>IFERROR(__xludf.DUMMYFUNCTION("""COMPUTED_VALUE"""),"Temur Roar")</f>
        <v>Temur Roar</v>
      </c>
      <c r="C1237" s="77">
        <f>IFERROR(__xludf.DUMMYFUNCTION("""COMPUTED_VALUE"""),0.0)</f>
        <v>0</v>
      </c>
      <c r="D1237" s="77">
        <f>IFERROR(__xludf.DUMMYFUNCTION("""COMPUTED_VALUE"""),0.0)</f>
        <v>0</v>
      </c>
      <c r="E1237" s="46" t="b">
        <f>IFERROR(__xludf.DUMMYFUNCTION("""COMPUTED_VALUE"""),TRUE)</f>
        <v>1</v>
      </c>
    </row>
    <row r="1238" hidden="1">
      <c r="A1238" s="76" t="str">
        <f>IFERROR(__xludf.DUMMYFUNCTION("""COMPUTED_VALUE"""),"Food and Fellowship")</f>
        <v>Food and Fellowship</v>
      </c>
      <c r="B1238" s="76" t="str">
        <f>IFERROR(__xludf.DUMMYFUNCTION("""COMPUTED_VALUE"""),"The Hosts of Mordor")</f>
        <v>The Hosts of Mordor</v>
      </c>
      <c r="C1238" s="77">
        <f>IFERROR(__xludf.DUMMYFUNCTION("""COMPUTED_VALUE"""),0.0)</f>
        <v>0</v>
      </c>
      <c r="D1238" s="77">
        <f>IFERROR(__xludf.DUMMYFUNCTION("""COMPUTED_VALUE"""),0.0)</f>
        <v>0</v>
      </c>
      <c r="E1238" s="46" t="b">
        <f>IFERROR(__xludf.DUMMYFUNCTION("""COMPUTED_VALUE"""),TRUE)</f>
        <v>1</v>
      </c>
    </row>
    <row r="1239" hidden="1">
      <c r="A1239" s="78" t="str">
        <f>IFERROR(__xludf.DUMMYFUNCTION("""COMPUTED_VALUE"""),"Food and Fellowship")</f>
        <v>Food and Fellowship</v>
      </c>
      <c r="B1239" s="78" t="str">
        <f>IFERROR(__xludf.DUMMYFUNCTION("""COMPUTED_VALUE"""),"The Ruinous Powers")</f>
        <v>The Ruinous Powers</v>
      </c>
      <c r="C1239" s="79">
        <f>IFERROR(__xludf.DUMMYFUNCTION("""COMPUTED_VALUE"""),0.0)</f>
        <v>0</v>
      </c>
      <c r="D1239" s="79">
        <f>IFERROR(__xludf.DUMMYFUNCTION("""COMPUTED_VALUE"""),0.0)</f>
        <v>0</v>
      </c>
      <c r="E1239" s="69" t="b">
        <f>IFERROR(__xludf.DUMMYFUNCTION("""COMPUTED_VALUE"""),TRUE)</f>
        <v>1</v>
      </c>
    </row>
    <row r="1240" hidden="1">
      <c r="A1240" s="76" t="str">
        <f>IFERROR(__xludf.DUMMYFUNCTION("""COMPUTED_VALUE"""),"Food and Fellowship")</f>
        <v>Food and Fellowship</v>
      </c>
      <c r="B1240" s="76" t="str">
        <f>IFERROR(__xludf.DUMMYFUNCTION("""COMPUTED_VALUE"""),"Timey-Wimey")</f>
        <v>Timey-Wimey</v>
      </c>
      <c r="C1240" s="77">
        <f>IFERROR(__xludf.DUMMYFUNCTION("""COMPUTED_VALUE"""),0.0)</f>
        <v>0</v>
      </c>
      <c r="D1240" s="77">
        <f>IFERROR(__xludf.DUMMYFUNCTION("""COMPUTED_VALUE"""),0.0)</f>
        <v>0</v>
      </c>
      <c r="E1240" s="46" t="b">
        <f>IFERROR(__xludf.DUMMYFUNCTION("""COMPUTED_VALUE"""),TRUE)</f>
        <v>1</v>
      </c>
    </row>
    <row r="1241" hidden="1">
      <c r="A1241" s="76" t="str">
        <f>IFERROR(__xludf.DUMMYFUNCTION("""COMPUTED_VALUE"""),"Food and Fellowship")</f>
        <v>Food and Fellowship</v>
      </c>
      <c r="B1241" s="76" t="str">
        <f>IFERROR(__xludf.DUMMYFUNCTION("""COMPUTED_VALUE"""),"Tinker Time")</f>
        <v>Tinker Time</v>
      </c>
      <c r="C1241" s="77">
        <f>IFERROR(__xludf.DUMMYFUNCTION("""COMPUTED_VALUE"""),0.0)</f>
        <v>0</v>
      </c>
      <c r="D1241" s="77">
        <f>IFERROR(__xludf.DUMMYFUNCTION("""COMPUTED_VALUE"""),0.0)</f>
        <v>0</v>
      </c>
      <c r="E1241" s="46" t="b">
        <f>IFERROR(__xludf.DUMMYFUNCTION("""COMPUTED_VALUE"""),TRUE)</f>
        <v>1</v>
      </c>
    </row>
    <row r="1242" hidden="1">
      <c r="A1242" s="76" t="str">
        <f>IFERROR(__xludf.DUMMYFUNCTION("""COMPUTED_VALUE"""),"Food and Fellowship")</f>
        <v>Food and Fellowship</v>
      </c>
      <c r="B1242" s="76" t="str">
        <f>IFERROR(__xludf.DUMMYFUNCTION("""COMPUTED_VALUE"""),"Turtle Power!")</f>
        <v>Turtle Power!</v>
      </c>
      <c r="C1242" s="77">
        <f>IFERROR(__xludf.DUMMYFUNCTION("""COMPUTED_VALUE"""),0.0)</f>
        <v>0</v>
      </c>
      <c r="D1242" s="77">
        <f>IFERROR(__xludf.DUMMYFUNCTION("""COMPUTED_VALUE"""),0.0)</f>
        <v>0</v>
      </c>
      <c r="E1242" s="46" t="b">
        <f>IFERROR(__xludf.DUMMYFUNCTION("""COMPUTED_VALUE"""),TRUE)</f>
        <v>1</v>
      </c>
    </row>
    <row r="1243" hidden="1">
      <c r="A1243" s="76" t="str">
        <f>IFERROR(__xludf.DUMMYFUNCTION("""COMPUTED_VALUE"""),"Food and Fellowship")</f>
        <v>Food and Fellowship</v>
      </c>
      <c r="B1243" s="76" t="str">
        <f>IFERROR(__xludf.DUMMYFUNCTION("""COMPUTED_VALUE"""),"Veloci-ramp-tor")</f>
        <v>Veloci-ramp-tor</v>
      </c>
      <c r="C1243" s="77">
        <f>IFERROR(__xludf.DUMMYFUNCTION("""COMPUTED_VALUE"""),0.0)</f>
        <v>0</v>
      </c>
      <c r="D1243" s="77">
        <f>IFERROR(__xludf.DUMMYFUNCTION("""COMPUTED_VALUE"""),0.0)</f>
        <v>0</v>
      </c>
      <c r="E1243" s="46" t="b">
        <f>IFERROR(__xludf.DUMMYFUNCTION("""COMPUTED_VALUE"""),TRUE)</f>
        <v>1</v>
      </c>
    </row>
    <row r="1244" hidden="1">
      <c r="A1244" s="76" t="str">
        <f>IFERROR(__xludf.DUMMYFUNCTION("""COMPUTED_VALUE"""),"Jeskai Striker")</f>
        <v>Jeskai Striker</v>
      </c>
      <c r="B1244" s="76" t="str">
        <f>IFERROR(__xludf.DUMMYFUNCTION("""COMPUTED_VALUE"""),"Ahoy Mateys")</f>
        <v>Ahoy Mateys</v>
      </c>
      <c r="C1244" s="77">
        <f>IFERROR(__xludf.DUMMYFUNCTION("""COMPUTED_VALUE"""),0.0)</f>
        <v>0</v>
      </c>
      <c r="D1244" s="77">
        <f>IFERROR(__xludf.DUMMYFUNCTION("""COMPUTED_VALUE"""),0.0)</f>
        <v>0</v>
      </c>
      <c r="E1244" s="46" t="b">
        <f>IFERROR(__xludf.DUMMYFUNCTION("""COMPUTED_VALUE"""),TRUE)</f>
        <v>1</v>
      </c>
    </row>
    <row r="1245" hidden="1">
      <c r="A1245" s="76" t="str">
        <f>IFERROR(__xludf.DUMMYFUNCTION("""COMPUTED_VALUE"""),"Jeskai Striker")</f>
        <v>Jeskai Striker</v>
      </c>
      <c r="B1245" s="76" t="str">
        <f>IFERROR(__xludf.DUMMYFUNCTION("""COMPUTED_VALUE"""),"Animated Army")</f>
        <v>Animated Army</v>
      </c>
      <c r="C1245" s="77">
        <f>IFERROR(__xludf.DUMMYFUNCTION("""COMPUTED_VALUE"""),0.0)</f>
        <v>0</v>
      </c>
      <c r="D1245" s="77">
        <f>IFERROR(__xludf.DUMMYFUNCTION("""COMPUTED_VALUE"""),0.0)</f>
        <v>0</v>
      </c>
      <c r="E1245" s="46" t="b">
        <f>IFERROR(__xludf.DUMMYFUNCTION("""COMPUTED_VALUE"""),TRUE)</f>
        <v>1</v>
      </c>
    </row>
    <row r="1246">
      <c r="A1246" s="76" t="str">
        <f>IFERROR(__xludf.DUMMYFUNCTION("""COMPUTED_VALUE"""),"Jeskai Striker")</f>
        <v>Jeskai Striker</v>
      </c>
      <c r="B1246" s="76" t="str">
        <f>IFERROR(__xludf.DUMMYFUNCTION("""COMPUTED_VALUE"""),"Arcane Maelstrom")</f>
        <v>Arcane Maelstrom</v>
      </c>
      <c r="C1246" s="77">
        <f>IFERROR(__xludf.DUMMYFUNCTION("""COMPUTED_VALUE"""),0.0)</f>
        <v>0</v>
      </c>
      <c r="D1246" s="77">
        <f>IFERROR(__xludf.DUMMYFUNCTION("""COMPUTED_VALUE"""),0.0)</f>
        <v>0</v>
      </c>
      <c r="E1246" s="46" t="b">
        <f>IFERROR(__xludf.DUMMYFUNCTION("""COMPUTED_VALUE"""),TRUE)</f>
        <v>1</v>
      </c>
    </row>
    <row r="1247">
      <c r="A1247" s="76" t="str">
        <f>IFERROR(__xludf.DUMMYFUNCTION("""COMPUTED_VALUE"""),"Jeskai Striker")</f>
        <v>Jeskai Striker</v>
      </c>
      <c r="B1247" s="76" t="str">
        <f>IFERROR(__xludf.DUMMYFUNCTION("""COMPUTED_VALUE"""),"Blame Game")</f>
        <v>Blame Game</v>
      </c>
      <c r="C1247" s="77">
        <f>IFERROR(__xludf.DUMMYFUNCTION("""COMPUTED_VALUE"""),0.0)</f>
        <v>0</v>
      </c>
      <c r="D1247" s="77">
        <f>IFERROR(__xludf.DUMMYFUNCTION("""COMPUTED_VALUE"""),0.0)</f>
        <v>0</v>
      </c>
      <c r="E1247" s="46" t="b">
        <f>IFERROR(__xludf.DUMMYFUNCTION("""COMPUTED_VALUE"""),TRUE)</f>
        <v>1</v>
      </c>
    </row>
    <row r="1248" hidden="1">
      <c r="A1248" s="76" t="str">
        <f>IFERROR(__xludf.DUMMYFUNCTION("""COMPUTED_VALUE"""),"Jeskai Striker")</f>
        <v>Jeskai Striker</v>
      </c>
      <c r="B1248" s="76" t="str">
        <f>IFERROR(__xludf.DUMMYFUNCTION("""COMPUTED_VALUE"""),"Blight Curse")</f>
        <v>Blight Curse</v>
      </c>
      <c r="C1248" s="77">
        <f>IFERROR(__xludf.DUMMYFUNCTION("""COMPUTED_VALUE"""),1.0)</f>
        <v>1</v>
      </c>
      <c r="D1248" s="77">
        <f>IFERROR(__xludf.DUMMYFUNCTION("""COMPUTED_VALUE"""),0.0)</f>
        <v>0</v>
      </c>
      <c r="E1248" s="46" t="b">
        <f>IFERROR(__xludf.DUMMYFUNCTION("""COMPUTED_VALUE"""),FALSE)</f>
        <v>0</v>
      </c>
    </row>
    <row r="1249" hidden="1">
      <c r="A1249" s="76" t="str">
        <f>IFERROR(__xludf.DUMMYFUNCTION("""COMPUTED_VALUE"""),"Jeskai Striker")</f>
        <v>Jeskai Striker</v>
      </c>
      <c r="B1249" s="76" t="str">
        <f>IFERROR(__xludf.DUMMYFUNCTION("""COMPUTED_VALUE"""),"Blood Rites")</f>
        <v>Blood Rites</v>
      </c>
      <c r="C1249" s="77">
        <f>IFERROR(__xludf.DUMMYFUNCTION("""COMPUTED_VALUE"""),0.0)</f>
        <v>0</v>
      </c>
      <c r="D1249" s="77">
        <f>IFERROR(__xludf.DUMMYFUNCTION("""COMPUTED_VALUE"""),0.0)</f>
        <v>0</v>
      </c>
      <c r="E1249" s="46" t="b">
        <f>IFERROR(__xludf.DUMMYFUNCTION("""COMPUTED_VALUE"""),TRUE)</f>
        <v>1</v>
      </c>
    </row>
    <row r="1250">
      <c r="A1250" s="76" t="str">
        <f>IFERROR(__xludf.DUMMYFUNCTION("""COMPUTED_VALUE"""),"Jeskai Striker")</f>
        <v>Jeskai Striker</v>
      </c>
      <c r="B1250" s="76" t="str">
        <f>IFERROR(__xludf.DUMMYFUNCTION("""COMPUTED_VALUE"""),"Buckle Up")</f>
        <v>Buckle Up</v>
      </c>
      <c r="C1250" s="77">
        <f>IFERROR(__xludf.DUMMYFUNCTION("""COMPUTED_VALUE"""),1.0)</f>
        <v>1</v>
      </c>
      <c r="D1250" s="77">
        <f>IFERROR(__xludf.DUMMYFUNCTION("""COMPUTED_VALUE"""),0.0)</f>
        <v>0</v>
      </c>
      <c r="E1250" s="46" t="b">
        <f>IFERROR(__xludf.DUMMYFUNCTION("""COMPUTED_VALUE"""),FALSE)</f>
        <v>0</v>
      </c>
    </row>
    <row r="1251">
      <c r="A1251" s="76" t="str">
        <f>IFERROR(__xludf.DUMMYFUNCTION("""COMPUTED_VALUE"""),"Jeskai Striker")</f>
        <v>Jeskai Striker</v>
      </c>
      <c r="B1251" s="76" t="str">
        <f>IFERROR(__xludf.DUMMYFUNCTION("""COMPUTED_VALUE"""),"Cabaretti Cacophony")</f>
        <v>Cabaretti Cacophony</v>
      </c>
      <c r="C1251" s="77">
        <f>IFERROR(__xludf.DUMMYFUNCTION("""COMPUTED_VALUE"""),0.0)</f>
        <v>0</v>
      </c>
      <c r="D1251" s="77">
        <f>IFERROR(__xludf.DUMMYFUNCTION("""COMPUTED_VALUE"""),0.0)</f>
        <v>0</v>
      </c>
      <c r="E1251" s="46" t="b">
        <f>IFERROR(__xludf.DUMMYFUNCTION("""COMPUTED_VALUE"""),TRUE)</f>
        <v>1</v>
      </c>
    </row>
    <row r="1252">
      <c r="A1252" s="76" t="str">
        <f>IFERROR(__xludf.DUMMYFUNCTION("""COMPUTED_VALUE"""),"Jeskai Striker")</f>
        <v>Jeskai Striker</v>
      </c>
      <c r="B1252" s="76" t="str">
        <f>IFERROR(__xludf.DUMMYFUNCTION("""COMPUTED_VALUE"""),"Cavalry Charge")</f>
        <v>Cavalry Charge</v>
      </c>
      <c r="C1252" s="77">
        <f>IFERROR(__xludf.DUMMYFUNCTION("""COMPUTED_VALUE"""),1.0)</f>
        <v>1</v>
      </c>
      <c r="D1252" s="77">
        <f>IFERROR(__xludf.DUMMYFUNCTION("""COMPUTED_VALUE"""),0.0)</f>
        <v>0</v>
      </c>
      <c r="E1252" s="46" t="b">
        <f>IFERROR(__xludf.DUMMYFUNCTION("""COMPUTED_VALUE"""),FALSE)</f>
        <v>0</v>
      </c>
    </row>
    <row r="1253">
      <c r="A1253" s="76" t="str">
        <f>IFERROR(__xludf.DUMMYFUNCTION("""COMPUTED_VALUE"""),"Jeskai Striker")</f>
        <v>Jeskai Striker</v>
      </c>
      <c r="B1253" s="76" t="str">
        <f>IFERROR(__xludf.DUMMYFUNCTION("""COMPUTED_VALUE"""),"Corrupting Influence")</f>
        <v>Corrupting Influence</v>
      </c>
      <c r="C1253" s="77">
        <f>IFERROR(__xludf.DUMMYFUNCTION("""COMPUTED_VALUE"""),0.0)</f>
        <v>0</v>
      </c>
      <c r="D1253" s="77">
        <f>IFERROR(__xludf.DUMMYFUNCTION("""COMPUTED_VALUE"""),1.0)</f>
        <v>1</v>
      </c>
      <c r="E1253" s="46" t="b">
        <f>IFERROR(__xludf.DUMMYFUNCTION("""COMPUTED_VALUE"""),FALSE)</f>
        <v>0</v>
      </c>
    </row>
    <row r="1254">
      <c r="A1254" s="76" t="str">
        <f>IFERROR(__xludf.DUMMYFUNCTION("""COMPUTED_VALUE"""),"Jeskai Striker")</f>
        <v>Jeskai Striker</v>
      </c>
      <c r="B1254" s="76" t="str">
        <f>IFERROR(__xludf.DUMMYFUNCTION("""COMPUTED_VALUE"""),"Counter Blitz")</f>
        <v>Counter Blitz</v>
      </c>
      <c r="C1254" s="77">
        <f>IFERROR(__xludf.DUMMYFUNCTION("""COMPUTED_VALUE"""),0.0)</f>
        <v>0</v>
      </c>
      <c r="D1254" s="77">
        <f>IFERROR(__xludf.DUMMYFUNCTION("""COMPUTED_VALUE"""),0.0)</f>
        <v>0</v>
      </c>
      <c r="E1254" s="46" t="b">
        <f>IFERROR(__xludf.DUMMYFUNCTION("""COMPUTED_VALUE"""),TRUE)</f>
        <v>1</v>
      </c>
    </row>
    <row r="1255" hidden="1">
      <c r="A1255" s="76" t="str">
        <f>IFERROR(__xludf.DUMMYFUNCTION("""COMPUTED_VALUE"""),"Jeskai Striker")</f>
        <v>Jeskai Striker</v>
      </c>
      <c r="B1255" s="76" t="str">
        <f>IFERROR(__xludf.DUMMYFUNCTION("""COMPUTED_VALUE"""),"Counter Intelligence")</f>
        <v>Counter Intelligence</v>
      </c>
      <c r="C1255" s="77">
        <f>IFERROR(__xludf.DUMMYFUNCTION("""COMPUTED_VALUE"""),0.0)</f>
        <v>0</v>
      </c>
      <c r="D1255" s="77">
        <f>IFERROR(__xludf.DUMMYFUNCTION("""COMPUTED_VALUE"""),0.0)</f>
        <v>0</v>
      </c>
      <c r="E1255" s="46" t="b">
        <f>IFERROR(__xludf.DUMMYFUNCTION("""COMPUTED_VALUE"""),TRUE)</f>
        <v>1</v>
      </c>
    </row>
    <row r="1256" hidden="1">
      <c r="A1256" s="78" t="str">
        <f>IFERROR(__xludf.DUMMYFUNCTION("""COMPUTED_VALUE"""),"Jeskai Striker")</f>
        <v>Jeskai Striker</v>
      </c>
      <c r="B1256" s="78" t="str">
        <f>IFERROR(__xludf.DUMMYFUNCTION("""COMPUTED_VALUE"""),"Creative Energy")</f>
        <v>Creative Energy</v>
      </c>
      <c r="C1256" s="79">
        <f>IFERROR(__xludf.DUMMYFUNCTION("""COMPUTED_VALUE"""),0.0)</f>
        <v>0</v>
      </c>
      <c r="D1256" s="79">
        <f>IFERROR(__xludf.DUMMYFUNCTION("""COMPUTED_VALUE"""),1.0)</f>
        <v>1</v>
      </c>
      <c r="E1256" s="69" t="b">
        <f>IFERROR(__xludf.DUMMYFUNCTION("""COMPUTED_VALUE"""),FALSE)</f>
        <v>0</v>
      </c>
    </row>
    <row r="1257" hidden="1">
      <c r="A1257" s="76" t="str">
        <f>IFERROR(__xludf.DUMMYFUNCTION("""COMPUTED_VALUE"""),"Jeskai Striker")</f>
        <v>Jeskai Striker</v>
      </c>
      <c r="B1257" s="76" t="str">
        <f>IFERROR(__xludf.DUMMYFUNCTION("""COMPUTED_VALUE"""),"Dance of the Elements")</f>
        <v>Dance of the Elements</v>
      </c>
      <c r="C1257" s="77">
        <f>IFERROR(__xludf.DUMMYFUNCTION("""COMPUTED_VALUE"""),0.0)</f>
        <v>0</v>
      </c>
      <c r="D1257" s="77">
        <f>IFERROR(__xludf.DUMMYFUNCTION("""COMPUTED_VALUE"""),0.0)</f>
        <v>0</v>
      </c>
      <c r="E1257" s="46" t="b">
        <f>IFERROR(__xludf.DUMMYFUNCTION("""COMPUTED_VALUE"""),TRUE)</f>
        <v>1</v>
      </c>
    </row>
    <row r="1258" hidden="1">
      <c r="A1258" s="76" t="str">
        <f>IFERROR(__xludf.DUMMYFUNCTION("""COMPUTED_VALUE"""),"Jeskai Striker")</f>
        <v>Jeskai Striker</v>
      </c>
      <c r="B1258" s="76" t="str">
        <f>IFERROR(__xludf.DUMMYFUNCTION("""COMPUTED_VALUE"""),"Deep Clue Sea")</f>
        <v>Deep Clue Sea</v>
      </c>
      <c r="C1258" s="77">
        <f>IFERROR(__xludf.DUMMYFUNCTION("""COMPUTED_VALUE"""),0.0)</f>
        <v>0</v>
      </c>
      <c r="D1258" s="77">
        <f>IFERROR(__xludf.DUMMYFUNCTION("""COMPUTED_VALUE"""),0.0)</f>
        <v>0</v>
      </c>
      <c r="E1258" s="46" t="b">
        <f>IFERROR(__xludf.DUMMYFUNCTION("""COMPUTED_VALUE"""),TRUE)</f>
        <v>1</v>
      </c>
    </row>
    <row r="1259" hidden="1">
      <c r="A1259" s="76" t="str">
        <f>IFERROR(__xludf.DUMMYFUNCTION("""COMPUTED_VALUE"""),"Jeskai Striker")</f>
        <v>Jeskai Striker</v>
      </c>
      <c r="B1259" s="76" t="str">
        <f>IFERROR(__xludf.DUMMYFUNCTION("""COMPUTED_VALUE"""),"Doom Prevails")</f>
        <v>Doom Prevails</v>
      </c>
      <c r="C1259" s="77">
        <f>IFERROR(__xludf.DUMMYFUNCTION("""COMPUTED_VALUE"""),0.0)</f>
        <v>0</v>
      </c>
      <c r="D1259" s="77">
        <f>IFERROR(__xludf.DUMMYFUNCTION("""COMPUTED_VALUE"""),0.0)</f>
        <v>0</v>
      </c>
      <c r="E1259" s="46" t="b">
        <f>IFERROR(__xludf.DUMMYFUNCTION("""COMPUTED_VALUE"""),TRUE)</f>
        <v>1</v>
      </c>
    </row>
    <row r="1260">
      <c r="A1260" s="76" t="str">
        <f>IFERROR(__xludf.DUMMYFUNCTION("""COMPUTED_VALUE"""),"Jeskai Striker")</f>
        <v>Jeskai Striker</v>
      </c>
      <c r="B1260" s="76" t="str">
        <f>IFERROR(__xludf.DUMMYFUNCTION("""COMPUTED_VALUE"""),"Eldrazi Incursion")</f>
        <v>Eldrazi Incursion</v>
      </c>
      <c r="C1260" s="77">
        <f>IFERROR(__xludf.DUMMYFUNCTION("""COMPUTED_VALUE"""),0.0)</f>
        <v>0</v>
      </c>
      <c r="D1260" s="77">
        <f>IFERROR(__xludf.DUMMYFUNCTION("""COMPUTED_VALUE"""),0.0)</f>
        <v>0</v>
      </c>
      <c r="E1260" s="46" t="b">
        <f>IFERROR(__xludf.DUMMYFUNCTION("""COMPUTED_VALUE"""),TRUE)</f>
        <v>1</v>
      </c>
    </row>
    <row r="1261" hidden="1">
      <c r="A1261" s="78" t="str">
        <f>IFERROR(__xludf.DUMMYFUNCTION("""COMPUTED_VALUE"""),"Jeskai Striker")</f>
        <v>Jeskai Striker</v>
      </c>
      <c r="B1261" s="78" t="str">
        <f>IFERROR(__xludf.DUMMYFUNCTION("""COMPUTED_VALUE"""),"Eldrazi Unbound")</f>
        <v>Eldrazi Unbound</v>
      </c>
      <c r="C1261" s="79">
        <f>IFERROR(__xludf.DUMMYFUNCTION("""COMPUTED_VALUE"""),0.0)</f>
        <v>0</v>
      </c>
      <c r="D1261" s="79">
        <f>IFERROR(__xludf.DUMMYFUNCTION("""COMPUTED_VALUE"""),0.0)</f>
        <v>0</v>
      </c>
      <c r="E1261" s="69" t="b">
        <f>IFERROR(__xludf.DUMMYFUNCTION("""COMPUTED_VALUE"""),TRUE)</f>
        <v>1</v>
      </c>
    </row>
    <row r="1262" hidden="1">
      <c r="A1262" s="76" t="str">
        <f>IFERROR(__xludf.DUMMYFUNCTION("""COMPUTED_VALUE"""),"Jeskai Striker")</f>
        <v>Jeskai Striker</v>
      </c>
      <c r="B1262" s="76" t="str">
        <f>IFERROR(__xludf.DUMMYFUNCTION("""COMPUTED_VALUE"""),"Endless Punishment")</f>
        <v>Endless Punishment</v>
      </c>
      <c r="C1262" s="77">
        <f>IFERROR(__xludf.DUMMYFUNCTION("""COMPUTED_VALUE"""),0.0)</f>
        <v>0</v>
      </c>
      <c r="D1262" s="77">
        <f>IFERROR(__xludf.DUMMYFUNCTION("""COMPUTED_VALUE"""),0.0)</f>
        <v>0</v>
      </c>
      <c r="E1262" s="46" t="b">
        <f>IFERROR(__xludf.DUMMYFUNCTION("""COMPUTED_VALUE"""),TRUE)</f>
        <v>1</v>
      </c>
    </row>
    <row r="1263" hidden="1">
      <c r="A1263" s="76" t="str">
        <f>IFERROR(__xludf.DUMMYFUNCTION("""COMPUTED_VALUE"""),"Jeskai Striker")</f>
        <v>Jeskai Striker</v>
      </c>
      <c r="B1263" s="76" t="str">
        <f>IFERROR(__xludf.DUMMYFUNCTION("""COMPUTED_VALUE"""),"Enduring Enchantments")</f>
        <v>Enduring Enchantments</v>
      </c>
      <c r="C1263" s="77">
        <f>IFERROR(__xludf.DUMMYFUNCTION("""COMPUTED_VALUE"""),0.0)</f>
        <v>0</v>
      </c>
      <c r="D1263" s="77">
        <f>IFERROR(__xludf.DUMMYFUNCTION("""COMPUTED_VALUE"""),0.0)</f>
        <v>0</v>
      </c>
      <c r="E1263" s="46" t="b">
        <f>IFERROR(__xludf.DUMMYFUNCTION("""COMPUTED_VALUE"""),TRUE)</f>
        <v>1</v>
      </c>
    </row>
    <row r="1264" hidden="1">
      <c r="A1264" s="76" t="str">
        <f>IFERROR(__xludf.DUMMYFUNCTION("""COMPUTED_VALUE"""),"Jeskai Striker")</f>
        <v>Jeskai Striker</v>
      </c>
      <c r="B1264" s="76" t="str">
        <f>IFERROR(__xludf.DUMMYFUNCTION("""COMPUTED_VALUE"""),"Explorers of the Deep")</f>
        <v>Explorers of the Deep</v>
      </c>
      <c r="C1264" s="77">
        <f>IFERROR(__xludf.DUMMYFUNCTION("""COMPUTED_VALUE"""),0.0)</f>
        <v>0</v>
      </c>
      <c r="D1264" s="77">
        <f>IFERROR(__xludf.DUMMYFUNCTION("""COMPUTED_VALUE"""),0.0)</f>
        <v>0</v>
      </c>
      <c r="E1264" s="46" t="b">
        <f>IFERROR(__xludf.DUMMYFUNCTION("""COMPUTED_VALUE"""),TRUE)</f>
        <v>1</v>
      </c>
    </row>
    <row r="1265" hidden="1">
      <c r="A1265" s="76" t="str">
        <f>IFERROR(__xludf.DUMMYFUNCTION("""COMPUTED_VALUE"""),"Jeskai Striker")</f>
        <v>Jeskai Striker</v>
      </c>
      <c r="B1265" s="76" t="str">
        <f>IFERROR(__xludf.DUMMYFUNCTION("""COMPUTED_VALUE"""),"Family Matters")</f>
        <v>Family Matters</v>
      </c>
      <c r="C1265" s="77">
        <f>IFERROR(__xludf.DUMMYFUNCTION("""COMPUTED_VALUE"""),0.0)</f>
        <v>0</v>
      </c>
      <c r="D1265" s="77">
        <f>IFERROR(__xludf.DUMMYFUNCTION("""COMPUTED_VALUE"""),0.0)</f>
        <v>0</v>
      </c>
      <c r="E1265" s="46" t="b">
        <f>IFERROR(__xludf.DUMMYFUNCTION("""COMPUTED_VALUE"""),TRUE)</f>
        <v>1</v>
      </c>
    </row>
    <row r="1266" hidden="1">
      <c r="A1266" s="76" t="str">
        <f>IFERROR(__xludf.DUMMYFUNCTION("""COMPUTED_VALUE"""),"Jeskai Striker")</f>
        <v>Jeskai Striker</v>
      </c>
      <c r="B1266" s="76" t="str">
        <f>IFERROR(__xludf.DUMMYFUNCTION("""COMPUTED_VALUE"""),"Food and Fellowship")</f>
        <v>Food and Fellowship</v>
      </c>
      <c r="C1266" s="77">
        <f>IFERROR(__xludf.DUMMYFUNCTION("""COMPUTED_VALUE"""),0.0)</f>
        <v>0</v>
      </c>
      <c r="D1266" s="77">
        <f>IFERROR(__xludf.DUMMYFUNCTION("""COMPUTED_VALUE"""),0.0)</f>
        <v>0</v>
      </c>
      <c r="E1266" s="46" t="b">
        <f>IFERROR(__xludf.DUMMYFUNCTION("""COMPUTED_VALUE"""),TRUE)</f>
        <v>1</v>
      </c>
    </row>
    <row r="1267" hidden="1">
      <c r="A1267" s="76" t="str">
        <f>IFERROR(__xludf.DUMMYFUNCTION("""COMPUTED_VALUE"""),"Jeskai Striker")</f>
        <v>Jeskai Striker</v>
      </c>
      <c r="B1267" s="76" t="str">
        <f>IFERROR(__xludf.DUMMYFUNCTION("""COMPUTED_VALUE"""),"Jeskai Striker")</f>
        <v>Jeskai Striker</v>
      </c>
      <c r="C1267" s="77">
        <f>IFERROR(__xludf.DUMMYFUNCTION("""COMPUTED_VALUE"""),3.0)</f>
        <v>3</v>
      </c>
      <c r="D1267" s="77">
        <f>IFERROR(__xludf.DUMMYFUNCTION("""COMPUTED_VALUE"""),3.0)</f>
        <v>3</v>
      </c>
      <c r="E1267" s="46" t="b">
        <f>IFERROR(__xludf.DUMMYFUNCTION("""COMPUTED_VALUE"""),TRUE)</f>
        <v>1</v>
      </c>
    </row>
    <row r="1268">
      <c r="A1268" s="76" t="str">
        <f>IFERROR(__xludf.DUMMYFUNCTION("""COMPUTED_VALUE"""),"Jeskai Striker")</f>
        <v>Jeskai Striker</v>
      </c>
      <c r="B1268" s="76" t="str">
        <f>IFERROR(__xludf.DUMMYFUNCTION("""COMPUTED_VALUE"""),"Legends' Legacy")</f>
        <v>Legends' Legacy</v>
      </c>
      <c r="C1268" s="77">
        <f>IFERROR(__xludf.DUMMYFUNCTION("""COMPUTED_VALUE"""),0.0)</f>
        <v>0</v>
      </c>
      <c r="D1268" s="77">
        <f>IFERROR(__xludf.DUMMYFUNCTION("""COMPUTED_VALUE"""),0.0)</f>
        <v>0</v>
      </c>
      <c r="E1268" s="46" t="b">
        <f>IFERROR(__xludf.DUMMYFUNCTION("""COMPUTED_VALUE"""),TRUE)</f>
        <v>1</v>
      </c>
    </row>
    <row r="1269">
      <c r="A1269" s="76" t="str">
        <f>IFERROR(__xludf.DUMMYFUNCTION("""COMPUTED_VALUE"""),"Jeskai Striker")</f>
        <v>Jeskai Striker</v>
      </c>
      <c r="B1269" s="76" t="str">
        <f>IFERROR(__xludf.DUMMYFUNCTION("""COMPUTED_VALUE"""),"Limit Break")</f>
        <v>Limit Break</v>
      </c>
      <c r="C1269" s="77">
        <f>IFERROR(__xludf.DUMMYFUNCTION("""COMPUTED_VALUE"""),0.0)</f>
        <v>0</v>
      </c>
      <c r="D1269" s="77">
        <f>IFERROR(__xludf.DUMMYFUNCTION("""COMPUTED_VALUE"""),0.0)</f>
        <v>0</v>
      </c>
      <c r="E1269" s="46" t="b">
        <f>IFERROR(__xludf.DUMMYFUNCTION("""COMPUTED_VALUE"""),TRUE)</f>
        <v>1</v>
      </c>
    </row>
    <row r="1270" hidden="1">
      <c r="A1270" s="76" t="str">
        <f>IFERROR(__xludf.DUMMYFUNCTION("""COMPUTED_VALUE"""),"Jeskai Striker")</f>
        <v>Jeskai Striker</v>
      </c>
      <c r="B1270" s="76" t="str">
        <f>IFERROR(__xludf.DUMMYFUNCTION("""COMPUTED_VALUE"""),"Lorehold Spirit")</f>
        <v>Lorehold Spirit</v>
      </c>
      <c r="C1270" s="77">
        <f>IFERROR(__xludf.DUMMYFUNCTION("""COMPUTED_VALUE"""),0.0)</f>
        <v>0</v>
      </c>
      <c r="D1270" s="77">
        <f>IFERROR(__xludf.DUMMYFUNCTION("""COMPUTED_VALUE"""),0.0)</f>
        <v>0</v>
      </c>
      <c r="E1270" s="46" t="b">
        <f>IFERROR(__xludf.DUMMYFUNCTION("""COMPUTED_VALUE"""),TRUE)</f>
        <v>1</v>
      </c>
    </row>
    <row r="1271">
      <c r="A1271" s="76" t="str">
        <f>IFERROR(__xludf.DUMMYFUNCTION("""COMPUTED_VALUE"""),"Jeskai Striker")</f>
        <v>Jeskai Striker</v>
      </c>
      <c r="B1271" s="76" t="str">
        <f>IFERROR(__xludf.DUMMYFUNCTION("""COMPUTED_VALUE"""),"Mutant Menace")</f>
        <v>Mutant Menace</v>
      </c>
      <c r="C1271" s="77">
        <f>IFERROR(__xludf.DUMMYFUNCTION("""COMPUTED_VALUE"""),0.0)</f>
        <v>0</v>
      </c>
      <c r="D1271" s="77">
        <f>IFERROR(__xludf.DUMMYFUNCTION("""COMPUTED_VALUE"""),0.0)</f>
        <v>0</v>
      </c>
      <c r="E1271" s="46" t="b">
        <f>IFERROR(__xludf.DUMMYFUNCTION("""COMPUTED_VALUE"""),TRUE)</f>
        <v>1</v>
      </c>
    </row>
    <row r="1272" hidden="1">
      <c r="A1272" s="76" t="str">
        <f>IFERROR(__xludf.DUMMYFUNCTION("""COMPUTED_VALUE"""),"Jeskai Striker")</f>
        <v>Jeskai Striker</v>
      </c>
      <c r="B1272" s="76" t="str">
        <f>IFERROR(__xludf.DUMMYFUNCTION("""COMPUTED_VALUE"""),"Party Time")</f>
        <v>Party Time</v>
      </c>
      <c r="C1272" s="77">
        <f>IFERROR(__xludf.DUMMYFUNCTION("""COMPUTED_VALUE"""),0.0)</f>
        <v>0</v>
      </c>
      <c r="D1272" s="77">
        <f>IFERROR(__xludf.DUMMYFUNCTION("""COMPUTED_VALUE"""),0.0)</f>
        <v>0</v>
      </c>
      <c r="E1272" s="46" t="b">
        <f>IFERROR(__xludf.DUMMYFUNCTION("""COMPUTED_VALUE"""),TRUE)</f>
        <v>1</v>
      </c>
    </row>
    <row r="1273">
      <c r="A1273" s="76" t="str">
        <f>IFERROR(__xludf.DUMMYFUNCTION("""COMPUTED_VALUE"""),"Jeskai Striker")</f>
        <v>Jeskai Striker</v>
      </c>
      <c r="B1273" s="76" t="str">
        <f>IFERROR(__xludf.DUMMYFUNCTION("""COMPUTED_VALUE"""),"Peace Offering")</f>
        <v>Peace Offering</v>
      </c>
      <c r="C1273" s="77">
        <f>IFERROR(__xludf.DUMMYFUNCTION("""COMPUTED_VALUE"""),0.0)</f>
        <v>0</v>
      </c>
      <c r="D1273" s="77">
        <f>IFERROR(__xludf.DUMMYFUNCTION("""COMPUTED_VALUE"""),0.0)</f>
        <v>0</v>
      </c>
      <c r="E1273" s="46" t="b">
        <f>IFERROR(__xludf.DUMMYFUNCTION("""COMPUTED_VALUE"""),TRUE)</f>
        <v>1</v>
      </c>
    </row>
    <row r="1274" hidden="1">
      <c r="A1274" s="78" t="str">
        <f>IFERROR(__xludf.DUMMYFUNCTION("""COMPUTED_VALUE"""),"Jeskai Striker")</f>
        <v>Jeskai Striker</v>
      </c>
      <c r="B1274" s="78" t="str">
        <f>IFERROR(__xludf.DUMMYFUNCTION("""COMPUTED_VALUE"""),"Power Hungry")</f>
        <v>Power Hungry</v>
      </c>
      <c r="C1274" s="79">
        <f>IFERROR(__xludf.DUMMYFUNCTION("""COMPUTED_VALUE"""),0.0)</f>
        <v>0</v>
      </c>
      <c r="D1274" s="79">
        <f>IFERROR(__xludf.DUMMYFUNCTION("""COMPUTED_VALUE"""),0.0)</f>
        <v>0</v>
      </c>
      <c r="E1274" s="69" t="b">
        <f>IFERROR(__xludf.DUMMYFUNCTION("""COMPUTED_VALUE"""),TRUE)</f>
        <v>1</v>
      </c>
    </row>
    <row r="1275" hidden="1">
      <c r="A1275" s="76" t="str">
        <f>IFERROR(__xludf.DUMMYFUNCTION("""COMPUTED_VALUE"""),"Jeskai Striker")</f>
        <v>Jeskai Striker</v>
      </c>
      <c r="B1275" s="76" t="str">
        <f>IFERROR(__xludf.DUMMYFUNCTION("""COMPUTED_VALUE"""),"Primal Genesis")</f>
        <v>Primal Genesis</v>
      </c>
      <c r="C1275" s="77">
        <f>IFERROR(__xludf.DUMMYFUNCTION("""COMPUTED_VALUE"""),0.0)</f>
        <v>0</v>
      </c>
      <c r="D1275" s="77">
        <f>IFERROR(__xludf.DUMMYFUNCTION("""COMPUTED_VALUE"""),0.0)</f>
        <v>0</v>
      </c>
      <c r="E1275" s="46" t="b">
        <f>IFERROR(__xludf.DUMMYFUNCTION("""COMPUTED_VALUE"""),TRUE)</f>
        <v>1</v>
      </c>
    </row>
    <row r="1276">
      <c r="A1276" s="76" t="str">
        <f>IFERROR(__xludf.DUMMYFUNCTION("""COMPUTED_VALUE"""),"Jeskai Striker")</f>
        <v>Jeskai Striker</v>
      </c>
      <c r="B1276" s="76" t="str">
        <f>IFERROR(__xludf.DUMMYFUNCTION("""COMPUTED_VALUE"""),"Prismari Artistry")</f>
        <v>Prismari Artistry</v>
      </c>
      <c r="C1276" s="77">
        <f>IFERROR(__xludf.DUMMYFUNCTION("""COMPUTED_VALUE"""),1.0)</f>
        <v>1</v>
      </c>
      <c r="D1276" s="77">
        <f>IFERROR(__xludf.DUMMYFUNCTION("""COMPUTED_VALUE"""),0.0)</f>
        <v>0</v>
      </c>
      <c r="E1276" s="46" t="b">
        <f>IFERROR(__xludf.DUMMYFUNCTION("""COMPUTED_VALUE"""),FALSE)</f>
        <v>0</v>
      </c>
    </row>
    <row r="1277" hidden="1">
      <c r="A1277" s="76" t="str">
        <f>IFERROR(__xludf.DUMMYFUNCTION("""COMPUTED_VALUE"""),"Jeskai Striker")</f>
        <v>Jeskai Striker</v>
      </c>
      <c r="B1277" s="76" t="str">
        <f>IFERROR(__xludf.DUMMYFUNCTION("""COMPUTED_VALUE"""),"Prismari Performance")</f>
        <v>Prismari Performance</v>
      </c>
      <c r="C1277" s="77">
        <f>IFERROR(__xludf.DUMMYFUNCTION("""COMPUTED_VALUE"""),0.0)</f>
        <v>0</v>
      </c>
      <c r="D1277" s="77">
        <f>IFERROR(__xludf.DUMMYFUNCTION("""COMPUTED_VALUE"""),0.0)</f>
        <v>0</v>
      </c>
      <c r="E1277" s="46" t="b">
        <f>IFERROR(__xludf.DUMMYFUNCTION("""COMPUTED_VALUE"""),TRUE)</f>
        <v>1</v>
      </c>
    </row>
    <row r="1278" hidden="1">
      <c r="A1278" s="76" t="str">
        <f>IFERROR(__xludf.DUMMYFUNCTION("""COMPUTED_VALUE"""),"Jeskai Striker")</f>
        <v>Jeskai Striker</v>
      </c>
      <c r="B1278" s="76" t="str">
        <f>IFERROR(__xludf.DUMMYFUNCTION("""COMPUTED_VALUE"""),"Quandrix Unlimited")</f>
        <v>Quandrix Unlimited</v>
      </c>
      <c r="C1278" s="77">
        <f>IFERROR(__xludf.DUMMYFUNCTION("""COMPUTED_VALUE"""),0.0)</f>
        <v>0</v>
      </c>
      <c r="D1278" s="77">
        <f>IFERROR(__xludf.DUMMYFUNCTION("""COMPUTED_VALUE"""),2.0)</f>
        <v>2</v>
      </c>
      <c r="E1278" s="46" t="b">
        <f>IFERROR(__xludf.DUMMYFUNCTION("""COMPUTED_VALUE"""),FALSE)</f>
        <v>0</v>
      </c>
    </row>
    <row r="1279" hidden="1">
      <c r="A1279" s="76" t="str">
        <f>IFERROR(__xludf.DUMMYFUNCTION("""COMPUTED_VALUE"""),"Jeskai Striker")</f>
        <v>Jeskai Striker</v>
      </c>
      <c r="B1279" s="76" t="str">
        <f>IFERROR(__xludf.DUMMYFUNCTION("""COMPUTED_VALUE"""),"Quick Draw")</f>
        <v>Quick Draw</v>
      </c>
      <c r="C1279" s="77">
        <f>IFERROR(__xludf.DUMMYFUNCTION("""COMPUTED_VALUE"""),1.0)</f>
        <v>1</v>
      </c>
      <c r="D1279" s="77">
        <f>IFERROR(__xludf.DUMMYFUNCTION("""COMPUTED_VALUE"""),0.0)</f>
        <v>0</v>
      </c>
      <c r="E1279" s="46" t="b">
        <f>IFERROR(__xludf.DUMMYFUNCTION("""COMPUTED_VALUE"""),FALSE)</f>
        <v>0</v>
      </c>
    </row>
    <row r="1280" hidden="1">
      <c r="A1280" s="76" t="str">
        <f>IFERROR(__xludf.DUMMYFUNCTION("""COMPUTED_VALUE"""),"Jeskai Striker")</f>
        <v>Jeskai Striker</v>
      </c>
      <c r="B1280" s="76" t="str">
        <f>IFERROR(__xludf.DUMMYFUNCTION("""COMPUTED_VALUE"""),"Reap the Tides")</f>
        <v>Reap the Tides</v>
      </c>
      <c r="C1280" s="77">
        <f>IFERROR(__xludf.DUMMYFUNCTION("""COMPUTED_VALUE"""),0.0)</f>
        <v>0</v>
      </c>
      <c r="D1280" s="77">
        <f>IFERROR(__xludf.DUMMYFUNCTION("""COMPUTED_VALUE"""),0.0)</f>
        <v>0</v>
      </c>
      <c r="E1280" s="46" t="b">
        <f>IFERROR(__xludf.DUMMYFUNCTION("""COMPUTED_VALUE"""),TRUE)</f>
        <v>1</v>
      </c>
    </row>
    <row r="1281" hidden="1">
      <c r="A1281" s="76" t="str">
        <f>IFERROR(__xludf.DUMMYFUNCTION("""COMPUTED_VALUE"""),"Jeskai Striker")</f>
        <v>Jeskai Striker</v>
      </c>
      <c r="B1281" s="76" t="str">
        <f>IFERROR(__xludf.DUMMYFUNCTION("""COMPUTED_VALUE"""),"Rebellion Rising")</f>
        <v>Rebellion Rising</v>
      </c>
      <c r="C1281" s="77">
        <f>IFERROR(__xludf.DUMMYFUNCTION("""COMPUTED_VALUE"""),0.0)</f>
        <v>0</v>
      </c>
      <c r="D1281" s="77">
        <f>IFERROR(__xludf.DUMMYFUNCTION("""COMPUTED_VALUE"""),0.0)</f>
        <v>0</v>
      </c>
      <c r="E1281" s="46" t="b">
        <f>IFERROR(__xludf.DUMMYFUNCTION("""COMPUTED_VALUE"""),TRUE)</f>
        <v>1</v>
      </c>
    </row>
    <row r="1282">
      <c r="A1282" s="76" t="str">
        <f>IFERROR(__xludf.DUMMYFUNCTION("""COMPUTED_VALUE"""),"Jeskai Striker")</f>
        <v>Jeskai Striker</v>
      </c>
      <c r="B1282" s="76" t="str">
        <f>IFERROR(__xludf.DUMMYFUNCTION("""COMPUTED_VALUE"""),"Revival Trance")</f>
        <v>Revival Trance</v>
      </c>
      <c r="C1282" s="77">
        <f>IFERROR(__xludf.DUMMYFUNCTION("""COMPUTED_VALUE"""),0.0)</f>
        <v>0</v>
      </c>
      <c r="D1282" s="77">
        <f>IFERROR(__xludf.DUMMYFUNCTION("""COMPUTED_VALUE"""),0.0)</f>
        <v>0</v>
      </c>
      <c r="E1282" s="46" t="b">
        <f>IFERROR(__xludf.DUMMYFUNCTION("""COMPUTED_VALUE"""),TRUE)</f>
        <v>1</v>
      </c>
    </row>
    <row r="1283" hidden="1">
      <c r="A1283" s="78" t="str">
        <f>IFERROR(__xludf.DUMMYFUNCTION("""COMPUTED_VALUE"""),"Jeskai Striker")</f>
        <v>Jeskai Striker</v>
      </c>
      <c r="B1283" s="78" t="str">
        <f>IFERROR(__xludf.DUMMYFUNCTION("""COMPUTED_VALUE"""),"Riders of Rohan")</f>
        <v>Riders of Rohan</v>
      </c>
      <c r="C1283" s="79">
        <f>IFERROR(__xludf.DUMMYFUNCTION("""COMPUTED_VALUE"""),1.0)</f>
        <v>1</v>
      </c>
      <c r="D1283" s="79">
        <f>IFERROR(__xludf.DUMMYFUNCTION("""COMPUTED_VALUE"""),0.0)</f>
        <v>0</v>
      </c>
      <c r="E1283" s="69" t="b">
        <f>IFERROR(__xludf.DUMMYFUNCTION("""COMPUTED_VALUE"""),FALSE)</f>
        <v>0</v>
      </c>
    </row>
    <row r="1284">
      <c r="A1284" s="76" t="str">
        <f>IFERROR(__xludf.DUMMYFUNCTION("""COMPUTED_VALUE"""),"Jeskai Striker")</f>
        <v>Jeskai Striker</v>
      </c>
      <c r="B1284" s="76" t="str">
        <f>IFERROR(__xludf.DUMMYFUNCTION("""COMPUTED_VALUE"""),"Science!")</f>
        <v>Science!</v>
      </c>
      <c r="C1284" s="77">
        <f>IFERROR(__xludf.DUMMYFUNCTION("""COMPUTED_VALUE"""),0.0)</f>
        <v>0</v>
      </c>
      <c r="D1284" s="77">
        <f>IFERROR(__xludf.DUMMYFUNCTION("""COMPUTED_VALUE"""),0.0)</f>
        <v>0</v>
      </c>
      <c r="E1284" s="46" t="b">
        <f>IFERROR(__xludf.DUMMYFUNCTION("""COMPUTED_VALUE"""),TRUE)</f>
        <v>1</v>
      </c>
    </row>
    <row r="1285" hidden="1">
      <c r="A1285" s="76" t="str">
        <f>IFERROR(__xludf.DUMMYFUNCTION("""COMPUTED_VALUE"""),"Jeskai Striker")</f>
        <v>Jeskai Striker</v>
      </c>
      <c r="B1285" s="76" t="str">
        <f>IFERROR(__xludf.DUMMYFUNCTION("""COMPUTED_VALUE"""),"Scions &amp; Spellcraft")</f>
        <v>Scions &amp; Spellcraft</v>
      </c>
      <c r="C1285" s="77">
        <f>IFERROR(__xludf.DUMMYFUNCTION("""COMPUTED_VALUE"""),0.0)</f>
        <v>0</v>
      </c>
      <c r="D1285" s="77">
        <f>IFERROR(__xludf.DUMMYFUNCTION("""COMPUTED_VALUE"""),0.0)</f>
        <v>0</v>
      </c>
      <c r="E1285" s="46" t="b">
        <f>IFERROR(__xludf.DUMMYFUNCTION("""COMPUTED_VALUE"""),TRUE)</f>
        <v>1</v>
      </c>
    </row>
    <row r="1286" hidden="1">
      <c r="A1286" s="76" t="str">
        <f>IFERROR(__xludf.DUMMYFUNCTION("""COMPUTED_VALUE"""),"Jeskai Striker")</f>
        <v>Jeskai Striker</v>
      </c>
      <c r="B1286" s="76" t="str">
        <f>IFERROR(__xludf.DUMMYFUNCTION("""COMPUTED_VALUE"""),"Scrappy Survivors")</f>
        <v>Scrappy Survivors</v>
      </c>
      <c r="C1286" s="77">
        <f>IFERROR(__xludf.DUMMYFUNCTION("""COMPUTED_VALUE"""),0.0)</f>
        <v>0</v>
      </c>
      <c r="D1286" s="77">
        <f>IFERROR(__xludf.DUMMYFUNCTION("""COMPUTED_VALUE"""),0.0)</f>
        <v>0</v>
      </c>
      <c r="E1286" s="46" t="b">
        <f>IFERROR(__xludf.DUMMYFUNCTION("""COMPUTED_VALUE"""),TRUE)</f>
        <v>1</v>
      </c>
    </row>
    <row r="1287">
      <c r="A1287" s="76" t="str">
        <f>IFERROR(__xludf.DUMMYFUNCTION("""COMPUTED_VALUE"""),"Jeskai Striker")</f>
        <v>Jeskai Striker</v>
      </c>
      <c r="B1287" s="76" t="str">
        <f>IFERROR(__xludf.DUMMYFUNCTION("""COMPUTED_VALUE"""),"Silverquill Influence")</f>
        <v>Silverquill Influence</v>
      </c>
      <c r="C1287" s="77">
        <f>IFERROR(__xludf.DUMMYFUNCTION("""COMPUTED_VALUE"""),0.0)</f>
        <v>0</v>
      </c>
      <c r="D1287" s="77">
        <f>IFERROR(__xludf.DUMMYFUNCTION("""COMPUTED_VALUE"""),0.0)</f>
        <v>0</v>
      </c>
      <c r="E1287" s="46" t="b">
        <f>IFERROR(__xludf.DUMMYFUNCTION("""COMPUTED_VALUE"""),TRUE)</f>
        <v>1</v>
      </c>
    </row>
    <row r="1288" hidden="1">
      <c r="A1288" s="76" t="str">
        <f>IFERROR(__xludf.DUMMYFUNCTION("""COMPUTED_VALUE"""),"Jeskai Striker")</f>
        <v>Jeskai Striker</v>
      </c>
      <c r="B1288" s="76" t="str">
        <f>IFERROR(__xludf.DUMMYFUNCTION("""COMPUTED_VALUE"""),"Spirit Squadron")</f>
        <v>Spirit Squadron</v>
      </c>
      <c r="C1288" s="77">
        <f>IFERROR(__xludf.DUMMYFUNCTION("""COMPUTED_VALUE"""),0.0)</f>
        <v>0</v>
      </c>
      <c r="D1288" s="77">
        <f>IFERROR(__xludf.DUMMYFUNCTION("""COMPUTED_VALUE"""),0.0)</f>
        <v>0</v>
      </c>
      <c r="E1288" s="46" t="b">
        <f>IFERROR(__xludf.DUMMYFUNCTION("""COMPUTED_VALUE"""),TRUE)</f>
        <v>1</v>
      </c>
    </row>
    <row r="1289" hidden="1">
      <c r="A1289" s="76" t="str">
        <f>IFERROR(__xludf.DUMMYFUNCTION("""COMPUTED_VALUE"""),"Jeskai Striker")</f>
        <v>Jeskai Striker</v>
      </c>
      <c r="B1289" s="76" t="str">
        <f>IFERROR(__xludf.DUMMYFUNCTION("""COMPUTED_VALUE"""),"Squirreled Away")</f>
        <v>Squirreled Away</v>
      </c>
      <c r="C1289" s="77">
        <f>IFERROR(__xludf.DUMMYFUNCTION("""COMPUTED_VALUE"""),0.0)</f>
        <v>0</v>
      </c>
      <c r="D1289" s="77">
        <f>IFERROR(__xludf.DUMMYFUNCTION("""COMPUTED_VALUE"""),0.0)</f>
        <v>0</v>
      </c>
      <c r="E1289" s="46" t="b">
        <f>IFERROR(__xludf.DUMMYFUNCTION("""COMPUTED_VALUE"""),TRUE)</f>
        <v>1</v>
      </c>
    </row>
    <row r="1290" hidden="1">
      <c r="A1290" s="76" t="str">
        <f>IFERROR(__xludf.DUMMYFUNCTION("""COMPUTED_VALUE"""),"Jeskai Striker")</f>
        <v>Jeskai Striker</v>
      </c>
      <c r="B1290" s="76" t="str">
        <f>IFERROR(__xludf.DUMMYFUNCTION("""COMPUTED_VALUE"""),"Sultai Arisen")</f>
        <v>Sultai Arisen</v>
      </c>
      <c r="C1290" s="77">
        <f>IFERROR(__xludf.DUMMYFUNCTION("""COMPUTED_VALUE"""),0.0)</f>
        <v>0</v>
      </c>
      <c r="D1290" s="77">
        <f>IFERROR(__xludf.DUMMYFUNCTION("""COMPUTED_VALUE"""),0.0)</f>
        <v>0</v>
      </c>
      <c r="E1290" s="46" t="b">
        <f>IFERROR(__xludf.DUMMYFUNCTION("""COMPUTED_VALUE"""),TRUE)</f>
        <v>1</v>
      </c>
    </row>
    <row r="1291" hidden="1">
      <c r="A1291" s="76" t="str">
        <f>IFERROR(__xludf.DUMMYFUNCTION("""COMPUTED_VALUE"""),"Jeskai Striker")</f>
        <v>Jeskai Striker</v>
      </c>
      <c r="B1291" s="76" t="str">
        <f>IFERROR(__xludf.DUMMYFUNCTION("""COMPUTED_VALUE"""),"Temur Roar")</f>
        <v>Temur Roar</v>
      </c>
      <c r="C1291" s="77">
        <f>IFERROR(__xludf.DUMMYFUNCTION("""COMPUTED_VALUE"""),0.0)</f>
        <v>0</v>
      </c>
      <c r="D1291" s="77">
        <f>IFERROR(__xludf.DUMMYFUNCTION("""COMPUTED_VALUE"""),0.0)</f>
        <v>0</v>
      </c>
      <c r="E1291" s="46" t="b">
        <f>IFERROR(__xludf.DUMMYFUNCTION("""COMPUTED_VALUE"""),TRUE)</f>
        <v>1</v>
      </c>
    </row>
    <row r="1292" hidden="1">
      <c r="A1292" s="76" t="str">
        <f>IFERROR(__xludf.DUMMYFUNCTION("""COMPUTED_VALUE"""),"Jeskai Striker")</f>
        <v>Jeskai Striker</v>
      </c>
      <c r="B1292" s="76" t="str">
        <f>IFERROR(__xludf.DUMMYFUNCTION("""COMPUTED_VALUE"""),"The Hosts of Mordor")</f>
        <v>The Hosts of Mordor</v>
      </c>
      <c r="C1292" s="77">
        <f>IFERROR(__xludf.DUMMYFUNCTION("""COMPUTED_VALUE"""),0.0)</f>
        <v>0</v>
      </c>
      <c r="D1292" s="77">
        <f>IFERROR(__xludf.DUMMYFUNCTION("""COMPUTED_VALUE"""),0.0)</f>
        <v>0</v>
      </c>
      <c r="E1292" s="46" t="b">
        <f>IFERROR(__xludf.DUMMYFUNCTION("""COMPUTED_VALUE"""),TRUE)</f>
        <v>1</v>
      </c>
    </row>
    <row r="1293">
      <c r="A1293" s="76" t="str">
        <f>IFERROR(__xludf.DUMMYFUNCTION("""COMPUTED_VALUE"""),"Jeskai Striker")</f>
        <v>Jeskai Striker</v>
      </c>
      <c r="B1293" s="76" t="str">
        <f>IFERROR(__xludf.DUMMYFUNCTION("""COMPUTED_VALUE"""),"The Ruinous Powers")</f>
        <v>The Ruinous Powers</v>
      </c>
      <c r="C1293" s="77">
        <f>IFERROR(__xludf.DUMMYFUNCTION("""COMPUTED_VALUE"""),0.0)</f>
        <v>0</v>
      </c>
      <c r="D1293" s="77">
        <f>IFERROR(__xludf.DUMMYFUNCTION("""COMPUTED_VALUE"""),0.0)</f>
        <v>0</v>
      </c>
      <c r="E1293" s="46" t="b">
        <f>IFERROR(__xludf.DUMMYFUNCTION("""COMPUTED_VALUE"""),TRUE)</f>
        <v>1</v>
      </c>
    </row>
    <row r="1294" hidden="1">
      <c r="A1294" s="76" t="str">
        <f>IFERROR(__xludf.DUMMYFUNCTION("""COMPUTED_VALUE"""),"Jeskai Striker")</f>
        <v>Jeskai Striker</v>
      </c>
      <c r="B1294" s="76" t="str">
        <f>IFERROR(__xludf.DUMMYFUNCTION("""COMPUTED_VALUE"""),"Timey-Wimey")</f>
        <v>Timey-Wimey</v>
      </c>
      <c r="C1294" s="77">
        <f>IFERROR(__xludf.DUMMYFUNCTION("""COMPUTED_VALUE"""),0.0)</f>
        <v>0</v>
      </c>
      <c r="D1294" s="77">
        <f>IFERROR(__xludf.DUMMYFUNCTION("""COMPUTED_VALUE"""),0.0)</f>
        <v>0</v>
      </c>
      <c r="E1294" s="46" t="b">
        <f>IFERROR(__xludf.DUMMYFUNCTION("""COMPUTED_VALUE"""),TRUE)</f>
        <v>1</v>
      </c>
    </row>
    <row r="1295" hidden="1">
      <c r="A1295" s="78" t="str">
        <f>IFERROR(__xludf.DUMMYFUNCTION("""COMPUTED_VALUE"""),"Jeskai Striker")</f>
        <v>Jeskai Striker</v>
      </c>
      <c r="B1295" s="78" t="str">
        <f>IFERROR(__xludf.DUMMYFUNCTION("""COMPUTED_VALUE"""),"Tinker Time")</f>
        <v>Tinker Time</v>
      </c>
      <c r="C1295" s="79">
        <f>IFERROR(__xludf.DUMMYFUNCTION("""COMPUTED_VALUE"""),0.0)</f>
        <v>0</v>
      </c>
      <c r="D1295" s="79">
        <f>IFERROR(__xludf.DUMMYFUNCTION("""COMPUTED_VALUE"""),0.0)</f>
        <v>0</v>
      </c>
      <c r="E1295" s="69" t="b">
        <f>IFERROR(__xludf.DUMMYFUNCTION("""COMPUTED_VALUE"""),TRUE)</f>
        <v>1</v>
      </c>
    </row>
    <row r="1296" hidden="1">
      <c r="A1296" s="76" t="str">
        <f>IFERROR(__xludf.DUMMYFUNCTION("""COMPUTED_VALUE"""),"Jeskai Striker")</f>
        <v>Jeskai Striker</v>
      </c>
      <c r="B1296" s="76" t="str">
        <f>IFERROR(__xludf.DUMMYFUNCTION("""COMPUTED_VALUE"""),"Turtle Power!")</f>
        <v>Turtle Power!</v>
      </c>
      <c r="C1296" s="77">
        <f>IFERROR(__xludf.DUMMYFUNCTION("""COMPUTED_VALUE"""),1.0)</f>
        <v>1</v>
      </c>
      <c r="D1296" s="77">
        <f>IFERROR(__xludf.DUMMYFUNCTION("""COMPUTED_VALUE"""),0.0)</f>
        <v>0</v>
      </c>
      <c r="E1296" s="46" t="b">
        <f>IFERROR(__xludf.DUMMYFUNCTION("""COMPUTED_VALUE"""),FALSE)</f>
        <v>0</v>
      </c>
    </row>
    <row r="1297" hidden="1">
      <c r="A1297" s="76" t="str">
        <f>IFERROR(__xludf.DUMMYFUNCTION("""COMPUTED_VALUE"""),"Jeskai Striker")</f>
        <v>Jeskai Striker</v>
      </c>
      <c r="B1297" s="76" t="str">
        <f>IFERROR(__xludf.DUMMYFUNCTION("""COMPUTED_VALUE"""),"Veloci-ramp-tor")</f>
        <v>Veloci-ramp-tor</v>
      </c>
      <c r="C1297" s="77">
        <f>IFERROR(__xludf.DUMMYFUNCTION("""COMPUTED_VALUE"""),0.0)</f>
        <v>0</v>
      </c>
      <c r="D1297" s="77">
        <f>IFERROR(__xludf.DUMMYFUNCTION("""COMPUTED_VALUE"""),0.0)</f>
        <v>0</v>
      </c>
      <c r="E1297" s="46" t="b">
        <f>IFERROR(__xludf.DUMMYFUNCTION("""COMPUTED_VALUE"""),TRUE)</f>
        <v>1</v>
      </c>
    </row>
    <row r="1298" hidden="1">
      <c r="A1298" s="78" t="str">
        <f>IFERROR(__xludf.DUMMYFUNCTION("""COMPUTED_VALUE"""),"Legends' Legacy")</f>
        <v>Legends' Legacy</v>
      </c>
      <c r="B1298" s="78" t="str">
        <f>IFERROR(__xludf.DUMMYFUNCTION("""COMPUTED_VALUE"""),"Ahoy Mateys")</f>
        <v>Ahoy Mateys</v>
      </c>
      <c r="C1298" s="79">
        <f>IFERROR(__xludf.DUMMYFUNCTION("""COMPUTED_VALUE"""),0.0)</f>
        <v>0</v>
      </c>
      <c r="D1298" s="79">
        <f>IFERROR(__xludf.DUMMYFUNCTION("""COMPUTED_VALUE"""),0.0)</f>
        <v>0</v>
      </c>
      <c r="E1298" s="69" t="b">
        <f>IFERROR(__xludf.DUMMYFUNCTION("""COMPUTED_VALUE"""),TRUE)</f>
        <v>1</v>
      </c>
    </row>
    <row r="1299" hidden="1">
      <c r="A1299" s="76" t="str">
        <f>IFERROR(__xludf.DUMMYFUNCTION("""COMPUTED_VALUE"""),"Legends' Legacy")</f>
        <v>Legends' Legacy</v>
      </c>
      <c r="B1299" s="76" t="str">
        <f>IFERROR(__xludf.DUMMYFUNCTION("""COMPUTED_VALUE"""),"Animated Army")</f>
        <v>Animated Army</v>
      </c>
      <c r="C1299" s="77">
        <f>IFERROR(__xludf.DUMMYFUNCTION("""COMPUTED_VALUE"""),0.0)</f>
        <v>0</v>
      </c>
      <c r="D1299" s="77">
        <f>IFERROR(__xludf.DUMMYFUNCTION("""COMPUTED_VALUE"""),0.0)</f>
        <v>0</v>
      </c>
      <c r="E1299" s="46" t="b">
        <f>IFERROR(__xludf.DUMMYFUNCTION("""COMPUTED_VALUE"""),TRUE)</f>
        <v>1</v>
      </c>
    </row>
    <row r="1300" hidden="1">
      <c r="A1300" s="76" t="str">
        <f>IFERROR(__xludf.DUMMYFUNCTION("""COMPUTED_VALUE"""),"Legends' Legacy")</f>
        <v>Legends' Legacy</v>
      </c>
      <c r="B1300" s="76" t="str">
        <f>IFERROR(__xludf.DUMMYFUNCTION("""COMPUTED_VALUE"""),"Arcane Maelstrom")</f>
        <v>Arcane Maelstrom</v>
      </c>
      <c r="C1300" s="77">
        <f>IFERROR(__xludf.DUMMYFUNCTION("""COMPUTED_VALUE"""),0.0)</f>
        <v>0</v>
      </c>
      <c r="D1300" s="77">
        <f>IFERROR(__xludf.DUMMYFUNCTION("""COMPUTED_VALUE"""),0.0)</f>
        <v>0</v>
      </c>
      <c r="E1300" s="46" t="b">
        <f>IFERROR(__xludf.DUMMYFUNCTION("""COMPUTED_VALUE"""),TRUE)</f>
        <v>1</v>
      </c>
    </row>
    <row r="1301" hidden="1">
      <c r="A1301" s="76" t="str">
        <f>IFERROR(__xludf.DUMMYFUNCTION("""COMPUTED_VALUE"""),"Legends' Legacy")</f>
        <v>Legends' Legacy</v>
      </c>
      <c r="B1301" s="76" t="str">
        <f>IFERROR(__xludf.DUMMYFUNCTION("""COMPUTED_VALUE"""),"Blame Game")</f>
        <v>Blame Game</v>
      </c>
      <c r="C1301" s="77">
        <f>IFERROR(__xludf.DUMMYFUNCTION("""COMPUTED_VALUE"""),0.0)</f>
        <v>0</v>
      </c>
      <c r="D1301" s="77">
        <f>IFERROR(__xludf.DUMMYFUNCTION("""COMPUTED_VALUE"""),0.0)</f>
        <v>0</v>
      </c>
      <c r="E1301" s="46" t="b">
        <f>IFERROR(__xludf.DUMMYFUNCTION("""COMPUTED_VALUE"""),TRUE)</f>
        <v>1</v>
      </c>
    </row>
    <row r="1302" hidden="1">
      <c r="A1302" s="76" t="str">
        <f>IFERROR(__xludf.DUMMYFUNCTION("""COMPUTED_VALUE"""),"Legends' Legacy")</f>
        <v>Legends' Legacy</v>
      </c>
      <c r="B1302" s="76" t="str">
        <f>IFERROR(__xludf.DUMMYFUNCTION("""COMPUTED_VALUE"""),"Blight Curse")</f>
        <v>Blight Curse</v>
      </c>
      <c r="C1302" s="77">
        <f>IFERROR(__xludf.DUMMYFUNCTION("""COMPUTED_VALUE"""),0.0)</f>
        <v>0</v>
      </c>
      <c r="D1302" s="77">
        <f>IFERROR(__xludf.DUMMYFUNCTION("""COMPUTED_VALUE"""),0.0)</f>
        <v>0</v>
      </c>
      <c r="E1302" s="46" t="b">
        <f>IFERROR(__xludf.DUMMYFUNCTION("""COMPUTED_VALUE"""),TRUE)</f>
        <v>1</v>
      </c>
    </row>
    <row r="1303" hidden="1">
      <c r="A1303" s="76" t="str">
        <f>IFERROR(__xludf.DUMMYFUNCTION("""COMPUTED_VALUE"""),"Legends' Legacy")</f>
        <v>Legends' Legacy</v>
      </c>
      <c r="B1303" s="76" t="str">
        <f>IFERROR(__xludf.DUMMYFUNCTION("""COMPUTED_VALUE"""),"Blood Rites")</f>
        <v>Blood Rites</v>
      </c>
      <c r="C1303" s="77">
        <f>IFERROR(__xludf.DUMMYFUNCTION("""COMPUTED_VALUE"""),0.0)</f>
        <v>0</v>
      </c>
      <c r="D1303" s="77">
        <f>IFERROR(__xludf.DUMMYFUNCTION("""COMPUTED_VALUE"""),0.0)</f>
        <v>0</v>
      </c>
      <c r="E1303" s="46" t="b">
        <f>IFERROR(__xludf.DUMMYFUNCTION("""COMPUTED_VALUE"""),TRUE)</f>
        <v>1</v>
      </c>
    </row>
    <row r="1304">
      <c r="A1304" s="76" t="str">
        <f>IFERROR(__xludf.DUMMYFUNCTION("""COMPUTED_VALUE"""),"Legends' Legacy")</f>
        <v>Legends' Legacy</v>
      </c>
      <c r="B1304" s="76" t="str">
        <f>IFERROR(__xludf.DUMMYFUNCTION("""COMPUTED_VALUE"""),"Buckle Up")</f>
        <v>Buckle Up</v>
      </c>
      <c r="C1304" s="77">
        <f>IFERROR(__xludf.DUMMYFUNCTION("""COMPUTED_VALUE"""),0.0)</f>
        <v>0</v>
      </c>
      <c r="D1304" s="77">
        <f>IFERROR(__xludf.DUMMYFUNCTION("""COMPUTED_VALUE"""),0.0)</f>
        <v>0</v>
      </c>
      <c r="E1304" s="46" t="b">
        <f>IFERROR(__xludf.DUMMYFUNCTION("""COMPUTED_VALUE"""),TRUE)</f>
        <v>1</v>
      </c>
    </row>
    <row r="1305" hidden="1">
      <c r="A1305" s="76" t="str">
        <f>IFERROR(__xludf.DUMMYFUNCTION("""COMPUTED_VALUE"""),"Legends' Legacy")</f>
        <v>Legends' Legacy</v>
      </c>
      <c r="B1305" s="76" t="str">
        <f>IFERROR(__xludf.DUMMYFUNCTION("""COMPUTED_VALUE"""),"Cabaretti Cacophony")</f>
        <v>Cabaretti Cacophony</v>
      </c>
      <c r="C1305" s="77">
        <f>IFERROR(__xludf.DUMMYFUNCTION("""COMPUTED_VALUE"""),0.0)</f>
        <v>0</v>
      </c>
      <c r="D1305" s="77">
        <f>IFERROR(__xludf.DUMMYFUNCTION("""COMPUTED_VALUE"""),0.0)</f>
        <v>0</v>
      </c>
      <c r="E1305" s="46" t="b">
        <f>IFERROR(__xludf.DUMMYFUNCTION("""COMPUTED_VALUE"""),TRUE)</f>
        <v>1</v>
      </c>
    </row>
    <row r="1306" hidden="1">
      <c r="A1306" s="76" t="str">
        <f>IFERROR(__xludf.DUMMYFUNCTION("""COMPUTED_VALUE"""),"Legends' Legacy")</f>
        <v>Legends' Legacy</v>
      </c>
      <c r="B1306" s="76" t="str">
        <f>IFERROR(__xludf.DUMMYFUNCTION("""COMPUTED_VALUE"""),"Cavalry Charge")</f>
        <v>Cavalry Charge</v>
      </c>
      <c r="C1306" s="77">
        <f>IFERROR(__xludf.DUMMYFUNCTION("""COMPUTED_VALUE"""),0.0)</f>
        <v>0</v>
      </c>
      <c r="D1306" s="77">
        <f>IFERROR(__xludf.DUMMYFUNCTION("""COMPUTED_VALUE"""),0.0)</f>
        <v>0</v>
      </c>
      <c r="E1306" s="46" t="b">
        <f>IFERROR(__xludf.DUMMYFUNCTION("""COMPUTED_VALUE"""),TRUE)</f>
        <v>1</v>
      </c>
    </row>
    <row r="1307" hidden="1">
      <c r="A1307" s="76" t="str">
        <f>IFERROR(__xludf.DUMMYFUNCTION("""COMPUTED_VALUE"""),"Legends' Legacy")</f>
        <v>Legends' Legacy</v>
      </c>
      <c r="B1307" s="76" t="str">
        <f>IFERROR(__xludf.DUMMYFUNCTION("""COMPUTED_VALUE"""),"Corrupting Influence")</f>
        <v>Corrupting Influence</v>
      </c>
      <c r="C1307" s="77">
        <f>IFERROR(__xludf.DUMMYFUNCTION("""COMPUTED_VALUE"""),0.0)</f>
        <v>0</v>
      </c>
      <c r="D1307" s="77">
        <f>IFERROR(__xludf.DUMMYFUNCTION("""COMPUTED_VALUE"""),1.0)</f>
        <v>1</v>
      </c>
      <c r="E1307" s="46" t="b">
        <f>IFERROR(__xludf.DUMMYFUNCTION("""COMPUTED_VALUE"""),FALSE)</f>
        <v>0</v>
      </c>
    </row>
    <row r="1308" hidden="1">
      <c r="A1308" s="76" t="str">
        <f>IFERROR(__xludf.DUMMYFUNCTION("""COMPUTED_VALUE"""),"Legends' Legacy")</f>
        <v>Legends' Legacy</v>
      </c>
      <c r="B1308" s="76" t="str">
        <f>IFERROR(__xludf.DUMMYFUNCTION("""COMPUTED_VALUE"""),"Counter Blitz")</f>
        <v>Counter Blitz</v>
      </c>
      <c r="C1308" s="77">
        <f>IFERROR(__xludf.DUMMYFUNCTION("""COMPUTED_VALUE"""),0.0)</f>
        <v>0</v>
      </c>
      <c r="D1308" s="77">
        <f>IFERROR(__xludf.DUMMYFUNCTION("""COMPUTED_VALUE"""),0.0)</f>
        <v>0</v>
      </c>
      <c r="E1308" s="46" t="b">
        <f>IFERROR(__xludf.DUMMYFUNCTION("""COMPUTED_VALUE"""),TRUE)</f>
        <v>1</v>
      </c>
    </row>
    <row r="1309" hidden="1">
      <c r="A1309" s="76" t="str">
        <f>IFERROR(__xludf.DUMMYFUNCTION("""COMPUTED_VALUE"""),"Legends' Legacy")</f>
        <v>Legends' Legacy</v>
      </c>
      <c r="B1309" s="76" t="str">
        <f>IFERROR(__xludf.DUMMYFUNCTION("""COMPUTED_VALUE"""),"Counter Intelligence")</f>
        <v>Counter Intelligence</v>
      </c>
      <c r="C1309" s="77">
        <f>IFERROR(__xludf.DUMMYFUNCTION("""COMPUTED_VALUE"""),0.0)</f>
        <v>0</v>
      </c>
      <c r="D1309" s="77">
        <f>IFERROR(__xludf.DUMMYFUNCTION("""COMPUTED_VALUE"""),0.0)</f>
        <v>0</v>
      </c>
      <c r="E1309" s="46" t="b">
        <f>IFERROR(__xludf.DUMMYFUNCTION("""COMPUTED_VALUE"""),TRUE)</f>
        <v>1</v>
      </c>
    </row>
    <row r="1310" hidden="1">
      <c r="A1310" s="76" t="str">
        <f>IFERROR(__xludf.DUMMYFUNCTION("""COMPUTED_VALUE"""),"Legends' Legacy")</f>
        <v>Legends' Legacy</v>
      </c>
      <c r="B1310" s="76" t="str">
        <f>IFERROR(__xludf.DUMMYFUNCTION("""COMPUTED_VALUE"""),"Creative Energy")</f>
        <v>Creative Energy</v>
      </c>
      <c r="C1310" s="77">
        <f>IFERROR(__xludf.DUMMYFUNCTION("""COMPUTED_VALUE"""),0.0)</f>
        <v>0</v>
      </c>
      <c r="D1310" s="77">
        <f>IFERROR(__xludf.DUMMYFUNCTION("""COMPUTED_VALUE"""),0.0)</f>
        <v>0</v>
      </c>
      <c r="E1310" s="46" t="b">
        <f>IFERROR(__xludf.DUMMYFUNCTION("""COMPUTED_VALUE"""),TRUE)</f>
        <v>1</v>
      </c>
    </row>
    <row r="1311" hidden="1">
      <c r="A1311" s="76" t="str">
        <f>IFERROR(__xludf.DUMMYFUNCTION("""COMPUTED_VALUE"""),"Legends' Legacy")</f>
        <v>Legends' Legacy</v>
      </c>
      <c r="B1311" s="76" t="str">
        <f>IFERROR(__xludf.DUMMYFUNCTION("""COMPUTED_VALUE"""),"Dance of the Elements")</f>
        <v>Dance of the Elements</v>
      </c>
      <c r="C1311" s="77">
        <f>IFERROR(__xludf.DUMMYFUNCTION("""COMPUTED_VALUE"""),0.0)</f>
        <v>0</v>
      </c>
      <c r="D1311" s="77">
        <f>IFERROR(__xludf.DUMMYFUNCTION("""COMPUTED_VALUE"""),1.0)</f>
        <v>1</v>
      </c>
      <c r="E1311" s="46" t="b">
        <f>IFERROR(__xludf.DUMMYFUNCTION("""COMPUTED_VALUE"""),FALSE)</f>
        <v>0</v>
      </c>
    </row>
    <row r="1312" hidden="1">
      <c r="A1312" s="76" t="str">
        <f>IFERROR(__xludf.DUMMYFUNCTION("""COMPUTED_VALUE"""),"Legends' Legacy")</f>
        <v>Legends' Legacy</v>
      </c>
      <c r="B1312" s="76" t="str">
        <f>IFERROR(__xludf.DUMMYFUNCTION("""COMPUTED_VALUE"""),"Deep Clue Sea")</f>
        <v>Deep Clue Sea</v>
      </c>
      <c r="C1312" s="77">
        <f>IFERROR(__xludf.DUMMYFUNCTION("""COMPUTED_VALUE"""),0.0)</f>
        <v>0</v>
      </c>
      <c r="D1312" s="77">
        <f>IFERROR(__xludf.DUMMYFUNCTION("""COMPUTED_VALUE"""),1.0)</f>
        <v>1</v>
      </c>
      <c r="E1312" s="46" t="b">
        <f>IFERROR(__xludf.DUMMYFUNCTION("""COMPUTED_VALUE"""),FALSE)</f>
        <v>0</v>
      </c>
    </row>
    <row r="1313" hidden="1">
      <c r="A1313" s="76" t="str">
        <f>IFERROR(__xludf.DUMMYFUNCTION("""COMPUTED_VALUE"""),"Legends' Legacy")</f>
        <v>Legends' Legacy</v>
      </c>
      <c r="B1313" s="76" t="str">
        <f>IFERROR(__xludf.DUMMYFUNCTION("""COMPUTED_VALUE"""),"Doom Prevails")</f>
        <v>Doom Prevails</v>
      </c>
      <c r="C1313" s="77">
        <f>IFERROR(__xludf.DUMMYFUNCTION("""COMPUTED_VALUE"""),0.0)</f>
        <v>0</v>
      </c>
      <c r="D1313" s="77">
        <f>IFERROR(__xludf.DUMMYFUNCTION("""COMPUTED_VALUE"""),0.0)</f>
        <v>0</v>
      </c>
      <c r="E1313" s="46" t="b">
        <f>IFERROR(__xludf.DUMMYFUNCTION("""COMPUTED_VALUE"""),TRUE)</f>
        <v>1</v>
      </c>
    </row>
    <row r="1314" hidden="1">
      <c r="A1314" s="78" t="str">
        <f>IFERROR(__xludf.DUMMYFUNCTION("""COMPUTED_VALUE"""),"Legends' Legacy")</f>
        <v>Legends' Legacy</v>
      </c>
      <c r="B1314" s="78" t="str">
        <f>IFERROR(__xludf.DUMMYFUNCTION("""COMPUTED_VALUE"""),"Eldrazi Incursion")</f>
        <v>Eldrazi Incursion</v>
      </c>
      <c r="C1314" s="79">
        <f>IFERROR(__xludf.DUMMYFUNCTION("""COMPUTED_VALUE"""),0.0)</f>
        <v>0</v>
      </c>
      <c r="D1314" s="79">
        <f>IFERROR(__xludf.DUMMYFUNCTION("""COMPUTED_VALUE"""),0.0)</f>
        <v>0</v>
      </c>
      <c r="E1314" s="69" t="b">
        <f>IFERROR(__xludf.DUMMYFUNCTION("""COMPUTED_VALUE"""),TRUE)</f>
        <v>1</v>
      </c>
    </row>
    <row r="1315" hidden="1">
      <c r="A1315" s="76" t="str">
        <f>IFERROR(__xludf.DUMMYFUNCTION("""COMPUTED_VALUE"""),"Legends' Legacy")</f>
        <v>Legends' Legacy</v>
      </c>
      <c r="B1315" s="76" t="str">
        <f>IFERROR(__xludf.DUMMYFUNCTION("""COMPUTED_VALUE"""),"Eldrazi Unbound")</f>
        <v>Eldrazi Unbound</v>
      </c>
      <c r="C1315" s="77">
        <f>IFERROR(__xludf.DUMMYFUNCTION("""COMPUTED_VALUE"""),0.0)</f>
        <v>0</v>
      </c>
      <c r="D1315" s="77">
        <f>IFERROR(__xludf.DUMMYFUNCTION("""COMPUTED_VALUE"""),0.0)</f>
        <v>0</v>
      </c>
      <c r="E1315" s="46" t="b">
        <f>IFERROR(__xludf.DUMMYFUNCTION("""COMPUTED_VALUE"""),TRUE)</f>
        <v>1</v>
      </c>
    </row>
    <row r="1316" hidden="1">
      <c r="A1316" s="76" t="str">
        <f>IFERROR(__xludf.DUMMYFUNCTION("""COMPUTED_VALUE"""),"Legends' Legacy")</f>
        <v>Legends' Legacy</v>
      </c>
      <c r="B1316" s="76" t="str">
        <f>IFERROR(__xludf.DUMMYFUNCTION("""COMPUTED_VALUE"""),"Endless Punishment")</f>
        <v>Endless Punishment</v>
      </c>
      <c r="C1316" s="77">
        <f>IFERROR(__xludf.DUMMYFUNCTION("""COMPUTED_VALUE"""),0.0)</f>
        <v>0</v>
      </c>
      <c r="D1316" s="77">
        <f>IFERROR(__xludf.DUMMYFUNCTION("""COMPUTED_VALUE"""),0.0)</f>
        <v>0</v>
      </c>
      <c r="E1316" s="46" t="b">
        <f>IFERROR(__xludf.DUMMYFUNCTION("""COMPUTED_VALUE"""),TRUE)</f>
        <v>1</v>
      </c>
    </row>
    <row r="1317" hidden="1">
      <c r="A1317" s="76" t="str">
        <f>IFERROR(__xludf.DUMMYFUNCTION("""COMPUTED_VALUE"""),"Legends' Legacy")</f>
        <v>Legends' Legacy</v>
      </c>
      <c r="B1317" s="76" t="str">
        <f>IFERROR(__xludf.DUMMYFUNCTION("""COMPUTED_VALUE"""),"Enduring Enchantments")</f>
        <v>Enduring Enchantments</v>
      </c>
      <c r="C1317" s="77">
        <f>IFERROR(__xludf.DUMMYFUNCTION("""COMPUTED_VALUE"""),0.0)</f>
        <v>0</v>
      </c>
      <c r="D1317" s="77">
        <f>IFERROR(__xludf.DUMMYFUNCTION("""COMPUTED_VALUE"""),0.0)</f>
        <v>0</v>
      </c>
      <c r="E1317" s="46" t="b">
        <f>IFERROR(__xludf.DUMMYFUNCTION("""COMPUTED_VALUE"""),TRUE)</f>
        <v>1</v>
      </c>
    </row>
    <row r="1318" hidden="1">
      <c r="A1318" s="76" t="str">
        <f>IFERROR(__xludf.DUMMYFUNCTION("""COMPUTED_VALUE"""),"Legends' Legacy")</f>
        <v>Legends' Legacy</v>
      </c>
      <c r="B1318" s="76" t="str">
        <f>IFERROR(__xludf.DUMMYFUNCTION("""COMPUTED_VALUE"""),"Explorers of the Deep")</f>
        <v>Explorers of the Deep</v>
      </c>
      <c r="C1318" s="77">
        <f>IFERROR(__xludf.DUMMYFUNCTION("""COMPUTED_VALUE"""),0.0)</f>
        <v>0</v>
      </c>
      <c r="D1318" s="77">
        <f>IFERROR(__xludf.DUMMYFUNCTION("""COMPUTED_VALUE"""),0.0)</f>
        <v>0</v>
      </c>
      <c r="E1318" s="46" t="b">
        <f>IFERROR(__xludf.DUMMYFUNCTION("""COMPUTED_VALUE"""),TRUE)</f>
        <v>1</v>
      </c>
    </row>
    <row r="1319" hidden="1">
      <c r="A1319" s="76" t="str">
        <f>IFERROR(__xludf.DUMMYFUNCTION("""COMPUTED_VALUE"""),"Legends' Legacy")</f>
        <v>Legends' Legacy</v>
      </c>
      <c r="B1319" s="76" t="str">
        <f>IFERROR(__xludf.DUMMYFUNCTION("""COMPUTED_VALUE"""),"Family Matters")</f>
        <v>Family Matters</v>
      </c>
      <c r="C1319" s="77">
        <f>IFERROR(__xludf.DUMMYFUNCTION("""COMPUTED_VALUE"""),0.0)</f>
        <v>0</v>
      </c>
      <c r="D1319" s="77">
        <f>IFERROR(__xludf.DUMMYFUNCTION("""COMPUTED_VALUE"""),0.0)</f>
        <v>0</v>
      </c>
      <c r="E1319" s="46" t="b">
        <f>IFERROR(__xludf.DUMMYFUNCTION("""COMPUTED_VALUE"""),TRUE)</f>
        <v>1</v>
      </c>
    </row>
    <row r="1320" hidden="1">
      <c r="A1320" s="76" t="str">
        <f>IFERROR(__xludf.DUMMYFUNCTION("""COMPUTED_VALUE"""),"Legends' Legacy")</f>
        <v>Legends' Legacy</v>
      </c>
      <c r="B1320" s="76" t="str">
        <f>IFERROR(__xludf.DUMMYFUNCTION("""COMPUTED_VALUE"""),"Food and Fellowship")</f>
        <v>Food and Fellowship</v>
      </c>
      <c r="C1320" s="77">
        <f>IFERROR(__xludf.DUMMYFUNCTION("""COMPUTED_VALUE"""),0.0)</f>
        <v>0</v>
      </c>
      <c r="D1320" s="77">
        <f>IFERROR(__xludf.DUMMYFUNCTION("""COMPUTED_VALUE"""),0.0)</f>
        <v>0</v>
      </c>
      <c r="E1320" s="46" t="b">
        <f>IFERROR(__xludf.DUMMYFUNCTION("""COMPUTED_VALUE"""),TRUE)</f>
        <v>1</v>
      </c>
    </row>
    <row r="1321">
      <c r="A1321" s="76" t="str">
        <f>IFERROR(__xludf.DUMMYFUNCTION("""COMPUTED_VALUE"""),"Legends' Legacy")</f>
        <v>Legends' Legacy</v>
      </c>
      <c r="B1321" s="76" t="str">
        <f>IFERROR(__xludf.DUMMYFUNCTION("""COMPUTED_VALUE"""),"Jeskai Striker")</f>
        <v>Jeskai Striker</v>
      </c>
      <c r="C1321" s="77">
        <f>IFERROR(__xludf.DUMMYFUNCTION("""COMPUTED_VALUE"""),0.0)</f>
        <v>0</v>
      </c>
      <c r="D1321" s="77">
        <f>IFERROR(__xludf.DUMMYFUNCTION("""COMPUTED_VALUE"""),0.0)</f>
        <v>0</v>
      </c>
      <c r="E1321" s="46" t="b">
        <f>IFERROR(__xludf.DUMMYFUNCTION("""COMPUTED_VALUE"""),TRUE)</f>
        <v>1</v>
      </c>
    </row>
    <row r="1322" hidden="1">
      <c r="A1322" s="78" t="str">
        <f>IFERROR(__xludf.DUMMYFUNCTION("""COMPUTED_VALUE"""),"Legends' Legacy")</f>
        <v>Legends' Legacy</v>
      </c>
      <c r="B1322" s="78" t="str">
        <f>IFERROR(__xludf.DUMMYFUNCTION("""COMPUTED_VALUE"""),"Legends' Legacy")</f>
        <v>Legends' Legacy</v>
      </c>
      <c r="C1322" s="79">
        <f>IFERROR(__xludf.DUMMYFUNCTION("""COMPUTED_VALUE"""),0.0)</f>
        <v>0</v>
      </c>
      <c r="D1322" s="79">
        <f>IFERROR(__xludf.DUMMYFUNCTION("""COMPUTED_VALUE"""),0.0)</f>
        <v>0</v>
      </c>
      <c r="E1322" s="69" t="b">
        <f>IFERROR(__xludf.DUMMYFUNCTION("""COMPUTED_VALUE"""),TRUE)</f>
        <v>1</v>
      </c>
    </row>
    <row r="1323" hidden="1">
      <c r="A1323" s="76" t="str">
        <f>IFERROR(__xludf.DUMMYFUNCTION("""COMPUTED_VALUE"""),"Legends' Legacy")</f>
        <v>Legends' Legacy</v>
      </c>
      <c r="B1323" s="76" t="str">
        <f>IFERROR(__xludf.DUMMYFUNCTION("""COMPUTED_VALUE"""),"Limit Break")</f>
        <v>Limit Break</v>
      </c>
      <c r="C1323" s="77">
        <f>IFERROR(__xludf.DUMMYFUNCTION("""COMPUTED_VALUE"""),0.0)</f>
        <v>0</v>
      </c>
      <c r="D1323" s="77">
        <f>IFERROR(__xludf.DUMMYFUNCTION("""COMPUTED_VALUE"""),0.0)</f>
        <v>0</v>
      </c>
      <c r="E1323" s="46" t="b">
        <f>IFERROR(__xludf.DUMMYFUNCTION("""COMPUTED_VALUE"""),TRUE)</f>
        <v>1</v>
      </c>
    </row>
    <row r="1324" hidden="1">
      <c r="A1324" s="78" t="str">
        <f>IFERROR(__xludf.DUMMYFUNCTION("""COMPUTED_VALUE"""),"Legends' Legacy")</f>
        <v>Legends' Legacy</v>
      </c>
      <c r="B1324" s="78" t="str">
        <f>IFERROR(__xludf.DUMMYFUNCTION("""COMPUTED_VALUE"""),"Lorehold Spirit")</f>
        <v>Lorehold Spirit</v>
      </c>
      <c r="C1324" s="79">
        <f>IFERROR(__xludf.DUMMYFUNCTION("""COMPUTED_VALUE"""),0.0)</f>
        <v>0</v>
      </c>
      <c r="D1324" s="79">
        <f>IFERROR(__xludf.DUMMYFUNCTION("""COMPUTED_VALUE"""),0.0)</f>
        <v>0</v>
      </c>
      <c r="E1324" s="69" t="b">
        <f>IFERROR(__xludf.DUMMYFUNCTION("""COMPUTED_VALUE"""),TRUE)</f>
        <v>1</v>
      </c>
    </row>
    <row r="1325" hidden="1">
      <c r="A1325" s="76" t="str">
        <f>IFERROR(__xludf.DUMMYFUNCTION("""COMPUTED_VALUE"""),"Legends' Legacy")</f>
        <v>Legends' Legacy</v>
      </c>
      <c r="B1325" s="76" t="str">
        <f>IFERROR(__xludf.DUMMYFUNCTION("""COMPUTED_VALUE"""),"Mutant Menace")</f>
        <v>Mutant Menace</v>
      </c>
      <c r="C1325" s="77">
        <f>IFERROR(__xludf.DUMMYFUNCTION("""COMPUTED_VALUE"""),0.0)</f>
        <v>0</v>
      </c>
      <c r="D1325" s="77">
        <f>IFERROR(__xludf.DUMMYFUNCTION("""COMPUTED_VALUE"""),0.0)</f>
        <v>0</v>
      </c>
      <c r="E1325" s="46" t="b">
        <f>IFERROR(__xludf.DUMMYFUNCTION("""COMPUTED_VALUE"""),TRUE)</f>
        <v>1</v>
      </c>
    </row>
    <row r="1326" hidden="1">
      <c r="A1326" s="76" t="str">
        <f>IFERROR(__xludf.DUMMYFUNCTION("""COMPUTED_VALUE"""),"Legends' Legacy")</f>
        <v>Legends' Legacy</v>
      </c>
      <c r="B1326" s="76" t="str">
        <f>IFERROR(__xludf.DUMMYFUNCTION("""COMPUTED_VALUE"""),"Party Time")</f>
        <v>Party Time</v>
      </c>
      <c r="C1326" s="77">
        <f>IFERROR(__xludf.DUMMYFUNCTION("""COMPUTED_VALUE"""),0.0)</f>
        <v>0</v>
      </c>
      <c r="D1326" s="77">
        <f>IFERROR(__xludf.DUMMYFUNCTION("""COMPUTED_VALUE"""),0.0)</f>
        <v>0</v>
      </c>
      <c r="E1326" s="46" t="b">
        <f>IFERROR(__xludf.DUMMYFUNCTION("""COMPUTED_VALUE"""),TRUE)</f>
        <v>1</v>
      </c>
    </row>
    <row r="1327">
      <c r="A1327" s="76" t="str">
        <f>IFERROR(__xludf.DUMMYFUNCTION("""COMPUTED_VALUE"""),"Legends' Legacy")</f>
        <v>Legends' Legacy</v>
      </c>
      <c r="B1327" s="76" t="str">
        <f>IFERROR(__xludf.DUMMYFUNCTION("""COMPUTED_VALUE"""),"Peace Offering")</f>
        <v>Peace Offering</v>
      </c>
      <c r="C1327" s="77">
        <f>IFERROR(__xludf.DUMMYFUNCTION("""COMPUTED_VALUE"""),0.0)</f>
        <v>0</v>
      </c>
      <c r="D1327" s="77">
        <f>IFERROR(__xludf.DUMMYFUNCTION("""COMPUTED_VALUE"""),0.0)</f>
        <v>0</v>
      </c>
      <c r="E1327" s="46" t="b">
        <f>IFERROR(__xludf.DUMMYFUNCTION("""COMPUTED_VALUE"""),TRUE)</f>
        <v>1</v>
      </c>
    </row>
    <row r="1328" hidden="1">
      <c r="A1328" s="76" t="str">
        <f>IFERROR(__xludf.DUMMYFUNCTION("""COMPUTED_VALUE"""),"Legends' Legacy")</f>
        <v>Legends' Legacy</v>
      </c>
      <c r="B1328" s="76" t="str">
        <f>IFERROR(__xludf.DUMMYFUNCTION("""COMPUTED_VALUE"""),"Power Hungry")</f>
        <v>Power Hungry</v>
      </c>
      <c r="C1328" s="77">
        <f>IFERROR(__xludf.DUMMYFUNCTION("""COMPUTED_VALUE"""),0.0)</f>
        <v>0</v>
      </c>
      <c r="D1328" s="77">
        <f>IFERROR(__xludf.DUMMYFUNCTION("""COMPUTED_VALUE"""),0.0)</f>
        <v>0</v>
      </c>
      <c r="E1328" s="46" t="b">
        <f>IFERROR(__xludf.DUMMYFUNCTION("""COMPUTED_VALUE"""),TRUE)</f>
        <v>1</v>
      </c>
    </row>
    <row r="1329" hidden="1">
      <c r="A1329" s="76" t="str">
        <f>IFERROR(__xludf.DUMMYFUNCTION("""COMPUTED_VALUE"""),"Legends' Legacy")</f>
        <v>Legends' Legacy</v>
      </c>
      <c r="B1329" s="76" t="str">
        <f>IFERROR(__xludf.DUMMYFUNCTION("""COMPUTED_VALUE"""),"Primal Genesis")</f>
        <v>Primal Genesis</v>
      </c>
      <c r="C1329" s="77">
        <f>IFERROR(__xludf.DUMMYFUNCTION("""COMPUTED_VALUE"""),0.0)</f>
        <v>0</v>
      </c>
      <c r="D1329" s="77">
        <f>IFERROR(__xludf.DUMMYFUNCTION("""COMPUTED_VALUE"""),0.0)</f>
        <v>0</v>
      </c>
      <c r="E1329" s="46" t="b">
        <f>IFERROR(__xludf.DUMMYFUNCTION("""COMPUTED_VALUE"""),TRUE)</f>
        <v>1</v>
      </c>
    </row>
    <row r="1330" hidden="1">
      <c r="A1330" s="76" t="str">
        <f>IFERROR(__xludf.DUMMYFUNCTION("""COMPUTED_VALUE"""),"Legends' Legacy")</f>
        <v>Legends' Legacy</v>
      </c>
      <c r="B1330" s="76" t="str">
        <f>IFERROR(__xludf.DUMMYFUNCTION("""COMPUTED_VALUE"""),"Prismari Artistry")</f>
        <v>Prismari Artistry</v>
      </c>
      <c r="C1330" s="77">
        <f>IFERROR(__xludf.DUMMYFUNCTION("""COMPUTED_VALUE"""),0.0)</f>
        <v>0</v>
      </c>
      <c r="D1330" s="77">
        <f>IFERROR(__xludf.DUMMYFUNCTION("""COMPUTED_VALUE"""),0.0)</f>
        <v>0</v>
      </c>
      <c r="E1330" s="46" t="b">
        <f>IFERROR(__xludf.DUMMYFUNCTION("""COMPUTED_VALUE"""),TRUE)</f>
        <v>1</v>
      </c>
    </row>
    <row r="1331" hidden="1">
      <c r="A1331" s="76" t="str">
        <f>IFERROR(__xludf.DUMMYFUNCTION("""COMPUTED_VALUE"""),"Legends' Legacy")</f>
        <v>Legends' Legacy</v>
      </c>
      <c r="B1331" s="76" t="str">
        <f>IFERROR(__xludf.DUMMYFUNCTION("""COMPUTED_VALUE"""),"Prismari Performance")</f>
        <v>Prismari Performance</v>
      </c>
      <c r="C1331" s="77">
        <f>IFERROR(__xludf.DUMMYFUNCTION("""COMPUTED_VALUE"""),0.0)</f>
        <v>0</v>
      </c>
      <c r="D1331" s="77">
        <f>IFERROR(__xludf.DUMMYFUNCTION("""COMPUTED_VALUE"""),0.0)</f>
        <v>0</v>
      </c>
      <c r="E1331" s="46" t="b">
        <f>IFERROR(__xludf.DUMMYFUNCTION("""COMPUTED_VALUE"""),TRUE)</f>
        <v>1</v>
      </c>
    </row>
    <row r="1332" hidden="1">
      <c r="A1332" s="78" t="str">
        <f>IFERROR(__xludf.DUMMYFUNCTION("""COMPUTED_VALUE"""),"Legends' Legacy")</f>
        <v>Legends' Legacy</v>
      </c>
      <c r="B1332" s="78" t="str">
        <f>IFERROR(__xludf.DUMMYFUNCTION("""COMPUTED_VALUE"""),"Quandrix Unlimited")</f>
        <v>Quandrix Unlimited</v>
      </c>
      <c r="C1332" s="79">
        <f>IFERROR(__xludf.DUMMYFUNCTION("""COMPUTED_VALUE"""),0.0)</f>
        <v>0</v>
      </c>
      <c r="D1332" s="79">
        <f>IFERROR(__xludf.DUMMYFUNCTION("""COMPUTED_VALUE"""),0.0)</f>
        <v>0</v>
      </c>
      <c r="E1332" s="69" t="b">
        <f>IFERROR(__xludf.DUMMYFUNCTION("""COMPUTED_VALUE"""),TRUE)</f>
        <v>1</v>
      </c>
    </row>
    <row r="1333" hidden="1">
      <c r="A1333" s="76" t="str">
        <f>IFERROR(__xludf.DUMMYFUNCTION("""COMPUTED_VALUE"""),"Legends' Legacy")</f>
        <v>Legends' Legacy</v>
      </c>
      <c r="B1333" s="76" t="str">
        <f>IFERROR(__xludf.DUMMYFUNCTION("""COMPUTED_VALUE"""),"Quick Draw")</f>
        <v>Quick Draw</v>
      </c>
      <c r="C1333" s="77">
        <f>IFERROR(__xludf.DUMMYFUNCTION("""COMPUTED_VALUE"""),0.0)</f>
        <v>0</v>
      </c>
      <c r="D1333" s="77">
        <f>IFERROR(__xludf.DUMMYFUNCTION("""COMPUTED_VALUE"""),1.0)</f>
        <v>1</v>
      </c>
      <c r="E1333" s="46" t="b">
        <f>IFERROR(__xludf.DUMMYFUNCTION("""COMPUTED_VALUE"""),FALSE)</f>
        <v>0</v>
      </c>
    </row>
    <row r="1334" hidden="1">
      <c r="A1334" s="76" t="str">
        <f>IFERROR(__xludf.DUMMYFUNCTION("""COMPUTED_VALUE"""),"Legends' Legacy")</f>
        <v>Legends' Legacy</v>
      </c>
      <c r="B1334" s="76" t="str">
        <f>IFERROR(__xludf.DUMMYFUNCTION("""COMPUTED_VALUE"""),"Reap the Tides")</f>
        <v>Reap the Tides</v>
      </c>
      <c r="C1334" s="77">
        <f>IFERROR(__xludf.DUMMYFUNCTION("""COMPUTED_VALUE"""),0.0)</f>
        <v>0</v>
      </c>
      <c r="D1334" s="77">
        <f>IFERROR(__xludf.DUMMYFUNCTION("""COMPUTED_VALUE"""),0.0)</f>
        <v>0</v>
      </c>
      <c r="E1334" s="46" t="b">
        <f>IFERROR(__xludf.DUMMYFUNCTION("""COMPUTED_VALUE"""),TRUE)</f>
        <v>1</v>
      </c>
    </row>
    <row r="1335" hidden="1">
      <c r="A1335" s="76" t="str">
        <f>IFERROR(__xludf.DUMMYFUNCTION("""COMPUTED_VALUE"""),"Legends' Legacy")</f>
        <v>Legends' Legacy</v>
      </c>
      <c r="B1335" s="76" t="str">
        <f>IFERROR(__xludf.DUMMYFUNCTION("""COMPUTED_VALUE"""),"Rebellion Rising")</f>
        <v>Rebellion Rising</v>
      </c>
      <c r="C1335" s="77">
        <f>IFERROR(__xludf.DUMMYFUNCTION("""COMPUTED_VALUE"""),0.0)</f>
        <v>0</v>
      </c>
      <c r="D1335" s="77">
        <f>IFERROR(__xludf.DUMMYFUNCTION("""COMPUTED_VALUE"""),1.0)</f>
        <v>1</v>
      </c>
      <c r="E1335" s="46" t="b">
        <f>IFERROR(__xludf.DUMMYFUNCTION("""COMPUTED_VALUE"""),FALSE)</f>
        <v>0</v>
      </c>
    </row>
    <row r="1336" hidden="1">
      <c r="A1336" s="76" t="str">
        <f>IFERROR(__xludf.DUMMYFUNCTION("""COMPUTED_VALUE"""),"Legends' Legacy")</f>
        <v>Legends' Legacy</v>
      </c>
      <c r="B1336" s="76" t="str">
        <f>IFERROR(__xludf.DUMMYFUNCTION("""COMPUTED_VALUE"""),"Revival Trance")</f>
        <v>Revival Trance</v>
      </c>
      <c r="C1336" s="77">
        <f>IFERROR(__xludf.DUMMYFUNCTION("""COMPUTED_VALUE"""),0.0)</f>
        <v>0</v>
      </c>
      <c r="D1336" s="77">
        <f>IFERROR(__xludf.DUMMYFUNCTION("""COMPUTED_VALUE"""),0.0)</f>
        <v>0</v>
      </c>
      <c r="E1336" s="46" t="b">
        <f>IFERROR(__xludf.DUMMYFUNCTION("""COMPUTED_VALUE"""),TRUE)</f>
        <v>1</v>
      </c>
    </row>
    <row r="1337" hidden="1">
      <c r="A1337" s="76" t="str">
        <f>IFERROR(__xludf.DUMMYFUNCTION("""COMPUTED_VALUE"""),"Legends' Legacy")</f>
        <v>Legends' Legacy</v>
      </c>
      <c r="B1337" s="76" t="str">
        <f>IFERROR(__xludf.DUMMYFUNCTION("""COMPUTED_VALUE"""),"Riders of Rohan")</f>
        <v>Riders of Rohan</v>
      </c>
      <c r="C1337" s="77">
        <f>IFERROR(__xludf.DUMMYFUNCTION("""COMPUTED_VALUE"""),0.0)</f>
        <v>0</v>
      </c>
      <c r="D1337" s="77">
        <f>IFERROR(__xludf.DUMMYFUNCTION("""COMPUTED_VALUE"""),0.0)</f>
        <v>0</v>
      </c>
      <c r="E1337" s="46" t="b">
        <f>IFERROR(__xludf.DUMMYFUNCTION("""COMPUTED_VALUE"""),TRUE)</f>
        <v>1</v>
      </c>
    </row>
    <row r="1338" hidden="1">
      <c r="A1338" s="76" t="str">
        <f>IFERROR(__xludf.DUMMYFUNCTION("""COMPUTED_VALUE"""),"Legends' Legacy")</f>
        <v>Legends' Legacy</v>
      </c>
      <c r="B1338" s="76" t="str">
        <f>IFERROR(__xludf.DUMMYFUNCTION("""COMPUTED_VALUE"""),"Science!")</f>
        <v>Science!</v>
      </c>
      <c r="C1338" s="77">
        <f>IFERROR(__xludf.DUMMYFUNCTION("""COMPUTED_VALUE"""),0.0)</f>
        <v>0</v>
      </c>
      <c r="D1338" s="77">
        <f>IFERROR(__xludf.DUMMYFUNCTION("""COMPUTED_VALUE"""),0.0)</f>
        <v>0</v>
      </c>
      <c r="E1338" s="46" t="b">
        <f>IFERROR(__xludf.DUMMYFUNCTION("""COMPUTED_VALUE"""),TRUE)</f>
        <v>1</v>
      </c>
    </row>
    <row r="1339" hidden="1">
      <c r="A1339" s="76" t="str">
        <f>IFERROR(__xludf.DUMMYFUNCTION("""COMPUTED_VALUE"""),"Legends' Legacy")</f>
        <v>Legends' Legacy</v>
      </c>
      <c r="B1339" s="76" t="str">
        <f>IFERROR(__xludf.DUMMYFUNCTION("""COMPUTED_VALUE"""),"Scions &amp; Spellcraft")</f>
        <v>Scions &amp; Spellcraft</v>
      </c>
      <c r="C1339" s="77">
        <f>IFERROR(__xludf.DUMMYFUNCTION("""COMPUTED_VALUE"""),0.0)</f>
        <v>0</v>
      </c>
      <c r="D1339" s="77">
        <f>IFERROR(__xludf.DUMMYFUNCTION("""COMPUTED_VALUE"""),0.0)</f>
        <v>0</v>
      </c>
      <c r="E1339" s="46" t="b">
        <f>IFERROR(__xludf.DUMMYFUNCTION("""COMPUTED_VALUE"""),TRUE)</f>
        <v>1</v>
      </c>
    </row>
    <row r="1340" hidden="1">
      <c r="A1340" s="76" t="str">
        <f>IFERROR(__xludf.DUMMYFUNCTION("""COMPUTED_VALUE"""),"Legends' Legacy")</f>
        <v>Legends' Legacy</v>
      </c>
      <c r="B1340" s="76" t="str">
        <f>IFERROR(__xludf.DUMMYFUNCTION("""COMPUTED_VALUE"""),"Scrappy Survivors")</f>
        <v>Scrappy Survivors</v>
      </c>
      <c r="C1340" s="77">
        <f>IFERROR(__xludf.DUMMYFUNCTION("""COMPUTED_VALUE"""),0.0)</f>
        <v>0</v>
      </c>
      <c r="D1340" s="77">
        <f>IFERROR(__xludf.DUMMYFUNCTION("""COMPUTED_VALUE"""),0.0)</f>
        <v>0</v>
      </c>
      <c r="E1340" s="46" t="b">
        <f>IFERROR(__xludf.DUMMYFUNCTION("""COMPUTED_VALUE"""),TRUE)</f>
        <v>1</v>
      </c>
    </row>
    <row r="1341" hidden="1">
      <c r="A1341" s="76" t="str">
        <f>IFERROR(__xludf.DUMMYFUNCTION("""COMPUTED_VALUE"""),"Legends' Legacy")</f>
        <v>Legends' Legacy</v>
      </c>
      <c r="B1341" s="76" t="str">
        <f>IFERROR(__xludf.DUMMYFUNCTION("""COMPUTED_VALUE"""),"Silverquill Influence")</f>
        <v>Silverquill Influence</v>
      </c>
      <c r="C1341" s="77">
        <f>IFERROR(__xludf.DUMMYFUNCTION("""COMPUTED_VALUE"""),0.0)</f>
        <v>0</v>
      </c>
      <c r="D1341" s="77">
        <f>IFERROR(__xludf.DUMMYFUNCTION("""COMPUTED_VALUE"""),0.0)</f>
        <v>0</v>
      </c>
      <c r="E1341" s="46" t="b">
        <f>IFERROR(__xludf.DUMMYFUNCTION("""COMPUTED_VALUE"""),TRUE)</f>
        <v>1</v>
      </c>
    </row>
    <row r="1342" hidden="1">
      <c r="A1342" s="76" t="str">
        <f>IFERROR(__xludf.DUMMYFUNCTION("""COMPUTED_VALUE"""),"Legends' Legacy")</f>
        <v>Legends' Legacy</v>
      </c>
      <c r="B1342" s="76" t="str">
        <f>IFERROR(__xludf.DUMMYFUNCTION("""COMPUTED_VALUE"""),"Spirit Squadron")</f>
        <v>Spirit Squadron</v>
      </c>
      <c r="C1342" s="77">
        <f>IFERROR(__xludf.DUMMYFUNCTION("""COMPUTED_VALUE"""),0.0)</f>
        <v>0</v>
      </c>
      <c r="D1342" s="77">
        <f>IFERROR(__xludf.DUMMYFUNCTION("""COMPUTED_VALUE"""),0.0)</f>
        <v>0</v>
      </c>
      <c r="E1342" s="46" t="b">
        <f>IFERROR(__xludf.DUMMYFUNCTION("""COMPUTED_VALUE"""),TRUE)</f>
        <v>1</v>
      </c>
    </row>
    <row r="1343" hidden="1">
      <c r="A1343" s="76" t="str">
        <f>IFERROR(__xludf.DUMMYFUNCTION("""COMPUTED_VALUE"""),"Legends' Legacy")</f>
        <v>Legends' Legacy</v>
      </c>
      <c r="B1343" s="76" t="str">
        <f>IFERROR(__xludf.DUMMYFUNCTION("""COMPUTED_VALUE"""),"Squirreled Away")</f>
        <v>Squirreled Away</v>
      </c>
      <c r="C1343" s="77">
        <f>IFERROR(__xludf.DUMMYFUNCTION("""COMPUTED_VALUE"""),0.0)</f>
        <v>0</v>
      </c>
      <c r="D1343" s="77">
        <f>IFERROR(__xludf.DUMMYFUNCTION("""COMPUTED_VALUE"""),0.0)</f>
        <v>0</v>
      </c>
      <c r="E1343" s="46" t="b">
        <f>IFERROR(__xludf.DUMMYFUNCTION("""COMPUTED_VALUE"""),TRUE)</f>
        <v>1</v>
      </c>
    </row>
    <row r="1344" hidden="1">
      <c r="A1344" s="76" t="str">
        <f>IFERROR(__xludf.DUMMYFUNCTION("""COMPUTED_VALUE"""),"Legends' Legacy")</f>
        <v>Legends' Legacy</v>
      </c>
      <c r="B1344" s="76" t="str">
        <f>IFERROR(__xludf.DUMMYFUNCTION("""COMPUTED_VALUE"""),"Sultai Arisen")</f>
        <v>Sultai Arisen</v>
      </c>
      <c r="C1344" s="77">
        <f>IFERROR(__xludf.DUMMYFUNCTION("""COMPUTED_VALUE"""),0.0)</f>
        <v>0</v>
      </c>
      <c r="D1344" s="77">
        <f>IFERROR(__xludf.DUMMYFUNCTION("""COMPUTED_VALUE"""),0.0)</f>
        <v>0</v>
      </c>
      <c r="E1344" s="46" t="b">
        <f>IFERROR(__xludf.DUMMYFUNCTION("""COMPUTED_VALUE"""),TRUE)</f>
        <v>1</v>
      </c>
    </row>
    <row r="1345" hidden="1">
      <c r="A1345" s="78" t="str">
        <f>IFERROR(__xludf.DUMMYFUNCTION("""COMPUTED_VALUE"""),"Legends' Legacy")</f>
        <v>Legends' Legacy</v>
      </c>
      <c r="B1345" s="78" t="str">
        <f>IFERROR(__xludf.DUMMYFUNCTION("""COMPUTED_VALUE"""),"Temur Roar")</f>
        <v>Temur Roar</v>
      </c>
      <c r="C1345" s="79">
        <f>IFERROR(__xludf.DUMMYFUNCTION("""COMPUTED_VALUE"""),0.0)</f>
        <v>0</v>
      </c>
      <c r="D1345" s="79">
        <f>IFERROR(__xludf.DUMMYFUNCTION("""COMPUTED_VALUE"""),0.0)</f>
        <v>0</v>
      </c>
      <c r="E1345" s="69" t="b">
        <f>IFERROR(__xludf.DUMMYFUNCTION("""COMPUTED_VALUE"""),TRUE)</f>
        <v>1</v>
      </c>
    </row>
    <row r="1346" hidden="1">
      <c r="A1346" s="76" t="str">
        <f>IFERROR(__xludf.DUMMYFUNCTION("""COMPUTED_VALUE"""),"Legends' Legacy")</f>
        <v>Legends' Legacy</v>
      </c>
      <c r="B1346" s="76" t="str">
        <f>IFERROR(__xludf.DUMMYFUNCTION("""COMPUTED_VALUE"""),"The Hosts of Mordor")</f>
        <v>The Hosts of Mordor</v>
      </c>
      <c r="C1346" s="77">
        <f>IFERROR(__xludf.DUMMYFUNCTION("""COMPUTED_VALUE"""),0.0)</f>
        <v>0</v>
      </c>
      <c r="D1346" s="77">
        <f>IFERROR(__xludf.DUMMYFUNCTION("""COMPUTED_VALUE"""),0.0)</f>
        <v>0</v>
      </c>
      <c r="E1346" s="46" t="b">
        <f>IFERROR(__xludf.DUMMYFUNCTION("""COMPUTED_VALUE"""),TRUE)</f>
        <v>1</v>
      </c>
    </row>
    <row r="1347" hidden="1">
      <c r="A1347" s="76" t="str">
        <f>IFERROR(__xludf.DUMMYFUNCTION("""COMPUTED_VALUE"""),"Legends' Legacy")</f>
        <v>Legends' Legacy</v>
      </c>
      <c r="B1347" s="76" t="str">
        <f>IFERROR(__xludf.DUMMYFUNCTION("""COMPUTED_VALUE"""),"The Ruinous Powers")</f>
        <v>The Ruinous Powers</v>
      </c>
      <c r="C1347" s="77">
        <f>IFERROR(__xludf.DUMMYFUNCTION("""COMPUTED_VALUE"""),0.0)</f>
        <v>0</v>
      </c>
      <c r="D1347" s="77">
        <f>IFERROR(__xludf.DUMMYFUNCTION("""COMPUTED_VALUE"""),0.0)</f>
        <v>0</v>
      </c>
      <c r="E1347" s="46" t="b">
        <f>IFERROR(__xludf.DUMMYFUNCTION("""COMPUTED_VALUE"""),TRUE)</f>
        <v>1</v>
      </c>
    </row>
    <row r="1348" hidden="1">
      <c r="A1348" s="76" t="str">
        <f>IFERROR(__xludf.DUMMYFUNCTION("""COMPUTED_VALUE"""),"Legends' Legacy")</f>
        <v>Legends' Legacy</v>
      </c>
      <c r="B1348" s="76" t="str">
        <f>IFERROR(__xludf.DUMMYFUNCTION("""COMPUTED_VALUE"""),"Timey-Wimey")</f>
        <v>Timey-Wimey</v>
      </c>
      <c r="C1348" s="77">
        <f>IFERROR(__xludf.DUMMYFUNCTION("""COMPUTED_VALUE"""),0.0)</f>
        <v>0</v>
      </c>
      <c r="D1348" s="77">
        <f>IFERROR(__xludf.DUMMYFUNCTION("""COMPUTED_VALUE"""),0.0)</f>
        <v>0</v>
      </c>
      <c r="E1348" s="46" t="b">
        <f>IFERROR(__xludf.DUMMYFUNCTION("""COMPUTED_VALUE"""),TRUE)</f>
        <v>1</v>
      </c>
    </row>
    <row r="1349" hidden="1">
      <c r="A1349" s="76" t="str">
        <f>IFERROR(__xludf.DUMMYFUNCTION("""COMPUTED_VALUE"""),"Legends' Legacy")</f>
        <v>Legends' Legacy</v>
      </c>
      <c r="B1349" s="76" t="str">
        <f>IFERROR(__xludf.DUMMYFUNCTION("""COMPUTED_VALUE"""),"Tinker Time")</f>
        <v>Tinker Time</v>
      </c>
      <c r="C1349" s="77">
        <f>IFERROR(__xludf.DUMMYFUNCTION("""COMPUTED_VALUE"""),0.0)</f>
        <v>0</v>
      </c>
      <c r="D1349" s="77">
        <f>IFERROR(__xludf.DUMMYFUNCTION("""COMPUTED_VALUE"""),0.0)</f>
        <v>0</v>
      </c>
      <c r="E1349" s="46" t="b">
        <f>IFERROR(__xludf.DUMMYFUNCTION("""COMPUTED_VALUE"""),TRUE)</f>
        <v>1</v>
      </c>
    </row>
    <row r="1350" hidden="1">
      <c r="A1350" s="76" t="str">
        <f>IFERROR(__xludf.DUMMYFUNCTION("""COMPUTED_VALUE"""),"Legends' Legacy")</f>
        <v>Legends' Legacy</v>
      </c>
      <c r="B1350" s="76" t="str">
        <f>IFERROR(__xludf.DUMMYFUNCTION("""COMPUTED_VALUE"""),"Turtle Power!")</f>
        <v>Turtle Power!</v>
      </c>
      <c r="C1350" s="77">
        <f>IFERROR(__xludf.DUMMYFUNCTION("""COMPUTED_VALUE"""),0.0)</f>
        <v>0</v>
      </c>
      <c r="D1350" s="77">
        <f>IFERROR(__xludf.DUMMYFUNCTION("""COMPUTED_VALUE"""),0.0)</f>
        <v>0</v>
      </c>
      <c r="E1350" s="46" t="b">
        <f>IFERROR(__xludf.DUMMYFUNCTION("""COMPUTED_VALUE"""),TRUE)</f>
        <v>1</v>
      </c>
    </row>
    <row r="1351" hidden="1">
      <c r="A1351" s="76" t="str">
        <f>IFERROR(__xludf.DUMMYFUNCTION("""COMPUTED_VALUE"""),"Legends' Legacy")</f>
        <v>Legends' Legacy</v>
      </c>
      <c r="B1351" s="76" t="str">
        <f>IFERROR(__xludf.DUMMYFUNCTION("""COMPUTED_VALUE"""),"Veloci-ramp-tor")</f>
        <v>Veloci-ramp-tor</v>
      </c>
      <c r="C1351" s="77">
        <f>IFERROR(__xludf.DUMMYFUNCTION("""COMPUTED_VALUE"""),0.0)</f>
        <v>0</v>
      </c>
      <c r="D1351" s="77">
        <f>IFERROR(__xludf.DUMMYFUNCTION("""COMPUTED_VALUE"""),0.0)</f>
        <v>0</v>
      </c>
      <c r="E1351" s="46" t="b">
        <f>IFERROR(__xludf.DUMMYFUNCTION("""COMPUTED_VALUE"""),TRUE)</f>
        <v>1</v>
      </c>
    </row>
    <row r="1352" hidden="1">
      <c r="A1352" s="76" t="str">
        <f>IFERROR(__xludf.DUMMYFUNCTION("""COMPUTED_VALUE"""),"Limit Break")</f>
        <v>Limit Break</v>
      </c>
      <c r="B1352" s="76" t="str">
        <f>IFERROR(__xludf.DUMMYFUNCTION("""COMPUTED_VALUE"""),"Ahoy Mateys")</f>
        <v>Ahoy Mateys</v>
      </c>
      <c r="C1352" s="77">
        <f>IFERROR(__xludf.DUMMYFUNCTION("""COMPUTED_VALUE"""),0.0)</f>
        <v>0</v>
      </c>
      <c r="D1352" s="77">
        <f>IFERROR(__xludf.DUMMYFUNCTION("""COMPUTED_VALUE"""),0.0)</f>
        <v>0</v>
      </c>
      <c r="E1352" s="46" t="b">
        <f>IFERROR(__xludf.DUMMYFUNCTION("""COMPUTED_VALUE"""),TRUE)</f>
        <v>1</v>
      </c>
    </row>
    <row r="1353" hidden="1">
      <c r="A1353" s="76" t="str">
        <f>IFERROR(__xludf.DUMMYFUNCTION("""COMPUTED_VALUE"""),"Limit Break")</f>
        <v>Limit Break</v>
      </c>
      <c r="B1353" s="76" t="str">
        <f>IFERROR(__xludf.DUMMYFUNCTION("""COMPUTED_VALUE"""),"Animated Army")</f>
        <v>Animated Army</v>
      </c>
      <c r="C1353" s="77">
        <f>IFERROR(__xludf.DUMMYFUNCTION("""COMPUTED_VALUE"""),0.0)</f>
        <v>0</v>
      </c>
      <c r="D1353" s="77">
        <f>IFERROR(__xludf.DUMMYFUNCTION("""COMPUTED_VALUE"""),0.0)</f>
        <v>0</v>
      </c>
      <c r="E1353" s="46" t="b">
        <f>IFERROR(__xludf.DUMMYFUNCTION("""COMPUTED_VALUE"""),TRUE)</f>
        <v>1</v>
      </c>
    </row>
    <row r="1354" hidden="1">
      <c r="A1354" s="76" t="str">
        <f>IFERROR(__xludf.DUMMYFUNCTION("""COMPUTED_VALUE"""),"Limit Break")</f>
        <v>Limit Break</v>
      </c>
      <c r="B1354" s="76" t="str">
        <f>IFERROR(__xludf.DUMMYFUNCTION("""COMPUTED_VALUE"""),"Arcane Maelstrom")</f>
        <v>Arcane Maelstrom</v>
      </c>
      <c r="C1354" s="77">
        <f>IFERROR(__xludf.DUMMYFUNCTION("""COMPUTED_VALUE"""),0.0)</f>
        <v>0</v>
      </c>
      <c r="D1354" s="77">
        <f>IFERROR(__xludf.DUMMYFUNCTION("""COMPUTED_VALUE"""),0.0)</f>
        <v>0</v>
      </c>
      <c r="E1354" s="46" t="b">
        <f>IFERROR(__xludf.DUMMYFUNCTION("""COMPUTED_VALUE"""),TRUE)</f>
        <v>1</v>
      </c>
    </row>
    <row r="1355" hidden="1">
      <c r="A1355" s="78" t="str">
        <f>IFERROR(__xludf.DUMMYFUNCTION("""COMPUTED_VALUE"""),"Limit Break")</f>
        <v>Limit Break</v>
      </c>
      <c r="B1355" s="78" t="str">
        <f>IFERROR(__xludf.DUMMYFUNCTION("""COMPUTED_VALUE"""),"Blame Game")</f>
        <v>Blame Game</v>
      </c>
      <c r="C1355" s="79">
        <f>IFERROR(__xludf.DUMMYFUNCTION("""COMPUTED_VALUE"""),0.0)</f>
        <v>0</v>
      </c>
      <c r="D1355" s="79">
        <f>IFERROR(__xludf.DUMMYFUNCTION("""COMPUTED_VALUE"""),0.0)</f>
        <v>0</v>
      </c>
      <c r="E1355" s="69" t="b">
        <f>IFERROR(__xludf.DUMMYFUNCTION("""COMPUTED_VALUE"""),TRUE)</f>
        <v>1</v>
      </c>
    </row>
    <row r="1356" hidden="1">
      <c r="A1356" s="76" t="str">
        <f>IFERROR(__xludf.DUMMYFUNCTION("""COMPUTED_VALUE"""),"Limit Break")</f>
        <v>Limit Break</v>
      </c>
      <c r="B1356" s="76" t="str">
        <f>IFERROR(__xludf.DUMMYFUNCTION("""COMPUTED_VALUE"""),"Blight Curse")</f>
        <v>Blight Curse</v>
      </c>
      <c r="C1356" s="77">
        <f>IFERROR(__xludf.DUMMYFUNCTION("""COMPUTED_VALUE"""),0.0)</f>
        <v>0</v>
      </c>
      <c r="D1356" s="77">
        <f>IFERROR(__xludf.DUMMYFUNCTION("""COMPUTED_VALUE"""),0.0)</f>
        <v>0</v>
      </c>
      <c r="E1356" s="46" t="b">
        <f>IFERROR(__xludf.DUMMYFUNCTION("""COMPUTED_VALUE"""),TRUE)</f>
        <v>1</v>
      </c>
    </row>
    <row r="1357" hidden="1">
      <c r="A1357" s="76" t="str">
        <f>IFERROR(__xludf.DUMMYFUNCTION("""COMPUTED_VALUE"""),"Limit Break")</f>
        <v>Limit Break</v>
      </c>
      <c r="B1357" s="76" t="str">
        <f>IFERROR(__xludf.DUMMYFUNCTION("""COMPUTED_VALUE"""),"Blood Rites")</f>
        <v>Blood Rites</v>
      </c>
      <c r="C1357" s="77">
        <f>IFERROR(__xludf.DUMMYFUNCTION("""COMPUTED_VALUE"""),0.0)</f>
        <v>0</v>
      </c>
      <c r="D1357" s="77">
        <f>IFERROR(__xludf.DUMMYFUNCTION("""COMPUTED_VALUE"""),0.0)</f>
        <v>0</v>
      </c>
      <c r="E1357" s="46" t="b">
        <f>IFERROR(__xludf.DUMMYFUNCTION("""COMPUTED_VALUE"""),TRUE)</f>
        <v>1</v>
      </c>
    </row>
    <row r="1358" hidden="1">
      <c r="A1358" s="76" t="str">
        <f>IFERROR(__xludf.DUMMYFUNCTION("""COMPUTED_VALUE"""),"Limit Break")</f>
        <v>Limit Break</v>
      </c>
      <c r="B1358" s="76" t="str">
        <f>IFERROR(__xludf.DUMMYFUNCTION("""COMPUTED_VALUE"""),"Buckle Up")</f>
        <v>Buckle Up</v>
      </c>
      <c r="C1358" s="77">
        <f>IFERROR(__xludf.DUMMYFUNCTION("""COMPUTED_VALUE"""),0.0)</f>
        <v>0</v>
      </c>
      <c r="D1358" s="77">
        <f>IFERROR(__xludf.DUMMYFUNCTION("""COMPUTED_VALUE"""),0.0)</f>
        <v>0</v>
      </c>
      <c r="E1358" s="46" t="b">
        <f>IFERROR(__xludf.DUMMYFUNCTION("""COMPUTED_VALUE"""),TRUE)</f>
        <v>1</v>
      </c>
    </row>
    <row r="1359" hidden="1">
      <c r="A1359" s="76" t="str">
        <f>IFERROR(__xludf.DUMMYFUNCTION("""COMPUTED_VALUE"""),"Limit Break")</f>
        <v>Limit Break</v>
      </c>
      <c r="B1359" s="76" t="str">
        <f>IFERROR(__xludf.DUMMYFUNCTION("""COMPUTED_VALUE"""),"Cabaretti Cacophony")</f>
        <v>Cabaretti Cacophony</v>
      </c>
      <c r="C1359" s="77">
        <f>IFERROR(__xludf.DUMMYFUNCTION("""COMPUTED_VALUE"""),0.0)</f>
        <v>0</v>
      </c>
      <c r="D1359" s="77">
        <f>IFERROR(__xludf.DUMMYFUNCTION("""COMPUTED_VALUE"""),0.0)</f>
        <v>0</v>
      </c>
      <c r="E1359" s="46" t="b">
        <f>IFERROR(__xludf.DUMMYFUNCTION("""COMPUTED_VALUE"""),TRUE)</f>
        <v>1</v>
      </c>
    </row>
    <row r="1360" hidden="1">
      <c r="A1360" s="76" t="str">
        <f>IFERROR(__xludf.DUMMYFUNCTION("""COMPUTED_VALUE"""),"Limit Break")</f>
        <v>Limit Break</v>
      </c>
      <c r="B1360" s="76" t="str">
        <f>IFERROR(__xludf.DUMMYFUNCTION("""COMPUTED_VALUE"""),"Cavalry Charge")</f>
        <v>Cavalry Charge</v>
      </c>
      <c r="C1360" s="77">
        <f>IFERROR(__xludf.DUMMYFUNCTION("""COMPUTED_VALUE"""),0.0)</f>
        <v>0</v>
      </c>
      <c r="D1360" s="77">
        <f>IFERROR(__xludf.DUMMYFUNCTION("""COMPUTED_VALUE"""),0.0)</f>
        <v>0</v>
      </c>
      <c r="E1360" s="46" t="b">
        <f>IFERROR(__xludf.DUMMYFUNCTION("""COMPUTED_VALUE"""),TRUE)</f>
        <v>1</v>
      </c>
    </row>
    <row r="1361" hidden="1">
      <c r="A1361" s="76" t="str">
        <f>IFERROR(__xludf.DUMMYFUNCTION("""COMPUTED_VALUE"""),"Limit Break")</f>
        <v>Limit Break</v>
      </c>
      <c r="B1361" s="76" t="str">
        <f>IFERROR(__xludf.DUMMYFUNCTION("""COMPUTED_VALUE"""),"Corrupting Influence")</f>
        <v>Corrupting Influence</v>
      </c>
      <c r="C1361" s="77">
        <f>IFERROR(__xludf.DUMMYFUNCTION("""COMPUTED_VALUE"""),0.0)</f>
        <v>0</v>
      </c>
      <c r="D1361" s="77">
        <f>IFERROR(__xludf.DUMMYFUNCTION("""COMPUTED_VALUE"""),0.0)</f>
        <v>0</v>
      </c>
      <c r="E1361" s="46" t="b">
        <f>IFERROR(__xludf.DUMMYFUNCTION("""COMPUTED_VALUE"""),TRUE)</f>
        <v>1</v>
      </c>
    </row>
    <row r="1362">
      <c r="A1362" s="76" t="str">
        <f>IFERROR(__xludf.DUMMYFUNCTION("""COMPUTED_VALUE"""),"Limit Break")</f>
        <v>Limit Break</v>
      </c>
      <c r="B1362" s="76" t="str">
        <f>IFERROR(__xludf.DUMMYFUNCTION("""COMPUTED_VALUE"""),"Counter Blitz")</f>
        <v>Counter Blitz</v>
      </c>
      <c r="C1362" s="77">
        <f>IFERROR(__xludf.DUMMYFUNCTION("""COMPUTED_VALUE"""),0.0)</f>
        <v>0</v>
      </c>
      <c r="D1362" s="77">
        <f>IFERROR(__xludf.DUMMYFUNCTION("""COMPUTED_VALUE"""),0.0)</f>
        <v>0</v>
      </c>
      <c r="E1362" s="46" t="b">
        <f>IFERROR(__xludf.DUMMYFUNCTION("""COMPUTED_VALUE"""),TRUE)</f>
        <v>1</v>
      </c>
    </row>
    <row r="1363" hidden="1">
      <c r="A1363" s="76" t="str">
        <f>IFERROR(__xludf.DUMMYFUNCTION("""COMPUTED_VALUE"""),"Limit Break")</f>
        <v>Limit Break</v>
      </c>
      <c r="B1363" s="76" t="str">
        <f>IFERROR(__xludf.DUMMYFUNCTION("""COMPUTED_VALUE"""),"Counter Intelligence")</f>
        <v>Counter Intelligence</v>
      </c>
      <c r="C1363" s="77">
        <f>IFERROR(__xludf.DUMMYFUNCTION("""COMPUTED_VALUE"""),0.0)</f>
        <v>0</v>
      </c>
      <c r="D1363" s="77">
        <f>IFERROR(__xludf.DUMMYFUNCTION("""COMPUTED_VALUE"""),0.0)</f>
        <v>0</v>
      </c>
      <c r="E1363" s="46" t="b">
        <f>IFERROR(__xludf.DUMMYFUNCTION("""COMPUTED_VALUE"""),TRUE)</f>
        <v>1</v>
      </c>
    </row>
    <row r="1364" hidden="1">
      <c r="A1364" s="76" t="str">
        <f>IFERROR(__xludf.DUMMYFUNCTION("""COMPUTED_VALUE"""),"Limit Break")</f>
        <v>Limit Break</v>
      </c>
      <c r="B1364" s="76" t="str">
        <f>IFERROR(__xludf.DUMMYFUNCTION("""COMPUTED_VALUE"""),"Creative Energy")</f>
        <v>Creative Energy</v>
      </c>
      <c r="C1364" s="77">
        <f>IFERROR(__xludf.DUMMYFUNCTION("""COMPUTED_VALUE"""),0.0)</f>
        <v>0</v>
      </c>
      <c r="D1364" s="77">
        <f>IFERROR(__xludf.DUMMYFUNCTION("""COMPUTED_VALUE"""),0.0)</f>
        <v>0</v>
      </c>
      <c r="E1364" s="46" t="b">
        <f>IFERROR(__xludf.DUMMYFUNCTION("""COMPUTED_VALUE"""),TRUE)</f>
        <v>1</v>
      </c>
    </row>
    <row r="1365" hidden="1">
      <c r="A1365" s="76" t="str">
        <f>IFERROR(__xludf.DUMMYFUNCTION("""COMPUTED_VALUE"""),"Limit Break")</f>
        <v>Limit Break</v>
      </c>
      <c r="B1365" s="76" t="str">
        <f>IFERROR(__xludf.DUMMYFUNCTION("""COMPUTED_VALUE"""),"Dance of the Elements")</f>
        <v>Dance of the Elements</v>
      </c>
      <c r="C1365" s="77">
        <f>IFERROR(__xludf.DUMMYFUNCTION("""COMPUTED_VALUE"""),0.0)</f>
        <v>0</v>
      </c>
      <c r="D1365" s="77">
        <f>IFERROR(__xludf.DUMMYFUNCTION("""COMPUTED_VALUE"""),0.0)</f>
        <v>0</v>
      </c>
      <c r="E1365" s="46" t="b">
        <f>IFERROR(__xludf.DUMMYFUNCTION("""COMPUTED_VALUE"""),TRUE)</f>
        <v>1</v>
      </c>
    </row>
    <row r="1366" hidden="1">
      <c r="A1366" s="76" t="str">
        <f>IFERROR(__xludf.DUMMYFUNCTION("""COMPUTED_VALUE"""),"Limit Break")</f>
        <v>Limit Break</v>
      </c>
      <c r="B1366" s="76" t="str">
        <f>IFERROR(__xludf.DUMMYFUNCTION("""COMPUTED_VALUE"""),"Deep Clue Sea")</f>
        <v>Deep Clue Sea</v>
      </c>
      <c r="C1366" s="77">
        <f>IFERROR(__xludf.DUMMYFUNCTION("""COMPUTED_VALUE"""),0.0)</f>
        <v>0</v>
      </c>
      <c r="D1366" s="77">
        <f>IFERROR(__xludf.DUMMYFUNCTION("""COMPUTED_VALUE"""),0.0)</f>
        <v>0</v>
      </c>
      <c r="E1366" s="46" t="b">
        <f>IFERROR(__xludf.DUMMYFUNCTION("""COMPUTED_VALUE"""),TRUE)</f>
        <v>1</v>
      </c>
    </row>
    <row r="1367" hidden="1">
      <c r="A1367" s="76" t="str">
        <f>IFERROR(__xludf.DUMMYFUNCTION("""COMPUTED_VALUE"""),"Limit Break")</f>
        <v>Limit Break</v>
      </c>
      <c r="B1367" s="76" t="str">
        <f>IFERROR(__xludf.DUMMYFUNCTION("""COMPUTED_VALUE"""),"Doom Prevails")</f>
        <v>Doom Prevails</v>
      </c>
      <c r="C1367" s="77">
        <f>IFERROR(__xludf.DUMMYFUNCTION("""COMPUTED_VALUE"""),0.0)</f>
        <v>0</v>
      </c>
      <c r="D1367" s="77">
        <f>IFERROR(__xludf.DUMMYFUNCTION("""COMPUTED_VALUE"""),0.0)</f>
        <v>0</v>
      </c>
      <c r="E1367" s="46" t="b">
        <f>IFERROR(__xludf.DUMMYFUNCTION("""COMPUTED_VALUE"""),TRUE)</f>
        <v>1</v>
      </c>
    </row>
    <row r="1368" hidden="1">
      <c r="A1368" s="78" t="str">
        <f>IFERROR(__xludf.DUMMYFUNCTION("""COMPUTED_VALUE"""),"Limit Break")</f>
        <v>Limit Break</v>
      </c>
      <c r="B1368" s="78" t="str">
        <f>IFERROR(__xludf.DUMMYFUNCTION("""COMPUTED_VALUE"""),"Eldrazi Incursion")</f>
        <v>Eldrazi Incursion</v>
      </c>
      <c r="C1368" s="79">
        <f>IFERROR(__xludf.DUMMYFUNCTION("""COMPUTED_VALUE"""),0.0)</f>
        <v>0</v>
      </c>
      <c r="D1368" s="79">
        <f>IFERROR(__xludf.DUMMYFUNCTION("""COMPUTED_VALUE"""),0.0)</f>
        <v>0</v>
      </c>
      <c r="E1368" s="69" t="b">
        <f>IFERROR(__xludf.DUMMYFUNCTION("""COMPUTED_VALUE"""),TRUE)</f>
        <v>1</v>
      </c>
    </row>
    <row r="1369" hidden="1">
      <c r="A1369" s="76" t="str">
        <f>IFERROR(__xludf.DUMMYFUNCTION("""COMPUTED_VALUE"""),"Limit Break")</f>
        <v>Limit Break</v>
      </c>
      <c r="B1369" s="76" t="str">
        <f>IFERROR(__xludf.DUMMYFUNCTION("""COMPUTED_VALUE"""),"Eldrazi Unbound")</f>
        <v>Eldrazi Unbound</v>
      </c>
      <c r="C1369" s="77">
        <f>IFERROR(__xludf.DUMMYFUNCTION("""COMPUTED_VALUE"""),0.0)</f>
        <v>0</v>
      </c>
      <c r="D1369" s="77">
        <f>IFERROR(__xludf.DUMMYFUNCTION("""COMPUTED_VALUE"""),0.0)</f>
        <v>0</v>
      </c>
      <c r="E1369" s="46" t="b">
        <f>IFERROR(__xludf.DUMMYFUNCTION("""COMPUTED_VALUE"""),TRUE)</f>
        <v>1</v>
      </c>
    </row>
    <row r="1370">
      <c r="A1370" s="76" t="str">
        <f>IFERROR(__xludf.DUMMYFUNCTION("""COMPUTED_VALUE"""),"Limit Break")</f>
        <v>Limit Break</v>
      </c>
      <c r="B1370" s="76" t="str">
        <f>IFERROR(__xludf.DUMMYFUNCTION("""COMPUTED_VALUE"""),"Endless Punishment")</f>
        <v>Endless Punishment</v>
      </c>
      <c r="C1370" s="77">
        <f>IFERROR(__xludf.DUMMYFUNCTION("""COMPUTED_VALUE"""),0.0)</f>
        <v>0</v>
      </c>
      <c r="D1370" s="77">
        <f>IFERROR(__xludf.DUMMYFUNCTION("""COMPUTED_VALUE"""),0.0)</f>
        <v>0</v>
      </c>
      <c r="E1370" s="46" t="b">
        <f>IFERROR(__xludf.DUMMYFUNCTION("""COMPUTED_VALUE"""),TRUE)</f>
        <v>1</v>
      </c>
    </row>
    <row r="1371" hidden="1">
      <c r="A1371" s="76" t="str">
        <f>IFERROR(__xludf.DUMMYFUNCTION("""COMPUTED_VALUE"""),"Limit Break")</f>
        <v>Limit Break</v>
      </c>
      <c r="B1371" s="76" t="str">
        <f>IFERROR(__xludf.DUMMYFUNCTION("""COMPUTED_VALUE"""),"Enduring Enchantments")</f>
        <v>Enduring Enchantments</v>
      </c>
      <c r="C1371" s="77">
        <f>IFERROR(__xludf.DUMMYFUNCTION("""COMPUTED_VALUE"""),0.0)</f>
        <v>0</v>
      </c>
      <c r="D1371" s="77">
        <f>IFERROR(__xludf.DUMMYFUNCTION("""COMPUTED_VALUE"""),0.0)</f>
        <v>0</v>
      </c>
      <c r="E1371" s="46" t="b">
        <f>IFERROR(__xludf.DUMMYFUNCTION("""COMPUTED_VALUE"""),TRUE)</f>
        <v>1</v>
      </c>
    </row>
    <row r="1372" hidden="1">
      <c r="A1372" s="76" t="str">
        <f>IFERROR(__xludf.DUMMYFUNCTION("""COMPUTED_VALUE"""),"Limit Break")</f>
        <v>Limit Break</v>
      </c>
      <c r="B1372" s="76" t="str">
        <f>IFERROR(__xludf.DUMMYFUNCTION("""COMPUTED_VALUE"""),"Explorers of the Deep")</f>
        <v>Explorers of the Deep</v>
      </c>
      <c r="C1372" s="77">
        <f>IFERROR(__xludf.DUMMYFUNCTION("""COMPUTED_VALUE"""),0.0)</f>
        <v>0</v>
      </c>
      <c r="D1372" s="77">
        <f>IFERROR(__xludf.DUMMYFUNCTION("""COMPUTED_VALUE"""),0.0)</f>
        <v>0</v>
      </c>
      <c r="E1372" s="46" t="b">
        <f>IFERROR(__xludf.DUMMYFUNCTION("""COMPUTED_VALUE"""),TRUE)</f>
        <v>1</v>
      </c>
    </row>
    <row r="1373" hidden="1">
      <c r="A1373" s="76" t="str">
        <f>IFERROR(__xludf.DUMMYFUNCTION("""COMPUTED_VALUE"""),"Limit Break")</f>
        <v>Limit Break</v>
      </c>
      <c r="B1373" s="76" t="str">
        <f>IFERROR(__xludf.DUMMYFUNCTION("""COMPUTED_VALUE"""),"Family Matters")</f>
        <v>Family Matters</v>
      </c>
      <c r="C1373" s="77">
        <f>IFERROR(__xludf.DUMMYFUNCTION("""COMPUTED_VALUE"""),0.0)</f>
        <v>0</v>
      </c>
      <c r="D1373" s="77">
        <f>IFERROR(__xludf.DUMMYFUNCTION("""COMPUTED_VALUE"""),0.0)</f>
        <v>0</v>
      </c>
      <c r="E1373" s="46" t="b">
        <f>IFERROR(__xludf.DUMMYFUNCTION("""COMPUTED_VALUE"""),TRUE)</f>
        <v>1</v>
      </c>
    </row>
    <row r="1374">
      <c r="A1374" s="76" t="str">
        <f>IFERROR(__xludf.DUMMYFUNCTION("""COMPUTED_VALUE"""),"Limit Break")</f>
        <v>Limit Break</v>
      </c>
      <c r="B1374" s="76" t="str">
        <f>IFERROR(__xludf.DUMMYFUNCTION("""COMPUTED_VALUE"""),"Food and Fellowship")</f>
        <v>Food and Fellowship</v>
      </c>
      <c r="C1374" s="77">
        <f>IFERROR(__xludf.DUMMYFUNCTION("""COMPUTED_VALUE"""),0.0)</f>
        <v>0</v>
      </c>
      <c r="D1374" s="77">
        <f>IFERROR(__xludf.DUMMYFUNCTION("""COMPUTED_VALUE"""),0.0)</f>
        <v>0</v>
      </c>
      <c r="E1374" s="46" t="b">
        <f>IFERROR(__xludf.DUMMYFUNCTION("""COMPUTED_VALUE"""),TRUE)</f>
        <v>1</v>
      </c>
    </row>
    <row r="1375">
      <c r="A1375" s="76" t="str">
        <f>IFERROR(__xludf.DUMMYFUNCTION("""COMPUTED_VALUE"""),"Limit Break")</f>
        <v>Limit Break</v>
      </c>
      <c r="B1375" s="76" t="str">
        <f>IFERROR(__xludf.DUMMYFUNCTION("""COMPUTED_VALUE"""),"Jeskai Striker")</f>
        <v>Jeskai Striker</v>
      </c>
      <c r="C1375" s="77">
        <f>IFERROR(__xludf.DUMMYFUNCTION("""COMPUTED_VALUE"""),0.0)</f>
        <v>0</v>
      </c>
      <c r="D1375" s="77">
        <f>IFERROR(__xludf.DUMMYFUNCTION("""COMPUTED_VALUE"""),0.0)</f>
        <v>0</v>
      </c>
      <c r="E1375" s="46" t="b">
        <f>IFERROR(__xludf.DUMMYFUNCTION("""COMPUTED_VALUE"""),TRUE)</f>
        <v>1</v>
      </c>
    </row>
    <row r="1376" hidden="1">
      <c r="A1376" s="78" t="str">
        <f>IFERROR(__xludf.DUMMYFUNCTION("""COMPUTED_VALUE"""),"Limit Break")</f>
        <v>Limit Break</v>
      </c>
      <c r="B1376" s="78" t="str">
        <f>IFERROR(__xludf.DUMMYFUNCTION("""COMPUTED_VALUE"""),"Legends' Legacy")</f>
        <v>Legends' Legacy</v>
      </c>
      <c r="C1376" s="79">
        <f>IFERROR(__xludf.DUMMYFUNCTION("""COMPUTED_VALUE"""),0.0)</f>
        <v>0</v>
      </c>
      <c r="D1376" s="79">
        <f>IFERROR(__xludf.DUMMYFUNCTION("""COMPUTED_VALUE"""),0.0)</f>
        <v>0</v>
      </c>
      <c r="E1376" s="69" t="b">
        <f>IFERROR(__xludf.DUMMYFUNCTION("""COMPUTED_VALUE"""),TRUE)</f>
        <v>1</v>
      </c>
    </row>
    <row r="1377" hidden="1">
      <c r="A1377" s="78" t="str">
        <f>IFERROR(__xludf.DUMMYFUNCTION("""COMPUTED_VALUE"""),"Limit Break")</f>
        <v>Limit Break</v>
      </c>
      <c r="B1377" s="78" t="str">
        <f>IFERROR(__xludf.DUMMYFUNCTION("""COMPUTED_VALUE"""),"Limit Break")</f>
        <v>Limit Break</v>
      </c>
      <c r="C1377" s="79">
        <f>IFERROR(__xludf.DUMMYFUNCTION("""COMPUTED_VALUE"""),0.0)</f>
        <v>0</v>
      </c>
      <c r="D1377" s="79">
        <f>IFERROR(__xludf.DUMMYFUNCTION("""COMPUTED_VALUE"""),0.0)</f>
        <v>0</v>
      </c>
      <c r="E1377" s="69" t="b">
        <f>IFERROR(__xludf.DUMMYFUNCTION("""COMPUTED_VALUE"""),TRUE)</f>
        <v>1</v>
      </c>
    </row>
    <row r="1378" hidden="1">
      <c r="A1378" s="76" t="str">
        <f>IFERROR(__xludf.DUMMYFUNCTION("""COMPUTED_VALUE"""),"Limit Break")</f>
        <v>Limit Break</v>
      </c>
      <c r="B1378" s="76" t="str">
        <f>IFERROR(__xludf.DUMMYFUNCTION("""COMPUTED_VALUE"""),"Lorehold Spirit")</f>
        <v>Lorehold Spirit</v>
      </c>
      <c r="C1378" s="77">
        <f>IFERROR(__xludf.DUMMYFUNCTION("""COMPUTED_VALUE"""),0.0)</f>
        <v>0</v>
      </c>
      <c r="D1378" s="77">
        <f>IFERROR(__xludf.DUMMYFUNCTION("""COMPUTED_VALUE"""),0.0)</f>
        <v>0</v>
      </c>
      <c r="E1378" s="46" t="b">
        <f>IFERROR(__xludf.DUMMYFUNCTION("""COMPUTED_VALUE"""),TRUE)</f>
        <v>1</v>
      </c>
    </row>
    <row r="1379" hidden="1">
      <c r="A1379" s="76" t="str">
        <f>IFERROR(__xludf.DUMMYFUNCTION("""COMPUTED_VALUE"""),"Limit Break")</f>
        <v>Limit Break</v>
      </c>
      <c r="B1379" s="76" t="str">
        <f>IFERROR(__xludf.DUMMYFUNCTION("""COMPUTED_VALUE"""),"Mutant Menace")</f>
        <v>Mutant Menace</v>
      </c>
      <c r="C1379" s="77">
        <f>IFERROR(__xludf.DUMMYFUNCTION("""COMPUTED_VALUE"""),0.0)</f>
        <v>0</v>
      </c>
      <c r="D1379" s="77">
        <f>IFERROR(__xludf.DUMMYFUNCTION("""COMPUTED_VALUE"""),0.0)</f>
        <v>0</v>
      </c>
      <c r="E1379" s="46" t="b">
        <f>IFERROR(__xludf.DUMMYFUNCTION("""COMPUTED_VALUE"""),TRUE)</f>
        <v>1</v>
      </c>
    </row>
    <row r="1380" hidden="1">
      <c r="A1380" s="76" t="str">
        <f>IFERROR(__xludf.DUMMYFUNCTION("""COMPUTED_VALUE"""),"Limit Break")</f>
        <v>Limit Break</v>
      </c>
      <c r="B1380" s="76" t="str">
        <f>IFERROR(__xludf.DUMMYFUNCTION("""COMPUTED_VALUE"""),"Party Time")</f>
        <v>Party Time</v>
      </c>
      <c r="C1380" s="77">
        <f>IFERROR(__xludf.DUMMYFUNCTION("""COMPUTED_VALUE"""),0.0)</f>
        <v>0</v>
      </c>
      <c r="D1380" s="77">
        <f>IFERROR(__xludf.DUMMYFUNCTION("""COMPUTED_VALUE"""),1.0)</f>
        <v>1</v>
      </c>
      <c r="E1380" s="46" t="b">
        <f>IFERROR(__xludf.DUMMYFUNCTION("""COMPUTED_VALUE"""),FALSE)</f>
        <v>0</v>
      </c>
    </row>
    <row r="1381" hidden="1">
      <c r="A1381" s="76" t="str">
        <f>IFERROR(__xludf.DUMMYFUNCTION("""COMPUTED_VALUE"""),"Limit Break")</f>
        <v>Limit Break</v>
      </c>
      <c r="B1381" s="76" t="str">
        <f>IFERROR(__xludf.DUMMYFUNCTION("""COMPUTED_VALUE"""),"Peace Offering")</f>
        <v>Peace Offering</v>
      </c>
      <c r="C1381" s="77">
        <f>IFERROR(__xludf.DUMMYFUNCTION("""COMPUTED_VALUE"""),0.0)</f>
        <v>0</v>
      </c>
      <c r="D1381" s="77">
        <f>IFERROR(__xludf.DUMMYFUNCTION("""COMPUTED_VALUE"""),0.0)</f>
        <v>0</v>
      </c>
      <c r="E1381" s="46" t="b">
        <f>IFERROR(__xludf.DUMMYFUNCTION("""COMPUTED_VALUE"""),TRUE)</f>
        <v>1</v>
      </c>
    </row>
    <row r="1382" hidden="1">
      <c r="A1382" s="76" t="str">
        <f>IFERROR(__xludf.DUMMYFUNCTION("""COMPUTED_VALUE"""),"Limit Break")</f>
        <v>Limit Break</v>
      </c>
      <c r="B1382" s="76" t="str">
        <f>IFERROR(__xludf.DUMMYFUNCTION("""COMPUTED_VALUE"""),"Power Hungry")</f>
        <v>Power Hungry</v>
      </c>
      <c r="C1382" s="77">
        <f>IFERROR(__xludf.DUMMYFUNCTION("""COMPUTED_VALUE"""),0.0)</f>
        <v>0</v>
      </c>
      <c r="D1382" s="77">
        <f>IFERROR(__xludf.DUMMYFUNCTION("""COMPUTED_VALUE"""),0.0)</f>
        <v>0</v>
      </c>
      <c r="E1382" s="46" t="b">
        <f>IFERROR(__xludf.DUMMYFUNCTION("""COMPUTED_VALUE"""),TRUE)</f>
        <v>1</v>
      </c>
    </row>
    <row r="1383">
      <c r="A1383" s="76" t="str">
        <f>IFERROR(__xludf.DUMMYFUNCTION("""COMPUTED_VALUE"""),"Limit Break")</f>
        <v>Limit Break</v>
      </c>
      <c r="B1383" s="76" t="str">
        <f>IFERROR(__xludf.DUMMYFUNCTION("""COMPUTED_VALUE"""),"Primal Genesis")</f>
        <v>Primal Genesis</v>
      </c>
      <c r="C1383" s="77">
        <f>IFERROR(__xludf.DUMMYFUNCTION("""COMPUTED_VALUE"""),0.0)</f>
        <v>0</v>
      </c>
      <c r="D1383" s="77">
        <f>IFERROR(__xludf.DUMMYFUNCTION("""COMPUTED_VALUE"""),0.0)</f>
        <v>0</v>
      </c>
      <c r="E1383" s="46" t="b">
        <f>IFERROR(__xludf.DUMMYFUNCTION("""COMPUTED_VALUE"""),TRUE)</f>
        <v>1</v>
      </c>
    </row>
    <row r="1384" hidden="1">
      <c r="A1384" s="76" t="str">
        <f>IFERROR(__xludf.DUMMYFUNCTION("""COMPUTED_VALUE"""),"Limit Break")</f>
        <v>Limit Break</v>
      </c>
      <c r="B1384" s="76" t="str">
        <f>IFERROR(__xludf.DUMMYFUNCTION("""COMPUTED_VALUE"""),"Prismari Artistry")</f>
        <v>Prismari Artistry</v>
      </c>
      <c r="C1384" s="77">
        <f>IFERROR(__xludf.DUMMYFUNCTION("""COMPUTED_VALUE"""),0.0)</f>
        <v>0</v>
      </c>
      <c r="D1384" s="77">
        <f>IFERROR(__xludf.DUMMYFUNCTION("""COMPUTED_VALUE"""),0.0)</f>
        <v>0</v>
      </c>
      <c r="E1384" s="46" t="b">
        <f>IFERROR(__xludf.DUMMYFUNCTION("""COMPUTED_VALUE"""),TRUE)</f>
        <v>1</v>
      </c>
    </row>
    <row r="1385" hidden="1">
      <c r="A1385" s="76" t="str">
        <f>IFERROR(__xludf.DUMMYFUNCTION("""COMPUTED_VALUE"""),"Limit Break")</f>
        <v>Limit Break</v>
      </c>
      <c r="B1385" s="76" t="str">
        <f>IFERROR(__xludf.DUMMYFUNCTION("""COMPUTED_VALUE"""),"Prismari Performance")</f>
        <v>Prismari Performance</v>
      </c>
      <c r="C1385" s="77">
        <f>IFERROR(__xludf.DUMMYFUNCTION("""COMPUTED_VALUE"""),0.0)</f>
        <v>0</v>
      </c>
      <c r="D1385" s="77">
        <f>IFERROR(__xludf.DUMMYFUNCTION("""COMPUTED_VALUE"""),0.0)</f>
        <v>0</v>
      </c>
      <c r="E1385" s="46" t="b">
        <f>IFERROR(__xludf.DUMMYFUNCTION("""COMPUTED_VALUE"""),TRUE)</f>
        <v>1</v>
      </c>
    </row>
    <row r="1386" hidden="1">
      <c r="A1386" s="78" t="str">
        <f>IFERROR(__xludf.DUMMYFUNCTION("""COMPUTED_VALUE"""),"Limit Break")</f>
        <v>Limit Break</v>
      </c>
      <c r="B1386" s="78" t="str">
        <f>IFERROR(__xludf.DUMMYFUNCTION("""COMPUTED_VALUE"""),"Quandrix Unlimited")</f>
        <v>Quandrix Unlimited</v>
      </c>
      <c r="C1386" s="79">
        <f>IFERROR(__xludf.DUMMYFUNCTION("""COMPUTED_VALUE"""),0.0)</f>
        <v>0</v>
      </c>
      <c r="D1386" s="79">
        <f>IFERROR(__xludf.DUMMYFUNCTION("""COMPUTED_VALUE"""),0.0)</f>
        <v>0</v>
      </c>
      <c r="E1386" s="69" t="b">
        <f>IFERROR(__xludf.DUMMYFUNCTION("""COMPUTED_VALUE"""),TRUE)</f>
        <v>1</v>
      </c>
    </row>
    <row r="1387" hidden="1">
      <c r="A1387" s="76" t="str">
        <f>IFERROR(__xludf.DUMMYFUNCTION("""COMPUTED_VALUE"""),"Limit Break")</f>
        <v>Limit Break</v>
      </c>
      <c r="B1387" s="76" t="str">
        <f>IFERROR(__xludf.DUMMYFUNCTION("""COMPUTED_VALUE"""),"Quick Draw")</f>
        <v>Quick Draw</v>
      </c>
      <c r="C1387" s="77">
        <f>IFERROR(__xludf.DUMMYFUNCTION("""COMPUTED_VALUE"""),0.0)</f>
        <v>0</v>
      </c>
      <c r="D1387" s="77">
        <f>IFERROR(__xludf.DUMMYFUNCTION("""COMPUTED_VALUE"""),0.0)</f>
        <v>0</v>
      </c>
      <c r="E1387" s="46" t="b">
        <f>IFERROR(__xludf.DUMMYFUNCTION("""COMPUTED_VALUE"""),TRUE)</f>
        <v>1</v>
      </c>
    </row>
    <row r="1388" hidden="1">
      <c r="A1388" s="76" t="str">
        <f>IFERROR(__xludf.DUMMYFUNCTION("""COMPUTED_VALUE"""),"Limit Break")</f>
        <v>Limit Break</v>
      </c>
      <c r="B1388" s="76" t="str">
        <f>IFERROR(__xludf.DUMMYFUNCTION("""COMPUTED_VALUE"""),"Reap the Tides")</f>
        <v>Reap the Tides</v>
      </c>
      <c r="C1388" s="77">
        <f>IFERROR(__xludf.DUMMYFUNCTION("""COMPUTED_VALUE"""),0.0)</f>
        <v>0</v>
      </c>
      <c r="D1388" s="77">
        <f>IFERROR(__xludf.DUMMYFUNCTION("""COMPUTED_VALUE"""),0.0)</f>
        <v>0</v>
      </c>
      <c r="E1388" s="46" t="b">
        <f>IFERROR(__xludf.DUMMYFUNCTION("""COMPUTED_VALUE"""),TRUE)</f>
        <v>1</v>
      </c>
    </row>
    <row r="1389" hidden="1">
      <c r="A1389" s="76" t="str">
        <f>IFERROR(__xludf.DUMMYFUNCTION("""COMPUTED_VALUE"""),"Limit Break")</f>
        <v>Limit Break</v>
      </c>
      <c r="B1389" s="76" t="str">
        <f>IFERROR(__xludf.DUMMYFUNCTION("""COMPUTED_VALUE"""),"Rebellion Rising")</f>
        <v>Rebellion Rising</v>
      </c>
      <c r="C1389" s="77">
        <f>IFERROR(__xludf.DUMMYFUNCTION("""COMPUTED_VALUE"""),0.0)</f>
        <v>0</v>
      </c>
      <c r="D1389" s="77">
        <f>IFERROR(__xludf.DUMMYFUNCTION("""COMPUTED_VALUE"""),0.0)</f>
        <v>0</v>
      </c>
      <c r="E1389" s="46" t="b">
        <f>IFERROR(__xludf.DUMMYFUNCTION("""COMPUTED_VALUE"""),TRUE)</f>
        <v>1</v>
      </c>
    </row>
    <row r="1390">
      <c r="A1390" s="76" t="str">
        <f>IFERROR(__xludf.DUMMYFUNCTION("""COMPUTED_VALUE"""),"Limit Break")</f>
        <v>Limit Break</v>
      </c>
      <c r="B1390" s="76" t="str">
        <f>IFERROR(__xludf.DUMMYFUNCTION("""COMPUTED_VALUE"""),"Revival Trance")</f>
        <v>Revival Trance</v>
      </c>
      <c r="C1390" s="77">
        <f>IFERROR(__xludf.DUMMYFUNCTION("""COMPUTED_VALUE"""),0.0)</f>
        <v>0</v>
      </c>
      <c r="D1390" s="77">
        <f>IFERROR(__xludf.DUMMYFUNCTION("""COMPUTED_VALUE"""),0.0)</f>
        <v>0</v>
      </c>
      <c r="E1390" s="46" t="b">
        <f>IFERROR(__xludf.DUMMYFUNCTION("""COMPUTED_VALUE"""),TRUE)</f>
        <v>1</v>
      </c>
    </row>
    <row r="1391" hidden="1">
      <c r="A1391" s="76" t="str">
        <f>IFERROR(__xludf.DUMMYFUNCTION("""COMPUTED_VALUE"""),"Limit Break")</f>
        <v>Limit Break</v>
      </c>
      <c r="B1391" s="76" t="str">
        <f>IFERROR(__xludf.DUMMYFUNCTION("""COMPUTED_VALUE"""),"Riders of Rohan")</f>
        <v>Riders of Rohan</v>
      </c>
      <c r="C1391" s="77">
        <f>IFERROR(__xludf.DUMMYFUNCTION("""COMPUTED_VALUE"""),0.0)</f>
        <v>0</v>
      </c>
      <c r="D1391" s="77">
        <f>IFERROR(__xludf.DUMMYFUNCTION("""COMPUTED_VALUE"""),0.0)</f>
        <v>0</v>
      </c>
      <c r="E1391" s="46" t="b">
        <f>IFERROR(__xludf.DUMMYFUNCTION("""COMPUTED_VALUE"""),TRUE)</f>
        <v>1</v>
      </c>
    </row>
    <row r="1392" hidden="1">
      <c r="A1392" s="76" t="str">
        <f>IFERROR(__xludf.DUMMYFUNCTION("""COMPUTED_VALUE"""),"Limit Break")</f>
        <v>Limit Break</v>
      </c>
      <c r="B1392" s="76" t="str">
        <f>IFERROR(__xludf.DUMMYFUNCTION("""COMPUTED_VALUE"""),"Science!")</f>
        <v>Science!</v>
      </c>
      <c r="C1392" s="77">
        <f>IFERROR(__xludf.DUMMYFUNCTION("""COMPUTED_VALUE"""),0.0)</f>
        <v>0</v>
      </c>
      <c r="D1392" s="77">
        <f>IFERROR(__xludf.DUMMYFUNCTION("""COMPUTED_VALUE"""),0.0)</f>
        <v>0</v>
      </c>
      <c r="E1392" s="46" t="b">
        <f>IFERROR(__xludf.DUMMYFUNCTION("""COMPUTED_VALUE"""),TRUE)</f>
        <v>1</v>
      </c>
    </row>
    <row r="1393" hidden="1">
      <c r="A1393" s="76" t="str">
        <f>IFERROR(__xludf.DUMMYFUNCTION("""COMPUTED_VALUE"""),"Limit Break")</f>
        <v>Limit Break</v>
      </c>
      <c r="B1393" s="76" t="str">
        <f>IFERROR(__xludf.DUMMYFUNCTION("""COMPUTED_VALUE"""),"Scions &amp; Spellcraft")</f>
        <v>Scions &amp; Spellcraft</v>
      </c>
      <c r="C1393" s="77">
        <f>IFERROR(__xludf.DUMMYFUNCTION("""COMPUTED_VALUE"""),0.0)</f>
        <v>0</v>
      </c>
      <c r="D1393" s="77">
        <f>IFERROR(__xludf.DUMMYFUNCTION("""COMPUTED_VALUE"""),0.0)</f>
        <v>0</v>
      </c>
      <c r="E1393" s="46" t="b">
        <f>IFERROR(__xludf.DUMMYFUNCTION("""COMPUTED_VALUE"""),TRUE)</f>
        <v>1</v>
      </c>
    </row>
    <row r="1394" hidden="1">
      <c r="A1394" s="76" t="str">
        <f>IFERROR(__xludf.DUMMYFUNCTION("""COMPUTED_VALUE"""),"Limit Break")</f>
        <v>Limit Break</v>
      </c>
      <c r="B1394" s="76" t="str">
        <f>IFERROR(__xludf.DUMMYFUNCTION("""COMPUTED_VALUE"""),"Scrappy Survivors")</f>
        <v>Scrappy Survivors</v>
      </c>
      <c r="C1394" s="77">
        <f>IFERROR(__xludf.DUMMYFUNCTION("""COMPUTED_VALUE"""),0.0)</f>
        <v>0</v>
      </c>
      <c r="D1394" s="77">
        <f>IFERROR(__xludf.DUMMYFUNCTION("""COMPUTED_VALUE"""),0.0)</f>
        <v>0</v>
      </c>
      <c r="E1394" s="46" t="b">
        <f>IFERROR(__xludf.DUMMYFUNCTION("""COMPUTED_VALUE"""),TRUE)</f>
        <v>1</v>
      </c>
    </row>
    <row r="1395" hidden="1">
      <c r="A1395" s="76" t="str">
        <f>IFERROR(__xludf.DUMMYFUNCTION("""COMPUTED_VALUE"""),"Limit Break")</f>
        <v>Limit Break</v>
      </c>
      <c r="B1395" s="76" t="str">
        <f>IFERROR(__xludf.DUMMYFUNCTION("""COMPUTED_VALUE"""),"Silverquill Influence")</f>
        <v>Silverquill Influence</v>
      </c>
      <c r="C1395" s="77">
        <f>IFERROR(__xludf.DUMMYFUNCTION("""COMPUTED_VALUE"""),0.0)</f>
        <v>0</v>
      </c>
      <c r="D1395" s="77">
        <f>IFERROR(__xludf.DUMMYFUNCTION("""COMPUTED_VALUE"""),0.0)</f>
        <v>0</v>
      </c>
      <c r="E1395" s="46" t="b">
        <f>IFERROR(__xludf.DUMMYFUNCTION("""COMPUTED_VALUE"""),TRUE)</f>
        <v>1</v>
      </c>
    </row>
    <row r="1396" hidden="1">
      <c r="A1396" s="78" t="str">
        <f>IFERROR(__xludf.DUMMYFUNCTION("""COMPUTED_VALUE"""),"Limit Break")</f>
        <v>Limit Break</v>
      </c>
      <c r="B1396" s="78" t="str">
        <f>IFERROR(__xludf.DUMMYFUNCTION("""COMPUTED_VALUE"""),"Spirit Squadron")</f>
        <v>Spirit Squadron</v>
      </c>
      <c r="C1396" s="79">
        <f>IFERROR(__xludf.DUMMYFUNCTION("""COMPUTED_VALUE"""),0.0)</f>
        <v>0</v>
      </c>
      <c r="D1396" s="79">
        <f>IFERROR(__xludf.DUMMYFUNCTION("""COMPUTED_VALUE"""),0.0)</f>
        <v>0</v>
      </c>
      <c r="E1396" s="69" t="b">
        <f>IFERROR(__xludf.DUMMYFUNCTION("""COMPUTED_VALUE"""),TRUE)</f>
        <v>1</v>
      </c>
    </row>
    <row r="1397">
      <c r="A1397" s="76" t="str">
        <f>IFERROR(__xludf.DUMMYFUNCTION("""COMPUTED_VALUE"""),"Limit Break")</f>
        <v>Limit Break</v>
      </c>
      <c r="B1397" s="76" t="str">
        <f>IFERROR(__xludf.DUMMYFUNCTION("""COMPUTED_VALUE"""),"Squirreled Away")</f>
        <v>Squirreled Away</v>
      </c>
      <c r="C1397" s="77">
        <f>IFERROR(__xludf.DUMMYFUNCTION("""COMPUTED_VALUE"""),0.0)</f>
        <v>0</v>
      </c>
      <c r="D1397" s="77">
        <f>IFERROR(__xludf.DUMMYFUNCTION("""COMPUTED_VALUE"""),0.0)</f>
        <v>0</v>
      </c>
      <c r="E1397" s="46" t="b">
        <f>IFERROR(__xludf.DUMMYFUNCTION("""COMPUTED_VALUE"""),TRUE)</f>
        <v>1</v>
      </c>
    </row>
    <row r="1398" hidden="1">
      <c r="A1398" s="76" t="str">
        <f>IFERROR(__xludf.DUMMYFUNCTION("""COMPUTED_VALUE"""),"Limit Break")</f>
        <v>Limit Break</v>
      </c>
      <c r="B1398" s="76" t="str">
        <f>IFERROR(__xludf.DUMMYFUNCTION("""COMPUTED_VALUE"""),"Sultai Arisen")</f>
        <v>Sultai Arisen</v>
      </c>
      <c r="C1398" s="77">
        <f>IFERROR(__xludf.DUMMYFUNCTION("""COMPUTED_VALUE"""),0.0)</f>
        <v>0</v>
      </c>
      <c r="D1398" s="77">
        <f>IFERROR(__xludf.DUMMYFUNCTION("""COMPUTED_VALUE"""),0.0)</f>
        <v>0</v>
      </c>
      <c r="E1398" s="46" t="b">
        <f>IFERROR(__xludf.DUMMYFUNCTION("""COMPUTED_VALUE"""),TRUE)</f>
        <v>1</v>
      </c>
    </row>
    <row r="1399" hidden="1">
      <c r="A1399" s="76" t="str">
        <f>IFERROR(__xludf.DUMMYFUNCTION("""COMPUTED_VALUE"""),"Limit Break")</f>
        <v>Limit Break</v>
      </c>
      <c r="B1399" s="76" t="str">
        <f>IFERROR(__xludf.DUMMYFUNCTION("""COMPUTED_VALUE"""),"Temur Roar")</f>
        <v>Temur Roar</v>
      </c>
      <c r="C1399" s="77">
        <f>IFERROR(__xludf.DUMMYFUNCTION("""COMPUTED_VALUE"""),0.0)</f>
        <v>0</v>
      </c>
      <c r="D1399" s="77">
        <f>IFERROR(__xludf.DUMMYFUNCTION("""COMPUTED_VALUE"""),0.0)</f>
        <v>0</v>
      </c>
      <c r="E1399" s="46" t="b">
        <f>IFERROR(__xludf.DUMMYFUNCTION("""COMPUTED_VALUE"""),TRUE)</f>
        <v>1</v>
      </c>
    </row>
    <row r="1400" hidden="1">
      <c r="A1400" s="76" t="str">
        <f>IFERROR(__xludf.DUMMYFUNCTION("""COMPUTED_VALUE"""),"Limit Break")</f>
        <v>Limit Break</v>
      </c>
      <c r="B1400" s="76" t="str">
        <f>IFERROR(__xludf.DUMMYFUNCTION("""COMPUTED_VALUE"""),"The Hosts of Mordor")</f>
        <v>The Hosts of Mordor</v>
      </c>
      <c r="C1400" s="77">
        <f>IFERROR(__xludf.DUMMYFUNCTION("""COMPUTED_VALUE"""),0.0)</f>
        <v>0</v>
      </c>
      <c r="D1400" s="77">
        <f>IFERROR(__xludf.DUMMYFUNCTION("""COMPUTED_VALUE"""),0.0)</f>
        <v>0</v>
      </c>
      <c r="E1400" s="46" t="b">
        <f>IFERROR(__xludf.DUMMYFUNCTION("""COMPUTED_VALUE"""),TRUE)</f>
        <v>1</v>
      </c>
    </row>
    <row r="1401" hidden="1">
      <c r="A1401" s="76" t="str">
        <f>IFERROR(__xludf.DUMMYFUNCTION("""COMPUTED_VALUE"""),"Limit Break")</f>
        <v>Limit Break</v>
      </c>
      <c r="B1401" s="76" t="str">
        <f>IFERROR(__xludf.DUMMYFUNCTION("""COMPUTED_VALUE"""),"The Ruinous Powers")</f>
        <v>The Ruinous Powers</v>
      </c>
      <c r="C1401" s="77">
        <f>IFERROR(__xludf.DUMMYFUNCTION("""COMPUTED_VALUE"""),0.0)</f>
        <v>0</v>
      </c>
      <c r="D1401" s="77">
        <f>IFERROR(__xludf.DUMMYFUNCTION("""COMPUTED_VALUE"""),0.0)</f>
        <v>0</v>
      </c>
      <c r="E1401" s="46" t="b">
        <f>IFERROR(__xludf.DUMMYFUNCTION("""COMPUTED_VALUE"""),TRUE)</f>
        <v>1</v>
      </c>
    </row>
    <row r="1402" hidden="1">
      <c r="A1402" s="76" t="str">
        <f>IFERROR(__xludf.DUMMYFUNCTION("""COMPUTED_VALUE"""),"Limit Break")</f>
        <v>Limit Break</v>
      </c>
      <c r="B1402" s="76" t="str">
        <f>IFERROR(__xludf.DUMMYFUNCTION("""COMPUTED_VALUE"""),"Timey-Wimey")</f>
        <v>Timey-Wimey</v>
      </c>
      <c r="C1402" s="77">
        <f>IFERROR(__xludf.DUMMYFUNCTION("""COMPUTED_VALUE"""),0.0)</f>
        <v>0</v>
      </c>
      <c r="D1402" s="77">
        <f>IFERROR(__xludf.DUMMYFUNCTION("""COMPUTED_VALUE"""),0.0)</f>
        <v>0</v>
      </c>
      <c r="E1402" s="46" t="b">
        <f>IFERROR(__xludf.DUMMYFUNCTION("""COMPUTED_VALUE"""),TRUE)</f>
        <v>1</v>
      </c>
    </row>
    <row r="1403" hidden="1">
      <c r="A1403" s="76" t="str">
        <f>IFERROR(__xludf.DUMMYFUNCTION("""COMPUTED_VALUE"""),"Limit Break")</f>
        <v>Limit Break</v>
      </c>
      <c r="B1403" s="76" t="str">
        <f>IFERROR(__xludf.DUMMYFUNCTION("""COMPUTED_VALUE"""),"Tinker Time")</f>
        <v>Tinker Time</v>
      </c>
      <c r="C1403" s="77">
        <f>IFERROR(__xludf.DUMMYFUNCTION("""COMPUTED_VALUE"""),0.0)</f>
        <v>0</v>
      </c>
      <c r="D1403" s="77">
        <f>IFERROR(__xludf.DUMMYFUNCTION("""COMPUTED_VALUE"""),0.0)</f>
        <v>0</v>
      </c>
      <c r="E1403" s="46" t="b">
        <f>IFERROR(__xludf.DUMMYFUNCTION("""COMPUTED_VALUE"""),TRUE)</f>
        <v>1</v>
      </c>
    </row>
    <row r="1404" hidden="1">
      <c r="A1404" s="76" t="str">
        <f>IFERROR(__xludf.DUMMYFUNCTION("""COMPUTED_VALUE"""),"Limit Break")</f>
        <v>Limit Break</v>
      </c>
      <c r="B1404" s="76" t="str">
        <f>IFERROR(__xludf.DUMMYFUNCTION("""COMPUTED_VALUE"""),"Turtle Power!")</f>
        <v>Turtle Power!</v>
      </c>
      <c r="C1404" s="77">
        <f>IFERROR(__xludf.DUMMYFUNCTION("""COMPUTED_VALUE"""),0.0)</f>
        <v>0</v>
      </c>
      <c r="D1404" s="77">
        <f>IFERROR(__xludf.DUMMYFUNCTION("""COMPUTED_VALUE"""),0.0)</f>
        <v>0</v>
      </c>
      <c r="E1404" s="46" t="b">
        <f>IFERROR(__xludf.DUMMYFUNCTION("""COMPUTED_VALUE"""),TRUE)</f>
        <v>1</v>
      </c>
    </row>
    <row r="1405" hidden="1">
      <c r="A1405" s="76" t="str">
        <f>IFERROR(__xludf.DUMMYFUNCTION("""COMPUTED_VALUE"""),"Limit Break")</f>
        <v>Limit Break</v>
      </c>
      <c r="B1405" s="76" t="str">
        <f>IFERROR(__xludf.DUMMYFUNCTION("""COMPUTED_VALUE"""),"Veloci-ramp-tor")</f>
        <v>Veloci-ramp-tor</v>
      </c>
      <c r="C1405" s="77">
        <f>IFERROR(__xludf.DUMMYFUNCTION("""COMPUTED_VALUE"""),0.0)</f>
        <v>0</v>
      </c>
      <c r="D1405" s="77">
        <f>IFERROR(__xludf.DUMMYFUNCTION("""COMPUTED_VALUE"""),0.0)</f>
        <v>0</v>
      </c>
      <c r="E1405" s="46" t="b">
        <f>IFERROR(__xludf.DUMMYFUNCTION("""COMPUTED_VALUE"""),TRUE)</f>
        <v>1</v>
      </c>
    </row>
    <row r="1406" hidden="1">
      <c r="A1406" s="76" t="str">
        <f>IFERROR(__xludf.DUMMYFUNCTION("""COMPUTED_VALUE"""),"Lorehold Spirit")</f>
        <v>Lorehold Spirit</v>
      </c>
      <c r="B1406" s="76" t="str">
        <f>IFERROR(__xludf.DUMMYFUNCTION("""COMPUTED_VALUE"""),"Ahoy Mateys")</f>
        <v>Ahoy Mateys</v>
      </c>
      <c r="C1406" s="77">
        <f>IFERROR(__xludf.DUMMYFUNCTION("""COMPUTED_VALUE"""),0.0)</f>
        <v>0</v>
      </c>
      <c r="D1406" s="77">
        <f>IFERROR(__xludf.DUMMYFUNCTION("""COMPUTED_VALUE"""),0.0)</f>
        <v>0</v>
      </c>
      <c r="E1406" s="46" t="b">
        <f>IFERROR(__xludf.DUMMYFUNCTION("""COMPUTED_VALUE"""),TRUE)</f>
        <v>1</v>
      </c>
    </row>
    <row r="1407" hidden="1">
      <c r="A1407" s="76" t="str">
        <f>IFERROR(__xludf.DUMMYFUNCTION("""COMPUTED_VALUE"""),"Lorehold Spirit")</f>
        <v>Lorehold Spirit</v>
      </c>
      <c r="B1407" s="76" t="str">
        <f>IFERROR(__xludf.DUMMYFUNCTION("""COMPUTED_VALUE"""),"Animated Army")</f>
        <v>Animated Army</v>
      </c>
      <c r="C1407" s="77">
        <f>IFERROR(__xludf.DUMMYFUNCTION("""COMPUTED_VALUE"""),0.0)</f>
        <v>0</v>
      </c>
      <c r="D1407" s="77">
        <f>IFERROR(__xludf.DUMMYFUNCTION("""COMPUTED_VALUE"""),0.0)</f>
        <v>0</v>
      </c>
      <c r="E1407" s="46" t="b">
        <f>IFERROR(__xludf.DUMMYFUNCTION("""COMPUTED_VALUE"""),TRUE)</f>
        <v>1</v>
      </c>
    </row>
    <row r="1408" hidden="1">
      <c r="A1408" s="76" t="str">
        <f>IFERROR(__xludf.DUMMYFUNCTION("""COMPUTED_VALUE"""),"Lorehold Spirit")</f>
        <v>Lorehold Spirit</v>
      </c>
      <c r="B1408" s="76" t="str">
        <f>IFERROR(__xludf.DUMMYFUNCTION("""COMPUTED_VALUE"""),"Arcane Maelstrom")</f>
        <v>Arcane Maelstrom</v>
      </c>
      <c r="C1408" s="77">
        <f>IFERROR(__xludf.DUMMYFUNCTION("""COMPUTED_VALUE"""),0.0)</f>
        <v>0</v>
      </c>
      <c r="D1408" s="77">
        <f>IFERROR(__xludf.DUMMYFUNCTION("""COMPUTED_VALUE"""),0.0)</f>
        <v>0</v>
      </c>
      <c r="E1408" s="46" t="b">
        <f>IFERROR(__xludf.DUMMYFUNCTION("""COMPUTED_VALUE"""),TRUE)</f>
        <v>1</v>
      </c>
    </row>
    <row r="1409" hidden="1">
      <c r="A1409" s="76" t="str">
        <f>IFERROR(__xludf.DUMMYFUNCTION("""COMPUTED_VALUE"""),"Lorehold Spirit")</f>
        <v>Lorehold Spirit</v>
      </c>
      <c r="B1409" s="76" t="str">
        <f>IFERROR(__xludf.DUMMYFUNCTION("""COMPUTED_VALUE"""),"Blame Game")</f>
        <v>Blame Game</v>
      </c>
      <c r="C1409" s="77">
        <f>IFERROR(__xludf.DUMMYFUNCTION("""COMPUTED_VALUE"""),0.0)</f>
        <v>0</v>
      </c>
      <c r="D1409" s="77">
        <f>IFERROR(__xludf.DUMMYFUNCTION("""COMPUTED_VALUE"""),0.0)</f>
        <v>0</v>
      </c>
      <c r="E1409" s="46" t="b">
        <f>IFERROR(__xludf.DUMMYFUNCTION("""COMPUTED_VALUE"""),TRUE)</f>
        <v>1</v>
      </c>
    </row>
    <row r="1410" hidden="1">
      <c r="A1410" s="76" t="str">
        <f>IFERROR(__xludf.DUMMYFUNCTION("""COMPUTED_VALUE"""),"Lorehold Spirit")</f>
        <v>Lorehold Spirit</v>
      </c>
      <c r="B1410" s="76" t="str">
        <f>IFERROR(__xludf.DUMMYFUNCTION("""COMPUTED_VALUE"""),"Blight Curse")</f>
        <v>Blight Curse</v>
      </c>
      <c r="C1410" s="77">
        <f>IFERROR(__xludf.DUMMYFUNCTION("""COMPUTED_VALUE"""),1.0)</f>
        <v>1</v>
      </c>
      <c r="D1410" s="77">
        <f>IFERROR(__xludf.DUMMYFUNCTION("""COMPUTED_VALUE"""),0.0)</f>
        <v>0</v>
      </c>
      <c r="E1410" s="46" t="b">
        <f>IFERROR(__xludf.DUMMYFUNCTION("""COMPUTED_VALUE"""),FALSE)</f>
        <v>0</v>
      </c>
    </row>
    <row r="1411" hidden="1">
      <c r="A1411" s="76" t="str">
        <f>IFERROR(__xludf.DUMMYFUNCTION("""COMPUTED_VALUE"""),"Lorehold Spirit")</f>
        <v>Lorehold Spirit</v>
      </c>
      <c r="B1411" s="76" t="str">
        <f>IFERROR(__xludf.DUMMYFUNCTION("""COMPUTED_VALUE"""),"Blood Rites")</f>
        <v>Blood Rites</v>
      </c>
      <c r="C1411" s="77">
        <f>IFERROR(__xludf.DUMMYFUNCTION("""COMPUTED_VALUE"""),2.0)</f>
        <v>2</v>
      </c>
      <c r="D1411" s="77">
        <f>IFERROR(__xludf.DUMMYFUNCTION("""COMPUTED_VALUE"""),0.0)</f>
        <v>0</v>
      </c>
      <c r="E1411" s="46" t="b">
        <f>IFERROR(__xludf.DUMMYFUNCTION("""COMPUTED_VALUE"""),FALSE)</f>
        <v>0</v>
      </c>
    </row>
    <row r="1412" hidden="1">
      <c r="A1412" s="76" t="str">
        <f>IFERROR(__xludf.DUMMYFUNCTION("""COMPUTED_VALUE"""),"Lorehold Spirit")</f>
        <v>Lorehold Spirit</v>
      </c>
      <c r="B1412" s="76" t="str">
        <f>IFERROR(__xludf.DUMMYFUNCTION("""COMPUTED_VALUE"""),"Buckle Up")</f>
        <v>Buckle Up</v>
      </c>
      <c r="C1412" s="77">
        <f>IFERROR(__xludf.DUMMYFUNCTION("""COMPUTED_VALUE"""),0.0)</f>
        <v>0</v>
      </c>
      <c r="D1412" s="77">
        <f>IFERROR(__xludf.DUMMYFUNCTION("""COMPUTED_VALUE"""),0.0)</f>
        <v>0</v>
      </c>
      <c r="E1412" s="46" t="b">
        <f>IFERROR(__xludf.DUMMYFUNCTION("""COMPUTED_VALUE"""),TRUE)</f>
        <v>1</v>
      </c>
    </row>
    <row r="1413" hidden="1">
      <c r="A1413" s="76" t="str">
        <f>IFERROR(__xludf.DUMMYFUNCTION("""COMPUTED_VALUE"""),"Lorehold Spirit")</f>
        <v>Lorehold Spirit</v>
      </c>
      <c r="B1413" s="76" t="str">
        <f>IFERROR(__xludf.DUMMYFUNCTION("""COMPUTED_VALUE"""),"Cabaretti Cacophony")</f>
        <v>Cabaretti Cacophony</v>
      </c>
      <c r="C1413" s="77">
        <f>IFERROR(__xludf.DUMMYFUNCTION("""COMPUTED_VALUE"""),0.0)</f>
        <v>0</v>
      </c>
      <c r="D1413" s="77">
        <f>IFERROR(__xludf.DUMMYFUNCTION("""COMPUTED_VALUE"""),0.0)</f>
        <v>0</v>
      </c>
      <c r="E1413" s="46" t="b">
        <f>IFERROR(__xludf.DUMMYFUNCTION("""COMPUTED_VALUE"""),TRUE)</f>
        <v>1</v>
      </c>
    </row>
    <row r="1414" hidden="1">
      <c r="A1414" s="76" t="str">
        <f>IFERROR(__xludf.DUMMYFUNCTION("""COMPUTED_VALUE"""),"Lorehold Spirit")</f>
        <v>Lorehold Spirit</v>
      </c>
      <c r="B1414" s="76" t="str">
        <f>IFERROR(__xludf.DUMMYFUNCTION("""COMPUTED_VALUE"""),"Cavalry Charge")</f>
        <v>Cavalry Charge</v>
      </c>
      <c r="C1414" s="77">
        <f>IFERROR(__xludf.DUMMYFUNCTION("""COMPUTED_VALUE"""),1.0)</f>
        <v>1</v>
      </c>
      <c r="D1414" s="77">
        <f>IFERROR(__xludf.DUMMYFUNCTION("""COMPUTED_VALUE"""),1.0)</f>
        <v>1</v>
      </c>
      <c r="E1414" s="46" t="b">
        <f>IFERROR(__xludf.DUMMYFUNCTION("""COMPUTED_VALUE"""),FALSE)</f>
        <v>0</v>
      </c>
    </row>
    <row r="1415" hidden="1">
      <c r="A1415" s="76" t="str">
        <f>IFERROR(__xludf.DUMMYFUNCTION("""COMPUTED_VALUE"""),"Lorehold Spirit")</f>
        <v>Lorehold Spirit</v>
      </c>
      <c r="B1415" s="76" t="str">
        <f>IFERROR(__xludf.DUMMYFUNCTION("""COMPUTED_VALUE"""),"Corrupting Influence")</f>
        <v>Corrupting Influence</v>
      </c>
      <c r="C1415" s="77">
        <f>IFERROR(__xludf.DUMMYFUNCTION("""COMPUTED_VALUE"""),0.0)</f>
        <v>0</v>
      </c>
      <c r="D1415" s="77">
        <f>IFERROR(__xludf.DUMMYFUNCTION("""COMPUTED_VALUE"""),1.0)</f>
        <v>1</v>
      </c>
      <c r="E1415" s="46" t="b">
        <f>IFERROR(__xludf.DUMMYFUNCTION("""COMPUTED_VALUE"""),FALSE)</f>
        <v>0</v>
      </c>
    </row>
    <row r="1416" hidden="1">
      <c r="A1416" s="76" t="str">
        <f>IFERROR(__xludf.DUMMYFUNCTION("""COMPUTED_VALUE"""),"Lorehold Spirit")</f>
        <v>Lorehold Spirit</v>
      </c>
      <c r="B1416" s="76" t="str">
        <f>IFERROR(__xludf.DUMMYFUNCTION("""COMPUTED_VALUE"""),"Counter Blitz")</f>
        <v>Counter Blitz</v>
      </c>
      <c r="C1416" s="77">
        <f>IFERROR(__xludf.DUMMYFUNCTION("""COMPUTED_VALUE"""),1.0)</f>
        <v>1</v>
      </c>
      <c r="D1416" s="77">
        <f>IFERROR(__xludf.DUMMYFUNCTION("""COMPUTED_VALUE"""),0.0)</f>
        <v>0</v>
      </c>
      <c r="E1416" s="46" t="b">
        <f>IFERROR(__xludf.DUMMYFUNCTION("""COMPUTED_VALUE"""),FALSE)</f>
        <v>0</v>
      </c>
    </row>
    <row r="1417" hidden="1">
      <c r="A1417" s="76" t="str">
        <f>IFERROR(__xludf.DUMMYFUNCTION("""COMPUTED_VALUE"""),"Lorehold Spirit")</f>
        <v>Lorehold Spirit</v>
      </c>
      <c r="B1417" s="76" t="str">
        <f>IFERROR(__xludf.DUMMYFUNCTION("""COMPUTED_VALUE"""),"Counter Intelligence")</f>
        <v>Counter Intelligence</v>
      </c>
      <c r="C1417" s="77">
        <f>IFERROR(__xludf.DUMMYFUNCTION("""COMPUTED_VALUE"""),1.0)</f>
        <v>1</v>
      </c>
      <c r="D1417" s="77">
        <f>IFERROR(__xludf.DUMMYFUNCTION("""COMPUTED_VALUE"""),0.0)</f>
        <v>0</v>
      </c>
      <c r="E1417" s="46" t="b">
        <f>IFERROR(__xludf.DUMMYFUNCTION("""COMPUTED_VALUE"""),FALSE)</f>
        <v>0</v>
      </c>
    </row>
    <row r="1418" hidden="1">
      <c r="A1418" s="76" t="str">
        <f>IFERROR(__xludf.DUMMYFUNCTION("""COMPUTED_VALUE"""),"Lorehold Spirit")</f>
        <v>Lorehold Spirit</v>
      </c>
      <c r="B1418" s="76" t="str">
        <f>IFERROR(__xludf.DUMMYFUNCTION("""COMPUTED_VALUE"""),"Creative Energy")</f>
        <v>Creative Energy</v>
      </c>
      <c r="C1418" s="77">
        <f>IFERROR(__xludf.DUMMYFUNCTION("""COMPUTED_VALUE"""),5.0)</f>
        <v>5</v>
      </c>
      <c r="D1418" s="77">
        <f>IFERROR(__xludf.DUMMYFUNCTION("""COMPUTED_VALUE"""),0.0)</f>
        <v>0</v>
      </c>
      <c r="E1418" s="46" t="b">
        <f>IFERROR(__xludf.DUMMYFUNCTION("""COMPUTED_VALUE"""),FALSE)</f>
        <v>0</v>
      </c>
    </row>
    <row r="1419" hidden="1">
      <c r="A1419" s="76" t="str">
        <f>IFERROR(__xludf.DUMMYFUNCTION("""COMPUTED_VALUE"""),"Lorehold Spirit")</f>
        <v>Lorehold Spirit</v>
      </c>
      <c r="B1419" s="76" t="str">
        <f>IFERROR(__xludf.DUMMYFUNCTION("""COMPUTED_VALUE"""),"Dance of the Elements")</f>
        <v>Dance of the Elements</v>
      </c>
      <c r="C1419" s="77">
        <f>IFERROR(__xludf.DUMMYFUNCTION("""COMPUTED_VALUE"""),0.0)</f>
        <v>0</v>
      </c>
      <c r="D1419" s="77">
        <f>IFERROR(__xludf.DUMMYFUNCTION("""COMPUTED_VALUE"""),0.0)</f>
        <v>0</v>
      </c>
      <c r="E1419" s="46" t="b">
        <f>IFERROR(__xludf.DUMMYFUNCTION("""COMPUTED_VALUE"""),TRUE)</f>
        <v>1</v>
      </c>
    </row>
    <row r="1420" hidden="1">
      <c r="A1420" s="76" t="str">
        <f>IFERROR(__xludf.DUMMYFUNCTION("""COMPUTED_VALUE"""),"Lorehold Spirit")</f>
        <v>Lorehold Spirit</v>
      </c>
      <c r="B1420" s="76" t="str">
        <f>IFERROR(__xludf.DUMMYFUNCTION("""COMPUTED_VALUE"""),"Deep Clue Sea")</f>
        <v>Deep Clue Sea</v>
      </c>
      <c r="C1420" s="77">
        <f>IFERROR(__xludf.DUMMYFUNCTION("""COMPUTED_VALUE"""),0.0)</f>
        <v>0</v>
      </c>
      <c r="D1420" s="77">
        <f>IFERROR(__xludf.DUMMYFUNCTION("""COMPUTED_VALUE"""),0.0)</f>
        <v>0</v>
      </c>
      <c r="E1420" s="46" t="b">
        <f>IFERROR(__xludf.DUMMYFUNCTION("""COMPUTED_VALUE"""),TRUE)</f>
        <v>1</v>
      </c>
    </row>
    <row r="1421" hidden="1">
      <c r="A1421" s="76" t="str">
        <f>IFERROR(__xludf.DUMMYFUNCTION("""COMPUTED_VALUE"""),"Lorehold Spirit")</f>
        <v>Lorehold Spirit</v>
      </c>
      <c r="B1421" s="76" t="str">
        <f>IFERROR(__xludf.DUMMYFUNCTION("""COMPUTED_VALUE"""),"Doom Prevails")</f>
        <v>Doom Prevails</v>
      </c>
      <c r="C1421" s="77">
        <f>IFERROR(__xludf.DUMMYFUNCTION("""COMPUTED_VALUE"""),0.0)</f>
        <v>0</v>
      </c>
      <c r="D1421" s="77">
        <f>IFERROR(__xludf.DUMMYFUNCTION("""COMPUTED_VALUE"""),0.0)</f>
        <v>0</v>
      </c>
      <c r="E1421" s="46" t="b">
        <f>IFERROR(__xludf.DUMMYFUNCTION("""COMPUTED_VALUE"""),TRUE)</f>
        <v>1</v>
      </c>
    </row>
    <row r="1422">
      <c r="A1422" s="76" t="str">
        <f>IFERROR(__xludf.DUMMYFUNCTION("""COMPUTED_VALUE"""),"Lorehold Spirit")</f>
        <v>Lorehold Spirit</v>
      </c>
      <c r="B1422" s="76" t="str">
        <f>IFERROR(__xludf.DUMMYFUNCTION("""COMPUTED_VALUE"""),"Eldrazi Incursion")</f>
        <v>Eldrazi Incursion</v>
      </c>
      <c r="C1422" s="77">
        <f>IFERROR(__xludf.DUMMYFUNCTION("""COMPUTED_VALUE"""),0.0)</f>
        <v>0</v>
      </c>
      <c r="D1422" s="77">
        <f>IFERROR(__xludf.DUMMYFUNCTION("""COMPUTED_VALUE"""),0.0)</f>
        <v>0</v>
      </c>
      <c r="E1422" s="46" t="b">
        <f>IFERROR(__xludf.DUMMYFUNCTION("""COMPUTED_VALUE"""),TRUE)</f>
        <v>1</v>
      </c>
    </row>
    <row r="1423" hidden="1">
      <c r="A1423" s="76" t="str">
        <f>IFERROR(__xludf.DUMMYFUNCTION("""COMPUTED_VALUE"""),"Lorehold Spirit")</f>
        <v>Lorehold Spirit</v>
      </c>
      <c r="B1423" s="76" t="str">
        <f>IFERROR(__xludf.DUMMYFUNCTION("""COMPUTED_VALUE"""),"Eldrazi Unbound")</f>
        <v>Eldrazi Unbound</v>
      </c>
      <c r="C1423" s="77">
        <f>IFERROR(__xludf.DUMMYFUNCTION("""COMPUTED_VALUE"""),0.0)</f>
        <v>0</v>
      </c>
      <c r="D1423" s="77">
        <f>IFERROR(__xludf.DUMMYFUNCTION("""COMPUTED_VALUE"""),0.0)</f>
        <v>0</v>
      </c>
      <c r="E1423" s="46" t="b">
        <f>IFERROR(__xludf.DUMMYFUNCTION("""COMPUTED_VALUE"""),TRUE)</f>
        <v>1</v>
      </c>
    </row>
    <row r="1424" hidden="1">
      <c r="A1424" s="76" t="str">
        <f>IFERROR(__xludf.DUMMYFUNCTION("""COMPUTED_VALUE"""),"Lorehold Spirit")</f>
        <v>Lorehold Spirit</v>
      </c>
      <c r="B1424" s="76" t="str">
        <f>IFERROR(__xludf.DUMMYFUNCTION("""COMPUTED_VALUE"""),"Endless Punishment")</f>
        <v>Endless Punishment</v>
      </c>
      <c r="C1424" s="77">
        <f>IFERROR(__xludf.DUMMYFUNCTION("""COMPUTED_VALUE"""),2.0)</f>
        <v>2</v>
      </c>
      <c r="D1424" s="77">
        <f>IFERROR(__xludf.DUMMYFUNCTION("""COMPUTED_VALUE"""),1.0)</f>
        <v>1</v>
      </c>
      <c r="E1424" s="46" t="b">
        <f>IFERROR(__xludf.DUMMYFUNCTION("""COMPUTED_VALUE"""),FALSE)</f>
        <v>0</v>
      </c>
    </row>
    <row r="1425" hidden="1">
      <c r="A1425" s="76" t="str">
        <f>IFERROR(__xludf.DUMMYFUNCTION("""COMPUTED_VALUE"""),"Lorehold Spirit")</f>
        <v>Lorehold Spirit</v>
      </c>
      <c r="B1425" s="76" t="str">
        <f>IFERROR(__xludf.DUMMYFUNCTION("""COMPUTED_VALUE"""),"Enduring Enchantments")</f>
        <v>Enduring Enchantments</v>
      </c>
      <c r="C1425" s="77">
        <f>IFERROR(__xludf.DUMMYFUNCTION("""COMPUTED_VALUE"""),0.0)</f>
        <v>0</v>
      </c>
      <c r="D1425" s="77">
        <f>IFERROR(__xludf.DUMMYFUNCTION("""COMPUTED_VALUE"""),0.0)</f>
        <v>0</v>
      </c>
      <c r="E1425" s="46" t="b">
        <f>IFERROR(__xludf.DUMMYFUNCTION("""COMPUTED_VALUE"""),TRUE)</f>
        <v>1</v>
      </c>
    </row>
    <row r="1426" hidden="1">
      <c r="A1426" s="76" t="str">
        <f>IFERROR(__xludf.DUMMYFUNCTION("""COMPUTED_VALUE"""),"Lorehold Spirit")</f>
        <v>Lorehold Spirit</v>
      </c>
      <c r="B1426" s="76" t="str">
        <f>IFERROR(__xludf.DUMMYFUNCTION("""COMPUTED_VALUE"""),"Explorers of the Deep")</f>
        <v>Explorers of the Deep</v>
      </c>
      <c r="C1426" s="77">
        <f>IFERROR(__xludf.DUMMYFUNCTION("""COMPUTED_VALUE"""),0.0)</f>
        <v>0</v>
      </c>
      <c r="D1426" s="77">
        <f>IFERROR(__xludf.DUMMYFUNCTION("""COMPUTED_VALUE"""),0.0)</f>
        <v>0</v>
      </c>
      <c r="E1426" s="46" t="b">
        <f>IFERROR(__xludf.DUMMYFUNCTION("""COMPUTED_VALUE"""),TRUE)</f>
        <v>1</v>
      </c>
    </row>
    <row r="1427" hidden="1">
      <c r="A1427" s="76" t="str">
        <f>IFERROR(__xludf.DUMMYFUNCTION("""COMPUTED_VALUE"""),"Lorehold Spirit")</f>
        <v>Lorehold Spirit</v>
      </c>
      <c r="B1427" s="76" t="str">
        <f>IFERROR(__xludf.DUMMYFUNCTION("""COMPUTED_VALUE"""),"Family Matters")</f>
        <v>Family Matters</v>
      </c>
      <c r="C1427" s="77">
        <f>IFERROR(__xludf.DUMMYFUNCTION("""COMPUTED_VALUE"""),0.0)</f>
        <v>0</v>
      </c>
      <c r="D1427" s="77">
        <f>IFERROR(__xludf.DUMMYFUNCTION("""COMPUTED_VALUE"""),0.0)</f>
        <v>0</v>
      </c>
      <c r="E1427" s="46" t="b">
        <f>IFERROR(__xludf.DUMMYFUNCTION("""COMPUTED_VALUE"""),TRUE)</f>
        <v>1</v>
      </c>
    </row>
    <row r="1428" hidden="1">
      <c r="A1428" s="76" t="str">
        <f>IFERROR(__xludf.DUMMYFUNCTION("""COMPUTED_VALUE"""),"Lorehold Spirit")</f>
        <v>Lorehold Spirit</v>
      </c>
      <c r="B1428" s="76" t="str">
        <f>IFERROR(__xludf.DUMMYFUNCTION("""COMPUTED_VALUE"""),"Food and Fellowship")</f>
        <v>Food and Fellowship</v>
      </c>
      <c r="C1428" s="77">
        <f>IFERROR(__xludf.DUMMYFUNCTION("""COMPUTED_VALUE"""),0.0)</f>
        <v>0</v>
      </c>
      <c r="D1428" s="77">
        <f>IFERROR(__xludf.DUMMYFUNCTION("""COMPUTED_VALUE"""),0.0)</f>
        <v>0</v>
      </c>
      <c r="E1428" s="46" t="b">
        <f>IFERROR(__xludf.DUMMYFUNCTION("""COMPUTED_VALUE"""),TRUE)</f>
        <v>1</v>
      </c>
    </row>
    <row r="1429" hidden="1">
      <c r="A1429" s="76" t="str">
        <f>IFERROR(__xludf.DUMMYFUNCTION("""COMPUTED_VALUE"""),"Lorehold Spirit")</f>
        <v>Lorehold Spirit</v>
      </c>
      <c r="B1429" s="76" t="str">
        <f>IFERROR(__xludf.DUMMYFUNCTION("""COMPUTED_VALUE"""),"Jeskai Striker")</f>
        <v>Jeskai Striker</v>
      </c>
      <c r="C1429" s="77">
        <f>IFERROR(__xludf.DUMMYFUNCTION("""COMPUTED_VALUE"""),0.0)</f>
        <v>0</v>
      </c>
      <c r="D1429" s="77">
        <f>IFERROR(__xludf.DUMMYFUNCTION("""COMPUTED_VALUE"""),0.0)</f>
        <v>0</v>
      </c>
      <c r="E1429" s="46" t="b">
        <f>IFERROR(__xludf.DUMMYFUNCTION("""COMPUTED_VALUE"""),TRUE)</f>
        <v>1</v>
      </c>
    </row>
    <row r="1430" hidden="1">
      <c r="A1430" s="76" t="str">
        <f>IFERROR(__xludf.DUMMYFUNCTION("""COMPUTED_VALUE"""),"Lorehold Spirit")</f>
        <v>Lorehold Spirit</v>
      </c>
      <c r="B1430" s="76" t="str">
        <f>IFERROR(__xludf.DUMMYFUNCTION("""COMPUTED_VALUE"""),"Legends' Legacy")</f>
        <v>Legends' Legacy</v>
      </c>
      <c r="C1430" s="77">
        <f>IFERROR(__xludf.DUMMYFUNCTION("""COMPUTED_VALUE"""),0.0)</f>
        <v>0</v>
      </c>
      <c r="D1430" s="77">
        <f>IFERROR(__xludf.DUMMYFUNCTION("""COMPUTED_VALUE"""),0.0)</f>
        <v>0</v>
      </c>
      <c r="E1430" s="46" t="b">
        <f>IFERROR(__xludf.DUMMYFUNCTION("""COMPUTED_VALUE"""),TRUE)</f>
        <v>1</v>
      </c>
    </row>
    <row r="1431" hidden="1">
      <c r="A1431" s="76" t="str">
        <f>IFERROR(__xludf.DUMMYFUNCTION("""COMPUTED_VALUE"""),"Lorehold Spirit")</f>
        <v>Lorehold Spirit</v>
      </c>
      <c r="B1431" s="76" t="str">
        <f>IFERROR(__xludf.DUMMYFUNCTION("""COMPUTED_VALUE"""),"Limit Break")</f>
        <v>Limit Break</v>
      </c>
      <c r="C1431" s="77">
        <f>IFERROR(__xludf.DUMMYFUNCTION("""COMPUTED_VALUE"""),0.0)</f>
        <v>0</v>
      </c>
      <c r="D1431" s="77">
        <f>IFERROR(__xludf.DUMMYFUNCTION("""COMPUTED_VALUE"""),0.0)</f>
        <v>0</v>
      </c>
      <c r="E1431" s="46" t="b">
        <f>IFERROR(__xludf.DUMMYFUNCTION("""COMPUTED_VALUE"""),TRUE)</f>
        <v>1</v>
      </c>
    </row>
    <row r="1432" hidden="1">
      <c r="A1432" s="76" t="str">
        <f>IFERROR(__xludf.DUMMYFUNCTION("""COMPUTED_VALUE"""),"Lorehold Spirit")</f>
        <v>Lorehold Spirit</v>
      </c>
      <c r="B1432" s="76" t="str">
        <f>IFERROR(__xludf.DUMMYFUNCTION("""COMPUTED_VALUE"""),"Lorehold Spirit")</f>
        <v>Lorehold Spirit</v>
      </c>
      <c r="C1432" s="77">
        <f>IFERROR(__xludf.DUMMYFUNCTION("""COMPUTED_VALUE"""),8.0)</f>
        <v>8</v>
      </c>
      <c r="D1432" s="77">
        <f>IFERROR(__xludf.DUMMYFUNCTION("""COMPUTED_VALUE"""),8.0)</f>
        <v>8</v>
      </c>
      <c r="E1432" s="46" t="b">
        <f>IFERROR(__xludf.DUMMYFUNCTION("""COMPUTED_VALUE"""),TRUE)</f>
        <v>1</v>
      </c>
    </row>
    <row r="1433" hidden="1">
      <c r="A1433" s="76" t="str">
        <f>IFERROR(__xludf.DUMMYFUNCTION("""COMPUTED_VALUE"""),"Lorehold Spirit")</f>
        <v>Lorehold Spirit</v>
      </c>
      <c r="B1433" s="76" t="str">
        <f>IFERROR(__xludf.DUMMYFUNCTION("""COMPUTED_VALUE"""),"Mutant Menace")</f>
        <v>Mutant Menace</v>
      </c>
      <c r="C1433" s="77">
        <f>IFERROR(__xludf.DUMMYFUNCTION("""COMPUTED_VALUE"""),1.0)</f>
        <v>1</v>
      </c>
      <c r="D1433" s="77">
        <f>IFERROR(__xludf.DUMMYFUNCTION("""COMPUTED_VALUE"""),0.0)</f>
        <v>0</v>
      </c>
      <c r="E1433" s="46" t="b">
        <f>IFERROR(__xludf.DUMMYFUNCTION("""COMPUTED_VALUE"""),FALSE)</f>
        <v>0</v>
      </c>
    </row>
    <row r="1434" hidden="1">
      <c r="A1434" s="76" t="str">
        <f>IFERROR(__xludf.DUMMYFUNCTION("""COMPUTED_VALUE"""),"Lorehold Spirit")</f>
        <v>Lorehold Spirit</v>
      </c>
      <c r="B1434" s="76" t="str">
        <f>IFERROR(__xludf.DUMMYFUNCTION("""COMPUTED_VALUE"""),"Party Time")</f>
        <v>Party Time</v>
      </c>
      <c r="C1434" s="77">
        <f>IFERROR(__xludf.DUMMYFUNCTION("""COMPUTED_VALUE"""),1.0)</f>
        <v>1</v>
      </c>
      <c r="D1434" s="77">
        <f>IFERROR(__xludf.DUMMYFUNCTION("""COMPUTED_VALUE"""),0.0)</f>
        <v>0</v>
      </c>
      <c r="E1434" s="46" t="b">
        <f>IFERROR(__xludf.DUMMYFUNCTION("""COMPUTED_VALUE"""),FALSE)</f>
        <v>0</v>
      </c>
    </row>
    <row r="1435" hidden="1">
      <c r="A1435" s="76" t="str">
        <f>IFERROR(__xludf.DUMMYFUNCTION("""COMPUTED_VALUE"""),"Lorehold Spirit")</f>
        <v>Lorehold Spirit</v>
      </c>
      <c r="B1435" s="76" t="str">
        <f>IFERROR(__xludf.DUMMYFUNCTION("""COMPUTED_VALUE"""),"Peace Offering")</f>
        <v>Peace Offering</v>
      </c>
      <c r="C1435" s="77">
        <f>IFERROR(__xludf.DUMMYFUNCTION("""COMPUTED_VALUE"""),0.0)</f>
        <v>0</v>
      </c>
      <c r="D1435" s="77">
        <f>IFERROR(__xludf.DUMMYFUNCTION("""COMPUTED_VALUE"""),0.0)</f>
        <v>0</v>
      </c>
      <c r="E1435" s="46" t="b">
        <f>IFERROR(__xludf.DUMMYFUNCTION("""COMPUTED_VALUE"""),TRUE)</f>
        <v>1</v>
      </c>
    </row>
    <row r="1436" hidden="1">
      <c r="A1436" s="76" t="str">
        <f>IFERROR(__xludf.DUMMYFUNCTION("""COMPUTED_VALUE"""),"Lorehold Spirit")</f>
        <v>Lorehold Spirit</v>
      </c>
      <c r="B1436" s="76" t="str">
        <f>IFERROR(__xludf.DUMMYFUNCTION("""COMPUTED_VALUE"""),"Power Hungry")</f>
        <v>Power Hungry</v>
      </c>
      <c r="C1436" s="77">
        <f>IFERROR(__xludf.DUMMYFUNCTION("""COMPUTED_VALUE"""),1.0)</f>
        <v>1</v>
      </c>
      <c r="D1436" s="77">
        <f>IFERROR(__xludf.DUMMYFUNCTION("""COMPUTED_VALUE"""),0.0)</f>
        <v>0</v>
      </c>
      <c r="E1436" s="46" t="b">
        <f>IFERROR(__xludf.DUMMYFUNCTION("""COMPUTED_VALUE"""),FALSE)</f>
        <v>0</v>
      </c>
    </row>
    <row r="1437" hidden="1">
      <c r="A1437" s="76" t="str">
        <f>IFERROR(__xludf.DUMMYFUNCTION("""COMPUTED_VALUE"""),"Lorehold Spirit")</f>
        <v>Lorehold Spirit</v>
      </c>
      <c r="B1437" s="76" t="str">
        <f>IFERROR(__xludf.DUMMYFUNCTION("""COMPUTED_VALUE"""),"Primal Genesis")</f>
        <v>Primal Genesis</v>
      </c>
      <c r="C1437" s="77">
        <f>IFERROR(__xludf.DUMMYFUNCTION("""COMPUTED_VALUE"""),0.0)</f>
        <v>0</v>
      </c>
      <c r="D1437" s="77">
        <f>IFERROR(__xludf.DUMMYFUNCTION("""COMPUTED_VALUE"""),0.0)</f>
        <v>0</v>
      </c>
      <c r="E1437" s="46" t="b">
        <f>IFERROR(__xludf.DUMMYFUNCTION("""COMPUTED_VALUE"""),TRUE)</f>
        <v>1</v>
      </c>
    </row>
    <row r="1438" hidden="1">
      <c r="A1438" s="76" t="str">
        <f>IFERROR(__xludf.DUMMYFUNCTION("""COMPUTED_VALUE"""),"Lorehold Spirit")</f>
        <v>Lorehold Spirit</v>
      </c>
      <c r="B1438" s="76" t="str">
        <f>IFERROR(__xludf.DUMMYFUNCTION("""COMPUTED_VALUE"""),"Prismari Artistry")</f>
        <v>Prismari Artistry</v>
      </c>
      <c r="C1438" s="77">
        <f>IFERROR(__xludf.DUMMYFUNCTION("""COMPUTED_VALUE"""),1.0)</f>
        <v>1</v>
      </c>
      <c r="D1438" s="77">
        <f>IFERROR(__xludf.DUMMYFUNCTION("""COMPUTED_VALUE"""),0.0)</f>
        <v>0</v>
      </c>
      <c r="E1438" s="46" t="b">
        <f>IFERROR(__xludf.DUMMYFUNCTION("""COMPUTED_VALUE"""),FALSE)</f>
        <v>0</v>
      </c>
    </row>
    <row r="1439" hidden="1">
      <c r="A1439" s="76" t="str">
        <f>IFERROR(__xludf.DUMMYFUNCTION("""COMPUTED_VALUE"""),"Lorehold Spirit")</f>
        <v>Lorehold Spirit</v>
      </c>
      <c r="B1439" s="76" t="str">
        <f>IFERROR(__xludf.DUMMYFUNCTION("""COMPUTED_VALUE"""),"Prismari Performance")</f>
        <v>Prismari Performance</v>
      </c>
      <c r="C1439" s="77">
        <f>IFERROR(__xludf.DUMMYFUNCTION("""COMPUTED_VALUE"""),0.0)</f>
        <v>0</v>
      </c>
      <c r="D1439" s="77">
        <f>IFERROR(__xludf.DUMMYFUNCTION("""COMPUTED_VALUE"""),0.0)</f>
        <v>0</v>
      </c>
      <c r="E1439" s="46" t="b">
        <f>IFERROR(__xludf.DUMMYFUNCTION("""COMPUTED_VALUE"""),TRUE)</f>
        <v>1</v>
      </c>
    </row>
    <row r="1440" hidden="1">
      <c r="A1440" s="76" t="str">
        <f>IFERROR(__xludf.DUMMYFUNCTION("""COMPUTED_VALUE"""),"Lorehold Spirit")</f>
        <v>Lorehold Spirit</v>
      </c>
      <c r="B1440" s="76" t="str">
        <f>IFERROR(__xludf.DUMMYFUNCTION("""COMPUTED_VALUE"""),"Quandrix Unlimited")</f>
        <v>Quandrix Unlimited</v>
      </c>
      <c r="C1440" s="77">
        <f>IFERROR(__xludf.DUMMYFUNCTION("""COMPUTED_VALUE"""),0.0)</f>
        <v>0</v>
      </c>
      <c r="D1440" s="77">
        <f>IFERROR(__xludf.DUMMYFUNCTION("""COMPUTED_VALUE"""),0.0)</f>
        <v>0</v>
      </c>
      <c r="E1440" s="46" t="b">
        <f>IFERROR(__xludf.DUMMYFUNCTION("""COMPUTED_VALUE"""),TRUE)</f>
        <v>1</v>
      </c>
    </row>
    <row r="1441" hidden="1">
      <c r="A1441" s="76" t="str">
        <f>IFERROR(__xludf.DUMMYFUNCTION("""COMPUTED_VALUE"""),"Lorehold Spirit")</f>
        <v>Lorehold Spirit</v>
      </c>
      <c r="B1441" s="76" t="str">
        <f>IFERROR(__xludf.DUMMYFUNCTION("""COMPUTED_VALUE"""),"Quick Draw")</f>
        <v>Quick Draw</v>
      </c>
      <c r="C1441" s="77">
        <f>IFERROR(__xludf.DUMMYFUNCTION("""COMPUTED_VALUE"""),0.0)</f>
        <v>0</v>
      </c>
      <c r="D1441" s="77">
        <f>IFERROR(__xludf.DUMMYFUNCTION("""COMPUTED_VALUE"""),1.0)</f>
        <v>1</v>
      </c>
      <c r="E1441" s="46" t="b">
        <f>IFERROR(__xludf.DUMMYFUNCTION("""COMPUTED_VALUE"""),FALSE)</f>
        <v>0</v>
      </c>
    </row>
    <row r="1442" hidden="1">
      <c r="A1442" s="76" t="str">
        <f>IFERROR(__xludf.DUMMYFUNCTION("""COMPUTED_VALUE"""),"Lorehold Spirit")</f>
        <v>Lorehold Spirit</v>
      </c>
      <c r="B1442" s="76" t="str">
        <f>IFERROR(__xludf.DUMMYFUNCTION("""COMPUTED_VALUE"""),"Reap the Tides")</f>
        <v>Reap the Tides</v>
      </c>
      <c r="C1442" s="77">
        <f>IFERROR(__xludf.DUMMYFUNCTION("""COMPUTED_VALUE"""),0.0)</f>
        <v>0</v>
      </c>
      <c r="D1442" s="77">
        <f>IFERROR(__xludf.DUMMYFUNCTION("""COMPUTED_VALUE"""),0.0)</f>
        <v>0</v>
      </c>
      <c r="E1442" s="46" t="b">
        <f>IFERROR(__xludf.DUMMYFUNCTION("""COMPUTED_VALUE"""),TRUE)</f>
        <v>1</v>
      </c>
    </row>
    <row r="1443" hidden="1">
      <c r="A1443" s="76" t="str">
        <f>IFERROR(__xludf.DUMMYFUNCTION("""COMPUTED_VALUE"""),"Lorehold Spirit")</f>
        <v>Lorehold Spirit</v>
      </c>
      <c r="B1443" s="76" t="str">
        <f>IFERROR(__xludf.DUMMYFUNCTION("""COMPUTED_VALUE"""),"Rebellion Rising")</f>
        <v>Rebellion Rising</v>
      </c>
      <c r="C1443" s="77">
        <f>IFERROR(__xludf.DUMMYFUNCTION("""COMPUTED_VALUE"""),0.0)</f>
        <v>0</v>
      </c>
      <c r="D1443" s="77">
        <f>IFERROR(__xludf.DUMMYFUNCTION("""COMPUTED_VALUE"""),0.0)</f>
        <v>0</v>
      </c>
      <c r="E1443" s="46" t="b">
        <f>IFERROR(__xludf.DUMMYFUNCTION("""COMPUTED_VALUE"""),TRUE)</f>
        <v>1</v>
      </c>
    </row>
    <row r="1444" hidden="1">
      <c r="A1444" s="76" t="str">
        <f>IFERROR(__xludf.DUMMYFUNCTION("""COMPUTED_VALUE"""),"Lorehold Spirit")</f>
        <v>Lorehold Spirit</v>
      </c>
      <c r="B1444" s="76" t="str">
        <f>IFERROR(__xludf.DUMMYFUNCTION("""COMPUTED_VALUE"""),"Revival Trance")</f>
        <v>Revival Trance</v>
      </c>
      <c r="C1444" s="77">
        <f>IFERROR(__xludf.DUMMYFUNCTION("""COMPUTED_VALUE"""),0.0)</f>
        <v>0</v>
      </c>
      <c r="D1444" s="77">
        <f>IFERROR(__xludf.DUMMYFUNCTION("""COMPUTED_VALUE"""),0.0)</f>
        <v>0</v>
      </c>
      <c r="E1444" s="46" t="b">
        <f>IFERROR(__xludf.DUMMYFUNCTION("""COMPUTED_VALUE"""),TRUE)</f>
        <v>1</v>
      </c>
    </row>
    <row r="1445" hidden="1">
      <c r="A1445" s="76" t="str">
        <f>IFERROR(__xludf.DUMMYFUNCTION("""COMPUTED_VALUE"""),"Lorehold Spirit")</f>
        <v>Lorehold Spirit</v>
      </c>
      <c r="B1445" s="76" t="str">
        <f>IFERROR(__xludf.DUMMYFUNCTION("""COMPUTED_VALUE"""),"Riders of Rohan")</f>
        <v>Riders of Rohan</v>
      </c>
      <c r="C1445" s="77">
        <f>IFERROR(__xludf.DUMMYFUNCTION("""COMPUTED_VALUE"""),0.0)</f>
        <v>0</v>
      </c>
      <c r="D1445" s="77">
        <f>IFERROR(__xludf.DUMMYFUNCTION("""COMPUTED_VALUE"""),0.0)</f>
        <v>0</v>
      </c>
      <c r="E1445" s="46" t="b">
        <f>IFERROR(__xludf.DUMMYFUNCTION("""COMPUTED_VALUE"""),TRUE)</f>
        <v>1</v>
      </c>
    </row>
    <row r="1446" hidden="1">
      <c r="A1446" s="76" t="str">
        <f>IFERROR(__xludf.DUMMYFUNCTION("""COMPUTED_VALUE"""),"Lorehold Spirit")</f>
        <v>Lorehold Spirit</v>
      </c>
      <c r="B1446" s="76" t="str">
        <f>IFERROR(__xludf.DUMMYFUNCTION("""COMPUTED_VALUE"""),"Science!")</f>
        <v>Science!</v>
      </c>
      <c r="C1446" s="77">
        <f>IFERROR(__xludf.DUMMYFUNCTION("""COMPUTED_VALUE"""),0.0)</f>
        <v>0</v>
      </c>
      <c r="D1446" s="77">
        <f>IFERROR(__xludf.DUMMYFUNCTION("""COMPUTED_VALUE"""),0.0)</f>
        <v>0</v>
      </c>
      <c r="E1446" s="46" t="b">
        <f>IFERROR(__xludf.DUMMYFUNCTION("""COMPUTED_VALUE"""),TRUE)</f>
        <v>1</v>
      </c>
    </row>
    <row r="1447" hidden="1">
      <c r="A1447" s="76" t="str">
        <f>IFERROR(__xludf.DUMMYFUNCTION("""COMPUTED_VALUE"""),"Lorehold Spirit")</f>
        <v>Lorehold Spirit</v>
      </c>
      <c r="B1447" s="76" t="str">
        <f>IFERROR(__xludf.DUMMYFUNCTION("""COMPUTED_VALUE"""),"Scions &amp; Spellcraft")</f>
        <v>Scions &amp; Spellcraft</v>
      </c>
      <c r="C1447" s="77">
        <f>IFERROR(__xludf.DUMMYFUNCTION("""COMPUTED_VALUE"""),1.0)</f>
        <v>1</v>
      </c>
      <c r="D1447" s="77">
        <f>IFERROR(__xludf.DUMMYFUNCTION("""COMPUTED_VALUE"""),0.0)</f>
        <v>0</v>
      </c>
      <c r="E1447" s="46" t="b">
        <f>IFERROR(__xludf.DUMMYFUNCTION("""COMPUTED_VALUE"""),FALSE)</f>
        <v>0</v>
      </c>
    </row>
    <row r="1448" hidden="1">
      <c r="A1448" s="76" t="str">
        <f>IFERROR(__xludf.DUMMYFUNCTION("""COMPUTED_VALUE"""),"Lorehold Spirit")</f>
        <v>Lorehold Spirit</v>
      </c>
      <c r="B1448" s="76" t="str">
        <f>IFERROR(__xludf.DUMMYFUNCTION("""COMPUTED_VALUE"""),"Scrappy Survivors")</f>
        <v>Scrappy Survivors</v>
      </c>
      <c r="C1448" s="77">
        <f>IFERROR(__xludf.DUMMYFUNCTION("""COMPUTED_VALUE"""),0.0)</f>
        <v>0</v>
      </c>
      <c r="D1448" s="77">
        <f>IFERROR(__xludf.DUMMYFUNCTION("""COMPUTED_VALUE"""),0.0)</f>
        <v>0</v>
      </c>
      <c r="E1448" s="46" t="b">
        <f>IFERROR(__xludf.DUMMYFUNCTION("""COMPUTED_VALUE"""),TRUE)</f>
        <v>1</v>
      </c>
    </row>
    <row r="1449" hidden="1">
      <c r="A1449" s="76" t="str">
        <f>IFERROR(__xludf.DUMMYFUNCTION("""COMPUTED_VALUE"""),"Lorehold Spirit")</f>
        <v>Lorehold Spirit</v>
      </c>
      <c r="B1449" s="76" t="str">
        <f>IFERROR(__xludf.DUMMYFUNCTION("""COMPUTED_VALUE"""),"Silverquill Influence")</f>
        <v>Silverquill Influence</v>
      </c>
      <c r="C1449" s="77">
        <f>IFERROR(__xludf.DUMMYFUNCTION("""COMPUTED_VALUE"""),1.0)</f>
        <v>1</v>
      </c>
      <c r="D1449" s="77">
        <f>IFERROR(__xludf.DUMMYFUNCTION("""COMPUTED_VALUE"""),0.0)</f>
        <v>0</v>
      </c>
      <c r="E1449" s="46" t="b">
        <f>IFERROR(__xludf.DUMMYFUNCTION("""COMPUTED_VALUE"""),FALSE)</f>
        <v>0</v>
      </c>
    </row>
    <row r="1450" hidden="1">
      <c r="A1450" s="76" t="str">
        <f>IFERROR(__xludf.DUMMYFUNCTION("""COMPUTED_VALUE"""),"Lorehold Spirit")</f>
        <v>Lorehold Spirit</v>
      </c>
      <c r="B1450" s="76" t="str">
        <f>IFERROR(__xludf.DUMMYFUNCTION("""COMPUTED_VALUE"""),"Spirit Squadron")</f>
        <v>Spirit Squadron</v>
      </c>
      <c r="C1450" s="77">
        <f>IFERROR(__xludf.DUMMYFUNCTION("""COMPUTED_VALUE"""),0.0)</f>
        <v>0</v>
      </c>
      <c r="D1450" s="77">
        <f>IFERROR(__xludf.DUMMYFUNCTION("""COMPUTED_VALUE"""),0.0)</f>
        <v>0</v>
      </c>
      <c r="E1450" s="46" t="b">
        <f>IFERROR(__xludf.DUMMYFUNCTION("""COMPUTED_VALUE"""),TRUE)</f>
        <v>1</v>
      </c>
    </row>
    <row r="1451" hidden="1">
      <c r="A1451" s="76" t="str">
        <f>IFERROR(__xludf.DUMMYFUNCTION("""COMPUTED_VALUE"""),"Lorehold Spirit")</f>
        <v>Lorehold Spirit</v>
      </c>
      <c r="B1451" s="76" t="str">
        <f>IFERROR(__xludf.DUMMYFUNCTION("""COMPUTED_VALUE"""),"Squirreled Away")</f>
        <v>Squirreled Away</v>
      </c>
      <c r="C1451" s="77">
        <f>IFERROR(__xludf.DUMMYFUNCTION("""COMPUTED_VALUE"""),0.0)</f>
        <v>0</v>
      </c>
      <c r="D1451" s="77">
        <f>IFERROR(__xludf.DUMMYFUNCTION("""COMPUTED_VALUE"""),0.0)</f>
        <v>0</v>
      </c>
      <c r="E1451" s="46" t="b">
        <f>IFERROR(__xludf.DUMMYFUNCTION("""COMPUTED_VALUE"""),TRUE)</f>
        <v>1</v>
      </c>
    </row>
    <row r="1452" hidden="1">
      <c r="A1452" s="76" t="str">
        <f>IFERROR(__xludf.DUMMYFUNCTION("""COMPUTED_VALUE"""),"Lorehold Spirit")</f>
        <v>Lorehold Spirit</v>
      </c>
      <c r="B1452" s="76" t="str">
        <f>IFERROR(__xludf.DUMMYFUNCTION("""COMPUTED_VALUE"""),"Sultai Arisen")</f>
        <v>Sultai Arisen</v>
      </c>
      <c r="C1452" s="77">
        <f>IFERROR(__xludf.DUMMYFUNCTION("""COMPUTED_VALUE"""),1.0)</f>
        <v>1</v>
      </c>
      <c r="D1452" s="77">
        <f>IFERROR(__xludf.DUMMYFUNCTION("""COMPUTED_VALUE"""),0.0)</f>
        <v>0</v>
      </c>
      <c r="E1452" s="46" t="b">
        <f>IFERROR(__xludf.DUMMYFUNCTION("""COMPUTED_VALUE"""),FALSE)</f>
        <v>0</v>
      </c>
    </row>
    <row r="1453" hidden="1">
      <c r="A1453" s="76" t="str">
        <f>IFERROR(__xludf.DUMMYFUNCTION("""COMPUTED_VALUE"""),"Lorehold Spirit")</f>
        <v>Lorehold Spirit</v>
      </c>
      <c r="B1453" s="76" t="str">
        <f>IFERROR(__xludf.DUMMYFUNCTION("""COMPUTED_VALUE"""),"Temur Roar")</f>
        <v>Temur Roar</v>
      </c>
      <c r="C1453" s="77">
        <f>IFERROR(__xludf.DUMMYFUNCTION("""COMPUTED_VALUE"""),0.0)</f>
        <v>0</v>
      </c>
      <c r="D1453" s="77">
        <f>IFERROR(__xludf.DUMMYFUNCTION("""COMPUTED_VALUE"""),0.0)</f>
        <v>0</v>
      </c>
      <c r="E1453" s="46" t="b">
        <f>IFERROR(__xludf.DUMMYFUNCTION("""COMPUTED_VALUE"""),TRUE)</f>
        <v>1</v>
      </c>
    </row>
    <row r="1454" hidden="1">
      <c r="A1454" s="76" t="str">
        <f>IFERROR(__xludf.DUMMYFUNCTION("""COMPUTED_VALUE"""),"Lorehold Spirit")</f>
        <v>Lorehold Spirit</v>
      </c>
      <c r="B1454" s="76" t="str">
        <f>IFERROR(__xludf.DUMMYFUNCTION("""COMPUTED_VALUE"""),"The Hosts of Mordor")</f>
        <v>The Hosts of Mordor</v>
      </c>
      <c r="C1454" s="77">
        <f>IFERROR(__xludf.DUMMYFUNCTION("""COMPUTED_VALUE"""),0.0)</f>
        <v>0</v>
      </c>
      <c r="D1454" s="77">
        <f>IFERROR(__xludf.DUMMYFUNCTION("""COMPUTED_VALUE"""),0.0)</f>
        <v>0</v>
      </c>
      <c r="E1454" s="46" t="b">
        <f>IFERROR(__xludf.DUMMYFUNCTION("""COMPUTED_VALUE"""),TRUE)</f>
        <v>1</v>
      </c>
    </row>
    <row r="1455" hidden="1">
      <c r="A1455" s="76" t="str">
        <f>IFERROR(__xludf.DUMMYFUNCTION("""COMPUTED_VALUE"""),"Lorehold Spirit")</f>
        <v>Lorehold Spirit</v>
      </c>
      <c r="B1455" s="76" t="str">
        <f>IFERROR(__xludf.DUMMYFUNCTION("""COMPUTED_VALUE"""),"The Ruinous Powers")</f>
        <v>The Ruinous Powers</v>
      </c>
      <c r="C1455" s="77">
        <f>IFERROR(__xludf.DUMMYFUNCTION("""COMPUTED_VALUE"""),0.0)</f>
        <v>0</v>
      </c>
      <c r="D1455" s="77">
        <f>IFERROR(__xludf.DUMMYFUNCTION("""COMPUTED_VALUE"""),0.0)</f>
        <v>0</v>
      </c>
      <c r="E1455" s="46" t="b">
        <f>IFERROR(__xludf.DUMMYFUNCTION("""COMPUTED_VALUE"""),TRUE)</f>
        <v>1</v>
      </c>
    </row>
    <row r="1456" hidden="1">
      <c r="A1456" s="76" t="str">
        <f>IFERROR(__xludf.DUMMYFUNCTION("""COMPUTED_VALUE"""),"Lorehold Spirit")</f>
        <v>Lorehold Spirit</v>
      </c>
      <c r="B1456" s="76" t="str">
        <f>IFERROR(__xludf.DUMMYFUNCTION("""COMPUTED_VALUE"""),"Timey-Wimey")</f>
        <v>Timey-Wimey</v>
      </c>
      <c r="C1456" s="77">
        <f>IFERROR(__xludf.DUMMYFUNCTION("""COMPUTED_VALUE"""),0.0)</f>
        <v>0</v>
      </c>
      <c r="D1456" s="77">
        <f>IFERROR(__xludf.DUMMYFUNCTION("""COMPUTED_VALUE"""),0.0)</f>
        <v>0</v>
      </c>
      <c r="E1456" s="46" t="b">
        <f>IFERROR(__xludf.DUMMYFUNCTION("""COMPUTED_VALUE"""),TRUE)</f>
        <v>1</v>
      </c>
    </row>
    <row r="1457" hidden="1">
      <c r="A1457" s="76" t="str">
        <f>IFERROR(__xludf.DUMMYFUNCTION("""COMPUTED_VALUE"""),"Lorehold Spirit")</f>
        <v>Lorehold Spirit</v>
      </c>
      <c r="B1457" s="76" t="str">
        <f>IFERROR(__xludf.DUMMYFUNCTION("""COMPUTED_VALUE"""),"Tinker Time")</f>
        <v>Tinker Time</v>
      </c>
      <c r="C1457" s="77">
        <f>IFERROR(__xludf.DUMMYFUNCTION("""COMPUTED_VALUE"""),0.0)</f>
        <v>0</v>
      </c>
      <c r="D1457" s="77">
        <f>IFERROR(__xludf.DUMMYFUNCTION("""COMPUTED_VALUE"""),0.0)</f>
        <v>0</v>
      </c>
      <c r="E1457" s="46" t="b">
        <f>IFERROR(__xludf.DUMMYFUNCTION("""COMPUTED_VALUE"""),TRUE)</f>
        <v>1</v>
      </c>
    </row>
    <row r="1458" hidden="1">
      <c r="A1458" s="76" t="str">
        <f>IFERROR(__xludf.DUMMYFUNCTION("""COMPUTED_VALUE"""),"Lorehold Spirit")</f>
        <v>Lorehold Spirit</v>
      </c>
      <c r="B1458" s="76" t="str">
        <f>IFERROR(__xludf.DUMMYFUNCTION("""COMPUTED_VALUE"""),"Turtle Power!")</f>
        <v>Turtle Power!</v>
      </c>
      <c r="C1458" s="77">
        <f>IFERROR(__xludf.DUMMYFUNCTION("""COMPUTED_VALUE"""),2.0)</f>
        <v>2</v>
      </c>
      <c r="D1458" s="77">
        <f>IFERROR(__xludf.DUMMYFUNCTION("""COMPUTED_VALUE"""),0.0)</f>
        <v>0</v>
      </c>
      <c r="E1458" s="46" t="b">
        <f>IFERROR(__xludf.DUMMYFUNCTION("""COMPUTED_VALUE"""),FALSE)</f>
        <v>0</v>
      </c>
    </row>
    <row r="1459" hidden="1">
      <c r="A1459" s="76" t="str">
        <f>IFERROR(__xludf.DUMMYFUNCTION("""COMPUTED_VALUE"""),"Lorehold Spirit")</f>
        <v>Lorehold Spirit</v>
      </c>
      <c r="B1459" s="76" t="str">
        <f>IFERROR(__xludf.DUMMYFUNCTION("""COMPUTED_VALUE"""),"Veloci-ramp-tor")</f>
        <v>Veloci-ramp-tor</v>
      </c>
      <c r="C1459" s="77">
        <f>IFERROR(__xludf.DUMMYFUNCTION("""COMPUTED_VALUE"""),0.0)</f>
        <v>0</v>
      </c>
      <c r="D1459" s="77">
        <f>IFERROR(__xludf.DUMMYFUNCTION("""COMPUTED_VALUE"""),0.0)</f>
        <v>0</v>
      </c>
      <c r="E1459" s="46" t="b">
        <f>IFERROR(__xludf.DUMMYFUNCTION("""COMPUTED_VALUE"""),TRUE)</f>
        <v>1</v>
      </c>
    </row>
    <row r="1460" hidden="1">
      <c r="A1460" s="76" t="str">
        <f>IFERROR(__xludf.DUMMYFUNCTION("""COMPUTED_VALUE"""),"Mutant Menace")</f>
        <v>Mutant Menace</v>
      </c>
      <c r="B1460" s="76" t="str">
        <f>IFERROR(__xludf.DUMMYFUNCTION("""COMPUTED_VALUE"""),"Ahoy Mateys")</f>
        <v>Ahoy Mateys</v>
      </c>
      <c r="C1460" s="77">
        <f>IFERROR(__xludf.DUMMYFUNCTION("""COMPUTED_VALUE"""),0.0)</f>
        <v>0</v>
      </c>
      <c r="D1460" s="77">
        <f>IFERROR(__xludf.DUMMYFUNCTION("""COMPUTED_VALUE"""),0.0)</f>
        <v>0</v>
      </c>
      <c r="E1460" s="46" t="b">
        <f>IFERROR(__xludf.DUMMYFUNCTION("""COMPUTED_VALUE"""),TRUE)</f>
        <v>1</v>
      </c>
    </row>
    <row r="1461" hidden="1">
      <c r="A1461" s="76" t="str">
        <f>IFERROR(__xludf.DUMMYFUNCTION("""COMPUTED_VALUE"""),"Mutant Menace")</f>
        <v>Mutant Menace</v>
      </c>
      <c r="B1461" s="76" t="str">
        <f>IFERROR(__xludf.DUMMYFUNCTION("""COMPUTED_VALUE"""),"Animated Army")</f>
        <v>Animated Army</v>
      </c>
      <c r="C1461" s="77">
        <f>IFERROR(__xludf.DUMMYFUNCTION("""COMPUTED_VALUE"""),0.0)</f>
        <v>0</v>
      </c>
      <c r="D1461" s="77">
        <f>IFERROR(__xludf.DUMMYFUNCTION("""COMPUTED_VALUE"""),0.0)</f>
        <v>0</v>
      </c>
      <c r="E1461" s="46" t="b">
        <f>IFERROR(__xludf.DUMMYFUNCTION("""COMPUTED_VALUE"""),TRUE)</f>
        <v>1</v>
      </c>
    </row>
    <row r="1462" hidden="1">
      <c r="A1462" s="76" t="str">
        <f>IFERROR(__xludf.DUMMYFUNCTION("""COMPUTED_VALUE"""),"Mutant Menace")</f>
        <v>Mutant Menace</v>
      </c>
      <c r="B1462" s="76" t="str">
        <f>IFERROR(__xludf.DUMMYFUNCTION("""COMPUTED_VALUE"""),"Arcane Maelstrom")</f>
        <v>Arcane Maelstrom</v>
      </c>
      <c r="C1462" s="77">
        <f>IFERROR(__xludf.DUMMYFUNCTION("""COMPUTED_VALUE"""),0.0)</f>
        <v>0</v>
      </c>
      <c r="D1462" s="77">
        <f>IFERROR(__xludf.DUMMYFUNCTION("""COMPUTED_VALUE"""),0.0)</f>
        <v>0</v>
      </c>
      <c r="E1462" s="46" t="b">
        <f>IFERROR(__xludf.DUMMYFUNCTION("""COMPUTED_VALUE"""),TRUE)</f>
        <v>1</v>
      </c>
    </row>
    <row r="1463" hidden="1">
      <c r="A1463" s="76" t="str">
        <f>IFERROR(__xludf.DUMMYFUNCTION("""COMPUTED_VALUE"""),"Mutant Menace")</f>
        <v>Mutant Menace</v>
      </c>
      <c r="B1463" s="76" t="str">
        <f>IFERROR(__xludf.DUMMYFUNCTION("""COMPUTED_VALUE"""),"Blame Game")</f>
        <v>Blame Game</v>
      </c>
      <c r="C1463" s="77">
        <f>IFERROR(__xludf.DUMMYFUNCTION("""COMPUTED_VALUE"""),0.0)</f>
        <v>0</v>
      </c>
      <c r="D1463" s="77">
        <f>IFERROR(__xludf.DUMMYFUNCTION("""COMPUTED_VALUE"""),0.0)</f>
        <v>0</v>
      </c>
      <c r="E1463" s="46" t="b">
        <f>IFERROR(__xludf.DUMMYFUNCTION("""COMPUTED_VALUE"""),TRUE)</f>
        <v>1</v>
      </c>
    </row>
    <row r="1464" hidden="1">
      <c r="A1464" s="76" t="str">
        <f>IFERROR(__xludf.DUMMYFUNCTION("""COMPUTED_VALUE"""),"Mutant Menace")</f>
        <v>Mutant Menace</v>
      </c>
      <c r="B1464" s="76" t="str">
        <f>IFERROR(__xludf.DUMMYFUNCTION("""COMPUTED_VALUE"""),"Blight Curse")</f>
        <v>Blight Curse</v>
      </c>
      <c r="C1464" s="77">
        <f>IFERROR(__xludf.DUMMYFUNCTION("""COMPUTED_VALUE"""),0.0)</f>
        <v>0</v>
      </c>
      <c r="D1464" s="77">
        <f>IFERROR(__xludf.DUMMYFUNCTION("""COMPUTED_VALUE"""),0.0)</f>
        <v>0</v>
      </c>
      <c r="E1464" s="46" t="b">
        <f>IFERROR(__xludf.DUMMYFUNCTION("""COMPUTED_VALUE"""),TRUE)</f>
        <v>1</v>
      </c>
    </row>
    <row r="1465" hidden="1">
      <c r="A1465" s="76" t="str">
        <f>IFERROR(__xludf.DUMMYFUNCTION("""COMPUTED_VALUE"""),"Mutant Menace")</f>
        <v>Mutant Menace</v>
      </c>
      <c r="B1465" s="76" t="str">
        <f>IFERROR(__xludf.DUMMYFUNCTION("""COMPUTED_VALUE"""),"Blood Rites")</f>
        <v>Blood Rites</v>
      </c>
      <c r="C1465" s="77">
        <f>IFERROR(__xludf.DUMMYFUNCTION("""COMPUTED_VALUE"""),0.0)</f>
        <v>0</v>
      </c>
      <c r="D1465" s="77">
        <f>IFERROR(__xludf.DUMMYFUNCTION("""COMPUTED_VALUE"""),0.0)</f>
        <v>0</v>
      </c>
      <c r="E1465" s="46" t="b">
        <f>IFERROR(__xludf.DUMMYFUNCTION("""COMPUTED_VALUE"""),TRUE)</f>
        <v>1</v>
      </c>
    </row>
    <row r="1466" hidden="1">
      <c r="A1466" s="76" t="str">
        <f>IFERROR(__xludf.DUMMYFUNCTION("""COMPUTED_VALUE"""),"Mutant Menace")</f>
        <v>Mutant Menace</v>
      </c>
      <c r="B1466" s="76" t="str">
        <f>IFERROR(__xludf.DUMMYFUNCTION("""COMPUTED_VALUE"""),"Buckle Up")</f>
        <v>Buckle Up</v>
      </c>
      <c r="C1466" s="77">
        <f>IFERROR(__xludf.DUMMYFUNCTION("""COMPUTED_VALUE"""),0.0)</f>
        <v>0</v>
      </c>
      <c r="D1466" s="77">
        <f>IFERROR(__xludf.DUMMYFUNCTION("""COMPUTED_VALUE"""),0.0)</f>
        <v>0</v>
      </c>
      <c r="E1466" s="46" t="b">
        <f>IFERROR(__xludf.DUMMYFUNCTION("""COMPUTED_VALUE"""),TRUE)</f>
        <v>1</v>
      </c>
    </row>
    <row r="1467" hidden="1">
      <c r="A1467" s="76" t="str">
        <f>IFERROR(__xludf.DUMMYFUNCTION("""COMPUTED_VALUE"""),"Mutant Menace")</f>
        <v>Mutant Menace</v>
      </c>
      <c r="B1467" s="76" t="str">
        <f>IFERROR(__xludf.DUMMYFUNCTION("""COMPUTED_VALUE"""),"Cabaretti Cacophony")</f>
        <v>Cabaretti Cacophony</v>
      </c>
      <c r="C1467" s="77">
        <f>IFERROR(__xludf.DUMMYFUNCTION("""COMPUTED_VALUE"""),0.0)</f>
        <v>0</v>
      </c>
      <c r="D1467" s="77">
        <f>IFERROR(__xludf.DUMMYFUNCTION("""COMPUTED_VALUE"""),0.0)</f>
        <v>0</v>
      </c>
      <c r="E1467" s="46" t="b">
        <f>IFERROR(__xludf.DUMMYFUNCTION("""COMPUTED_VALUE"""),TRUE)</f>
        <v>1</v>
      </c>
    </row>
    <row r="1468" hidden="1">
      <c r="A1468" s="76" t="str">
        <f>IFERROR(__xludf.DUMMYFUNCTION("""COMPUTED_VALUE"""),"Mutant Menace")</f>
        <v>Mutant Menace</v>
      </c>
      <c r="B1468" s="76" t="str">
        <f>IFERROR(__xludf.DUMMYFUNCTION("""COMPUTED_VALUE"""),"Cavalry Charge")</f>
        <v>Cavalry Charge</v>
      </c>
      <c r="C1468" s="77">
        <f>IFERROR(__xludf.DUMMYFUNCTION("""COMPUTED_VALUE"""),0.0)</f>
        <v>0</v>
      </c>
      <c r="D1468" s="77">
        <f>IFERROR(__xludf.DUMMYFUNCTION("""COMPUTED_VALUE"""),1.0)</f>
        <v>1</v>
      </c>
      <c r="E1468" s="46" t="b">
        <f>IFERROR(__xludf.DUMMYFUNCTION("""COMPUTED_VALUE"""),FALSE)</f>
        <v>0</v>
      </c>
    </row>
    <row r="1469" hidden="1">
      <c r="A1469" s="76" t="str">
        <f>IFERROR(__xludf.DUMMYFUNCTION("""COMPUTED_VALUE"""),"Mutant Menace")</f>
        <v>Mutant Menace</v>
      </c>
      <c r="B1469" s="76" t="str">
        <f>IFERROR(__xludf.DUMMYFUNCTION("""COMPUTED_VALUE"""),"Corrupting Influence")</f>
        <v>Corrupting Influence</v>
      </c>
      <c r="C1469" s="77">
        <f>IFERROR(__xludf.DUMMYFUNCTION("""COMPUTED_VALUE"""),0.0)</f>
        <v>0</v>
      </c>
      <c r="D1469" s="77">
        <f>IFERROR(__xludf.DUMMYFUNCTION("""COMPUTED_VALUE"""),0.0)</f>
        <v>0</v>
      </c>
      <c r="E1469" s="46" t="b">
        <f>IFERROR(__xludf.DUMMYFUNCTION("""COMPUTED_VALUE"""),TRUE)</f>
        <v>1</v>
      </c>
    </row>
    <row r="1470" hidden="1">
      <c r="A1470" s="76" t="str">
        <f>IFERROR(__xludf.DUMMYFUNCTION("""COMPUTED_VALUE"""),"Mutant Menace")</f>
        <v>Mutant Menace</v>
      </c>
      <c r="B1470" s="76" t="str">
        <f>IFERROR(__xludf.DUMMYFUNCTION("""COMPUTED_VALUE"""),"Counter Blitz")</f>
        <v>Counter Blitz</v>
      </c>
      <c r="C1470" s="77">
        <f>IFERROR(__xludf.DUMMYFUNCTION("""COMPUTED_VALUE"""),0.0)</f>
        <v>0</v>
      </c>
      <c r="D1470" s="77">
        <f>IFERROR(__xludf.DUMMYFUNCTION("""COMPUTED_VALUE"""),0.0)</f>
        <v>0</v>
      </c>
      <c r="E1470" s="46" t="b">
        <f>IFERROR(__xludf.DUMMYFUNCTION("""COMPUTED_VALUE"""),TRUE)</f>
        <v>1</v>
      </c>
    </row>
    <row r="1471" hidden="1">
      <c r="A1471" s="76" t="str">
        <f>IFERROR(__xludf.DUMMYFUNCTION("""COMPUTED_VALUE"""),"Mutant Menace")</f>
        <v>Mutant Menace</v>
      </c>
      <c r="B1471" s="76" t="str">
        <f>IFERROR(__xludf.DUMMYFUNCTION("""COMPUTED_VALUE"""),"Counter Intelligence")</f>
        <v>Counter Intelligence</v>
      </c>
      <c r="C1471" s="77">
        <f>IFERROR(__xludf.DUMMYFUNCTION("""COMPUTED_VALUE"""),0.0)</f>
        <v>0</v>
      </c>
      <c r="D1471" s="77">
        <f>IFERROR(__xludf.DUMMYFUNCTION("""COMPUTED_VALUE"""),0.0)</f>
        <v>0</v>
      </c>
      <c r="E1471" s="46" t="b">
        <f>IFERROR(__xludf.DUMMYFUNCTION("""COMPUTED_VALUE"""),TRUE)</f>
        <v>1</v>
      </c>
    </row>
    <row r="1472" hidden="1">
      <c r="A1472" s="76" t="str">
        <f>IFERROR(__xludf.DUMMYFUNCTION("""COMPUTED_VALUE"""),"Mutant Menace")</f>
        <v>Mutant Menace</v>
      </c>
      <c r="B1472" s="76" t="str">
        <f>IFERROR(__xludf.DUMMYFUNCTION("""COMPUTED_VALUE"""),"Creative Energy")</f>
        <v>Creative Energy</v>
      </c>
      <c r="C1472" s="77">
        <f>IFERROR(__xludf.DUMMYFUNCTION("""COMPUTED_VALUE"""),0.0)</f>
        <v>0</v>
      </c>
      <c r="D1472" s="77">
        <f>IFERROR(__xludf.DUMMYFUNCTION("""COMPUTED_VALUE"""),0.0)</f>
        <v>0</v>
      </c>
      <c r="E1472" s="46" t="b">
        <f>IFERROR(__xludf.DUMMYFUNCTION("""COMPUTED_VALUE"""),TRUE)</f>
        <v>1</v>
      </c>
    </row>
    <row r="1473" hidden="1">
      <c r="A1473" s="76" t="str">
        <f>IFERROR(__xludf.DUMMYFUNCTION("""COMPUTED_VALUE"""),"Mutant Menace")</f>
        <v>Mutant Menace</v>
      </c>
      <c r="B1473" s="76" t="str">
        <f>IFERROR(__xludf.DUMMYFUNCTION("""COMPUTED_VALUE"""),"Dance of the Elements")</f>
        <v>Dance of the Elements</v>
      </c>
      <c r="C1473" s="77">
        <f>IFERROR(__xludf.DUMMYFUNCTION("""COMPUTED_VALUE"""),0.0)</f>
        <v>0</v>
      </c>
      <c r="D1473" s="77">
        <f>IFERROR(__xludf.DUMMYFUNCTION("""COMPUTED_VALUE"""),0.0)</f>
        <v>0</v>
      </c>
      <c r="E1473" s="46" t="b">
        <f>IFERROR(__xludf.DUMMYFUNCTION("""COMPUTED_VALUE"""),TRUE)</f>
        <v>1</v>
      </c>
    </row>
    <row r="1474" hidden="1">
      <c r="A1474" s="76" t="str">
        <f>IFERROR(__xludf.DUMMYFUNCTION("""COMPUTED_VALUE"""),"Mutant Menace")</f>
        <v>Mutant Menace</v>
      </c>
      <c r="B1474" s="76" t="str">
        <f>IFERROR(__xludf.DUMMYFUNCTION("""COMPUTED_VALUE"""),"Deep Clue Sea")</f>
        <v>Deep Clue Sea</v>
      </c>
      <c r="C1474" s="77">
        <f>IFERROR(__xludf.DUMMYFUNCTION("""COMPUTED_VALUE"""),0.0)</f>
        <v>0</v>
      </c>
      <c r="D1474" s="77">
        <f>IFERROR(__xludf.DUMMYFUNCTION("""COMPUTED_VALUE"""),0.0)</f>
        <v>0</v>
      </c>
      <c r="E1474" s="46" t="b">
        <f>IFERROR(__xludf.DUMMYFUNCTION("""COMPUTED_VALUE"""),TRUE)</f>
        <v>1</v>
      </c>
    </row>
    <row r="1475" hidden="1">
      <c r="A1475" s="76" t="str">
        <f>IFERROR(__xludf.DUMMYFUNCTION("""COMPUTED_VALUE"""),"Mutant Menace")</f>
        <v>Mutant Menace</v>
      </c>
      <c r="B1475" s="76" t="str">
        <f>IFERROR(__xludf.DUMMYFUNCTION("""COMPUTED_VALUE"""),"Doom Prevails")</f>
        <v>Doom Prevails</v>
      </c>
      <c r="C1475" s="77">
        <f>IFERROR(__xludf.DUMMYFUNCTION("""COMPUTED_VALUE"""),0.0)</f>
        <v>0</v>
      </c>
      <c r="D1475" s="77">
        <f>IFERROR(__xludf.DUMMYFUNCTION("""COMPUTED_VALUE"""),0.0)</f>
        <v>0</v>
      </c>
      <c r="E1475" s="46" t="b">
        <f>IFERROR(__xludf.DUMMYFUNCTION("""COMPUTED_VALUE"""),TRUE)</f>
        <v>1</v>
      </c>
    </row>
    <row r="1476" hidden="1">
      <c r="A1476" s="76" t="str">
        <f>IFERROR(__xludf.DUMMYFUNCTION("""COMPUTED_VALUE"""),"Mutant Menace")</f>
        <v>Mutant Menace</v>
      </c>
      <c r="B1476" s="76" t="str">
        <f>IFERROR(__xludf.DUMMYFUNCTION("""COMPUTED_VALUE"""),"Eldrazi Incursion")</f>
        <v>Eldrazi Incursion</v>
      </c>
      <c r="C1476" s="77">
        <f>IFERROR(__xludf.DUMMYFUNCTION("""COMPUTED_VALUE"""),0.0)</f>
        <v>0</v>
      </c>
      <c r="D1476" s="77">
        <f>IFERROR(__xludf.DUMMYFUNCTION("""COMPUTED_VALUE"""),0.0)</f>
        <v>0</v>
      </c>
      <c r="E1476" s="46" t="b">
        <f>IFERROR(__xludf.DUMMYFUNCTION("""COMPUTED_VALUE"""),TRUE)</f>
        <v>1</v>
      </c>
    </row>
    <row r="1477" hidden="1">
      <c r="A1477" s="76" t="str">
        <f>IFERROR(__xludf.DUMMYFUNCTION("""COMPUTED_VALUE"""),"Mutant Menace")</f>
        <v>Mutant Menace</v>
      </c>
      <c r="B1477" s="76" t="str">
        <f>IFERROR(__xludf.DUMMYFUNCTION("""COMPUTED_VALUE"""),"Eldrazi Unbound")</f>
        <v>Eldrazi Unbound</v>
      </c>
      <c r="C1477" s="77">
        <f>IFERROR(__xludf.DUMMYFUNCTION("""COMPUTED_VALUE"""),0.0)</f>
        <v>0</v>
      </c>
      <c r="D1477" s="77">
        <f>IFERROR(__xludf.DUMMYFUNCTION("""COMPUTED_VALUE"""),0.0)</f>
        <v>0</v>
      </c>
      <c r="E1477" s="46" t="b">
        <f>IFERROR(__xludf.DUMMYFUNCTION("""COMPUTED_VALUE"""),TRUE)</f>
        <v>1</v>
      </c>
    </row>
    <row r="1478" hidden="1">
      <c r="A1478" s="76" t="str">
        <f>IFERROR(__xludf.DUMMYFUNCTION("""COMPUTED_VALUE"""),"Mutant Menace")</f>
        <v>Mutant Menace</v>
      </c>
      <c r="B1478" s="76" t="str">
        <f>IFERROR(__xludf.DUMMYFUNCTION("""COMPUTED_VALUE"""),"Endless Punishment")</f>
        <v>Endless Punishment</v>
      </c>
      <c r="C1478" s="77">
        <f>IFERROR(__xludf.DUMMYFUNCTION("""COMPUTED_VALUE"""),0.0)</f>
        <v>0</v>
      </c>
      <c r="D1478" s="77">
        <f>IFERROR(__xludf.DUMMYFUNCTION("""COMPUTED_VALUE"""),0.0)</f>
        <v>0</v>
      </c>
      <c r="E1478" s="46" t="b">
        <f>IFERROR(__xludf.DUMMYFUNCTION("""COMPUTED_VALUE"""),TRUE)</f>
        <v>1</v>
      </c>
    </row>
    <row r="1479" hidden="1">
      <c r="A1479" s="76" t="str">
        <f>IFERROR(__xludf.DUMMYFUNCTION("""COMPUTED_VALUE"""),"Mutant Menace")</f>
        <v>Mutant Menace</v>
      </c>
      <c r="B1479" s="76" t="str">
        <f>IFERROR(__xludf.DUMMYFUNCTION("""COMPUTED_VALUE"""),"Enduring Enchantments")</f>
        <v>Enduring Enchantments</v>
      </c>
      <c r="C1479" s="77">
        <f>IFERROR(__xludf.DUMMYFUNCTION("""COMPUTED_VALUE"""),0.0)</f>
        <v>0</v>
      </c>
      <c r="D1479" s="77">
        <f>IFERROR(__xludf.DUMMYFUNCTION("""COMPUTED_VALUE"""),0.0)</f>
        <v>0</v>
      </c>
      <c r="E1479" s="46" t="b">
        <f>IFERROR(__xludf.DUMMYFUNCTION("""COMPUTED_VALUE"""),TRUE)</f>
        <v>1</v>
      </c>
    </row>
    <row r="1480" hidden="1">
      <c r="A1480" s="76" t="str">
        <f>IFERROR(__xludf.DUMMYFUNCTION("""COMPUTED_VALUE"""),"Mutant Menace")</f>
        <v>Mutant Menace</v>
      </c>
      <c r="B1480" s="76" t="str">
        <f>IFERROR(__xludf.DUMMYFUNCTION("""COMPUTED_VALUE"""),"Explorers of the Deep")</f>
        <v>Explorers of the Deep</v>
      </c>
      <c r="C1480" s="77">
        <f>IFERROR(__xludf.DUMMYFUNCTION("""COMPUTED_VALUE"""),0.0)</f>
        <v>0</v>
      </c>
      <c r="D1480" s="77">
        <f>IFERROR(__xludf.DUMMYFUNCTION("""COMPUTED_VALUE"""),0.0)</f>
        <v>0</v>
      </c>
      <c r="E1480" s="46" t="b">
        <f>IFERROR(__xludf.DUMMYFUNCTION("""COMPUTED_VALUE"""),TRUE)</f>
        <v>1</v>
      </c>
    </row>
    <row r="1481" hidden="1">
      <c r="A1481" s="76" t="str">
        <f>IFERROR(__xludf.DUMMYFUNCTION("""COMPUTED_VALUE"""),"Mutant Menace")</f>
        <v>Mutant Menace</v>
      </c>
      <c r="B1481" s="76" t="str">
        <f>IFERROR(__xludf.DUMMYFUNCTION("""COMPUTED_VALUE"""),"Family Matters")</f>
        <v>Family Matters</v>
      </c>
      <c r="C1481" s="77">
        <f>IFERROR(__xludf.DUMMYFUNCTION("""COMPUTED_VALUE"""),0.0)</f>
        <v>0</v>
      </c>
      <c r="D1481" s="77">
        <f>IFERROR(__xludf.DUMMYFUNCTION("""COMPUTED_VALUE"""),0.0)</f>
        <v>0</v>
      </c>
      <c r="E1481" s="46" t="b">
        <f>IFERROR(__xludf.DUMMYFUNCTION("""COMPUTED_VALUE"""),TRUE)</f>
        <v>1</v>
      </c>
    </row>
    <row r="1482" hidden="1">
      <c r="A1482" s="76" t="str">
        <f>IFERROR(__xludf.DUMMYFUNCTION("""COMPUTED_VALUE"""),"Mutant Menace")</f>
        <v>Mutant Menace</v>
      </c>
      <c r="B1482" s="76" t="str">
        <f>IFERROR(__xludf.DUMMYFUNCTION("""COMPUTED_VALUE"""),"Food and Fellowship")</f>
        <v>Food and Fellowship</v>
      </c>
      <c r="C1482" s="77">
        <f>IFERROR(__xludf.DUMMYFUNCTION("""COMPUTED_VALUE"""),0.0)</f>
        <v>0</v>
      </c>
      <c r="D1482" s="77">
        <f>IFERROR(__xludf.DUMMYFUNCTION("""COMPUTED_VALUE"""),0.0)</f>
        <v>0</v>
      </c>
      <c r="E1482" s="46" t="b">
        <f>IFERROR(__xludf.DUMMYFUNCTION("""COMPUTED_VALUE"""),TRUE)</f>
        <v>1</v>
      </c>
    </row>
    <row r="1483">
      <c r="A1483" s="76" t="str">
        <f>IFERROR(__xludf.DUMMYFUNCTION("""COMPUTED_VALUE"""),"Mutant Menace")</f>
        <v>Mutant Menace</v>
      </c>
      <c r="B1483" s="76" t="str">
        <f>IFERROR(__xludf.DUMMYFUNCTION("""COMPUTED_VALUE"""),"Jeskai Striker")</f>
        <v>Jeskai Striker</v>
      </c>
      <c r="C1483" s="77">
        <f>IFERROR(__xludf.DUMMYFUNCTION("""COMPUTED_VALUE"""),0.0)</f>
        <v>0</v>
      </c>
      <c r="D1483" s="77">
        <f>IFERROR(__xludf.DUMMYFUNCTION("""COMPUTED_VALUE"""),0.0)</f>
        <v>0</v>
      </c>
      <c r="E1483" s="46" t="b">
        <f>IFERROR(__xludf.DUMMYFUNCTION("""COMPUTED_VALUE"""),TRUE)</f>
        <v>1</v>
      </c>
    </row>
    <row r="1484" hidden="1">
      <c r="A1484" s="76" t="str">
        <f>IFERROR(__xludf.DUMMYFUNCTION("""COMPUTED_VALUE"""),"Mutant Menace")</f>
        <v>Mutant Menace</v>
      </c>
      <c r="B1484" s="76" t="str">
        <f>IFERROR(__xludf.DUMMYFUNCTION("""COMPUTED_VALUE"""),"Legends' Legacy")</f>
        <v>Legends' Legacy</v>
      </c>
      <c r="C1484" s="77">
        <f>IFERROR(__xludf.DUMMYFUNCTION("""COMPUTED_VALUE"""),0.0)</f>
        <v>0</v>
      </c>
      <c r="D1484" s="77">
        <f>IFERROR(__xludf.DUMMYFUNCTION("""COMPUTED_VALUE"""),0.0)</f>
        <v>0</v>
      </c>
      <c r="E1484" s="46" t="b">
        <f>IFERROR(__xludf.DUMMYFUNCTION("""COMPUTED_VALUE"""),TRUE)</f>
        <v>1</v>
      </c>
    </row>
    <row r="1485" hidden="1">
      <c r="A1485" s="76" t="str">
        <f>IFERROR(__xludf.DUMMYFUNCTION("""COMPUTED_VALUE"""),"Mutant Menace")</f>
        <v>Mutant Menace</v>
      </c>
      <c r="B1485" s="76" t="str">
        <f>IFERROR(__xludf.DUMMYFUNCTION("""COMPUTED_VALUE"""),"Limit Break")</f>
        <v>Limit Break</v>
      </c>
      <c r="C1485" s="77">
        <f>IFERROR(__xludf.DUMMYFUNCTION("""COMPUTED_VALUE"""),0.0)</f>
        <v>0</v>
      </c>
      <c r="D1485" s="77">
        <f>IFERROR(__xludf.DUMMYFUNCTION("""COMPUTED_VALUE"""),0.0)</f>
        <v>0</v>
      </c>
      <c r="E1485" s="46" t="b">
        <f>IFERROR(__xludf.DUMMYFUNCTION("""COMPUTED_VALUE"""),TRUE)</f>
        <v>1</v>
      </c>
    </row>
    <row r="1486" hidden="1">
      <c r="A1486" s="76" t="str">
        <f>IFERROR(__xludf.DUMMYFUNCTION("""COMPUTED_VALUE"""),"Mutant Menace")</f>
        <v>Mutant Menace</v>
      </c>
      <c r="B1486" s="76" t="str">
        <f>IFERROR(__xludf.DUMMYFUNCTION("""COMPUTED_VALUE"""),"Lorehold Spirit")</f>
        <v>Lorehold Spirit</v>
      </c>
      <c r="C1486" s="77">
        <f>IFERROR(__xludf.DUMMYFUNCTION("""COMPUTED_VALUE"""),0.0)</f>
        <v>0</v>
      </c>
      <c r="D1486" s="77">
        <f>IFERROR(__xludf.DUMMYFUNCTION("""COMPUTED_VALUE"""),1.0)</f>
        <v>1</v>
      </c>
      <c r="E1486" s="46" t="b">
        <f>IFERROR(__xludf.DUMMYFUNCTION("""COMPUTED_VALUE"""),FALSE)</f>
        <v>0</v>
      </c>
    </row>
    <row r="1487" hidden="1">
      <c r="A1487" s="76" t="str">
        <f>IFERROR(__xludf.DUMMYFUNCTION("""COMPUTED_VALUE"""),"Mutant Menace")</f>
        <v>Mutant Menace</v>
      </c>
      <c r="B1487" s="76" t="str">
        <f>IFERROR(__xludf.DUMMYFUNCTION("""COMPUTED_VALUE"""),"Mutant Menace")</f>
        <v>Mutant Menace</v>
      </c>
      <c r="C1487" s="77">
        <f>IFERROR(__xludf.DUMMYFUNCTION("""COMPUTED_VALUE"""),0.0)</f>
        <v>0</v>
      </c>
      <c r="D1487" s="77">
        <f>IFERROR(__xludf.DUMMYFUNCTION("""COMPUTED_VALUE"""),0.0)</f>
        <v>0</v>
      </c>
      <c r="E1487" s="46" t="b">
        <f>IFERROR(__xludf.DUMMYFUNCTION("""COMPUTED_VALUE"""),TRUE)</f>
        <v>1</v>
      </c>
    </row>
    <row r="1488" hidden="1">
      <c r="A1488" s="76" t="str">
        <f>IFERROR(__xludf.DUMMYFUNCTION("""COMPUTED_VALUE"""),"Mutant Menace")</f>
        <v>Mutant Menace</v>
      </c>
      <c r="B1488" s="76" t="str">
        <f>IFERROR(__xludf.DUMMYFUNCTION("""COMPUTED_VALUE"""),"Party Time")</f>
        <v>Party Time</v>
      </c>
      <c r="C1488" s="77">
        <f>IFERROR(__xludf.DUMMYFUNCTION("""COMPUTED_VALUE"""),0.0)</f>
        <v>0</v>
      </c>
      <c r="D1488" s="77">
        <f>IFERROR(__xludf.DUMMYFUNCTION("""COMPUTED_VALUE"""),0.0)</f>
        <v>0</v>
      </c>
      <c r="E1488" s="46" t="b">
        <f>IFERROR(__xludf.DUMMYFUNCTION("""COMPUTED_VALUE"""),TRUE)</f>
        <v>1</v>
      </c>
    </row>
    <row r="1489" hidden="1">
      <c r="A1489" s="76" t="str">
        <f>IFERROR(__xludf.DUMMYFUNCTION("""COMPUTED_VALUE"""),"Mutant Menace")</f>
        <v>Mutant Menace</v>
      </c>
      <c r="B1489" s="76" t="str">
        <f>IFERROR(__xludf.DUMMYFUNCTION("""COMPUTED_VALUE"""),"Peace Offering")</f>
        <v>Peace Offering</v>
      </c>
      <c r="C1489" s="77">
        <f>IFERROR(__xludf.DUMMYFUNCTION("""COMPUTED_VALUE"""),0.0)</f>
        <v>0</v>
      </c>
      <c r="D1489" s="77">
        <f>IFERROR(__xludf.DUMMYFUNCTION("""COMPUTED_VALUE"""),0.0)</f>
        <v>0</v>
      </c>
      <c r="E1489" s="46" t="b">
        <f>IFERROR(__xludf.DUMMYFUNCTION("""COMPUTED_VALUE"""),TRUE)</f>
        <v>1</v>
      </c>
    </row>
    <row r="1490" hidden="1">
      <c r="A1490" s="76" t="str">
        <f>IFERROR(__xludf.DUMMYFUNCTION("""COMPUTED_VALUE"""),"Mutant Menace")</f>
        <v>Mutant Menace</v>
      </c>
      <c r="B1490" s="76" t="str">
        <f>IFERROR(__xludf.DUMMYFUNCTION("""COMPUTED_VALUE"""),"Power Hungry")</f>
        <v>Power Hungry</v>
      </c>
      <c r="C1490" s="77">
        <f>IFERROR(__xludf.DUMMYFUNCTION("""COMPUTED_VALUE"""),0.0)</f>
        <v>0</v>
      </c>
      <c r="D1490" s="77">
        <f>IFERROR(__xludf.DUMMYFUNCTION("""COMPUTED_VALUE"""),0.0)</f>
        <v>0</v>
      </c>
      <c r="E1490" s="46" t="b">
        <f>IFERROR(__xludf.DUMMYFUNCTION("""COMPUTED_VALUE"""),TRUE)</f>
        <v>1</v>
      </c>
    </row>
    <row r="1491" hidden="1">
      <c r="A1491" s="76" t="str">
        <f>IFERROR(__xludf.DUMMYFUNCTION("""COMPUTED_VALUE"""),"Mutant Menace")</f>
        <v>Mutant Menace</v>
      </c>
      <c r="B1491" s="76" t="str">
        <f>IFERROR(__xludf.DUMMYFUNCTION("""COMPUTED_VALUE"""),"Primal Genesis")</f>
        <v>Primal Genesis</v>
      </c>
      <c r="C1491" s="77">
        <f>IFERROR(__xludf.DUMMYFUNCTION("""COMPUTED_VALUE"""),0.0)</f>
        <v>0</v>
      </c>
      <c r="D1491" s="77">
        <f>IFERROR(__xludf.DUMMYFUNCTION("""COMPUTED_VALUE"""),0.0)</f>
        <v>0</v>
      </c>
      <c r="E1491" s="46" t="b">
        <f>IFERROR(__xludf.DUMMYFUNCTION("""COMPUTED_VALUE"""),TRUE)</f>
        <v>1</v>
      </c>
    </row>
    <row r="1492" hidden="1">
      <c r="A1492" s="76" t="str">
        <f>IFERROR(__xludf.DUMMYFUNCTION("""COMPUTED_VALUE"""),"Mutant Menace")</f>
        <v>Mutant Menace</v>
      </c>
      <c r="B1492" s="76" t="str">
        <f>IFERROR(__xludf.DUMMYFUNCTION("""COMPUTED_VALUE"""),"Prismari Artistry")</f>
        <v>Prismari Artistry</v>
      </c>
      <c r="C1492" s="77">
        <f>IFERROR(__xludf.DUMMYFUNCTION("""COMPUTED_VALUE"""),0.0)</f>
        <v>0</v>
      </c>
      <c r="D1492" s="77">
        <f>IFERROR(__xludf.DUMMYFUNCTION("""COMPUTED_VALUE"""),1.0)</f>
        <v>1</v>
      </c>
      <c r="E1492" s="46" t="b">
        <f>IFERROR(__xludf.DUMMYFUNCTION("""COMPUTED_VALUE"""),FALSE)</f>
        <v>0</v>
      </c>
    </row>
    <row r="1493" hidden="1">
      <c r="A1493" s="76" t="str">
        <f>IFERROR(__xludf.DUMMYFUNCTION("""COMPUTED_VALUE"""),"Mutant Menace")</f>
        <v>Mutant Menace</v>
      </c>
      <c r="B1493" s="76" t="str">
        <f>IFERROR(__xludf.DUMMYFUNCTION("""COMPUTED_VALUE"""),"Prismari Performance")</f>
        <v>Prismari Performance</v>
      </c>
      <c r="C1493" s="77">
        <f>IFERROR(__xludf.DUMMYFUNCTION("""COMPUTED_VALUE"""),0.0)</f>
        <v>0</v>
      </c>
      <c r="D1493" s="77">
        <f>IFERROR(__xludf.DUMMYFUNCTION("""COMPUTED_VALUE"""),0.0)</f>
        <v>0</v>
      </c>
      <c r="E1493" s="46" t="b">
        <f>IFERROR(__xludf.DUMMYFUNCTION("""COMPUTED_VALUE"""),TRUE)</f>
        <v>1</v>
      </c>
    </row>
    <row r="1494" hidden="1">
      <c r="A1494" s="76" t="str">
        <f>IFERROR(__xludf.DUMMYFUNCTION("""COMPUTED_VALUE"""),"Mutant Menace")</f>
        <v>Mutant Menace</v>
      </c>
      <c r="B1494" s="76" t="str">
        <f>IFERROR(__xludf.DUMMYFUNCTION("""COMPUTED_VALUE"""),"Quandrix Unlimited")</f>
        <v>Quandrix Unlimited</v>
      </c>
      <c r="C1494" s="77">
        <f>IFERROR(__xludf.DUMMYFUNCTION("""COMPUTED_VALUE"""),0.0)</f>
        <v>0</v>
      </c>
      <c r="D1494" s="77">
        <f>IFERROR(__xludf.DUMMYFUNCTION("""COMPUTED_VALUE"""),0.0)</f>
        <v>0</v>
      </c>
      <c r="E1494" s="46" t="b">
        <f>IFERROR(__xludf.DUMMYFUNCTION("""COMPUTED_VALUE"""),TRUE)</f>
        <v>1</v>
      </c>
    </row>
    <row r="1495" hidden="1">
      <c r="A1495" s="76" t="str">
        <f>IFERROR(__xludf.DUMMYFUNCTION("""COMPUTED_VALUE"""),"Mutant Menace")</f>
        <v>Mutant Menace</v>
      </c>
      <c r="B1495" s="76" t="str">
        <f>IFERROR(__xludf.DUMMYFUNCTION("""COMPUTED_VALUE"""),"Quick Draw")</f>
        <v>Quick Draw</v>
      </c>
      <c r="C1495" s="77">
        <f>IFERROR(__xludf.DUMMYFUNCTION("""COMPUTED_VALUE"""),0.0)</f>
        <v>0</v>
      </c>
      <c r="D1495" s="77">
        <f>IFERROR(__xludf.DUMMYFUNCTION("""COMPUTED_VALUE"""),0.0)</f>
        <v>0</v>
      </c>
      <c r="E1495" s="46" t="b">
        <f>IFERROR(__xludf.DUMMYFUNCTION("""COMPUTED_VALUE"""),TRUE)</f>
        <v>1</v>
      </c>
    </row>
    <row r="1496" hidden="1">
      <c r="A1496" s="76" t="str">
        <f>IFERROR(__xludf.DUMMYFUNCTION("""COMPUTED_VALUE"""),"Mutant Menace")</f>
        <v>Mutant Menace</v>
      </c>
      <c r="B1496" s="76" t="str">
        <f>IFERROR(__xludf.DUMMYFUNCTION("""COMPUTED_VALUE"""),"Reap the Tides")</f>
        <v>Reap the Tides</v>
      </c>
      <c r="C1496" s="77">
        <f>IFERROR(__xludf.DUMMYFUNCTION("""COMPUTED_VALUE"""),0.0)</f>
        <v>0</v>
      </c>
      <c r="D1496" s="77">
        <f>IFERROR(__xludf.DUMMYFUNCTION("""COMPUTED_VALUE"""),0.0)</f>
        <v>0</v>
      </c>
      <c r="E1496" s="46" t="b">
        <f>IFERROR(__xludf.DUMMYFUNCTION("""COMPUTED_VALUE"""),TRUE)</f>
        <v>1</v>
      </c>
    </row>
    <row r="1497" hidden="1">
      <c r="A1497" s="76" t="str">
        <f>IFERROR(__xludf.DUMMYFUNCTION("""COMPUTED_VALUE"""),"Mutant Menace")</f>
        <v>Mutant Menace</v>
      </c>
      <c r="B1497" s="76" t="str">
        <f>IFERROR(__xludf.DUMMYFUNCTION("""COMPUTED_VALUE"""),"Rebellion Rising")</f>
        <v>Rebellion Rising</v>
      </c>
      <c r="C1497" s="77">
        <f>IFERROR(__xludf.DUMMYFUNCTION("""COMPUTED_VALUE"""),0.0)</f>
        <v>0</v>
      </c>
      <c r="D1497" s="77">
        <f>IFERROR(__xludf.DUMMYFUNCTION("""COMPUTED_VALUE"""),0.0)</f>
        <v>0</v>
      </c>
      <c r="E1497" s="46" t="b">
        <f>IFERROR(__xludf.DUMMYFUNCTION("""COMPUTED_VALUE"""),TRUE)</f>
        <v>1</v>
      </c>
    </row>
    <row r="1498" hidden="1">
      <c r="A1498" s="76" t="str">
        <f>IFERROR(__xludf.DUMMYFUNCTION("""COMPUTED_VALUE"""),"Mutant Menace")</f>
        <v>Mutant Menace</v>
      </c>
      <c r="B1498" s="76" t="str">
        <f>IFERROR(__xludf.DUMMYFUNCTION("""COMPUTED_VALUE"""),"Revival Trance")</f>
        <v>Revival Trance</v>
      </c>
      <c r="C1498" s="77">
        <f>IFERROR(__xludf.DUMMYFUNCTION("""COMPUTED_VALUE"""),0.0)</f>
        <v>0</v>
      </c>
      <c r="D1498" s="77">
        <f>IFERROR(__xludf.DUMMYFUNCTION("""COMPUTED_VALUE"""),0.0)</f>
        <v>0</v>
      </c>
      <c r="E1498" s="46" t="b">
        <f>IFERROR(__xludf.DUMMYFUNCTION("""COMPUTED_VALUE"""),TRUE)</f>
        <v>1</v>
      </c>
    </row>
    <row r="1499" hidden="1">
      <c r="A1499" s="76" t="str">
        <f>IFERROR(__xludf.DUMMYFUNCTION("""COMPUTED_VALUE"""),"Mutant Menace")</f>
        <v>Mutant Menace</v>
      </c>
      <c r="B1499" s="76" t="str">
        <f>IFERROR(__xludf.DUMMYFUNCTION("""COMPUTED_VALUE"""),"Riders of Rohan")</f>
        <v>Riders of Rohan</v>
      </c>
      <c r="C1499" s="77">
        <f>IFERROR(__xludf.DUMMYFUNCTION("""COMPUTED_VALUE"""),0.0)</f>
        <v>0</v>
      </c>
      <c r="D1499" s="77">
        <f>IFERROR(__xludf.DUMMYFUNCTION("""COMPUTED_VALUE"""),0.0)</f>
        <v>0</v>
      </c>
      <c r="E1499" s="46" t="b">
        <f>IFERROR(__xludf.DUMMYFUNCTION("""COMPUTED_VALUE"""),TRUE)</f>
        <v>1</v>
      </c>
    </row>
    <row r="1500" hidden="1">
      <c r="A1500" s="76" t="str">
        <f>IFERROR(__xludf.DUMMYFUNCTION("""COMPUTED_VALUE"""),"Mutant Menace")</f>
        <v>Mutant Menace</v>
      </c>
      <c r="B1500" s="76" t="str">
        <f>IFERROR(__xludf.DUMMYFUNCTION("""COMPUTED_VALUE"""),"Science!")</f>
        <v>Science!</v>
      </c>
      <c r="C1500" s="77">
        <f>IFERROR(__xludf.DUMMYFUNCTION("""COMPUTED_VALUE"""),0.0)</f>
        <v>0</v>
      </c>
      <c r="D1500" s="77">
        <f>IFERROR(__xludf.DUMMYFUNCTION("""COMPUTED_VALUE"""),0.0)</f>
        <v>0</v>
      </c>
      <c r="E1500" s="46" t="b">
        <f>IFERROR(__xludf.DUMMYFUNCTION("""COMPUTED_VALUE"""),TRUE)</f>
        <v>1</v>
      </c>
    </row>
    <row r="1501" hidden="1">
      <c r="A1501" s="76" t="str">
        <f>IFERROR(__xludf.DUMMYFUNCTION("""COMPUTED_VALUE"""),"Mutant Menace")</f>
        <v>Mutant Menace</v>
      </c>
      <c r="B1501" s="76" t="str">
        <f>IFERROR(__xludf.DUMMYFUNCTION("""COMPUTED_VALUE"""),"Scions &amp; Spellcraft")</f>
        <v>Scions &amp; Spellcraft</v>
      </c>
      <c r="C1501" s="77">
        <f>IFERROR(__xludf.DUMMYFUNCTION("""COMPUTED_VALUE"""),0.0)</f>
        <v>0</v>
      </c>
      <c r="D1501" s="77">
        <f>IFERROR(__xludf.DUMMYFUNCTION("""COMPUTED_VALUE"""),0.0)</f>
        <v>0</v>
      </c>
      <c r="E1501" s="46" t="b">
        <f>IFERROR(__xludf.DUMMYFUNCTION("""COMPUTED_VALUE"""),TRUE)</f>
        <v>1</v>
      </c>
    </row>
    <row r="1502" hidden="1">
      <c r="A1502" s="76" t="str">
        <f>IFERROR(__xludf.DUMMYFUNCTION("""COMPUTED_VALUE"""),"Mutant Menace")</f>
        <v>Mutant Menace</v>
      </c>
      <c r="B1502" s="76" t="str">
        <f>IFERROR(__xludf.DUMMYFUNCTION("""COMPUTED_VALUE"""),"Scrappy Survivors")</f>
        <v>Scrappy Survivors</v>
      </c>
      <c r="C1502" s="77">
        <f>IFERROR(__xludf.DUMMYFUNCTION("""COMPUTED_VALUE"""),0.0)</f>
        <v>0</v>
      </c>
      <c r="D1502" s="77">
        <f>IFERROR(__xludf.DUMMYFUNCTION("""COMPUTED_VALUE"""),0.0)</f>
        <v>0</v>
      </c>
      <c r="E1502" s="46" t="b">
        <f>IFERROR(__xludf.DUMMYFUNCTION("""COMPUTED_VALUE"""),TRUE)</f>
        <v>1</v>
      </c>
    </row>
    <row r="1503">
      <c r="A1503" s="76" t="str">
        <f>IFERROR(__xludf.DUMMYFUNCTION("""COMPUTED_VALUE"""),"Mutant Menace")</f>
        <v>Mutant Menace</v>
      </c>
      <c r="B1503" s="76" t="str">
        <f>IFERROR(__xludf.DUMMYFUNCTION("""COMPUTED_VALUE"""),"Silverquill Influence")</f>
        <v>Silverquill Influence</v>
      </c>
      <c r="C1503" s="77">
        <f>IFERROR(__xludf.DUMMYFUNCTION("""COMPUTED_VALUE"""),0.0)</f>
        <v>0</v>
      </c>
      <c r="D1503" s="77">
        <f>IFERROR(__xludf.DUMMYFUNCTION("""COMPUTED_VALUE"""),0.0)</f>
        <v>0</v>
      </c>
      <c r="E1503" s="46" t="b">
        <f>IFERROR(__xludf.DUMMYFUNCTION("""COMPUTED_VALUE"""),TRUE)</f>
        <v>1</v>
      </c>
    </row>
    <row r="1504" hidden="1">
      <c r="A1504" s="76" t="str">
        <f>IFERROR(__xludf.DUMMYFUNCTION("""COMPUTED_VALUE"""),"Mutant Menace")</f>
        <v>Mutant Menace</v>
      </c>
      <c r="B1504" s="76" t="str">
        <f>IFERROR(__xludf.DUMMYFUNCTION("""COMPUTED_VALUE"""),"Spirit Squadron")</f>
        <v>Spirit Squadron</v>
      </c>
      <c r="C1504" s="77">
        <f>IFERROR(__xludf.DUMMYFUNCTION("""COMPUTED_VALUE"""),0.0)</f>
        <v>0</v>
      </c>
      <c r="D1504" s="77">
        <f>IFERROR(__xludf.DUMMYFUNCTION("""COMPUTED_VALUE"""),0.0)</f>
        <v>0</v>
      </c>
      <c r="E1504" s="46" t="b">
        <f>IFERROR(__xludf.DUMMYFUNCTION("""COMPUTED_VALUE"""),TRUE)</f>
        <v>1</v>
      </c>
    </row>
    <row r="1505" hidden="1">
      <c r="A1505" s="76" t="str">
        <f>IFERROR(__xludf.DUMMYFUNCTION("""COMPUTED_VALUE"""),"Mutant Menace")</f>
        <v>Mutant Menace</v>
      </c>
      <c r="B1505" s="76" t="str">
        <f>IFERROR(__xludf.DUMMYFUNCTION("""COMPUTED_VALUE"""),"Squirreled Away")</f>
        <v>Squirreled Away</v>
      </c>
      <c r="C1505" s="77">
        <f>IFERROR(__xludf.DUMMYFUNCTION("""COMPUTED_VALUE"""),0.0)</f>
        <v>0</v>
      </c>
      <c r="D1505" s="77">
        <f>IFERROR(__xludf.DUMMYFUNCTION("""COMPUTED_VALUE"""),0.0)</f>
        <v>0</v>
      </c>
      <c r="E1505" s="46" t="b">
        <f>IFERROR(__xludf.DUMMYFUNCTION("""COMPUTED_VALUE"""),TRUE)</f>
        <v>1</v>
      </c>
    </row>
    <row r="1506" hidden="1">
      <c r="A1506" s="76" t="str">
        <f>IFERROR(__xludf.DUMMYFUNCTION("""COMPUTED_VALUE"""),"Mutant Menace")</f>
        <v>Mutant Menace</v>
      </c>
      <c r="B1506" s="76" t="str">
        <f>IFERROR(__xludf.DUMMYFUNCTION("""COMPUTED_VALUE"""),"Sultai Arisen")</f>
        <v>Sultai Arisen</v>
      </c>
      <c r="C1506" s="77">
        <f>IFERROR(__xludf.DUMMYFUNCTION("""COMPUTED_VALUE"""),0.0)</f>
        <v>0</v>
      </c>
      <c r="D1506" s="77">
        <f>IFERROR(__xludf.DUMMYFUNCTION("""COMPUTED_VALUE"""),0.0)</f>
        <v>0</v>
      </c>
      <c r="E1506" s="46" t="b">
        <f>IFERROR(__xludf.DUMMYFUNCTION("""COMPUTED_VALUE"""),TRUE)</f>
        <v>1</v>
      </c>
    </row>
    <row r="1507" hidden="1">
      <c r="A1507" s="76" t="str">
        <f>IFERROR(__xludf.DUMMYFUNCTION("""COMPUTED_VALUE"""),"Mutant Menace")</f>
        <v>Mutant Menace</v>
      </c>
      <c r="B1507" s="76" t="str">
        <f>IFERROR(__xludf.DUMMYFUNCTION("""COMPUTED_VALUE"""),"Temur Roar")</f>
        <v>Temur Roar</v>
      </c>
      <c r="C1507" s="77">
        <f>IFERROR(__xludf.DUMMYFUNCTION("""COMPUTED_VALUE"""),0.0)</f>
        <v>0</v>
      </c>
      <c r="D1507" s="77">
        <f>IFERROR(__xludf.DUMMYFUNCTION("""COMPUTED_VALUE"""),0.0)</f>
        <v>0</v>
      </c>
      <c r="E1507" s="46" t="b">
        <f>IFERROR(__xludf.DUMMYFUNCTION("""COMPUTED_VALUE"""),TRUE)</f>
        <v>1</v>
      </c>
    </row>
    <row r="1508" hidden="1">
      <c r="A1508" s="76" t="str">
        <f>IFERROR(__xludf.DUMMYFUNCTION("""COMPUTED_VALUE"""),"Mutant Menace")</f>
        <v>Mutant Menace</v>
      </c>
      <c r="B1508" s="76" t="str">
        <f>IFERROR(__xludf.DUMMYFUNCTION("""COMPUTED_VALUE"""),"The Hosts of Mordor")</f>
        <v>The Hosts of Mordor</v>
      </c>
      <c r="C1508" s="77">
        <f>IFERROR(__xludf.DUMMYFUNCTION("""COMPUTED_VALUE"""),0.0)</f>
        <v>0</v>
      </c>
      <c r="D1508" s="77">
        <f>IFERROR(__xludf.DUMMYFUNCTION("""COMPUTED_VALUE"""),0.0)</f>
        <v>0</v>
      </c>
      <c r="E1508" s="46" t="b">
        <f>IFERROR(__xludf.DUMMYFUNCTION("""COMPUTED_VALUE"""),TRUE)</f>
        <v>1</v>
      </c>
    </row>
    <row r="1509" hidden="1">
      <c r="A1509" s="76" t="str">
        <f>IFERROR(__xludf.DUMMYFUNCTION("""COMPUTED_VALUE"""),"Mutant Menace")</f>
        <v>Mutant Menace</v>
      </c>
      <c r="B1509" s="76" t="str">
        <f>IFERROR(__xludf.DUMMYFUNCTION("""COMPUTED_VALUE"""),"The Ruinous Powers")</f>
        <v>The Ruinous Powers</v>
      </c>
      <c r="C1509" s="77">
        <f>IFERROR(__xludf.DUMMYFUNCTION("""COMPUTED_VALUE"""),0.0)</f>
        <v>0</v>
      </c>
      <c r="D1509" s="77">
        <f>IFERROR(__xludf.DUMMYFUNCTION("""COMPUTED_VALUE"""),0.0)</f>
        <v>0</v>
      </c>
      <c r="E1509" s="46" t="b">
        <f>IFERROR(__xludf.DUMMYFUNCTION("""COMPUTED_VALUE"""),TRUE)</f>
        <v>1</v>
      </c>
    </row>
    <row r="1510" hidden="1">
      <c r="A1510" s="76" t="str">
        <f>IFERROR(__xludf.DUMMYFUNCTION("""COMPUTED_VALUE"""),"Mutant Menace")</f>
        <v>Mutant Menace</v>
      </c>
      <c r="B1510" s="76" t="str">
        <f>IFERROR(__xludf.DUMMYFUNCTION("""COMPUTED_VALUE"""),"Timey-Wimey")</f>
        <v>Timey-Wimey</v>
      </c>
      <c r="C1510" s="77">
        <f>IFERROR(__xludf.DUMMYFUNCTION("""COMPUTED_VALUE"""),0.0)</f>
        <v>0</v>
      </c>
      <c r="D1510" s="77">
        <f>IFERROR(__xludf.DUMMYFUNCTION("""COMPUTED_VALUE"""),0.0)</f>
        <v>0</v>
      </c>
      <c r="E1510" s="46" t="b">
        <f>IFERROR(__xludf.DUMMYFUNCTION("""COMPUTED_VALUE"""),TRUE)</f>
        <v>1</v>
      </c>
    </row>
    <row r="1511" hidden="1">
      <c r="A1511" s="76" t="str">
        <f>IFERROR(__xludf.DUMMYFUNCTION("""COMPUTED_VALUE"""),"Mutant Menace")</f>
        <v>Mutant Menace</v>
      </c>
      <c r="B1511" s="76" t="str">
        <f>IFERROR(__xludf.DUMMYFUNCTION("""COMPUTED_VALUE"""),"Tinker Time")</f>
        <v>Tinker Time</v>
      </c>
      <c r="C1511" s="77">
        <f>IFERROR(__xludf.DUMMYFUNCTION("""COMPUTED_VALUE"""),0.0)</f>
        <v>0</v>
      </c>
      <c r="D1511" s="77">
        <f>IFERROR(__xludf.DUMMYFUNCTION("""COMPUTED_VALUE"""),0.0)</f>
        <v>0</v>
      </c>
      <c r="E1511" s="46" t="b">
        <f>IFERROR(__xludf.DUMMYFUNCTION("""COMPUTED_VALUE"""),TRUE)</f>
        <v>1</v>
      </c>
    </row>
    <row r="1512" hidden="1">
      <c r="A1512" s="76" t="str">
        <f>IFERROR(__xludf.DUMMYFUNCTION("""COMPUTED_VALUE"""),"Mutant Menace")</f>
        <v>Mutant Menace</v>
      </c>
      <c r="B1512" s="76" t="str">
        <f>IFERROR(__xludf.DUMMYFUNCTION("""COMPUTED_VALUE"""),"Turtle Power!")</f>
        <v>Turtle Power!</v>
      </c>
      <c r="C1512" s="77">
        <f>IFERROR(__xludf.DUMMYFUNCTION("""COMPUTED_VALUE"""),0.0)</f>
        <v>0</v>
      </c>
      <c r="D1512" s="77">
        <f>IFERROR(__xludf.DUMMYFUNCTION("""COMPUTED_VALUE"""),0.0)</f>
        <v>0</v>
      </c>
      <c r="E1512" s="46" t="b">
        <f>IFERROR(__xludf.DUMMYFUNCTION("""COMPUTED_VALUE"""),TRUE)</f>
        <v>1</v>
      </c>
    </row>
    <row r="1513" hidden="1">
      <c r="A1513" s="76" t="str">
        <f>IFERROR(__xludf.DUMMYFUNCTION("""COMPUTED_VALUE"""),"Mutant Menace")</f>
        <v>Mutant Menace</v>
      </c>
      <c r="B1513" s="76" t="str">
        <f>IFERROR(__xludf.DUMMYFUNCTION("""COMPUTED_VALUE"""),"Veloci-ramp-tor")</f>
        <v>Veloci-ramp-tor</v>
      </c>
      <c r="C1513" s="77">
        <f>IFERROR(__xludf.DUMMYFUNCTION("""COMPUTED_VALUE"""),0.0)</f>
        <v>0</v>
      </c>
      <c r="D1513" s="77">
        <f>IFERROR(__xludf.DUMMYFUNCTION("""COMPUTED_VALUE"""),0.0)</f>
        <v>0</v>
      </c>
      <c r="E1513" s="46" t="b">
        <f>IFERROR(__xludf.DUMMYFUNCTION("""COMPUTED_VALUE"""),TRUE)</f>
        <v>1</v>
      </c>
    </row>
    <row r="1514" hidden="1">
      <c r="A1514" s="76" t="str">
        <f>IFERROR(__xludf.DUMMYFUNCTION("""COMPUTED_VALUE"""),"Party Time")</f>
        <v>Party Time</v>
      </c>
      <c r="B1514" s="76" t="str">
        <f>IFERROR(__xludf.DUMMYFUNCTION("""COMPUTED_VALUE"""),"Ahoy Mateys")</f>
        <v>Ahoy Mateys</v>
      </c>
      <c r="C1514" s="77">
        <f>IFERROR(__xludf.DUMMYFUNCTION("""COMPUTED_VALUE"""),0.0)</f>
        <v>0</v>
      </c>
      <c r="D1514" s="77">
        <f>IFERROR(__xludf.DUMMYFUNCTION("""COMPUTED_VALUE"""),0.0)</f>
        <v>0</v>
      </c>
      <c r="E1514" s="46" t="b">
        <f>IFERROR(__xludf.DUMMYFUNCTION("""COMPUTED_VALUE"""),TRUE)</f>
        <v>1</v>
      </c>
    </row>
    <row r="1515" hidden="1">
      <c r="A1515" s="76" t="str">
        <f>IFERROR(__xludf.DUMMYFUNCTION("""COMPUTED_VALUE"""),"Party Time")</f>
        <v>Party Time</v>
      </c>
      <c r="B1515" s="76" t="str">
        <f>IFERROR(__xludf.DUMMYFUNCTION("""COMPUTED_VALUE"""),"Animated Army")</f>
        <v>Animated Army</v>
      </c>
      <c r="C1515" s="77">
        <f>IFERROR(__xludf.DUMMYFUNCTION("""COMPUTED_VALUE"""),0.0)</f>
        <v>0</v>
      </c>
      <c r="D1515" s="77">
        <f>IFERROR(__xludf.DUMMYFUNCTION("""COMPUTED_VALUE"""),0.0)</f>
        <v>0</v>
      </c>
      <c r="E1515" s="46" t="b">
        <f>IFERROR(__xludf.DUMMYFUNCTION("""COMPUTED_VALUE"""),TRUE)</f>
        <v>1</v>
      </c>
    </row>
    <row r="1516" hidden="1">
      <c r="A1516" s="76" t="str">
        <f>IFERROR(__xludf.DUMMYFUNCTION("""COMPUTED_VALUE"""),"Party Time")</f>
        <v>Party Time</v>
      </c>
      <c r="B1516" s="76" t="str">
        <f>IFERROR(__xludf.DUMMYFUNCTION("""COMPUTED_VALUE"""),"Arcane Maelstrom")</f>
        <v>Arcane Maelstrom</v>
      </c>
      <c r="C1516" s="77">
        <f>IFERROR(__xludf.DUMMYFUNCTION("""COMPUTED_VALUE"""),0.0)</f>
        <v>0</v>
      </c>
      <c r="D1516" s="77">
        <f>IFERROR(__xludf.DUMMYFUNCTION("""COMPUTED_VALUE"""),0.0)</f>
        <v>0</v>
      </c>
      <c r="E1516" s="46" t="b">
        <f>IFERROR(__xludf.DUMMYFUNCTION("""COMPUTED_VALUE"""),TRUE)</f>
        <v>1</v>
      </c>
    </row>
    <row r="1517" hidden="1">
      <c r="A1517" s="76" t="str">
        <f>IFERROR(__xludf.DUMMYFUNCTION("""COMPUTED_VALUE"""),"Party Time")</f>
        <v>Party Time</v>
      </c>
      <c r="B1517" s="76" t="str">
        <f>IFERROR(__xludf.DUMMYFUNCTION("""COMPUTED_VALUE"""),"Blame Game")</f>
        <v>Blame Game</v>
      </c>
      <c r="C1517" s="77">
        <f>IFERROR(__xludf.DUMMYFUNCTION("""COMPUTED_VALUE"""),0.0)</f>
        <v>0</v>
      </c>
      <c r="D1517" s="77">
        <f>IFERROR(__xludf.DUMMYFUNCTION("""COMPUTED_VALUE"""),0.0)</f>
        <v>0</v>
      </c>
      <c r="E1517" s="46" t="b">
        <f>IFERROR(__xludf.DUMMYFUNCTION("""COMPUTED_VALUE"""),TRUE)</f>
        <v>1</v>
      </c>
    </row>
    <row r="1518" hidden="1">
      <c r="A1518" s="76" t="str">
        <f>IFERROR(__xludf.DUMMYFUNCTION("""COMPUTED_VALUE"""),"Party Time")</f>
        <v>Party Time</v>
      </c>
      <c r="B1518" s="76" t="str">
        <f>IFERROR(__xludf.DUMMYFUNCTION("""COMPUTED_VALUE"""),"Blight Curse")</f>
        <v>Blight Curse</v>
      </c>
      <c r="C1518" s="77">
        <f>IFERROR(__xludf.DUMMYFUNCTION("""COMPUTED_VALUE"""),0.0)</f>
        <v>0</v>
      </c>
      <c r="D1518" s="77">
        <f>IFERROR(__xludf.DUMMYFUNCTION("""COMPUTED_VALUE"""),0.0)</f>
        <v>0</v>
      </c>
      <c r="E1518" s="46" t="b">
        <f>IFERROR(__xludf.DUMMYFUNCTION("""COMPUTED_VALUE"""),TRUE)</f>
        <v>1</v>
      </c>
    </row>
    <row r="1519" hidden="1">
      <c r="A1519" s="76" t="str">
        <f>IFERROR(__xludf.DUMMYFUNCTION("""COMPUTED_VALUE"""),"Party Time")</f>
        <v>Party Time</v>
      </c>
      <c r="B1519" s="76" t="str">
        <f>IFERROR(__xludf.DUMMYFUNCTION("""COMPUTED_VALUE"""),"Blood Rites")</f>
        <v>Blood Rites</v>
      </c>
      <c r="C1519" s="77">
        <f>IFERROR(__xludf.DUMMYFUNCTION("""COMPUTED_VALUE"""),0.0)</f>
        <v>0</v>
      </c>
      <c r="D1519" s="77">
        <f>IFERROR(__xludf.DUMMYFUNCTION("""COMPUTED_VALUE"""),0.0)</f>
        <v>0</v>
      </c>
      <c r="E1519" s="46" t="b">
        <f>IFERROR(__xludf.DUMMYFUNCTION("""COMPUTED_VALUE"""),TRUE)</f>
        <v>1</v>
      </c>
    </row>
    <row r="1520" hidden="1">
      <c r="A1520" s="76" t="str">
        <f>IFERROR(__xludf.DUMMYFUNCTION("""COMPUTED_VALUE"""),"Party Time")</f>
        <v>Party Time</v>
      </c>
      <c r="B1520" s="76" t="str">
        <f>IFERROR(__xludf.DUMMYFUNCTION("""COMPUTED_VALUE"""),"Buckle Up")</f>
        <v>Buckle Up</v>
      </c>
      <c r="C1520" s="77">
        <f>IFERROR(__xludf.DUMMYFUNCTION("""COMPUTED_VALUE"""),0.0)</f>
        <v>0</v>
      </c>
      <c r="D1520" s="77">
        <f>IFERROR(__xludf.DUMMYFUNCTION("""COMPUTED_VALUE"""),0.0)</f>
        <v>0</v>
      </c>
      <c r="E1520" s="46" t="b">
        <f>IFERROR(__xludf.DUMMYFUNCTION("""COMPUTED_VALUE"""),TRUE)</f>
        <v>1</v>
      </c>
    </row>
    <row r="1521" hidden="1">
      <c r="A1521" s="76" t="str">
        <f>IFERROR(__xludf.DUMMYFUNCTION("""COMPUTED_VALUE"""),"Party Time")</f>
        <v>Party Time</v>
      </c>
      <c r="B1521" s="76" t="str">
        <f>IFERROR(__xludf.DUMMYFUNCTION("""COMPUTED_VALUE"""),"Cabaretti Cacophony")</f>
        <v>Cabaretti Cacophony</v>
      </c>
      <c r="C1521" s="77">
        <f>IFERROR(__xludf.DUMMYFUNCTION("""COMPUTED_VALUE"""),0.0)</f>
        <v>0</v>
      </c>
      <c r="D1521" s="77">
        <f>IFERROR(__xludf.DUMMYFUNCTION("""COMPUTED_VALUE"""),0.0)</f>
        <v>0</v>
      </c>
      <c r="E1521" s="46" t="b">
        <f>IFERROR(__xludf.DUMMYFUNCTION("""COMPUTED_VALUE"""),TRUE)</f>
        <v>1</v>
      </c>
    </row>
    <row r="1522" hidden="1">
      <c r="A1522" s="76" t="str">
        <f>IFERROR(__xludf.DUMMYFUNCTION("""COMPUTED_VALUE"""),"Party Time")</f>
        <v>Party Time</v>
      </c>
      <c r="B1522" s="76" t="str">
        <f>IFERROR(__xludf.DUMMYFUNCTION("""COMPUTED_VALUE"""),"Cavalry Charge")</f>
        <v>Cavalry Charge</v>
      </c>
      <c r="C1522" s="77">
        <f>IFERROR(__xludf.DUMMYFUNCTION("""COMPUTED_VALUE"""),0.0)</f>
        <v>0</v>
      </c>
      <c r="D1522" s="77">
        <f>IFERROR(__xludf.DUMMYFUNCTION("""COMPUTED_VALUE"""),0.0)</f>
        <v>0</v>
      </c>
      <c r="E1522" s="46" t="b">
        <f>IFERROR(__xludf.DUMMYFUNCTION("""COMPUTED_VALUE"""),TRUE)</f>
        <v>1</v>
      </c>
    </row>
    <row r="1523" hidden="1">
      <c r="A1523" s="76" t="str">
        <f>IFERROR(__xludf.DUMMYFUNCTION("""COMPUTED_VALUE"""),"Party Time")</f>
        <v>Party Time</v>
      </c>
      <c r="B1523" s="76" t="str">
        <f>IFERROR(__xludf.DUMMYFUNCTION("""COMPUTED_VALUE"""),"Corrupting Influence")</f>
        <v>Corrupting Influence</v>
      </c>
      <c r="C1523" s="77">
        <f>IFERROR(__xludf.DUMMYFUNCTION("""COMPUTED_VALUE"""),0.0)</f>
        <v>0</v>
      </c>
      <c r="D1523" s="77">
        <f>IFERROR(__xludf.DUMMYFUNCTION("""COMPUTED_VALUE"""),0.0)</f>
        <v>0</v>
      </c>
      <c r="E1523" s="46" t="b">
        <f>IFERROR(__xludf.DUMMYFUNCTION("""COMPUTED_VALUE"""),TRUE)</f>
        <v>1</v>
      </c>
    </row>
    <row r="1524" hidden="1">
      <c r="A1524" s="76" t="str">
        <f>IFERROR(__xludf.DUMMYFUNCTION("""COMPUTED_VALUE"""),"Party Time")</f>
        <v>Party Time</v>
      </c>
      <c r="B1524" s="76" t="str">
        <f>IFERROR(__xludf.DUMMYFUNCTION("""COMPUTED_VALUE"""),"Counter Blitz")</f>
        <v>Counter Blitz</v>
      </c>
      <c r="C1524" s="77">
        <f>IFERROR(__xludf.DUMMYFUNCTION("""COMPUTED_VALUE"""),0.0)</f>
        <v>0</v>
      </c>
      <c r="D1524" s="77">
        <f>IFERROR(__xludf.DUMMYFUNCTION("""COMPUTED_VALUE"""),0.0)</f>
        <v>0</v>
      </c>
      <c r="E1524" s="46" t="b">
        <f>IFERROR(__xludf.DUMMYFUNCTION("""COMPUTED_VALUE"""),TRUE)</f>
        <v>1</v>
      </c>
    </row>
    <row r="1525" hidden="1">
      <c r="A1525" s="76" t="str">
        <f>IFERROR(__xludf.DUMMYFUNCTION("""COMPUTED_VALUE"""),"Party Time")</f>
        <v>Party Time</v>
      </c>
      <c r="B1525" s="76" t="str">
        <f>IFERROR(__xludf.DUMMYFUNCTION("""COMPUTED_VALUE"""),"Counter Intelligence")</f>
        <v>Counter Intelligence</v>
      </c>
      <c r="C1525" s="77">
        <f>IFERROR(__xludf.DUMMYFUNCTION("""COMPUTED_VALUE"""),0.0)</f>
        <v>0</v>
      </c>
      <c r="D1525" s="77">
        <f>IFERROR(__xludf.DUMMYFUNCTION("""COMPUTED_VALUE"""),0.0)</f>
        <v>0</v>
      </c>
      <c r="E1525" s="46" t="b">
        <f>IFERROR(__xludf.DUMMYFUNCTION("""COMPUTED_VALUE"""),TRUE)</f>
        <v>1</v>
      </c>
    </row>
    <row r="1526" hidden="1">
      <c r="A1526" s="76" t="str">
        <f>IFERROR(__xludf.DUMMYFUNCTION("""COMPUTED_VALUE"""),"Party Time")</f>
        <v>Party Time</v>
      </c>
      <c r="B1526" s="76" t="str">
        <f>IFERROR(__xludf.DUMMYFUNCTION("""COMPUTED_VALUE"""),"Creative Energy")</f>
        <v>Creative Energy</v>
      </c>
      <c r="C1526" s="77">
        <f>IFERROR(__xludf.DUMMYFUNCTION("""COMPUTED_VALUE"""),1.0)</f>
        <v>1</v>
      </c>
      <c r="D1526" s="77">
        <f>IFERROR(__xludf.DUMMYFUNCTION("""COMPUTED_VALUE"""),0.0)</f>
        <v>0</v>
      </c>
      <c r="E1526" s="46" t="b">
        <f>IFERROR(__xludf.DUMMYFUNCTION("""COMPUTED_VALUE"""),FALSE)</f>
        <v>0</v>
      </c>
    </row>
    <row r="1527" hidden="1">
      <c r="A1527" s="76" t="str">
        <f>IFERROR(__xludf.DUMMYFUNCTION("""COMPUTED_VALUE"""),"Party Time")</f>
        <v>Party Time</v>
      </c>
      <c r="B1527" s="76" t="str">
        <f>IFERROR(__xludf.DUMMYFUNCTION("""COMPUTED_VALUE"""),"Dance of the Elements")</f>
        <v>Dance of the Elements</v>
      </c>
      <c r="C1527" s="77">
        <f>IFERROR(__xludf.DUMMYFUNCTION("""COMPUTED_VALUE"""),0.0)</f>
        <v>0</v>
      </c>
      <c r="D1527" s="77">
        <f>IFERROR(__xludf.DUMMYFUNCTION("""COMPUTED_VALUE"""),0.0)</f>
        <v>0</v>
      </c>
      <c r="E1527" s="46" t="b">
        <f>IFERROR(__xludf.DUMMYFUNCTION("""COMPUTED_VALUE"""),TRUE)</f>
        <v>1</v>
      </c>
    </row>
    <row r="1528" hidden="1">
      <c r="A1528" s="76" t="str">
        <f>IFERROR(__xludf.DUMMYFUNCTION("""COMPUTED_VALUE"""),"Party Time")</f>
        <v>Party Time</v>
      </c>
      <c r="B1528" s="76" t="str">
        <f>IFERROR(__xludf.DUMMYFUNCTION("""COMPUTED_VALUE"""),"Deep Clue Sea")</f>
        <v>Deep Clue Sea</v>
      </c>
      <c r="C1528" s="77">
        <f>IFERROR(__xludf.DUMMYFUNCTION("""COMPUTED_VALUE"""),0.0)</f>
        <v>0</v>
      </c>
      <c r="D1528" s="77">
        <f>IFERROR(__xludf.DUMMYFUNCTION("""COMPUTED_VALUE"""),0.0)</f>
        <v>0</v>
      </c>
      <c r="E1528" s="46" t="b">
        <f>IFERROR(__xludf.DUMMYFUNCTION("""COMPUTED_VALUE"""),TRUE)</f>
        <v>1</v>
      </c>
    </row>
    <row r="1529" hidden="1">
      <c r="A1529" s="76" t="str">
        <f>IFERROR(__xludf.DUMMYFUNCTION("""COMPUTED_VALUE"""),"Party Time")</f>
        <v>Party Time</v>
      </c>
      <c r="B1529" s="76" t="str">
        <f>IFERROR(__xludf.DUMMYFUNCTION("""COMPUTED_VALUE"""),"Doom Prevails")</f>
        <v>Doom Prevails</v>
      </c>
      <c r="C1529" s="77">
        <f>IFERROR(__xludf.DUMMYFUNCTION("""COMPUTED_VALUE"""),0.0)</f>
        <v>0</v>
      </c>
      <c r="D1529" s="77">
        <f>IFERROR(__xludf.DUMMYFUNCTION("""COMPUTED_VALUE"""),0.0)</f>
        <v>0</v>
      </c>
      <c r="E1529" s="46" t="b">
        <f>IFERROR(__xludf.DUMMYFUNCTION("""COMPUTED_VALUE"""),TRUE)</f>
        <v>1</v>
      </c>
    </row>
    <row r="1530" hidden="1">
      <c r="A1530" s="76" t="str">
        <f>IFERROR(__xludf.DUMMYFUNCTION("""COMPUTED_VALUE"""),"Party Time")</f>
        <v>Party Time</v>
      </c>
      <c r="B1530" s="76" t="str">
        <f>IFERROR(__xludf.DUMMYFUNCTION("""COMPUTED_VALUE"""),"Eldrazi Incursion")</f>
        <v>Eldrazi Incursion</v>
      </c>
      <c r="C1530" s="77">
        <f>IFERROR(__xludf.DUMMYFUNCTION("""COMPUTED_VALUE"""),0.0)</f>
        <v>0</v>
      </c>
      <c r="D1530" s="77">
        <f>IFERROR(__xludf.DUMMYFUNCTION("""COMPUTED_VALUE"""),0.0)</f>
        <v>0</v>
      </c>
      <c r="E1530" s="46" t="b">
        <f>IFERROR(__xludf.DUMMYFUNCTION("""COMPUTED_VALUE"""),TRUE)</f>
        <v>1</v>
      </c>
    </row>
    <row r="1531" hidden="1">
      <c r="A1531" s="76" t="str">
        <f>IFERROR(__xludf.DUMMYFUNCTION("""COMPUTED_VALUE"""),"Party Time")</f>
        <v>Party Time</v>
      </c>
      <c r="B1531" s="76" t="str">
        <f>IFERROR(__xludf.DUMMYFUNCTION("""COMPUTED_VALUE"""),"Eldrazi Unbound")</f>
        <v>Eldrazi Unbound</v>
      </c>
      <c r="C1531" s="77">
        <f>IFERROR(__xludf.DUMMYFUNCTION("""COMPUTED_VALUE"""),0.0)</f>
        <v>0</v>
      </c>
      <c r="D1531" s="77">
        <f>IFERROR(__xludf.DUMMYFUNCTION("""COMPUTED_VALUE"""),0.0)</f>
        <v>0</v>
      </c>
      <c r="E1531" s="46" t="b">
        <f>IFERROR(__xludf.DUMMYFUNCTION("""COMPUTED_VALUE"""),TRUE)</f>
        <v>1</v>
      </c>
    </row>
    <row r="1532" hidden="1">
      <c r="A1532" s="76" t="str">
        <f>IFERROR(__xludf.DUMMYFUNCTION("""COMPUTED_VALUE"""),"Party Time")</f>
        <v>Party Time</v>
      </c>
      <c r="B1532" s="76" t="str">
        <f>IFERROR(__xludf.DUMMYFUNCTION("""COMPUTED_VALUE"""),"Endless Punishment")</f>
        <v>Endless Punishment</v>
      </c>
      <c r="C1532" s="77">
        <f>IFERROR(__xludf.DUMMYFUNCTION("""COMPUTED_VALUE"""),0.0)</f>
        <v>0</v>
      </c>
      <c r="D1532" s="77">
        <f>IFERROR(__xludf.DUMMYFUNCTION("""COMPUTED_VALUE"""),0.0)</f>
        <v>0</v>
      </c>
      <c r="E1532" s="46" t="b">
        <f>IFERROR(__xludf.DUMMYFUNCTION("""COMPUTED_VALUE"""),TRUE)</f>
        <v>1</v>
      </c>
    </row>
    <row r="1533" hidden="1">
      <c r="A1533" s="76" t="str">
        <f>IFERROR(__xludf.DUMMYFUNCTION("""COMPUTED_VALUE"""),"Party Time")</f>
        <v>Party Time</v>
      </c>
      <c r="B1533" s="76" t="str">
        <f>IFERROR(__xludf.DUMMYFUNCTION("""COMPUTED_VALUE"""),"Enduring Enchantments")</f>
        <v>Enduring Enchantments</v>
      </c>
      <c r="C1533" s="77">
        <f>IFERROR(__xludf.DUMMYFUNCTION("""COMPUTED_VALUE"""),0.0)</f>
        <v>0</v>
      </c>
      <c r="D1533" s="77">
        <f>IFERROR(__xludf.DUMMYFUNCTION("""COMPUTED_VALUE"""),0.0)</f>
        <v>0</v>
      </c>
      <c r="E1533" s="46" t="b">
        <f>IFERROR(__xludf.DUMMYFUNCTION("""COMPUTED_VALUE"""),TRUE)</f>
        <v>1</v>
      </c>
    </row>
    <row r="1534" hidden="1">
      <c r="A1534" s="76" t="str">
        <f>IFERROR(__xludf.DUMMYFUNCTION("""COMPUTED_VALUE"""),"Party Time")</f>
        <v>Party Time</v>
      </c>
      <c r="B1534" s="76" t="str">
        <f>IFERROR(__xludf.DUMMYFUNCTION("""COMPUTED_VALUE"""),"Explorers of the Deep")</f>
        <v>Explorers of the Deep</v>
      </c>
      <c r="C1534" s="77">
        <f>IFERROR(__xludf.DUMMYFUNCTION("""COMPUTED_VALUE"""),0.0)</f>
        <v>0</v>
      </c>
      <c r="D1534" s="77">
        <f>IFERROR(__xludf.DUMMYFUNCTION("""COMPUTED_VALUE"""),0.0)</f>
        <v>0</v>
      </c>
      <c r="E1534" s="46" t="b">
        <f>IFERROR(__xludf.DUMMYFUNCTION("""COMPUTED_VALUE"""),TRUE)</f>
        <v>1</v>
      </c>
    </row>
    <row r="1535" hidden="1">
      <c r="A1535" s="76" t="str">
        <f>IFERROR(__xludf.DUMMYFUNCTION("""COMPUTED_VALUE"""),"Party Time")</f>
        <v>Party Time</v>
      </c>
      <c r="B1535" s="76" t="str">
        <f>IFERROR(__xludf.DUMMYFUNCTION("""COMPUTED_VALUE"""),"Family Matters")</f>
        <v>Family Matters</v>
      </c>
      <c r="C1535" s="77">
        <f>IFERROR(__xludf.DUMMYFUNCTION("""COMPUTED_VALUE"""),1.0)</f>
        <v>1</v>
      </c>
      <c r="D1535" s="77">
        <f>IFERROR(__xludf.DUMMYFUNCTION("""COMPUTED_VALUE"""),0.0)</f>
        <v>0</v>
      </c>
      <c r="E1535" s="46" t="b">
        <f>IFERROR(__xludf.DUMMYFUNCTION("""COMPUTED_VALUE"""),FALSE)</f>
        <v>0</v>
      </c>
    </row>
    <row r="1536" hidden="1">
      <c r="A1536" s="76" t="str">
        <f>IFERROR(__xludf.DUMMYFUNCTION("""COMPUTED_VALUE"""),"Party Time")</f>
        <v>Party Time</v>
      </c>
      <c r="B1536" s="76" t="str">
        <f>IFERROR(__xludf.DUMMYFUNCTION("""COMPUTED_VALUE"""),"Food and Fellowship")</f>
        <v>Food and Fellowship</v>
      </c>
      <c r="C1536" s="77">
        <f>IFERROR(__xludf.DUMMYFUNCTION("""COMPUTED_VALUE"""),0.0)</f>
        <v>0</v>
      </c>
      <c r="D1536" s="77">
        <f>IFERROR(__xludf.DUMMYFUNCTION("""COMPUTED_VALUE"""),0.0)</f>
        <v>0</v>
      </c>
      <c r="E1536" s="46" t="b">
        <f>IFERROR(__xludf.DUMMYFUNCTION("""COMPUTED_VALUE"""),TRUE)</f>
        <v>1</v>
      </c>
    </row>
    <row r="1537" hidden="1">
      <c r="A1537" s="76" t="str">
        <f>IFERROR(__xludf.DUMMYFUNCTION("""COMPUTED_VALUE"""),"Party Time")</f>
        <v>Party Time</v>
      </c>
      <c r="B1537" s="76" t="str">
        <f>IFERROR(__xludf.DUMMYFUNCTION("""COMPUTED_VALUE"""),"Jeskai Striker")</f>
        <v>Jeskai Striker</v>
      </c>
      <c r="C1537" s="77">
        <f>IFERROR(__xludf.DUMMYFUNCTION("""COMPUTED_VALUE"""),0.0)</f>
        <v>0</v>
      </c>
      <c r="D1537" s="77">
        <f>IFERROR(__xludf.DUMMYFUNCTION("""COMPUTED_VALUE"""),0.0)</f>
        <v>0</v>
      </c>
      <c r="E1537" s="46" t="b">
        <f>IFERROR(__xludf.DUMMYFUNCTION("""COMPUTED_VALUE"""),TRUE)</f>
        <v>1</v>
      </c>
    </row>
    <row r="1538" hidden="1">
      <c r="A1538" s="76" t="str">
        <f>IFERROR(__xludf.DUMMYFUNCTION("""COMPUTED_VALUE"""),"Party Time")</f>
        <v>Party Time</v>
      </c>
      <c r="B1538" s="76" t="str">
        <f>IFERROR(__xludf.DUMMYFUNCTION("""COMPUTED_VALUE"""),"Legends' Legacy")</f>
        <v>Legends' Legacy</v>
      </c>
      <c r="C1538" s="77">
        <f>IFERROR(__xludf.DUMMYFUNCTION("""COMPUTED_VALUE"""),0.0)</f>
        <v>0</v>
      </c>
      <c r="D1538" s="77">
        <f>IFERROR(__xludf.DUMMYFUNCTION("""COMPUTED_VALUE"""),0.0)</f>
        <v>0</v>
      </c>
      <c r="E1538" s="46" t="b">
        <f>IFERROR(__xludf.DUMMYFUNCTION("""COMPUTED_VALUE"""),TRUE)</f>
        <v>1</v>
      </c>
    </row>
    <row r="1539" hidden="1">
      <c r="A1539" s="76" t="str">
        <f>IFERROR(__xludf.DUMMYFUNCTION("""COMPUTED_VALUE"""),"Party Time")</f>
        <v>Party Time</v>
      </c>
      <c r="B1539" s="76" t="str">
        <f>IFERROR(__xludf.DUMMYFUNCTION("""COMPUTED_VALUE"""),"Limit Break")</f>
        <v>Limit Break</v>
      </c>
      <c r="C1539" s="77">
        <f>IFERROR(__xludf.DUMMYFUNCTION("""COMPUTED_VALUE"""),1.0)</f>
        <v>1</v>
      </c>
      <c r="D1539" s="77">
        <f>IFERROR(__xludf.DUMMYFUNCTION("""COMPUTED_VALUE"""),0.0)</f>
        <v>0</v>
      </c>
      <c r="E1539" s="46" t="b">
        <f>IFERROR(__xludf.DUMMYFUNCTION("""COMPUTED_VALUE"""),FALSE)</f>
        <v>0</v>
      </c>
    </row>
    <row r="1540" hidden="1">
      <c r="A1540" s="76" t="str">
        <f>IFERROR(__xludf.DUMMYFUNCTION("""COMPUTED_VALUE"""),"Party Time")</f>
        <v>Party Time</v>
      </c>
      <c r="B1540" s="76" t="str">
        <f>IFERROR(__xludf.DUMMYFUNCTION("""COMPUTED_VALUE"""),"Lorehold Spirit")</f>
        <v>Lorehold Spirit</v>
      </c>
      <c r="C1540" s="77">
        <f>IFERROR(__xludf.DUMMYFUNCTION("""COMPUTED_VALUE"""),0.0)</f>
        <v>0</v>
      </c>
      <c r="D1540" s="77">
        <f>IFERROR(__xludf.DUMMYFUNCTION("""COMPUTED_VALUE"""),1.0)</f>
        <v>1</v>
      </c>
      <c r="E1540" s="46" t="b">
        <f>IFERROR(__xludf.DUMMYFUNCTION("""COMPUTED_VALUE"""),FALSE)</f>
        <v>0</v>
      </c>
    </row>
    <row r="1541" hidden="1">
      <c r="A1541" s="76" t="str">
        <f>IFERROR(__xludf.DUMMYFUNCTION("""COMPUTED_VALUE"""),"Party Time")</f>
        <v>Party Time</v>
      </c>
      <c r="B1541" s="76" t="str">
        <f>IFERROR(__xludf.DUMMYFUNCTION("""COMPUTED_VALUE"""),"Mutant Menace")</f>
        <v>Mutant Menace</v>
      </c>
      <c r="C1541" s="77">
        <f>IFERROR(__xludf.DUMMYFUNCTION("""COMPUTED_VALUE"""),0.0)</f>
        <v>0</v>
      </c>
      <c r="D1541" s="77">
        <f>IFERROR(__xludf.DUMMYFUNCTION("""COMPUTED_VALUE"""),0.0)</f>
        <v>0</v>
      </c>
      <c r="E1541" s="46" t="b">
        <f>IFERROR(__xludf.DUMMYFUNCTION("""COMPUTED_VALUE"""),TRUE)</f>
        <v>1</v>
      </c>
    </row>
    <row r="1542" hidden="1">
      <c r="A1542" s="76" t="str">
        <f>IFERROR(__xludf.DUMMYFUNCTION("""COMPUTED_VALUE"""),"Party Time")</f>
        <v>Party Time</v>
      </c>
      <c r="B1542" s="76" t="str">
        <f>IFERROR(__xludf.DUMMYFUNCTION("""COMPUTED_VALUE"""),"Party Time")</f>
        <v>Party Time</v>
      </c>
      <c r="C1542" s="77">
        <f>IFERROR(__xludf.DUMMYFUNCTION("""COMPUTED_VALUE"""),2.0)</f>
        <v>2</v>
      </c>
      <c r="D1542" s="77">
        <f>IFERROR(__xludf.DUMMYFUNCTION("""COMPUTED_VALUE"""),2.0)</f>
        <v>2</v>
      </c>
      <c r="E1542" s="46" t="b">
        <f>IFERROR(__xludf.DUMMYFUNCTION("""COMPUTED_VALUE"""),TRUE)</f>
        <v>1</v>
      </c>
    </row>
    <row r="1543" hidden="1">
      <c r="A1543" s="76" t="str">
        <f>IFERROR(__xludf.DUMMYFUNCTION("""COMPUTED_VALUE"""),"Party Time")</f>
        <v>Party Time</v>
      </c>
      <c r="B1543" s="76" t="str">
        <f>IFERROR(__xludf.DUMMYFUNCTION("""COMPUTED_VALUE"""),"Peace Offering")</f>
        <v>Peace Offering</v>
      </c>
      <c r="C1543" s="77">
        <f>IFERROR(__xludf.DUMMYFUNCTION("""COMPUTED_VALUE"""),0.0)</f>
        <v>0</v>
      </c>
      <c r="D1543" s="77">
        <f>IFERROR(__xludf.DUMMYFUNCTION("""COMPUTED_VALUE"""),0.0)</f>
        <v>0</v>
      </c>
      <c r="E1543" s="46" t="b">
        <f>IFERROR(__xludf.DUMMYFUNCTION("""COMPUTED_VALUE"""),TRUE)</f>
        <v>1</v>
      </c>
    </row>
    <row r="1544" hidden="1">
      <c r="A1544" s="76" t="str">
        <f>IFERROR(__xludf.DUMMYFUNCTION("""COMPUTED_VALUE"""),"Party Time")</f>
        <v>Party Time</v>
      </c>
      <c r="B1544" s="76" t="str">
        <f>IFERROR(__xludf.DUMMYFUNCTION("""COMPUTED_VALUE"""),"Power Hungry")</f>
        <v>Power Hungry</v>
      </c>
      <c r="C1544" s="77">
        <f>IFERROR(__xludf.DUMMYFUNCTION("""COMPUTED_VALUE"""),0.0)</f>
        <v>0</v>
      </c>
      <c r="D1544" s="77">
        <f>IFERROR(__xludf.DUMMYFUNCTION("""COMPUTED_VALUE"""),0.0)</f>
        <v>0</v>
      </c>
      <c r="E1544" s="46" t="b">
        <f>IFERROR(__xludf.DUMMYFUNCTION("""COMPUTED_VALUE"""),TRUE)</f>
        <v>1</v>
      </c>
    </row>
    <row r="1545" hidden="1">
      <c r="A1545" s="76" t="str">
        <f>IFERROR(__xludf.DUMMYFUNCTION("""COMPUTED_VALUE"""),"Party Time")</f>
        <v>Party Time</v>
      </c>
      <c r="B1545" s="76" t="str">
        <f>IFERROR(__xludf.DUMMYFUNCTION("""COMPUTED_VALUE"""),"Primal Genesis")</f>
        <v>Primal Genesis</v>
      </c>
      <c r="C1545" s="77">
        <f>IFERROR(__xludf.DUMMYFUNCTION("""COMPUTED_VALUE"""),0.0)</f>
        <v>0</v>
      </c>
      <c r="D1545" s="77">
        <f>IFERROR(__xludf.DUMMYFUNCTION("""COMPUTED_VALUE"""),0.0)</f>
        <v>0</v>
      </c>
      <c r="E1545" s="46" t="b">
        <f>IFERROR(__xludf.DUMMYFUNCTION("""COMPUTED_VALUE"""),TRUE)</f>
        <v>1</v>
      </c>
    </row>
    <row r="1546" hidden="1">
      <c r="A1546" s="76" t="str">
        <f>IFERROR(__xludf.DUMMYFUNCTION("""COMPUTED_VALUE"""),"Party Time")</f>
        <v>Party Time</v>
      </c>
      <c r="B1546" s="76" t="str">
        <f>IFERROR(__xludf.DUMMYFUNCTION("""COMPUTED_VALUE"""),"Prismari Artistry")</f>
        <v>Prismari Artistry</v>
      </c>
      <c r="C1546" s="77">
        <f>IFERROR(__xludf.DUMMYFUNCTION("""COMPUTED_VALUE"""),0.0)</f>
        <v>0</v>
      </c>
      <c r="D1546" s="77">
        <f>IFERROR(__xludf.DUMMYFUNCTION("""COMPUTED_VALUE"""),0.0)</f>
        <v>0</v>
      </c>
      <c r="E1546" s="46" t="b">
        <f>IFERROR(__xludf.DUMMYFUNCTION("""COMPUTED_VALUE"""),TRUE)</f>
        <v>1</v>
      </c>
    </row>
    <row r="1547" hidden="1">
      <c r="A1547" s="76" t="str">
        <f>IFERROR(__xludf.DUMMYFUNCTION("""COMPUTED_VALUE"""),"Party Time")</f>
        <v>Party Time</v>
      </c>
      <c r="B1547" s="76" t="str">
        <f>IFERROR(__xludf.DUMMYFUNCTION("""COMPUTED_VALUE"""),"Prismari Performance")</f>
        <v>Prismari Performance</v>
      </c>
      <c r="C1547" s="77">
        <f>IFERROR(__xludf.DUMMYFUNCTION("""COMPUTED_VALUE"""),0.0)</f>
        <v>0</v>
      </c>
      <c r="D1547" s="77">
        <f>IFERROR(__xludf.DUMMYFUNCTION("""COMPUTED_VALUE"""),0.0)</f>
        <v>0</v>
      </c>
      <c r="E1547" s="46" t="b">
        <f>IFERROR(__xludf.DUMMYFUNCTION("""COMPUTED_VALUE"""),TRUE)</f>
        <v>1</v>
      </c>
    </row>
    <row r="1548" hidden="1">
      <c r="A1548" s="76" t="str">
        <f>IFERROR(__xludf.DUMMYFUNCTION("""COMPUTED_VALUE"""),"Party Time")</f>
        <v>Party Time</v>
      </c>
      <c r="B1548" s="76" t="str">
        <f>IFERROR(__xludf.DUMMYFUNCTION("""COMPUTED_VALUE"""),"Quandrix Unlimited")</f>
        <v>Quandrix Unlimited</v>
      </c>
      <c r="C1548" s="77">
        <f>IFERROR(__xludf.DUMMYFUNCTION("""COMPUTED_VALUE"""),1.0)</f>
        <v>1</v>
      </c>
      <c r="D1548" s="77">
        <f>IFERROR(__xludf.DUMMYFUNCTION("""COMPUTED_VALUE"""),0.0)</f>
        <v>0</v>
      </c>
      <c r="E1548" s="46" t="b">
        <f>IFERROR(__xludf.DUMMYFUNCTION("""COMPUTED_VALUE"""),FALSE)</f>
        <v>0</v>
      </c>
    </row>
    <row r="1549">
      <c r="A1549" s="76" t="str">
        <f>IFERROR(__xludf.DUMMYFUNCTION("""COMPUTED_VALUE"""),"Party Time")</f>
        <v>Party Time</v>
      </c>
      <c r="B1549" s="76" t="str">
        <f>IFERROR(__xludf.DUMMYFUNCTION("""COMPUTED_VALUE"""),"Quick Draw")</f>
        <v>Quick Draw</v>
      </c>
      <c r="C1549" s="77">
        <f>IFERROR(__xludf.DUMMYFUNCTION("""COMPUTED_VALUE"""),0.0)</f>
        <v>0</v>
      </c>
      <c r="D1549" s="77">
        <f>IFERROR(__xludf.DUMMYFUNCTION("""COMPUTED_VALUE"""),0.0)</f>
        <v>0</v>
      </c>
      <c r="E1549" s="46" t="b">
        <f>IFERROR(__xludf.DUMMYFUNCTION("""COMPUTED_VALUE"""),TRUE)</f>
        <v>1</v>
      </c>
    </row>
    <row r="1550" hidden="1">
      <c r="A1550" s="76" t="str">
        <f>IFERROR(__xludf.DUMMYFUNCTION("""COMPUTED_VALUE"""),"Party Time")</f>
        <v>Party Time</v>
      </c>
      <c r="B1550" s="76" t="str">
        <f>IFERROR(__xludf.DUMMYFUNCTION("""COMPUTED_VALUE"""),"Reap the Tides")</f>
        <v>Reap the Tides</v>
      </c>
      <c r="C1550" s="77">
        <f>IFERROR(__xludf.DUMMYFUNCTION("""COMPUTED_VALUE"""),0.0)</f>
        <v>0</v>
      </c>
      <c r="D1550" s="77">
        <f>IFERROR(__xludf.DUMMYFUNCTION("""COMPUTED_VALUE"""),0.0)</f>
        <v>0</v>
      </c>
      <c r="E1550" s="46" t="b">
        <f>IFERROR(__xludf.DUMMYFUNCTION("""COMPUTED_VALUE"""),TRUE)</f>
        <v>1</v>
      </c>
    </row>
    <row r="1551" hidden="1">
      <c r="A1551" s="76" t="str">
        <f>IFERROR(__xludf.DUMMYFUNCTION("""COMPUTED_VALUE"""),"Party Time")</f>
        <v>Party Time</v>
      </c>
      <c r="B1551" s="76" t="str">
        <f>IFERROR(__xludf.DUMMYFUNCTION("""COMPUTED_VALUE"""),"Rebellion Rising")</f>
        <v>Rebellion Rising</v>
      </c>
      <c r="C1551" s="77">
        <f>IFERROR(__xludf.DUMMYFUNCTION("""COMPUTED_VALUE"""),0.0)</f>
        <v>0</v>
      </c>
      <c r="D1551" s="77">
        <f>IFERROR(__xludf.DUMMYFUNCTION("""COMPUTED_VALUE"""),0.0)</f>
        <v>0</v>
      </c>
      <c r="E1551" s="46" t="b">
        <f>IFERROR(__xludf.DUMMYFUNCTION("""COMPUTED_VALUE"""),TRUE)</f>
        <v>1</v>
      </c>
    </row>
    <row r="1552">
      <c r="A1552" s="76" t="str">
        <f>IFERROR(__xludf.DUMMYFUNCTION("""COMPUTED_VALUE"""),"Party Time")</f>
        <v>Party Time</v>
      </c>
      <c r="B1552" s="76" t="str">
        <f>IFERROR(__xludf.DUMMYFUNCTION("""COMPUTED_VALUE"""),"Revival Trance")</f>
        <v>Revival Trance</v>
      </c>
      <c r="C1552" s="77">
        <f>IFERROR(__xludf.DUMMYFUNCTION("""COMPUTED_VALUE"""),0.0)</f>
        <v>0</v>
      </c>
      <c r="D1552" s="77">
        <f>IFERROR(__xludf.DUMMYFUNCTION("""COMPUTED_VALUE"""),0.0)</f>
        <v>0</v>
      </c>
      <c r="E1552" s="46" t="b">
        <f>IFERROR(__xludf.DUMMYFUNCTION("""COMPUTED_VALUE"""),TRUE)</f>
        <v>1</v>
      </c>
    </row>
    <row r="1553" hidden="1">
      <c r="A1553" s="76" t="str">
        <f>IFERROR(__xludf.DUMMYFUNCTION("""COMPUTED_VALUE"""),"Party Time")</f>
        <v>Party Time</v>
      </c>
      <c r="B1553" s="76" t="str">
        <f>IFERROR(__xludf.DUMMYFUNCTION("""COMPUTED_VALUE"""),"Riders of Rohan")</f>
        <v>Riders of Rohan</v>
      </c>
      <c r="C1553" s="77">
        <f>IFERROR(__xludf.DUMMYFUNCTION("""COMPUTED_VALUE"""),0.0)</f>
        <v>0</v>
      </c>
      <c r="D1553" s="77">
        <f>IFERROR(__xludf.DUMMYFUNCTION("""COMPUTED_VALUE"""),0.0)</f>
        <v>0</v>
      </c>
      <c r="E1553" s="46" t="b">
        <f>IFERROR(__xludf.DUMMYFUNCTION("""COMPUTED_VALUE"""),TRUE)</f>
        <v>1</v>
      </c>
    </row>
    <row r="1554" hidden="1">
      <c r="A1554" s="76" t="str">
        <f>IFERROR(__xludf.DUMMYFUNCTION("""COMPUTED_VALUE"""),"Party Time")</f>
        <v>Party Time</v>
      </c>
      <c r="B1554" s="76" t="str">
        <f>IFERROR(__xludf.DUMMYFUNCTION("""COMPUTED_VALUE"""),"Science!")</f>
        <v>Science!</v>
      </c>
      <c r="C1554" s="77">
        <f>IFERROR(__xludf.DUMMYFUNCTION("""COMPUTED_VALUE"""),0.0)</f>
        <v>0</v>
      </c>
      <c r="D1554" s="77">
        <f>IFERROR(__xludf.DUMMYFUNCTION("""COMPUTED_VALUE"""),0.0)</f>
        <v>0</v>
      </c>
      <c r="E1554" s="46" t="b">
        <f>IFERROR(__xludf.DUMMYFUNCTION("""COMPUTED_VALUE"""),TRUE)</f>
        <v>1</v>
      </c>
    </row>
    <row r="1555" hidden="1">
      <c r="A1555" s="76" t="str">
        <f>IFERROR(__xludf.DUMMYFUNCTION("""COMPUTED_VALUE"""),"Party Time")</f>
        <v>Party Time</v>
      </c>
      <c r="B1555" s="76" t="str">
        <f>IFERROR(__xludf.DUMMYFUNCTION("""COMPUTED_VALUE"""),"Scions &amp; Spellcraft")</f>
        <v>Scions &amp; Spellcraft</v>
      </c>
      <c r="C1555" s="77">
        <f>IFERROR(__xludf.DUMMYFUNCTION("""COMPUTED_VALUE"""),1.0)</f>
        <v>1</v>
      </c>
      <c r="D1555" s="77">
        <f>IFERROR(__xludf.DUMMYFUNCTION("""COMPUTED_VALUE"""),0.0)</f>
        <v>0</v>
      </c>
      <c r="E1555" s="46" t="b">
        <f>IFERROR(__xludf.DUMMYFUNCTION("""COMPUTED_VALUE"""),FALSE)</f>
        <v>0</v>
      </c>
    </row>
    <row r="1556" hidden="1">
      <c r="A1556" s="76" t="str">
        <f>IFERROR(__xludf.DUMMYFUNCTION("""COMPUTED_VALUE"""),"Party Time")</f>
        <v>Party Time</v>
      </c>
      <c r="B1556" s="76" t="str">
        <f>IFERROR(__xludf.DUMMYFUNCTION("""COMPUTED_VALUE"""),"Scrappy Survivors")</f>
        <v>Scrappy Survivors</v>
      </c>
      <c r="C1556" s="77">
        <f>IFERROR(__xludf.DUMMYFUNCTION("""COMPUTED_VALUE"""),0.0)</f>
        <v>0</v>
      </c>
      <c r="D1556" s="77">
        <f>IFERROR(__xludf.DUMMYFUNCTION("""COMPUTED_VALUE"""),0.0)</f>
        <v>0</v>
      </c>
      <c r="E1556" s="46" t="b">
        <f>IFERROR(__xludf.DUMMYFUNCTION("""COMPUTED_VALUE"""),TRUE)</f>
        <v>1</v>
      </c>
    </row>
    <row r="1557" hidden="1">
      <c r="A1557" s="76" t="str">
        <f>IFERROR(__xludf.DUMMYFUNCTION("""COMPUTED_VALUE"""),"Party Time")</f>
        <v>Party Time</v>
      </c>
      <c r="B1557" s="76" t="str">
        <f>IFERROR(__xludf.DUMMYFUNCTION("""COMPUTED_VALUE"""),"Silverquill Influence")</f>
        <v>Silverquill Influence</v>
      </c>
      <c r="C1557" s="77">
        <f>IFERROR(__xludf.DUMMYFUNCTION("""COMPUTED_VALUE"""),0.0)</f>
        <v>0</v>
      </c>
      <c r="D1557" s="77">
        <f>IFERROR(__xludf.DUMMYFUNCTION("""COMPUTED_VALUE"""),0.0)</f>
        <v>0</v>
      </c>
      <c r="E1557" s="46" t="b">
        <f>IFERROR(__xludf.DUMMYFUNCTION("""COMPUTED_VALUE"""),TRUE)</f>
        <v>1</v>
      </c>
    </row>
    <row r="1558" hidden="1">
      <c r="A1558" s="76" t="str">
        <f>IFERROR(__xludf.DUMMYFUNCTION("""COMPUTED_VALUE"""),"Party Time")</f>
        <v>Party Time</v>
      </c>
      <c r="B1558" s="76" t="str">
        <f>IFERROR(__xludf.DUMMYFUNCTION("""COMPUTED_VALUE"""),"Spirit Squadron")</f>
        <v>Spirit Squadron</v>
      </c>
      <c r="C1558" s="77">
        <f>IFERROR(__xludf.DUMMYFUNCTION("""COMPUTED_VALUE"""),0.0)</f>
        <v>0</v>
      </c>
      <c r="D1558" s="77">
        <f>IFERROR(__xludf.DUMMYFUNCTION("""COMPUTED_VALUE"""),0.0)</f>
        <v>0</v>
      </c>
      <c r="E1558" s="46" t="b">
        <f>IFERROR(__xludf.DUMMYFUNCTION("""COMPUTED_VALUE"""),TRUE)</f>
        <v>1</v>
      </c>
    </row>
    <row r="1559" hidden="1">
      <c r="A1559" s="76" t="str">
        <f>IFERROR(__xludf.DUMMYFUNCTION("""COMPUTED_VALUE"""),"Party Time")</f>
        <v>Party Time</v>
      </c>
      <c r="B1559" s="76" t="str">
        <f>IFERROR(__xludf.DUMMYFUNCTION("""COMPUTED_VALUE"""),"Squirreled Away")</f>
        <v>Squirreled Away</v>
      </c>
      <c r="C1559" s="77">
        <f>IFERROR(__xludf.DUMMYFUNCTION("""COMPUTED_VALUE"""),0.0)</f>
        <v>0</v>
      </c>
      <c r="D1559" s="77">
        <f>IFERROR(__xludf.DUMMYFUNCTION("""COMPUTED_VALUE"""),0.0)</f>
        <v>0</v>
      </c>
      <c r="E1559" s="46" t="b">
        <f>IFERROR(__xludf.DUMMYFUNCTION("""COMPUTED_VALUE"""),TRUE)</f>
        <v>1</v>
      </c>
    </row>
    <row r="1560" hidden="1">
      <c r="A1560" s="76" t="str">
        <f>IFERROR(__xludf.DUMMYFUNCTION("""COMPUTED_VALUE"""),"Party Time")</f>
        <v>Party Time</v>
      </c>
      <c r="B1560" s="76" t="str">
        <f>IFERROR(__xludf.DUMMYFUNCTION("""COMPUTED_VALUE"""),"Sultai Arisen")</f>
        <v>Sultai Arisen</v>
      </c>
      <c r="C1560" s="77">
        <f>IFERROR(__xludf.DUMMYFUNCTION("""COMPUTED_VALUE"""),0.0)</f>
        <v>0</v>
      </c>
      <c r="D1560" s="77">
        <f>IFERROR(__xludf.DUMMYFUNCTION("""COMPUTED_VALUE"""),0.0)</f>
        <v>0</v>
      </c>
      <c r="E1560" s="46" t="b">
        <f>IFERROR(__xludf.DUMMYFUNCTION("""COMPUTED_VALUE"""),TRUE)</f>
        <v>1</v>
      </c>
    </row>
    <row r="1561" hidden="1">
      <c r="A1561" s="76" t="str">
        <f>IFERROR(__xludf.DUMMYFUNCTION("""COMPUTED_VALUE"""),"Party Time")</f>
        <v>Party Time</v>
      </c>
      <c r="B1561" s="76" t="str">
        <f>IFERROR(__xludf.DUMMYFUNCTION("""COMPUTED_VALUE"""),"Temur Roar")</f>
        <v>Temur Roar</v>
      </c>
      <c r="C1561" s="77">
        <f>IFERROR(__xludf.DUMMYFUNCTION("""COMPUTED_VALUE"""),0.0)</f>
        <v>0</v>
      </c>
      <c r="D1561" s="77">
        <f>IFERROR(__xludf.DUMMYFUNCTION("""COMPUTED_VALUE"""),0.0)</f>
        <v>0</v>
      </c>
      <c r="E1561" s="46" t="b">
        <f>IFERROR(__xludf.DUMMYFUNCTION("""COMPUTED_VALUE"""),TRUE)</f>
        <v>1</v>
      </c>
    </row>
    <row r="1562" hidden="1">
      <c r="A1562" s="76" t="str">
        <f>IFERROR(__xludf.DUMMYFUNCTION("""COMPUTED_VALUE"""),"Party Time")</f>
        <v>Party Time</v>
      </c>
      <c r="B1562" s="76" t="str">
        <f>IFERROR(__xludf.DUMMYFUNCTION("""COMPUTED_VALUE"""),"The Hosts of Mordor")</f>
        <v>The Hosts of Mordor</v>
      </c>
      <c r="C1562" s="77">
        <f>IFERROR(__xludf.DUMMYFUNCTION("""COMPUTED_VALUE"""),1.0)</f>
        <v>1</v>
      </c>
      <c r="D1562" s="77">
        <f>IFERROR(__xludf.DUMMYFUNCTION("""COMPUTED_VALUE"""),0.0)</f>
        <v>0</v>
      </c>
      <c r="E1562" s="46" t="b">
        <f>IFERROR(__xludf.DUMMYFUNCTION("""COMPUTED_VALUE"""),FALSE)</f>
        <v>0</v>
      </c>
    </row>
    <row r="1563" hidden="1">
      <c r="A1563" s="76" t="str">
        <f>IFERROR(__xludf.DUMMYFUNCTION("""COMPUTED_VALUE"""),"Party Time")</f>
        <v>Party Time</v>
      </c>
      <c r="B1563" s="76" t="str">
        <f>IFERROR(__xludf.DUMMYFUNCTION("""COMPUTED_VALUE"""),"The Ruinous Powers")</f>
        <v>The Ruinous Powers</v>
      </c>
      <c r="C1563" s="77">
        <f>IFERROR(__xludf.DUMMYFUNCTION("""COMPUTED_VALUE"""),0.0)</f>
        <v>0</v>
      </c>
      <c r="D1563" s="77">
        <f>IFERROR(__xludf.DUMMYFUNCTION("""COMPUTED_VALUE"""),0.0)</f>
        <v>0</v>
      </c>
      <c r="E1563" s="46" t="b">
        <f>IFERROR(__xludf.DUMMYFUNCTION("""COMPUTED_VALUE"""),TRUE)</f>
        <v>1</v>
      </c>
    </row>
    <row r="1564" hidden="1">
      <c r="A1564" s="76" t="str">
        <f>IFERROR(__xludf.DUMMYFUNCTION("""COMPUTED_VALUE"""),"Party Time")</f>
        <v>Party Time</v>
      </c>
      <c r="B1564" s="76" t="str">
        <f>IFERROR(__xludf.DUMMYFUNCTION("""COMPUTED_VALUE"""),"Timey-Wimey")</f>
        <v>Timey-Wimey</v>
      </c>
      <c r="C1564" s="77">
        <f>IFERROR(__xludf.DUMMYFUNCTION("""COMPUTED_VALUE"""),0.0)</f>
        <v>0</v>
      </c>
      <c r="D1564" s="77">
        <f>IFERROR(__xludf.DUMMYFUNCTION("""COMPUTED_VALUE"""),0.0)</f>
        <v>0</v>
      </c>
      <c r="E1564" s="46" t="b">
        <f>IFERROR(__xludf.DUMMYFUNCTION("""COMPUTED_VALUE"""),TRUE)</f>
        <v>1</v>
      </c>
    </row>
    <row r="1565" hidden="1">
      <c r="A1565" s="76" t="str">
        <f>IFERROR(__xludf.DUMMYFUNCTION("""COMPUTED_VALUE"""),"Party Time")</f>
        <v>Party Time</v>
      </c>
      <c r="B1565" s="76" t="str">
        <f>IFERROR(__xludf.DUMMYFUNCTION("""COMPUTED_VALUE"""),"Tinker Time")</f>
        <v>Tinker Time</v>
      </c>
      <c r="C1565" s="77">
        <f>IFERROR(__xludf.DUMMYFUNCTION("""COMPUTED_VALUE"""),0.0)</f>
        <v>0</v>
      </c>
      <c r="D1565" s="77">
        <f>IFERROR(__xludf.DUMMYFUNCTION("""COMPUTED_VALUE"""),0.0)</f>
        <v>0</v>
      </c>
      <c r="E1565" s="46" t="b">
        <f>IFERROR(__xludf.DUMMYFUNCTION("""COMPUTED_VALUE"""),TRUE)</f>
        <v>1</v>
      </c>
    </row>
    <row r="1566" hidden="1">
      <c r="A1566" s="76" t="str">
        <f>IFERROR(__xludf.DUMMYFUNCTION("""COMPUTED_VALUE"""),"Party Time")</f>
        <v>Party Time</v>
      </c>
      <c r="B1566" s="76" t="str">
        <f>IFERROR(__xludf.DUMMYFUNCTION("""COMPUTED_VALUE"""),"Turtle Power!")</f>
        <v>Turtle Power!</v>
      </c>
      <c r="C1566" s="77">
        <f>IFERROR(__xludf.DUMMYFUNCTION("""COMPUTED_VALUE"""),0.0)</f>
        <v>0</v>
      </c>
      <c r="D1566" s="77">
        <f>IFERROR(__xludf.DUMMYFUNCTION("""COMPUTED_VALUE"""),0.0)</f>
        <v>0</v>
      </c>
      <c r="E1566" s="46" t="b">
        <f>IFERROR(__xludf.DUMMYFUNCTION("""COMPUTED_VALUE"""),TRUE)</f>
        <v>1</v>
      </c>
    </row>
    <row r="1567" hidden="1">
      <c r="A1567" s="76" t="str">
        <f>IFERROR(__xludf.DUMMYFUNCTION("""COMPUTED_VALUE"""),"Party Time")</f>
        <v>Party Time</v>
      </c>
      <c r="B1567" s="76" t="str">
        <f>IFERROR(__xludf.DUMMYFUNCTION("""COMPUTED_VALUE"""),"Veloci-ramp-tor")</f>
        <v>Veloci-ramp-tor</v>
      </c>
      <c r="C1567" s="77">
        <f>IFERROR(__xludf.DUMMYFUNCTION("""COMPUTED_VALUE"""),0.0)</f>
        <v>0</v>
      </c>
      <c r="D1567" s="77">
        <f>IFERROR(__xludf.DUMMYFUNCTION("""COMPUTED_VALUE"""),0.0)</f>
        <v>0</v>
      </c>
      <c r="E1567" s="46" t="b">
        <f>IFERROR(__xludf.DUMMYFUNCTION("""COMPUTED_VALUE"""),TRUE)</f>
        <v>1</v>
      </c>
    </row>
    <row r="1568" hidden="1">
      <c r="A1568" s="76" t="str">
        <f>IFERROR(__xludf.DUMMYFUNCTION("""COMPUTED_VALUE"""),"Peace Offering")</f>
        <v>Peace Offering</v>
      </c>
      <c r="B1568" s="76" t="str">
        <f>IFERROR(__xludf.DUMMYFUNCTION("""COMPUTED_VALUE"""),"Ahoy Mateys")</f>
        <v>Ahoy Mateys</v>
      </c>
      <c r="C1568" s="77">
        <f>IFERROR(__xludf.DUMMYFUNCTION("""COMPUTED_VALUE"""),0.0)</f>
        <v>0</v>
      </c>
      <c r="D1568" s="77">
        <f>IFERROR(__xludf.DUMMYFUNCTION("""COMPUTED_VALUE"""),0.0)</f>
        <v>0</v>
      </c>
      <c r="E1568" s="46" t="b">
        <f>IFERROR(__xludf.DUMMYFUNCTION("""COMPUTED_VALUE"""),TRUE)</f>
        <v>1</v>
      </c>
    </row>
    <row r="1569" hidden="1">
      <c r="A1569" s="76" t="str">
        <f>IFERROR(__xludf.DUMMYFUNCTION("""COMPUTED_VALUE"""),"Peace Offering")</f>
        <v>Peace Offering</v>
      </c>
      <c r="B1569" s="76" t="str">
        <f>IFERROR(__xludf.DUMMYFUNCTION("""COMPUTED_VALUE"""),"Animated Army")</f>
        <v>Animated Army</v>
      </c>
      <c r="C1569" s="77">
        <f>IFERROR(__xludf.DUMMYFUNCTION("""COMPUTED_VALUE"""),0.0)</f>
        <v>0</v>
      </c>
      <c r="D1569" s="77">
        <f>IFERROR(__xludf.DUMMYFUNCTION("""COMPUTED_VALUE"""),0.0)</f>
        <v>0</v>
      </c>
      <c r="E1569" s="46" t="b">
        <f>IFERROR(__xludf.DUMMYFUNCTION("""COMPUTED_VALUE"""),TRUE)</f>
        <v>1</v>
      </c>
    </row>
    <row r="1570" hidden="1">
      <c r="A1570" s="76" t="str">
        <f>IFERROR(__xludf.DUMMYFUNCTION("""COMPUTED_VALUE"""),"Peace Offering")</f>
        <v>Peace Offering</v>
      </c>
      <c r="B1570" s="76" t="str">
        <f>IFERROR(__xludf.DUMMYFUNCTION("""COMPUTED_VALUE"""),"Arcane Maelstrom")</f>
        <v>Arcane Maelstrom</v>
      </c>
      <c r="C1570" s="77">
        <f>IFERROR(__xludf.DUMMYFUNCTION("""COMPUTED_VALUE"""),0.0)</f>
        <v>0</v>
      </c>
      <c r="D1570" s="77">
        <f>IFERROR(__xludf.DUMMYFUNCTION("""COMPUTED_VALUE"""),0.0)</f>
        <v>0</v>
      </c>
      <c r="E1570" s="46" t="b">
        <f>IFERROR(__xludf.DUMMYFUNCTION("""COMPUTED_VALUE"""),TRUE)</f>
        <v>1</v>
      </c>
    </row>
    <row r="1571" hidden="1">
      <c r="A1571" s="76" t="str">
        <f>IFERROR(__xludf.DUMMYFUNCTION("""COMPUTED_VALUE"""),"Peace Offering")</f>
        <v>Peace Offering</v>
      </c>
      <c r="B1571" s="76" t="str">
        <f>IFERROR(__xludf.DUMMYFUNCTION("""COMPUTED_VALUE"""),"Blame Game")</f>
        <v>Blame Game</v>
      </c>
      <c r="C1571" s="77">
        <f>IFERROR(__xludf.DUMMYFUNCTION("""COMPUTED_VALUE"""),0.0)</f>
        <v>0</v>
      </c>
      <c r="D1571" s="77">
        <f>IFERROR(__xludf.DUMMYFUNCTION("""COMPUTED_VALUE"""),0.0)</f>
        <v>0</v>
      </c>
      <c r="E1571" s="46" t="b">
        <f>IFERROR(__xludf.DUMMYFUNCTION("""COMPUTED_VALUE"""),TRUE)</f>
        <v>1</v>
      </c>
    </row>
    <row r="1572" hidden="1">
      <c r="A1572" s="76" t="str">
        <f>IFERROR(__xludf.DUMMYFUNCTION("""COMPUTED_VALUE"""),"Peace Offering")</f>
        <v>Peace Offering</v>
      </c>
      <c r="B1572" s="76" t="str">
        <f>IFERROR(__xludf.DUMMYFUNCTION("""COMPUTED_VALUE"""),"Blight Curse")</f>
        <v>Blight Curse</v>
      </c>
      <c r="C1572" s="77">
        <f>IFERROR(__xludf.DUMMYFUNCTION("""COMPUTED_VALUE"""),0.0)</f>
        <v>0</v>
      </c>
      <c r="D1572" s="77">
        <f>IFERROR(__xludf.DUMMYFUNCTION("""COMPUTED_VALUE"""),0.0)</f>
        <v>0</v>
      </c>
      <c r="E1572" s="46" t="b">
        <f>IFERROR(__xludf.DUMMYFUNCTION("""COMPUTED_VALUE"""),TRUE)</f>
        <v>1</v>
      </c>
    </row>
    <row r="1573">
      <c r="A1573" s="76" t="str">
        <f>IFERROR(__xludf.DUMMYFUNCTION("""COMPUTED_VALUE"""),"Peace Offering")</f>
        <v>Peace Offering</v>
      </c>
      <c r="B1573" s="76" t="str">
        <f>IFERROR(__xludf.DUMMYFUNCTION("""COMPUTED_VALUE"""),"Blood Rites")</f>
        <v>Blood Rites</v>
      </c>
      <c r="C1573" s="77">
        <f>IFERROR(__xludf.DUMMYFUNCTION("""COMPUTED_VALUE"""),0.0)</f>
        <v>0</v>
      </c>
      <c r="D1573" s="77">
        <f>IFERROR(__xludf.DUMMYFUNCTION("""COMPUTED_VALUE"""),0.0)</f>
        <v>0</v>
      </c>
      <c r="E1573" s="46" t="b">
        <f>IFERROR(__xludf.DUMMYFUNCTION("""COMPUTED_VALUE"""),TRUE)</f>
        <v>1</v>
      </c>
    </row>
    <row r="1574" hidden="1">
      <c r="A1574" s="76" t="str">
        <f>IFERROR(__xludf.DUMMYFUNCTION("""COMPUTED_VALUE"""),"Peace Offering")</f>
        <v>Peace Offering</v>
      </c>
      <c r="B1574" s="76" t="str">
        <f>IFERROR(__xludf.DUMMYFUNCTION("""COMPUTED_VALUE"""),"Buckle Up")</f>
        <v>Buckle Up</v>
      </c>
      <c r="C1574" s="77">
        <f>IFERROR(__xludf.DUMMYFUNCTION("""COMPUTED_VALUE"""),0.0)</f>
        <v>0</v>
      </c>
      <c r="D1574" s="77">
        <f>IFERROR(__xludf.DUMMYFUNCTION("""COMPUTED_VALUE"""),0.0)</f>
        <v>0</v>
      </c>
      <c r="E1574" s="46" t="b">
        <f>IFERROR(__xludf.DUMMYFUNCTION("""COMPUTED_VALUE"""),TRUE)</f>
        <v>1</v>
      </c>
    </row>
    <row r="1575" hidden="1">
      <c r="A1575" s="76" t="str">
        <f>IFERROR(__xludf.DUMMYFUNCTION("""COMPUTED_VALUE"""),"Peace Offering")</f>
        <v>Peace Offering</v>
      </c>
      <c r="B1575" s="76" t="str">
        <f>IFERROR(__xludf.DUMMYFUNCTION("""COMPUTED_VALUE"""),"Cabaretti Cacophony")</f>
        <v>Cabaretti Cacophony</v>
      </c>
      <c r="C1575" s="77">
        <f>IFERROR(__xludf.DUMMYFUNCTION("""COMPUTED_VALUE"""),0.0)</f>
        <v>0</v>
      </c>
      <c r="D1575" s="77">
        <f>IFERROR(__xludf.DUMMYFUNCTION("""COMPUTED_VALUE"""),0.0)</f>
        <v>0</v>
      </c>
      <c r="E1575" s="46" t="b">
        <f>IFERROR(__xludf.DUMMYFUNCTION("""COMPUTED_VALUE"""),TRUE)</f>
        <v>1</v>
      </c>
    </row>
    <row r="1576" hidden="1">
      <c r="A1576" s="76" t="str">
        <f>IFERROR(__xludf.DUMMYFUNCTION("""COMPUTED_VALUE"""),"Peace Offering")</f>
        <v>Peace Offering</v>
      </c>
      <c r="B1576" s="76" t="str">
        <f>IFERROR(__xludf.DUMMYFUNCTION("""COMPUTED_VALUE"""),"Cavalry Charge")</f>
        <v>Cavalry Charge</v>
      </c>
      <c r="C1576" s="77">
        <f>IFERROR(__xludf.DUMMYFUNCTION("""COMPUTED_VALUE"""),0.0)</f>
        <v>0</v>
      </c>
      <c r="D1576" s="77">
        <f>IFERROR(__xludf.DUMMYFUNCTION("""COMPUTED_VALUE"""),0.0)</f>
        <v>0</v>
      </c>
      <c r="E1576" s="46" t="b">
        <f>IFERROR(__xludf.DUMMYFUNCTION("""COMPUTED_VALUE"""),TRUE)</f>
        <v>1</v>
      </c>
    </row>
    <row r="1577" hidden="1">
      <c r="A1577" s="76" t="str">
        <f>IFERROR(__xludf.DUMMYFUNCTION("""COMPUTED_VALUE"""),"Peace Offering")</f>
        <v>Peace Offering</v>
      </c>
      <c r="B1577" s="76" t="str">
        <f>IFERROR(__xludf.DUMMYFUNCTION("""COMPUTED_VALUE"""),"Corrupting Influence")</f>
        <v>Corrupting Influence</v>
      </c>
      <c r="C1577" s="77">
        <f>IFERROR(__xludf.DUMMYFUNCTION("""COMPUTED_VALUE"""),0.0)</f>
        <v>0</v>
      </c>
      <c r="D1577" s="77">
        <f>IFERROR(__xludf.DUMMYFUNCTION("""COMPUTED_VALUE"""),0.0)</f>
        <v>0</v>
      </c>
      <c r="E1577" s="46" t="b">
        <f>IFERROR(__xludf.DUMMYFUNCTION("""COMPUTED_VALUE"""),TRUE)</f>
        <v>1</v>
      </c>
    </row>
    <row r="1578" hidden="1">
      <c r="A1578" s="76" t="str">
        <f>IFERROR(__xludf.DUMMYFUNCTION("""COMPUTED_VALUE"""),"Peace Offering")</f>
        <v>Peace Offering</v>
      </c>
      <c r="B1578" s="76" t="str">
        <f>IFERROR(__xludf.DUMMYFUNCTION("""COMPUTED_VALUE"""),"Counter Blitz")</f>
        <v>Counter Blitz</v>
      </c>
      <c r="C1578" s="77">
        <f>IFERROR(__xludf.DUMMYFUNCTION("""COMPUTED_VALUE"""),0.0)</f>
        <v>0</v>
      </c>
      <c r="D1578" s="77">
        <f>IFERROR(__xludf.DUMMYFUNCTION("""COMPUTED_VALUE"""),0.0)</f>
        <v>0</v>
      </c>
      <c r="E1578" s="46" t="b">
        <f>IFERROR(__xludf.DUMMYFUNCTION("""COMPUTED_VALUE"""),TRUE)</f>
        <v>1</v>
      </c>
    </row>
    <row r="1579">
      <c r="A1579" s="76" t="str">
        <f>IFERROR(__xludf.DUMMYFUNCTION("""COMPUTED_VALUE"""),"Peace Offering")</f>
        <v>Peace Offering</v>
      </c>
      <c r="B1579" s="76" t="str">
        <f>IFERROR(__xludf.DUMMYFUNCTION("""COMPUTED_VALUE"""),"Counter Intelligence")</f>
        <v>Counter Intelligence</v>
      </c>
      <c r="C1579" s="77">
        <f>IFERROR(__xludf.DUMMYFUNCTION("""COMPUTED_VALUE"""),0.0)</f>
        <v>0</v>
      </c>
      <c r="D1579" s="77">
        <f>IFERROR(__xludf.DUMMYFUNCTION("""COMPUTED_VALUE"""),0.0)</f>
        <v>0</v>
      </c>
      <c r="E1579" s="46" t="b">
        <f>IFERROR(__xludf.DUMMYFUNCTION("""COMPUTED_VALUE"""),TRUE)</f>
        <v>1</v>
      </c>
    </row>
    <row r="1580" hidden="1">
      <c r="A1580" s="76" t="str">
        <f>IFERROR(__xludf.DUMMYFUNCTION("""COMPUTED_VALUE"""),"Peace Offering")</f>
        <v>Peace Offering</v>
      </c>
      <c r="B1580" s="76" t="str">
        <f>IFERROR(__xludf.DUMMYFUNCTION("""COMPUTED_VALUE"""),"Creative Energy")</f>
        <v>Creative Energy</v>
      </c>
      <c r="C1580" s="77">
        <f>IFERROR(__xludf.DUMMYFUNCTION("""COMPUTED_VALUE"""),0.0)</f>
        <v>0</v>
      </c>
      <c r="D1580" s="77">
        <f>IFERROR(__xludf.DUMMYFUNCTION("""COMPUTED_VALUE"""),0.0)</f>
        <v>0</v>
      </c>
      <c r="E1580" s="46" t="b">
        <f>IFERROR(__xludf.DUMMYFUNCTION("""COMPUTED_VALUE"""),TRUE)</f>
        <v>1</v>
      </c>
    </row>
    <row r="1581" hidden="1">
      <c r="A1581" s="76" t="str">
        <f>IFERROR(__xludf.DUMMYFUNCTION("""COMPUTED_VALUE"""),"Peace Offering")</f>
        <v>Peace Offering</v>
      </c>
      <c r="B1581" s="76" t="str">
        <f>IFERROR(__xludf.DUMMYFUNCTION("""COMPUTED_VALUE"""),"Dance of the Elements")</f>
        <v>Dance of the Elements</v>
      </c>
      <c r="C1581" s="77">
        <f>IFERROR(__xludf.DUMMYFUNCTION("""COMPUTED_VALUE"""),0.0)</f>
        <v>0</v>
      </c>
      <c r="D1581" s="77">
        <f>IFERROR(__xludf.DUMMYFUNCTION("""COMPUTED_VALUE"""),0.0)</f>
        <v>0</v>
      </c>
      <c r="E1581" s="46" t="b">
        <f>IFERROR(__xludf.DUMMYFUNCTION("""COMPUTED_VALUE"""),TRUE)</f>
        <v>1</v>
      </c>
    </row>
    <row r="1582" hidden="1">
      <c r="A1582" s="76" t="str">
        <f>IFERROR(__xludf.DUMMYFUNCTION("""COMPUTED_VALUE"""),"Peace Offering")</f>
        <v>Peace Offering</v>
      </c>
      <c r="B1582" s="76" t="str">
        <f>IFERROR(__xludf.DUMMYFUNCTION("""COMPUTED_VALUE"""),"Deep Clue Sea")</f>
        <v>Deep Clue Sea</v>
      </c>
      <c r="C1582" s="77">
        <f>IFERROR(__xludf.DUMMYFUNCTION("""COMPUTED_VALUE"""),0.0)</f>
        <v>0</v>
      </c>
      <c r="D1582" s="77">
        <f>IFERROR(__xludf.DUMMYFUNCTION("""COMPUTED_VALUE"""),0.0)</f>
        <v>0</v>
      </c>
      <c r="E1582" s="46" t="b">
        <f>IFERROR(__xludf.DUMMYFUNCTION("""COMPUTED_VALUE"""),TRUE)</f>
        <v>1</v>
      </c>
    </row>
    <row r="1583" hidden="1">
      <c r="A1583" s="76" t="str">
        <f>IFERROR(__xludf.DUMMYFUNCTION("""COMPUTED_VALUE"""),"Peace Offering")</f>
        <v>Peace Offering</v>
      </c>
      <c r="B1583" s="76" t="str">
        <f>IFERROR(__xludf.DUMMYFUNCTION("""COMPUTED_VALUE"""),"Doom Prevails")</f>
        <v>Doom Prevails</v>
      </c>
      <c r="C1583" s="77">
        <f>IFERROR(__xludf.DUMMYFUNCTION("""COMPUTED_VALUE"""),0.0)</f>
        <v>0</v>
      </c>
      <c r="D1583" s="77">
        <f>IFERROR(__xludf.DUMMYFUNCTION("""COMPUTED_VALUE"""),0.0)</f>
        <v>0</v>
      </c>
      <c r="E1583" s="46" t="b">
        <f>IFERROR(__xludf.DUMMYFUNCTION("""COMPUTED_VALUE"""),TRUE)</f>
        <v>1</v>
      </c>
    </row>
    <row r="1584" hidden="1">
      <c r="A1584" s="76" t="str">
        <f>IFERROR(__xludf.DUMMYFUNCTION("""COMPUTED_VALUE"""),"Peace Offering")</f>
        <v>Peace Offering</v>
      </c>
      <c r="B1584" s="76" t="str">
        <f>IFERROR(__xludf.DUMMYFUNCTION("""COMPUTED_VALUE"""),"Eldrazi Incursion")</f>
        <v>Eldrazi Incursion</v>
      </c>
      <c r="C1584" s="77">
        <f>IFERROR(__xludf.DUMMYFUNCTION("""COMPUTED_VALUE"""),0.0)</f>
        <v>0</v>
      </c>
      <c r="D1584" s="77">
        <f>IFERROR(__xludf.DUMMYFUNCTION("""COMPUTED_VALUE"""),0.0)</f>
        <v>0</v>
      </c>
      <c r="E1584" s="46" t="b">
        <f>IFERROR(__xludf.DUMMYFUNCTION("""COMPUTED_VALUE"""),TRUE)</f>
        <v>1</v>
      </c>
    </row>
    <row r="1585" hidden="1">
      <c r="A1585" s="76" t="str">
        <f>IFERROR(__xludf.DUMMYFUNCTION("""COMPUTED_VALUE"""),"Peace Offering")</f>
        <v>Peace Offering</v>
      </c>
      <c r="B1585" s="76" t="str">
        <f>IFERROR(__xludf.DUMMYFUNCTION("""COMPUTED_VALUE"""),"Eldrazi Unbound")</f>
        <v>Eldrazi Unbound</v>
      </c>
      <c r="C1585" s="77">
        <f>IFERROR(__xludf.DUMMYFUNCTION("""COMPUTED_VALUE"""),0.0)</f>
        <v>0</v>
      </c>
      <c r="D1585" s="77">
        <f>IFERROR(__xludf.DUMMYFUNCTION("""COMPUTED_VALUE"""),0.0)</f>
        <v>0</v>
      </c>
      <c r="E1585" s="46" t="b">
        <f>IFERROR(__xludf.DUMMYFUNCTION("""COMPUTED_VALUE"""),TRUE)</f>
        <v>1</v>
      </c>
    </row>
    <row r="1586" hidden="1">
      <c r="A1586" s="76" t="str">
        <f>IFERROR(__xludf.DUMMYFUNCTION("""COMPUTED_VALUE"""),"Peace Offering")</f>
        <v>Peace Offering</v>
      </c>
      <c r="B1586" s="76" t="str">
        <f>IFERROR(__xludf.DUMMYFUNCTION("""COMPUTED_VALUE"""),"Endless Punishment")</f>
        <v>Endless Punishment</v>
      </c>
      <c r="C1586" s="77">
        <f>IFERROR(__xludf.DUMMYFUNCTION("""COMPUTED_VALUE"""),0.0)</f>
        <v>0</v>
      </c>
      <c r="D1586" s="77">
        <f>IFERROR(__xludf.DUMMYFUNCTION("""COMPUTED_VALUE"""),1.0)</f>
        <v>1</v>
      </c>
      <c r="E1586" s="46" t="b">
        <f>IFERROR(__xludf.DUMMYFUNCTION("""COMPUTED_VALUE"""),FALSE)</f>
        <v>0</v>
      </c>
    </row>
    <row r="1587" hidden="1">
      <c r="A1587" s="76" t="str">
        <f>IFERROR(__xludf.DUMMYFUNCTION("""COMPUTED_VALUE"""),"Peace Offering")</f>
        <v>Peace Offering</v>
      </c>
      <c r="B1587" s="76" t="str">
        <f>IFERROR(__xludf.DUMMYFUNCTION("""COMPUTED_VALUE"""),"Enduring Enchantments")</f>
        <v>Enduring Enchantments</v>
      </c>
      <c r="C1587" s="77">
        <f>IFERROR(__xludf.DUMMYFUNCTION("""COMPUTED_VALUE"""),0.0)</f>
        <v>0</v>
      </c>
      <c r="D1587" s="77">
        <f>IFERROR(__xludf.DUMMYFUNCTION("""COMPUTED_VALUE"""),0.0)</f>
        <v>0</v>
      </c>
      <c r="E1587" s="46" t="b">
        <f>IFERROR(__xludf.DUMMYFUNCTION("""COMPUTED_VALUE"""),TRUE)</f>
        <v>1</v>
      </c>
    </row>
    <row r="1588">
      <c r="A1588" s="76" t="str">
        <f>IFERROR(__xludf.DUMMYFUNCTION("""COMPUTED_VALUE"""),"Peace Offering")</f>
        <v>Peace Offering</v>
      </c>
      <c r="B1588" s="76" t="str">
        <f>IFERROR(__xludf.DUMMYFUNCTION("""COMPUTED_VALUE"""),"Explorers of the Deep")</f>
        <v>Explorers of the Deep</v>
      </c>
      <c r="C1588" s="77">
        <f>IFERROR(__xludf.DUMMYFUNCTION("""COMPUTED_VALUE"""),0.0)</f>
        <v>0</v>
      </c>
      <c r="D1588" s="77">
        <f>IFERROR(__xludf.DUMMYFUNCTION("""COMPUTED_VALUE"""),0.0)</f>
        <v>0</v>
      </c>
      <c r="E1588" s="46" t="b">
        <f>IFERROR(__xludf.DUMMYFUNCTION("""COMPUTED_VALUE"""),TRUE)</f>
        <v>1</v>
      </c>
    </row>
    <row r="1589" hidden="1">
      <c r="A1589" s="76" t="str">
        <f>IFERROR(__xludf.DUMMYFUNCTION("""COMPUTED_VALUE"""),"Peace Offering")</f>
        <v>Peace Offering</v>
      </c>
      <c r="B1589" s="76" t="str">
        <f>IFERROR(__xludf.DUMMYFUNCTION("""COMPUTED_VALUE"""),"Family Matters")</f>
        <v>Family Matters</v>
      </c>
      <c r="C1589" s="77">
        <f>IFERROR(__xludf.DUMMYFUNCTION("""COMPUTED_VALUE"""),0.0)</f>
        <v>0</v>
      </c>
      <c r="D1589" s="77">
        <f>IFERROR(__xludf.DUMMYFUNCTION("""COMPUTED_VALUE"""),0.0)</f>
        <v>0</v>
      </c>
      <c r="E1589" s="46" t="b">
        <f>IFERROR(__xludf.DUMMYFUNCTION("""COMPUTED_VALUE"""),TRUE)</f>
        <v>1</v>
      </c>
    </row>
    <row r="1590" hidden="1">
      <c r="A1590" s="76" t="str">
        <f>IFERROR(__xludf.DUMMYFUNCTION("""COMPUTED_VALUE"""),"Peace Offering")</f>
        <v>Peace Offering</v>
      </c>
      <c r="B1590" s="76" t="str">
        <f>IFERROR(__xludf.DUMMYFUNCTION("""COMPUTED_VALUE"""),"Food and Fellowship")</f>
        <v>Food and Fellowship</v>
      </c>
      <c r="C1590" s="77">
        <f>IFERROR(__xludf.DUMMYFUNCTION("""COMPUTED_VALUE"""),0.0)</f>
        <v>0</v>
      </c>
      <c r="D1590" s="77">
        <f>IFERROR(__xludf.DUMMYFUNCTION("""COMPUTED_VALUE"""),0.0)</f>
        <v>0</v>
      </c>
      <c r="E1590" s="46" t="b">
        <f>IFERROR(__xludf.DUMMYFUNCTION("""COMPUTED_VALUE"""),TRUE)</f>
        <v>1</v>
      </c>
    </row>
    <row r="1591">
      <c r="A1591" s="76" t="str">
        <f>IFERROR(__xludf.DUMMYFUNCTION("""COMPUTED_VALUE"""),"Peace Offering")</f>
        <v>Peace Offering</v>
      </c>
      <c r="B1591" s="76" t="str">
        <f>IFERROR(__xludf.DUMMYFUNCTION("""COMPUTED_VALUE"""),"Jeskai Striker")</f>
        <v>Jeskai Striker</v>
      </c>
      <c r="C1591" s="77">
        <f>IFERROR(__xludf.DUMMYFUNCTION("""COMPUTED_VALUE"""),0.0)</f>
        <v>0</v>
      </c>
      <c r="D1591" s="77">
        <f>IFERROR(__xludf.DUMMYFUNCTION("""COMPUTED_VALUE"""),0.0)</f>
        <v>0</v>
      </c>
      <c r="E1591" s="46" t="b">
        <f>IFERROR(__xludf.DUMMYFUNCTION("""COMPUTED_VALUE"""),TRUE)</f>
        <v>1</v>
      </c>
    </row>
    <row r="1592">
      <c r="A1592" s="76" t="str">
        <f>IFERROR(__xludf.DUMMYFUNCTION("""COMPUTED_VALUE"""),"Peace Offering")</f>
        <v>Peace Offering</v>
      </c>
      <c r="B1592" s="76" t="str">
        <f>IFERROR(__xludf.DUMMYFUNCTION("""COMPUTED_VALUE"""),"Legends' Legacy")</f>
        <v>Legends' Legacy</v>
      </c>
      <c r="C1592" s="77">
        <f>IFERROR(__xludf.DUMMYFUNCTION("""COMPUTED_VALUE"""),0.0)</f>
        <v>0</v>
      </c>
      <c r="D1592" s="77">
        <f>IFERROR(__xludf.DUMMYFUNCTION("""COMPUTED_VALUE"""),0.0)</f>
        <v>0</v>
      </c>
      <c r="E1592" s="46" t="b">
        <f>IFERROR(__xludf.DUMMYFUNCTION("""COMPUTED_VALUE"""),TRUE)</f>
        <v>1</v>
      </c>
    </row>
    <row r="1593" hidden="1">
      <c r="A1593" s="76" t="str">
        <f>IFERROR(__xludf.DUMMYFUNCTION("""COMPUTED_VALUE"""),"Peace Offering")</f>
        <v>Peace Offering</v>
      </c>
      <c r="B1593" s="76" t="str">
        <f>IFERROR(__xludf.DUMMYFUNCTION("""COMPUTED_VALUE"""),"Limit Break")</f>
        <v>Limit Break</v>
      </c>
      <c r="C1593" s="77">
        <f>IFERROR(__xludf.DUMMYFUNCTION("""COMPUTED_VALUE"""),0.0)</f>
        <v>0</v>
      </c>
      <c r="D1593" s="77">
        <f>IFERROR(__xludf.DUMMYFUNCTION("""COMPUTED_VALUE"""),0.0)</f>
        <v>0</v>
      </c>
      <c r="E1593" s="46" t="b">
        <f>IFERROR(__xludf.DUMMYFUNCTION("""COMPUTED_VALUE"""),TRUE)</f>
        <v>1</v>
      </c>
    </row>
    <row r="1594" hidden="1">
      <c r="A1594" s="76" t="str">
        <f>IFERROR(__xludf.DUMMYFUNCTION("""COMPUTED_VALUE"""),"Peace Offering")</f>
        <v>Peace Offering</v>
      </c>
      <c r="B1594" s="76" t="str">
        <f>IFERROR(__xludf.DUMMYFUNCTION("""COMPUTED_VALUE"""),"Lorehold Spirit")</f>
        <v>Lorehold Spirit</v>
      </c>
      <c r="C1594" s="77">
        <f>IFERROR(__xludf.DUMMYFUNCTION("""COMPUTED_VALUE"""),0.0)</f>
        <v>0</v>
      </c>
      <c r="D1594" s="77">
        <f>IFERROR(__xludf.DUMMYFUNCTION("""COMPUTED_VALUE"""),0.0)</f>
        <v>0</v>
      </c>
      <c r="E1594" s="46" t="b">
        <f>IFERROR(__xludf.DUMMYFUNCTION("""COMPUTED_VALUE"""),TRUE)</f>
        <v>1</v>
      </c>
    </row>
    <row r="1595" hidden="1">
      <c r="A1595" s="76" t="str">
        <f>IFERROR(__xludf.DUMMYFUNCTION("""COMPUTED_VALUE"""),"Peace Offering")</f>
        <v>Peace Offering</v>
      </c>
      <c r="B1595" s="76" t="str">
        <f>IFERROR(__xludf.DUMMYFUNCTION("""COMPUTED_VALUE"""),"Mutant Menace")</f>
        <v>Mutant Menace</v>
      </c>
      <c r="C1595" s="77">
        <f>IFERROR(__xludf.DUMMYFUNCTION("""COMPUTED_VALUE"""),0.0)</f>
        <v>0</v>
      </c>
      <c r="D1595" s="77">
        <f>IFERROR(__xludf.DUMMYFUNCTION("""COMPUTED_VALUE"""),0.0)</f>
        <v>0</v>
      </c>
      <c r="E1595" s="46" t="b">
        <f>IFERROR(__xludf.DUMMYFUNCTION("""COMPUTED_VALUE"""),TRUE)</f>
        <v>1</v>
      </c>
    </row>
    <row r="1596" hidden="1">
      <c r="A1596" s="76" t="str">
        <f>IFERROR(__xludf.DUMMYFUNCTION("""COMPUTED_VALUE"""),"Peace Offering")</f>
        <v>Peace Offering</v>
      </c>
      <c r="B1596" s="76" t="str">
        <f>IFERROR(__xludf.DUMMYFUNCTION("""COMPUTED_VALUE"""),"Party Time")</f>
        <v>Party Time</v>
      </c>
      <c r="C1596" s="77">
        <f>IFERROR(__xludf.DUMMYFUNCTION("""COMPUTED_VALUE"""),0.0)</f>
        <v>0</v>
      </c>
      <c r="D1596" s="77">
        <f>IFERROR(__xludf.DUMMYFUNCTION("""COMPUTED_VALUE"""),0.0)</f>
        <v>0</v>
      </c>
      <c r="E1596" s="46" t="b">
        <f>IFERROR(__xludf.DUMMYFUNCTION("""COMPUTED_VALUE"""),TRUE)</f>
        <v>1</v>
      </c>
    </row>
    <row r="1597" hidden="1">
      <c r="A1597" s="76" t="str">
        <f>IFERROR(__xludf.DUMMYFUNCTION("""COMPUTED_VALUE"""),"Peace Offering")</f>
        <v>Peace Offering</v>
      </c>
      <c r="B1597" s="76" t="str">
        <f>IFERROR(__xludf.DUMMYFUNCTION("""COMPUTED_VALUE"""),"Peace Offering")</f>
        <v>Peace Offering</v>
      </c>
      <c r="C1597" s="77">
        <f>IFERROR(__xludf.DUMMYFUNCTION("""COMPUTED_VALUE"""),0.0)</f>
        <v>0</v>
      </c>
      <c r="D1597" s="77">
        <f>IFERROR(__xludf.DUMMYFUNCTION("""COMPUTED_VALUE"""),0.0)</f>
        <v>0</v>
      </c>
      <c r="E1597" s="46" t="b">
        <f>IFERROR(__xludf.DUMMYFUNCTION("""COMPUTED_VALUE"""),TRUE)</f>
        <v>1</v>
      </c>
    </row>
    <row r="1598" hidden="1">
      <c r="A1598" s="76" t="str">
        <f>IFERROR(__xludf.DUMMYFUNCTION("""COMPUTED_VALUE"""),"Peace Offering")</f>
        <v>Peace Offering</v>
      </c>
      <c r="B1598" s="76" t="str">
        <f>IFERROR(__xludf.DUMMYFUNCTION("""COMPUTED_VALUE"""),"Power Hungry")</f>
        <v>Power Hungry</v>
      </c>
      <c r="C1598" s="77">
        <f>IFERROR(__xludf.DUMMYFUNCTION("""COMPUTED_VALUE"""),0.0)</f>
        <v>0</v>
      </c>
      <c r="D1598" s="77">
        <f>IFERROR(__xludf.DUMMYFUNCTION("""COMPUTED_VALUE"""),0.0)</f>
        <v>0</v>
      </c>
      <c r="E1598" s="46" t="b">
        <f>IFERROR(__xludf.DUMMYFUNCTION("""COMPUTED_VALUE"""),TRUE)</f>
        <v>1</v>
      </c>
    </row>
    <row r="1599" hidden="1">
      <c r="A1599" s="76" t="str">
        <f>IFERROR(__xludf.DUMMYFUNCTION("""COMPUTED_VALUE"""),"Peace Offering")</f>
        <v>Peace Offering</v>
      </c>
      <c r="B1599" s="76" t="str">
        <f>IFERROR(__xludf.DUMMYFUNCTION("""COMPUTED_VALUE"""),"Primal Genesis")</f>
        <v>Primal Genesis</v>
      </c>
      <c r="C1599" s="77">
        <f>IFERROR(__xludf.DUMMYFUNCTION("""COMPUTED_VALUE"""),0.0)</f>
        <v>0</v>
      </c>
      <c r="D1599" s="77">
        <f>IFERROR(__xludf.DUMMYFUNCTION("""COMPUTED_VALUE"""),0.0)</f>
        <v>0</v>
      </c>
      <c r="E1599" s="46" t="b">
        <f>IFERROR(__xludf.DUMMYFUNCTION("""COMPUTED_VALUE"""),TRUE)</f>
        <v>1</v>
      </c>
    </row>
    <row r="1600">
      <c r="A1600" s="76" t="str">
        <f>IFERROR(__xludf.DUMMYFUNCTION("""COMPUTED_VALUE"""),"Peace Offering")</f>
        <v>Peace Offering</v>
      </c>
      <c r="B1600" s="76" t="str">
        <f>IFERROR(__xludf.DUMMYFUNCTION("""COMPUTED_VALUE"""),"Prismari Artistry")</f>
        <v>Prismari Artistry</v>
      </c>
      <c r="C1600" s="77">
        <f>IFERROR(__xludf.DUMMYFUNCTION("""COMPUTED_VALUE"""),0.0)</f>
        <v>0</v>
      </c>
      <c r="D1600" s="77">
        <f>IFERROR(__xludf.DUMMYFUNCTION("""COMPUTED_VALUE"""),0.0)</f>
        <v>0</v>
      </c>
      <c r="E1600" s="46" t="b">
        <f>IFERROR(__xludf.DUMMYFUNCTION("""COMPUTED_VALUE"""),TRUE)</f>
        <v>1</v>
      </c>
    </row>
    <row r="1601" hidden="1">
      <c r="A1601" s="76" t="str">
        <f>IFERROR(__xludf.DUMMYFUNCTION("""COMPUTED_VALUE"""),"Peace Offering")</f>
        <v>Peace Offering</v>
      </c>
      <c r="B1601" s="76" t="str">
        <f>IFERROR(__xludf.DUMMYFUNCTION("""COMPUTED_VALUE"""),"Prismari Performance")</f>
        <v>Prismari Performance</v>
      </c>
      <c r="C1601" s="77">
        <f>IFERROR(__xludf.DUMMYFUNCTION("""COMPUTED_VALUE"""),0.0)</f>
        <v>0</v>
      </c>
      <c r="D1601" s="77">
        <f>IFERROR(__xludf.DUMMYFUNCTION("""COMPUTED_VALUE"""),0.0)</f>
        <v>0</v>
      </c>
      <c r="E1601" s="46" t="b">
        <f>IFERROR(__xludf.DUMMYFUNCTION("""COMPUTED_VALUE"""),TRUE)</f>
        <v>1</v>
      </c>
    </row>
    <row r="1602" hidden="1">
      <c r="A1602" s="76" t="str">
        <f>IFERROR(__xludf.DUMMYFUNCTION("""COMPUTED_VALUE"""),"Peace Offering")</f>
        <v>Peace Offering</v>
      </c>
      <c r="B1602" s="76" t="str">
        <f>IFERROR(__xludf.DUMMYFUNCTION("""COMPUTED_VALUE"""),"Quandrix Unlimited")</f>
        <v>Quandrix Unlimited</v>
      </c>
      <c r="C1602" s="77">
        <f>IFERROR(__xludf.DUMMYFUNCTION("""COMPUTED_VALUE"""),0.0)</f>
        <v>0</v>
      </c>
      <c r="D1602" s="77">
        <f>IFERROR(__xludf.DUMMYFUNCTION("""COMPUTED_VALUE"""),0.0)</f>
        <v>0</v>
      </c>
      <c r="E1602" s="46" t="b">
        <f>IFERROR(__xludf.DUMMYFUNCTION("""COMPUTED_VALUE"""),TRUE)</f>
        <v>1</v>
      </c>
    </row>
    <row r="1603" hidden="1">
      <c r="A1603" s="76" t="str">
        <f>IFERROR(__xludf.DUMMYFUNCTION("""COMPUTED_VALUE"""),"Peace Offering")</f>
        <v>Peace Offering</v>
      </c>
      <c r="B1603" s="76" t="str">
        <f>IFERROR(__xludf.DUMMYFUNCTION("""COMPUTED_VALUE"""),"Quick Draw")</f>
        <v>Quick Draw</v>
      </c>
      <c r="C1603" s="77">
        <f>IFERROR(__xludf.DUMMYFUNCTION("""COMPUTED_VALUE"""),0.0)</f>
        <v>0</v>
      </c>
      <c r="D1603" s="77">
        <f>IFERROR(__xludf.DUMMYFUNCTION("""COMPUTED_VALUE"""),0.0)</f>
        <v>0</v>
      </c>
      <c r="E1603" s="46" t="b">
        <f>IFERROR(__xludf.DUMMYFUNCTION("""COMPUTED_VALUE"""),TRUE)</f>
        <v>1</v>
      </c>
    </row>
    <row r="1604" hidden="1">
      <c r="A1604" s="76" t="str">
        <f>IFERROR(__xludf.DUMMYFUNCTION("""COMPUTED_VALUE"""),"Peace Offering")</f>
        <v>Peace Offering</v>
      </c>
      <c r="B1604" s="76" t="str">
        <f>IFERROR(__xludf.DUMMYFUNCTION("""COMPUTED_VALUE"""),"Reap the Tides")</f>
        <v>Reap the Tides</v>
      </c>
      <c r="C1604" s="77">
        <f>IFERROR(__xludf.DUMMYFUNCTION("""COMPUTED_VALUE"""),0.0)</f>
        <v>0</v>
      </c>
      <c r="D1604" s="77">
        <f>IFERROR(__xludf.DUMMYFUNCTION("""COMPUTED_VALUE"""),0.0)</f>
        <v>0</v>
      </c>
      <c r="E1604" s="46" t="b">
        <f>IFERROR(__xludf.DUMMYFUNCTION("""COMPUTED_VALUE"""),TRUE)</f>
        <v>1</v>
      </c>
    </row>
    <row r="1605" hidden="1">
      <c r="A1605" s="76" t="str">
        <f>IFERROR(__xludf.DUMMYFUNCTION("""COMPUTED_VALUE"""),"Peace Offering")</f>
        <v>Peace Offering</v>
      </c>
      <c r="B1605" s="76" t="str">
        <f>IFERROR(__xludf.DUMMYFUNCTION("""COMPUTED_VALUE"""),"Rebellion Rising")</f>
        <v>Rebellion Rising</v>
      </c>
      <c r="C1605" s="77">
        <f>IFERROR(__xludf.DUMMYFUNCTION("""COMPUTED_VALUE"""),0.0)</f>
        <v>0</v>
      </c>
      <c r="D1605" s="77">
        <f>IFERROR(__xludf.DUMMYFUNCTION("""COMPUTED_VALUE"""),0.0)</f>
        <v>0</v>
      </c>
      <c r="E1605" s="46" t="b">
        <f>IFERROR(__xludf.DUMMYFUNCTION("""COMPUTED_VALUE"""),TRUE)</f>
        <v>1</v>
      </c>
    </row>
    <row r="1606" hidden="1">
      <c r="A1606" s="76" t="str">
        <f>IFERROR(__xludf.DUMMYFUNCTION("""COMPUTED_VALUE"""),"Peace Offering")</f>
        <v>Peace Offering</v>
      </c>
      <c r="B1606" s="76" t="str">
        <f>IFERROR(__xludf.DUMMYFUNCTION("""COMPUTED_VALUE"""),"Revival Trance")</f>
        <v>Revival Trance</v>
      </c>
      <c r="C1606" s="77">
        <f>IFERROR(__xludf.DUMMYFUNCTION("""COMPUTED_VALUE"""),0.0)</f>
        <v>0</v>
      </c>
      <c r="D1606" s="77">
        <f>IFERROR(__xludf.DUMMYFUNCTION("""COMPUTED_VALUE"""),0.0)</f>
        <v>0</v>
      </c>
      <c r="E1606" s="46" t="b">
        <f>IFERROR(__xludf.DUMMYFUNCTION("""COMPUTED_VALUE"""),TRUE)</f>
        <v>1</v>
      </c>
    </row>
    <row r="1607" hidden="1">
      <c r="A1607" s="76" t="str">
        <f>IFERROR(__xludf.DUMMYFUNCTION("""COMPUTED_VALUE"""),"Peace Offering")</f>
        <v>Peace Offering</v>
      </c>
      <c r="B1607" s="76" t="str">
        <f>IFERROR(__xludf.DUMMYFUNCTION("""COMPUTED_VALUE"""),"Riders of Rohan")</f>
        <v>Riders of Rohan</v>
      </c>
      <c r="C1607" s="77">
        <f>IFERROR(__xludf.DUMMYFUNCTION("""COMPUTED_VALUE"""),0.0)</f>
        <v>0</v>
      </c>
      <c r="D1607" s="77">
        <f>IFERROR(__xludf.DUMMYFUNCTION("""COMPUTED_VALUE"""),0.0)</f>
        <v>0</v>
      </c>
      <c r="E1607" s="46" t="b">
        <f>IFERROR(__xludf.DUMMYFUNCTION("""COMPUTED_VALUE"""),TRUE)</f>
        <v>1</v>
      </c>
    </row>
    <row r="1608" hidden="1">
      <c r="A1608" s="76" t="str">
        <f>IFERROR(__xludf.DUMMYFUNCTION("""COMPUTED_VALUE"""),"Peace Offering")</f>
        <v>Peace Offering</v>
      </c>
      <c r="B1608" s="76" t="str">
        <f>IFERROR(__xludf.DUMMYFUNCTION("""COMPUTED_VALUE"""),"Science!")</f>
        <v>Science!</v>
      </c>
      <c r="C1608" s="77">
        <f>IFERROR(__xludf.DUMMYFUNCTION("""COMPUTED_VALUE"""),0.0)</f>
        <v>0</v>
      </c>
      <c r="D1608" s="77">
        <f>IFERROR(__xludf.DUMMYFUNCTION("""COMPUTED_VALUE"""),0.0)</f>
        <v>0</v>
      </c>
      <c r="E1608" s="46" t="b">
        <f>IFERROR(__xludf.DUMMYFUNCTION("""COMPUTED_VALUE"""),TRUE)</f>
        <v>1</v>
      </c>
    </row>
    <row r="1609" hidden="1">
      <c r="A1609" s="76" t="str">
        <f>IFERROR(__xludf.DUMMYFUNCTION("""COMPUTED_VALUE"""),"Peace Offering")</f>
        <v>Peace Offering</v>
      </c>
      <c r="B1609" s="76" t="str">
        <f>IFERROR(__xludf.DUMMYFUNCTION("""COMPUTED_VALUE"""),"Scions &amp; Spellcraft")</f>
        <v>Scions &amp; Spellcraft</v>
      </c>
      <c r="C1609" s="77">
        <f>IFERROR(__xludf.DUMMYFUNCTION("""COMPUTED_VALUE"""),0.0)</f>
        <v>0</v>
      </c>
      <c r="D1609" s="77">
        <f>IFERROR(__xludf.DUMMYFUNCTION("""COMPUTED_VALUE"""),0.0)</f>
        <v>0</v>
      </c>
      <c r="E1609" s="46" t="b">
        <f>IFERROR(__xludf.DUMMYFUNCTION("""COMPUTED_VALUE"""),TRUE)</f>
        <v>1</v>
      </c>
    </row>
    <row r="1610" hidden="1">
      <c r="A1610" s="76" t="str">
        <f>IFERROR(__xludf.DUMMYFUNCTION("""COMPUTED_VALUE"""),"Peace Offering")</f>
        <v>Peace Offering</v>
      </c>
      <c r="B1610" s="76" t="str">
        <f>IFERROR(__xludf.DUMMYFUNCTION("""COMPUTED_VALUE"""),"Scrappy Survivors")</f>
        <v>Scrappy Survivors</v>
      </c>
      <c r="C1610" s="77">
        <f>IFERROR(__xludf.DUMMYFUNCTION("""COMPUTED_VALUE"""),0.0)</f>
        <v>0</v>
      </c>
      <c r="D1610" s="77">
        <f>IFERROR(__xludf.DUMMYFUNCTION("""COMPUTED_VALUE"""),0.0)</f>
        <v>0</v>
      </c>
      <c r="E1610" s="46" t="b">
        <f>IFERROR(__xludf.DUMMYFUNCTION("""COMPUTED_VALUE"""),TRUE)</f>
        <v>1</v>
      </c>
    </row>
    <row r="1611" hidden="1">
      <c r="A1611" s="76" t="str">
        <f>IFERROR(__xludf.DUMMYFUNCTION("""COMPUTED_VALUE"""),"Peace Offering")</f>
        <v>Peace Offering</v>
      </c>
      <c r="B1611" s="76" t="str">
        <f>IFERROR(__xludf.DUMMYFUNCTION("""COMPUTED_VALUE"""),"Silverquill Influence")</f>
        <v>Silverquill Influence</v>
      </c>
      <c r="C1611" s="77">
        <f>IFERROR(__xludf.DUMMYFUNCTION("""COMPUTED_VALUE"""),0.0)</f>
        <v>0</v>
      </c>
      <c r="D1611" s="77">
        <f>IFERROR(__xludf.DUMMYFUNCTION("""COMPUTED_VALUE"""),0.0)</f>
        <v>0</v>
      </c>
      <c r="E1611" s="46" t="b">
        <f>IFERROR(__xludf.DUMMYFUNCTION("""COMPUTED_VALUE"""),TRUE)</f>
        <v>1</v>
      </c>
    </row>
    <row r="1612" hidden="1">
      <c r="A1612" s="76" t="str">
        <f>IFERROR(__xludf.DUMMYFUNCTION("""COMPUTED_VALUE"""),"Peace Offering")</f>
        <v>Peace Offering</v>
      </c>
      <c r="B1612" s="76" t="str">
        <f>IFERROR(__xludf.DUMMYFUNCTION("""COMPUTED_VALUE"""),"Spirit Squadron")</f>
        <v>Spirit Squadron</v>
      </c>
      <c r="C1612" s="77">
        <f>IFERROR(__xludf.DUMMYFUNCTION("""COMPUTED_VALUE"""),0.0)</f>
        <v>0</v>
      </c>
      <c r="D1612" s="77">
        <f>IFERROR(__xludf.DUMMYFUNCTION("""COMPUTED_VALUE"""),0.0)</f>
        <v>0</v>
      </c>
      <c r="E1612" s="46" t="b">
        <f>IFERROR(__xludf.DUMMYFUNCTION("""COMPUTED_VALUE"""),TRUE)</f>
        <v>1</v>
      </c>
    </row>
    <row r="1613" hidden="1">
      <c r="A1613" s="76" t="str">
        <f>IFERROR(__xludf.DUMMYFUNCTION("""COMPUTED_VALUE"""),"Peace Offering")</f>
        <v>Peace Offering</v>
      </c>
      <c r="B1613" s="76" t="str">
        <f>IFERROR(__xludf.DUMMYFUNCTION("""COMPUTED_VALUE"""),"Squirreled Away")</f>
        <v>Squirreled Away</v>
      </c>
      <c r="C1613" s="77">
        <f>IFERROR(__xludf.DUMMYFUNCTION("""COMPUTED_VALUE"""),0.0)</f>
        <v>0</v>
      </c>
      <c r="D1613" s="77">
        <f>IFERROR(__xludf.DUMMYFUNCTION("""COMPUTED_VALUE"""),0.0)</f>
        <v>0</v>
      </c>
      <c r="E1613" s="46" t="b">
        <f>IFERROR(__xludf.DUMMYFUNCTION("""COMPUTED_VALUE"""),TRUE)</f>
        <v>1</v>
      </c>
    </row>
    <row r="1614" hidden="1">
      <c r="A1614" s="76" t="str">
        <f>IFERROR(__xludf.DUMMYFUNCTION("""COMPUTED_VALUE"""),"Peace Offering")</f>
        <v>Peace Offering</v>
      </c>
      <c r="B1614" s="76" t="str">
        <f>IFERROR(__xludf.DUMMYFUNCTION("""COMPUTED_VALUE"""),"Sultai Arisen")</f>
        <v>Sultai Arisen</v>
      </c>
      <c r="C1614" s="77">
        <f>IFERROR(__xludf.DUMMYFUNCTION("""COMPUTED_VALUE"""),0.0)</f>
        <v>0</v>
      </c>
      <c r="D1614" s="77">
        <f>IFERROR(__xludf.DUMMYFUNCTION("""COMPUTED_VALUE"""),0.0)</f>
        <v>0</v>
      </c>
      <c r="E1614" s="46" t="b">
        <f>IFERROR(__xludf.DUMMYFUNCTION("""COMPUTED_VALUE"""),TRUE)</f>
        <v>1</v>
      </c>
    </row>
    <row r="1615" hidden="1">
      <c r="A1615" s="76" t="str">
        <f>IFERROR(__xludf.DUMMYFUNCTION("""COMPUTED_VALUE"""),"Peace Offering")</f>
        <v>Peace Offering</v>
      </c>
      <c r="B1615" s="76" t="str">
        <f>IFERROR(__xludf.DUMMYFUNCTION("""COMPUTED_VALUE"""),"Temur Roar")</f>
        <v>Temur Roar</v>
      </c>
      <c r="C1615" s="77">
        <f>IFERROR(__xludf.DUMMYFUNCTION("""COMPUTED_VALUE"""),0.0)</f>
        <v>0</v>
      </c>
      <c r="D1615" s="77">
        <f>IFERROR(__xludf.DUMMYFUNCTION("""COMPUTED_VALUE"""),0.0)</f>
        <v>0</v>
      </c>
      <c r="E1615" s="46" t="b">
        <f>IFERROR(__xludf.DUMMYFUNCTION("""COMPUTED_VALUE"""),TRUE)</f>
        <v>1</v>
      </c>
    </row>
    <row r="1616" hidden="1">
      <c r="A1616" s="76" t="str">
        <f>IFERROR(__xludf.DUMMYFUNCTION("""COMPUTED_VALUE"""),"Peace Offering")</f>
        <v>Peace Offering</v>
      </c>
      <c r="B1616" s="76" t="str">
        <f>IFERROR(__xludf.DUMMYFUNCTION("""COMPUTED_VALUE"""),"The Hosts of Mordor")</f>
        <v>The Hosts of Mordor</v>
      </c>
      <c r="C1616" s="77">
        <f>IFERROR(__xludf.DUMMYFUNCTION("""COMPUTED_VALUE"""),0.0)</f>
        <v>0</v>
      </c>
      <c r="D1616" s="77">
        <f>IFERROR(__xludf.DUMMYFUNCTION("""COMPUTED_VALUE"""),0.0)</f>
        <v>0</v>
      </c>
      <c r="E1616" s="46" t="b">
        <f>IFERROR(__xludf.DUMMYFUNCTION("""COMPUTED_VALUE"""),TRUE)</f>
        <v>1</v>
      </c>
    </row>
    <row r="1617">
      <c r="A1617" s="76" t="str">
        <f>IFERROR(__xludf.DUMMYFUNCTION("""COMPUTED_VALUE"""),"Peace Offering")</f>
        <v>Peace Offering</v>
      </c>
      <c r="B1617" s="76" t="str">
        <f>IFERROR(__xludf.DUMMYFUNCTION("""COMPUTED_VALUE"""),"The Ruinous Powers")</f>
        <v>The Ruinous Powers</v>
      </c>
      <c r="C1617" s="77">
        <f>IFERROR(__xludf.DUMMYFUNCTION("""COMPUTED_VALUE"""),0.0)</f>
        <v>0</v>
      </c>
      <c r="D1617" s="77">
        <f>IFERROR(__xludf.DUMMYFUNCTION("""COMPUTED_VALUE"""),0.0)</f>
        <v>0</v>
      </c>
      <c r="E1617" s="46" t="b">
        <f>IFERROR(__xludf.DUMMYFUNCTION("""COMPUTED_VALUE"""),TRUE)</f>
        <v>1</v>
      </c>
    </row>
    <row r="1618" hidden="1">
      <c r="A1618" s="76" t="str">
        <f>IFERROR(__xludf.DUMMYFUNCTION("""COMPUTED_VALUE"""),"Peace Offering")</f>
        <v>Peace Offering</v>
      </c>
      <c r="B1618" s="76" t="str">
        <f>IFERROR(__xludf.DUMMYFUNCTION("""COMPUTED_VALUE"""),"Timey-Wimey")</f>
        <v>Timey-Wimey</v>
      </c>
      <c r="C1618" s="77">
        <f>IFERROR(__xludf.DUMMYFUNCTION("""COMPUTED_VALUE"""),0.0)</f>
        <v>0</v>
      </c>
      <c r="D1618" s="77">
        <f>IFERROR(__xludf.DUMMYFUNCTION("""COMPUTED_VALUE"""),0.0)</f>
        <v>0</v>
      </c>
      <c r="E1618" s="46" t="b">
        <f>IFERROR(__xludf.DUMMYFUNCTION("""COMPUTED_VALUE"""),TRUE)</f>
        <v>1</v>
      </c>
    </row>
    <row r="1619" hidden="1">
      <c r="A1619" s="76" t="str">
        <f>IFERROR(__xludf.DUMMYFUNCTION("""COMPUTED_VALUE"""),"Peace Offering")</f>
        <v>Peace Offering</v>
      </c>
      <c r="B1619" s="76" t="str">
        <f>IFERROR(__xludf.DUMMYFUNCTION("""COMPUTED_VALUE"""),"Tinker Time")</f>
        <v>Tinker Time</v>
      </c>
      <c r="C1619" s="77">
        <f>IFERROR(__xludf.DUMMYFUNCTION("""COMPUTED_VALUE"""),0.0)</f>
        <v>0</v>
      </c>
      <c r="D1619" s="77">
        <f>IFERROR(__xludf.DUMMYFUNCTION("""COMPUTED_VALUE"""),0.0)</f>
        <v>0</v>
      </c>
      <c r="E1619" s="46" t="b">
        <f>IFERROR(__xludf.DUMMYFUNCTION("""COMPUTED_VALUE"""),TRUE)</f>
        <v>1</v>
      </c>
    </row>
    <row r="1620" hidden="1">
      <c r="A1620" s="76" t="str">
        <f>IFERROR(__xludf.DUMMYFUNCTION("""COMPUTED_VALUE"""),"Peace Offering")</f>
        <v>Peace Offering</v>
      </c>
      <c r="B1620" s="76" t="str">
        <f>IFERROR(__xludf.DUMMYFUNCTION("""COMPUTED_VALUE"""),"Turtle Power!")</f>
        <v>Turtle Power!</v>
      </c>
      <c r="C1620" s="77">
        <f>IFERROR(__xludf.DUMMYFUNCTION("""COMPUTED_VALUE"""),0.0)</f>
        <v>0</v>
      </c>
      <c r="D1620" s="77">
        <f>IFERROR(__xludf.DUMMYFUNCTION("""COMPUTED_VALUE"""),0.0)</f>
        <v>0</v>
      </c>
      <c r="E1620" s="46" t="b">
        <f>IFERROR(__xludf.DUMMYFUNCTION("""COMPUTED_VALUE"""),TRUE)</f>
        <v>1</v>
      </c>
    </row>
    <row r="1621" hidden="1">
      <c r="A1621" s="76" t="str">
        <f>IFERROR(__xludf.DUMMYFUNCTION("""COMPUTED_VALUE"""),"Peace Offering")</f>
        <v>Peace Offering</v>
      </c>
      <c r="B1621" s="76" t="str">
        <f>IFERROR(__xludf.DUMMYFUNCTION("""COMPUTED_VALUE"""),"Veloci-ramp-tor")</f>
        <v>Veloci-ramp-tor</v>
      </c>
      <c r="C1621" s="77">
        <f>IFERROR(__xludf.DUMMYFUNCTION("""COMPUTED_VALUE"""),0.0)</f>
        <v>0</v>
      </c>
      <c r="D1621" s="77">
        <f>IFERROR(__xludf.DUMMYFUNCTION("""COMPUTED_VALUE"""),0.0)</f>
        <v>0</v>
      </c>
      <c r="E1621" s="46" t="b">
        <f>IFERROR(__xludf.DUMMYFUNCTION("""COMPUTED_VALUE"""),TRUE)</f>
        <v>1</v>
      </c>
    </row>
    <row r="1622" hidden="1">
      <c r="A1622" s="76" t="str">
        <f>IFERROR(__xludf.DUMMYFUNCTION("""COMPUTED_VALUE"""),"Power Hungry")</f>
        <v>Power Hungry</v>
      </c>
      <c r="B1622" s="76" t="str">
        <f>IFERROR(__xludf.DUMMYFUNCTION("""COMPUTED_VALUE"""),"Ahoy Mateys")</f>
        <v>Ahoy Mateys</v>
      </c>
      <c r="C1622" s="77">
        <f>IFERROR(__xludf.DUMMYFUNCTION("""COMPUTED_VALUE"""),0.0)</f>
        <v>0</v>
      </c>
      <c r="D1622" s="77">
        <f>IFERROR(__xludf.DUMMYFUNCTION("""COMPUTED_VALUE"""),0.0)</f>
        <v>0</v>
      </c>
      <c r="E1622" s="46" t="b">
        <f>IFERROR(__xludf.DUMMYFUNCTION("""COMPUTED_VALUE"""),TRUE)</f>
        <v>1</v>
      </c>
    </row>
    <row r="1623" hidden="1">
      <c r="A1623" s="76" t="str">
        <f>IFERROR(__xludf.DUMMYFUNCTION("""COMPUTED_VALUE"""),"Power Hungry")</f>
        <v>Power Hungry</v>
      </c>
      <c r="B1623" s="76" t="str">
        <f>IFERROR(__xludf.DUMMYFUNCTION("""COMPUTED_VALUE"""),"Animated Army")</f>
        <v>Animated Army</v>
      </c>
      <c r="C1623" s="77">
        <f>IFERROR(__xludf.DUMMYFUNCTION("""COMPUTED_VALUE"""),0.0)</f>
        <v>0</v>
      </c>
      <c r="D1623" s="77">
        <f>IFERROR(__xludf.DUMMYFUNCTION("""COMPUTED_VALUE"""),0.0)</f>
        <v>0</v>
      </c>
      <c r="E1623" s="46" t="b">
        <f>IFERROR(__xludf.DUMMYFUNCTION("""COMPUTED_VALUE"""),TRUE)</f>
        <v>1</v>
      </c>
    </row>
    <row r="1624" hidden="1">
      <c r="A1624" s="76" t="str">
        <f>IFERROR(__xludf.DUMMYFUNCTION("""COMPUTED_VALUE"""),"Power Hungry")</f>
        <v>Power Hungry</v>
      </c>
      <c r="B1624" s="76" t="str">
        <f>IFERROR(__xludf.DUMMYFUNCTION("""COMPUTED_VALUE"""),"Arcane Maelstrom")</f>
        <v>Arcane Maelstrom</v>
      </c>
      <c r="C1624" s="77">
        <f>IFERROR(__xludf.DUMMYFUNCTION("""COMPUTED_VALUE"""),0.0)</f>
        <v>0</v>
      </c>
      <c r="D1624" s="77">
        <f>IFERROR(__xludf.DUMMYFUNCTION("""COMPUTED_VALUE"""),0.0)</f>
        <v>0</v>
      </c>
      <c r="E1624" s="46" t="b">
        <f>IFERROR(__xludf.DUMMYFUNCTION("""COMPUTED_VALUE"""),TRUE)</f>
        <v>1</v>
      </c>
    </row>
    <row r="1625" hidden="1">
      <c r="A1625" s="76" t="str">
        <f>IFERROR(__xludf.DUMMYFUNCTION("""COMPUTED_VALUE"""),"Power Hungry")</f>
        <v>Power Hungry</v>
      </c>
      <c r="B1625" s="76" t="str">
        <f>IFERROR(__xludf.DUMMYFUNCTION("""COMPUTED_VALUE"""),"Blame Game")</f>
        <v>Blame Game</v>
      </c>
      <c r="C1625" s="77">
        <f>IFERROR(__xludf.DUMMYFUNCTION("""COMPUTED_VALUE"""),0.0)</f>
        <v>0</v>
      </c>
      <c r="D1625" s="77">
        <f>IFERROR(__xludf.DUMMYFUNCTION("""COMPUTED_VALUE"""),0.0)</f>
        <v>0</v>
      </c>
      <c r="E1625" s="46" t="b">
        <f>IFERROR(__xludf.DUMMYFUNCTION("""COMPUTED_VALUE"""),TRUE)</f>
        <v>1</v>
      </c>
    </row>
    <row r="1626" hidden="1">
      <c r="A1626" s="76" t="str">
        <f>IFERROR(__xludf.DUMMYFUNCTION("""COMPUTED_VALUE"""),"Power Hungry")</f>
        <v>Power Hungry</v>
      </c>
      <c r="B1626" s="76" t="str">
        <f>IFERROR(__xludf.DUMMYFUNCTION("""COMPUTED_VALUE"""),"Blight Curse")</f>
        <v>Blight Curse</v>
      </c>
      <c r="C1626" s="77">
        <f>IFERROR(__xludf.DUMMYFUNCTION("""COMPUTED_VALUE"""),0.0)</f>
        <v>0</v>
      </c>
      <c r="D1626" s="77">
        <f>IFERROR(__xludf.DUMMYFUNCTION("""COMPUTED_VALUE"""),0.0)</f>
        <v>0</v>
      </c>
      <c r="E1626" s="46" t="b">
        <f>IFERROR(__xludf.DUMMYFUNCTION("""COMPUTED_VALUE"""),TRUE)</f>
        <v>1</v>
      </c>
    </row>
    <row r="1627" hidden="1">
      <c r="A1627" s="76" t="str">
        <f>IFERROR(__xludf.DUMMYFUNCTION("""COMPUTED_VALUE"""),"Power Hungry")</f>
        <v>Power Hungry</v>
      </c>
      <c r="B1627" s="76" t="str">
        <f>IFERROR(__xludf.DUMMYFUNCTION("""COMPUTED_VALUE"""),"Blood Rites")</f>
        <v>Blood Rites</v>
      </c>
      <c r="C1627" s="77">
        <f>IFERROR(__xludf.DUMMYFUNCTION("""COMPUTED_VALUE"""),0.0)</f>
        <v>0</v>
      </c>
      <c r="D1627" s="77">
        <f>IFERROR(__xludf.DUMMYFUNCTION("""COMPUTED_VALUE"""),0.0)</f>
        <v>0</v>
      </c>
      <c r="E1627" s="46" t="b">
        <f>IFERROR(__xludf.DUMMYFUNCTION("""COMPUTED_VALUE"""),TRUE)</f>
        <v>1</v>
      </c>
    </row>
    <row r="1628" hidden="1">
      <c r="A1628" s="76" t="str">
        <f>IFERROR(__xludf.DUMMYFUNCTION("""COMPUTED_VALUE"""),"Power Hungry")</f>
        <v>Power Hungry</v>
      </c>
      <c r="B1628" s="76" t="str">
        <f>IFERROR(__xludf.DUMMYFUNCTION("""COMPUTED_VALUE"""),"Buckle Up")</f>
        <v>Buckle Up</v>
      </c>
      <c r="C1628" s="77">
        <f>IFERROR(__xludf.DUMMYFUNCTION("""COMPUTED_VALUE"""),0.0)</f>
        <v>0</v>
      </c>
      <c r="D1628" s="77">
        <f>IFERROR(__xludf.DUMMYFUNCTION("""COMPUTED_VALUE"""),0.0)</f>
        <v>0</v>
      </c>
      <c r="E1628" s="46" t="b">
        <f>IFERROR(__xludf.DUMMYFUNCTION("""COMPUTED_VALUE"""),TRUE)</f>
        <v>1</v>
      </c>
    </row>
    <row r="1629">
      <c r="A1629" s="76" t="str">
        <f>IFERROR(__xludf.DUMMYFUNCTION("""COMPUTED_VALUE"""),"Power Hungry")</f>
        <v>Power Hungry</v>
      </c>
      <c r="B1629" s="76" t="str">
        <f>IFERROR(__xludf.DUMMYFUNCTION("""COMPUTED_VALUE"""),"Cabaretti Cacophony")</f>
        <v>Cabaretti Cacophony</v>
      </c>
      <c r="C1629" s="77">
        <f>IFERROR(__xludf.DUMMYFUNCTION("""COMPUTED_VALUE"""),0.0)</f>
        <v>0</v>
      </c>
      <c r="D1629" s="77">
        <f>IFERROR(__xludf.DUMMYFUNCTION("""COMPUTED_VALUE"""),0.0)</f>
        <v>0</v>
      </c>
      <c r="E1629" s="46" t="b">
        <f>IFERROR(__xludf.DUMMYFUNCTION("""COMPUTED_VALUE"""),TRUE)</f>
        <v>1</v>
      </c>
    </row>
    <row r="1630" hidden="1">
      <c r="A1630" s="76" t="str">
        <f>IFERROR(__xludf.DUMMYFUNCTION("""COMPUTED_VALUE"""),"Power Hungry")</f>
        <v>Power Hungry</v>
      </c>
      <c r="B1630" s="76" t="str">
        <f>IFERROR(__xludf.DUMMYFUNCTION("""COMPUTED_VALUE"""),"Cavalry Charge")</f>
        <v>Cavalry Charge</v>
      </c>
      <c r="C1630" s="77">
        <f>IFERROR(__xludf.DUMMYFUNCTION("""COMPUTED_VALUE"""),0.0)</f>
        <v>0</v>
      </c>
      <c r="D1630" s="77">
        <f>IFERROR(__xludf.DUMMYFUNCTION("""COMPUTED_VALUE"""),0.0)</f>
        <v>0</v>
      </c>
      <c r="E1630" s="46" t="b">
        <f>IFERROR(__xludf.DUMMYFUNCTION("""COMPUTED_VALUE"""),TRUE)</f>
        <v>1</v>
      </c>
    </row>
    <row r="1631" hidden="1">
      <c r="A1631" s="76" t="str">
        <f>IFERROR(__xludf.DUMMYFUNCTION("""COMPUTED_VALUE"""),"Power Hungry")</f>
        <v>Power Hungry</v>
      </c>
      <c r="B1631" s="76" t="str">
        <f>IFERROR(__xludf.DUMMYFUNCTION("""COMPUTED_VALUE"""),"Corrupting Influence")</f>
        <v>Corrupting Influence</v>
      </c>
      <c r="C1631" s="77">
        <f>IFERROR(__xludf.DUMMYFUNCTION("""COMPUTED_VALUE"""),0.0)</f>
        <v>0</v>
      </c>
      <c r="D1631" s="77">
        <f>IFERROR(__xludf.DUMMYFUNCTION("""COMPUTED_VALUE"""),0.0)</f>
        <v>0</v>
      </c>
      <c r="E1631" s="46" t="b">
        <f>IFERROR(__xludf.DUMMYFUNCTION("""COMPUTED_VALUE"""),TRUE)</f>
        <v>1</v>
      </c>
    </row>
    <row r="1632" hidden="1">
      <c r="A1632" s="76" t="str">
        <f>IFERROR(__xludf.DUMMYFUNCTION("""COMPUTED_VALUE"""),"Power Hungry")</f>
        <v>Power Hungry</v>
      </c>
      <c r="B1632" s="76" t="str">
        <f>IFERROR(__xludf.DUMMYFUNCTION("""COMPUTED_VALUE"""),"Counter Blitz")</f>
        <v>Counter Blitz</v>
      </c>
      <c r="C1632" s="77">
        <f>IFERROR(__xludf.DUMMYFUNCTION("""COMPUTED_VALUE"""),0.0)</f>
        <v>0</v>
      </c>
      <c r="D1632" s="77">
        <f>IFERROR(__xludf.DUMMYFUNCTION("""COMPUTED_VALUE"""),0.0)</f>
        <v>0</v>
      </c>
      <c r="E1632" s="46" t="b">
        <f>IFERROR(__xludf.DUMMYFUNCTION("""COMPUTED_VALUE"""),TRUE)</f>
        <v>1</v>
      </c>
    </row>
    <row r="1633" hidden="1">
      <c r="A1633" s="76" t="str">
        <f>IFERROR(__xludf.DUMMYFUNCTION("""COMPUTED_VALUE"""),"Power Hungry")</f>
        <v>Power Hungry</v>
      </c>
      <c r="B1633" s="76" t="str">
        <f>IFERROR(__xludf.DUMMYFUNCTION("""COMPUTED_VALUE"""),"Counter Intelligence")</f>
        <v>Counter Intelligence</v>
      </c>
      <c r="C1633" s="77">
        <f>IFERROR(__xludf.DUMMYFUNCTION("""COMPUTED_VALUE"""),0.0)</f>
        <v>0</v>
      </c>
      <c r="D1633" s="77">
        <f>IFERROR(__xludf.DUMMYFUNCTION("""COMPUTED_VALUE"""),0.0)</f>
        <v>0</v>
      </c>
      <c r="E1633" s="46" t="b">
        <f>IFERROR(__xludf.DUMMYFUNCTION("""COMPUTED_VALUE"""),TRUE)</f>
        <v>1</v>
      </c>
    </row>
    <row r="1634" hidden="1">
      <c r="A1634" s="76" t="str">
        <f>IFERROR(__xludf.DUMMYFUNCTION("""COMPUTED_VALUE"""),"Power Hungry")</f>
        <v>Power Hungry</v>
      </c>
      <c r="B1634" s="76" t="str">
        <f>IFERROR(__xludf.DUMMYFUNCTION("""COMPUTED_VALUE"""),"Creative Energy")</f>
        <v>Creative Energy</v>
      </c>
      <c r="C1634" s="77">
        <f>IFERROR(__xludf.DUMMYFUNCTION("""COMPUTED_VALUE"""),0.0)</f>
        <v>0</v>
      </c>
      <c r="D1634" s="77">
        <f>IFERROR(__xludf.DUMMYFUNCTION("""COMPUTED_VALUE"""),0.0)</f>
        <v>0</v>
      </c>
      <c r="E1634" s="46" t="b">
        <f>IFERROR(__xludf.DUMMYFUNCTION("""COMPUTED_VALUE"""),TRUE)</f>
        <v>1</v>
      </c>
    </row>
    <row r="1635" hidden="1">
      <c r="A1635" s="76" t="str">
        <f>IFERROR(__xludf.DUMMYFUNCTION("""COMPUTED_VALUE"""),"Power Hungry")</f>
        <v>Power Hungry</v>
      </c>
      <c r="B1635" s="76" t="str">
        <f>IFERROR(__xludf.DUMMYFUNCTION("""COMPUTED_VALUE"""),"Dance of the Elements")</f>
        <v>Dance of the Elements</v>
      </c>
      <c r="C1635" s="77">
        <f>IFERROR(__xludf.DUMMYFUNCTION("""COMPUTED_VALUE"""),0.0)</f>
        <v>0</v>
      </c>
      <c r="D1635" s="77">
        <f>IFERROR(__xludf.DUMMYFUNCTION("""COMPUTED_VALUE"""),0.0)</f>
        <v>0</v>
      </c>
      <c r="E1635" s="46" t="b">
        <f>IFERROR(__xludf.DUMMYFUNCTION("""COMPUTED_VALUE"""),TRUE)</f>
        <v>1</v>
      </c>
    </row>
    <row r="1636" hidden="1">
      <c r="A1636" s="76" t="str">
        <f>IFERROR(__xludf.DUMMYFUNCTION("""COMPUTED_VALUE"""),"Power Hungry")</f>
        <v>Power Hungry</v>
      </c>
      <c r="B1636" s="76" t="str">
        <f>IFERROR(__xludf.DUMMYFUNCTION("""COMPUTED_VALUE"""),"Deep Clue Sea")</f>
        <v>Deep Clue Sea</v>
      </c>
      <c r="C1636" s="77">
        <f>IFERROR(__xludf.DUMMYFUNCTION("""COMPUTED_VALUE"""),0.0)</f>
        <v>0</v>
      </c>
      <c r="D1636" s="77">
        <f>IFERROR(__xludf.DUMMYFUNCTION("""COMPUTED_VALUE"""),0.0)</f>
        <v>0</v>
      </c>
      <c r="E1636" s="46" t="b">
        <f>IFERROR(__xludf.DUMMYFUNCTION("""COMPUTED_VALUE"""),TRUE)</f>
        <v>1</v>
      </c>
    </row>
    <row r="1637" hidden="1">
      <c r="A1637" s="76" t="str">
        <f>IFERROR(__xludf.DUMMYFUNCTION("""COMPUTED_VALUE"""),"Power Hungry")</f>
        <v>Power Hungry</v>
      </c>
      <c r="B1637" s="76" t="str">
        <f>IFERROR(__xludf.DUMMYFUNCTION("""COMPUTED_VALUE"""),"Doom Prevails")</f>
        <v>Doom Prevails</v>
      </c>
      <c r="C1637" s="77">
        <f>IFERROR(__xludf.DUMMYFUNCTION("""COMPUTED_VALUE"""),0.0)</f>
        <v>0</v>
      </c>
      <c r="D1637" s="77">
        <f>IFERROR(__xludf.DUMMYFUNCTION("""COMPUTED_VALUE"""),0.0)</f>
        <v>0</v>
      </c>
      <c r="E1637" s="46" t="b">
        <f>IFERROR(__xludf.DUMMYFUNCTION("""COMPUTED_VALUE"""),TRUE)</f>
        <v>1</v>
      </c>
    </row>
    <row r="1638" hidden="1">
      <c r="A1638" s="76" t="str">
        <f>IFERROR(__xludf.DUMMYFUNCTION("""COMPUTED_VALUE"""),"Power Hungry")</f>
        <v>Power Hungry</v>
      </c>
      <c r="B1638" s="76" t="str">
        <f>IFERROR(__xludf.DUMMYFUNCTION("""COMPUTED_VALUE"""),"Eldrazi Incursion")</f>
        <v>Eldrazi Incursion</v>
      </c>
      <c r="C1638" s="77">
        <f>IFERROR(__xludf.DUMMYFUNCTION("""COMPUTED_VALUE"""),0.0)</f>
        <v>0</v>
      </c>
      <c r="D1638" s="77">
        <f>IFERROR(__xludf.DUMMYFUNCTION("""COMPUTED_VALUE"""),0.0)</f>
        <v>0</v>
      </c>
      <c r="E1638" s="46" t="b">
        <f>IFERROR(__xludf.DUMMYFUNCTION("""COMPUTED_VALUE"""),TRUE)</f>
        <v>1</v>
      </c>
    </row>
    <row r="1639" hidden="1">
      <c r="A1639" s="76" t="str">
        <f>IFERROR(__xludf.DUMMYFUNCTION("""COMPUTED_VALUE"""),"Power Hungry")</f>
        <v>Power Hungry</v>
      </c>
      <c r="B1639" s="76" t="str">
        <f>IFERROR(__xludf.DUMMYFUNCTION("""COMPUTED_VALUE"""),"Eldrazi Unbound")</f>
        <v>Eldrazi Unbound</v>
      </c>
      <c r="C1639" s="77">
        <f>IFERROR(__xludf.DUMMYFUNCTION("""COMPUTED_VALUE"""),0.0)</f>
        <v>0</v>
      </c>
      <c r="D1639" s="77">
        <f>IFERROR(__xludf.DUMMYFUNCTION("""COMPUTED_VALUE"""),0.0)</f>
        <v>0</v>
      </c>
      <c r="E1639" s="46" t="b">
        <f>IFERROR(__xludf.DUMMYFUNCTION("""COMPUTED_VALUE"""),TRUE)</f>
        <v>1</v>
      </c>
    </row>
    <row r="1640" hidden="1">
      <c r="A1640" s="76" t="str">
        <f>IFERROR(__xludf.DUMMYFUNCTION("""COMPUTED_VALUE"""),"Power Hungry")</f>
        <v>Power Hungry</v>
      </c>
      <c r="B1640" s="76" t="str">
        <f>IFERROR(__xludf.DUMMYFUNCTION("""COMPUTED_VALUE"""),"Endless Punishment")</f>
        <v>Endless Punishment</v>
      </c>
      <c r="C1640" s="77">
        <f>IFERROR(__xludf.DUMMYFUNCTION("""COMPUTED_VALUE"""),0.0)</f>
        <v>0</v>
      </c>
      <c r="D1640" s="77">
        <f>IFERROR(__xludf.DUMMYFUNCTION("""COMPUTED_VALUE"""),0.0)</f>
        <v>0</v>
      </c>
      <c r="E1640" s="46" t="b">
        <f>IFERROR(__xludf.DUMMYFUNCTION("""COMPUTED_VALUE"""),TRUE)</f>
        <v>1</v>
      </c>
    </row>
    <row r="1641" hidden="1">
      <c r="A1641" s="76" t="str">
        <f>IFERROR(__xludf.DUMMYFUNCTION("""COMPUTED_VALUE"""),"Power Hungry")</f>
        <v>Power Hungry</v>
      </c>
      <c r="B1641" s="76" t="str">
        <f>IFERROR(__xludf.DUMMYFUNCTION("""COMPUTED_VALUE"""),"Enduring Enchantments")</f>
        <v>Enduring Enchantments</v>
      </c>
      <c r="C1641" s="77">
        <f>IFERROR(__xludf.DUMMYFUNCTION("""COMPUTED_VALUE"""),0.0)</f>
        <v>0</v>
      </c>
      <c r="D1641" s="77">
        <f>IFERROR(__xludf.DUMMYFUNCTION("""COMPUTED_VALUE"""),0.0)</f>
        <v>0</v>
      </c>
      <c r="E1641" s="46" t="b">
        <f>IFERROR(__xludf.DUMMYFUNCTION("""COMPUTED_VALUE"""),TRUE)</f>
        <v>1</v>
      </c>
    </row>
    <row r="1642" hidden="1">
      <c r="A1642" s="76" t="str">
        <f>IFERROR(__xludf.DUMMYFUNCTION("""COMPUTED_VALUE"""),"Power Hungry")</f>
        <v>Power Hungry</v>
      </c>
      <c r="B1642" s="76" t="str">
        <f>IFERROR(__xludf.DUMMYFUNCTION("""COMPUTED_VALUE"""),"Explorers of the Deep")</f>
        <v>Explorers of the Deep</v>
      </c>
      <c r="C1642" s="77">
        <f>IFERROR(__xludf.DUMMYFUNCTION("""COMPUTED_VALUE"""),0.0)</f>
        <v>0</v>
      </c>
      <c r="D1642" s="77">
        <f>IFERROR(__xludf.DUMMYFUNCTION("""COMPUTED_VALUE"""),0.0)</f>
        <v>0</v>
      </c>
      <c r="E1642" s="46" t="b">
        <f>IFERROR(__xludf.DUMMYFUNCTION("""COMPUTED_VALUE"""),TRUE)</f>
        <v>1</v>
      </c>
    </row>
    <row r="1643" hidden="1">
      <c r="A1643" s="76" t="str">
        <f>IFERROR(__xludf.DUMMYFUNCTION("""COMPUTED_VALUE"""),"Power Hungry")</f>
        <v>Power Hungry</v>
      </c>
      <c r="B1643" s="76" t="str">
        <f>IFERROR(__xludf.DUMMYFUNCTION("""COMPUTED_VALUE"""),"Family Matters")</f>
        <v>Family Matters</v>
      </c>
      <c r="C1643" s="77">
        <f>IFERROR(__xludf.DUMMYFUNCTION("""COMPUTED_VALUE"""),0.0)</f>
        <v>0</v>
      </c>
      <c r="D1643" s="77">
        <f>IFERROR(__xludf.DUMMYFUNCTION("""COMPUTED_VALUE"""),0.0)</f>
        <v>0</v>
      </c>
      <c r="E1643" s="46" t="b">
        <f>IFERROR(__xludf.DUMMYFUNCTION("""COMPUTED_VALUE"""),TRUE)</f>
        <v>1</v>
      </c>
    </row>
    <row r="1644" hidden="1">
      <c r="A1644" s="76" t="str">
        <f>IFERROR(__xludf.DUMMYFUNCTION("""COMPUTED_VALUE"""),"Power Hungry")</f>
        <v>Power Hungry</v>
      </c>
      <c r="B1644" s="76" t="str">
        <f>IFERROR(__xludf.DUMMYFUNCTION("""COMPUTED_VALUE"""),"Food and Fellowship")</f>
        <v>Food and Fellowship</v>
      </c>
      <c r="C1644" s="77">
        <f>IFERROR(__xludf.DUMMYFUNCTION("""COMPUTED_VALUE"""),0.0)</f>
        <v>0</v>
      </c>
      <c r="D1644" s="77">
        <f>IFERROR(__xludf.DUMMYFUNCTION("""COMPUTED_VALUE"""),0.0)</f>
        <v>0</v>
      </c>
      <c r="E1644" s="46" t="b">
        <f>IFERROR(__xludf.DUMMYFUNCTION("""COMPUTED_VALUE"""),TRUE)</f>
        <v>1</v>
      </c>
    </row>
    <row r="1645" hidden="1">
      <c r="A1645" s="76" t="str">
        <f>IFERROR(__xludf.DUMMYFUNCTION("""COMPUTED_VALUE"""),"Power Hungry")</f>
        <v>Power Hungry</v>
      </c>
      <c r="B1645" s="76" t="str">
        <f>IFERROR(__xludf.DUMMYFUNCTION("""COMPUTED_VALUE"""),"Jeskai Striker")</f>
        <v>Jeskai Striker</v>
      </c>
      <c r="C1645" s="77">
        <f>IFERROR(__xludf.DUMMYFUNCTION("""COMPUTED_VALUE"""),0.0)</f>
        <v>0</v>
      </c>
      <c r="D1645" s="77">
        <f>IFERROR(__xludf.DUMMYFUNCTION("""COMPUTED_VALUE"""),0.0)</f>
        <v>0</v>
      </c>
      <c r="E1645" s="46" t="b">
        <f>IFERROR(__xludf.DUMMYFUNCTION("""COMPUTED_VALUE"""),TRUE)</f>
        <v>1</v>
      </c>
    </row>
    <row r="1646" hidden="1">
      <c r="A1646" s="76" t="str">
        <f>IFERROR(__xludf.DUMMYFUNCTION("""COMPUTED_VALUE"""),"Power Hungry")</f>
        <v>Power Hungry</v>
      </c>
      <c r="B1646" s="76" t="str">
        <f>IFERROR(__xludf.DUMMYFUNCTION("""COMPUTED_VALUE"""),"Legends' Legacy")</f>
        <v>Legends' Legacy</v>
      </c>
      <c r="C1646" s="77">
        <f>IFERROR(__xludf.DUMMYFUNCTION("""COMPUTED_VALUE"""),0.0)</f>
        <v>0</v>
      </c>
      <c r="D1646" s="77">
        <f>IFERROR(__xludf.DUMMYFUNCTION("""COMPUTED_VALUE"""),0.0)</f>
        <v>0</v>
      </c>
      <c r="E1646" s="46" t="b">
        <f>IFERROR(__xludf.DUMMYFUNCTION("""COMPUTED_VALUE"""),TRUE)</f>
        <v>1</v>
      </c>
    </row>
    <row r="1647" hidden="1">
      <c r="A1647" s="76" t="str">
        <f>IFERROR(__xludf.DUMMYFUNCTION("""COMPUTED_VALUE"""),"Power Hungry")</f>
        <v>Power Hungry</v>
      </c>
      <c r="B1647" s="76" t="str">
        <f>IFERROR(__xludf.DUMMYFUNCTION("""COMPUTED_VALUE"""),"Limit Break")</f>
        <v>Limit Break</v>
      </c>
      <c r="C1647" s="77">
        <f>IFERROR(__xludf.DUMMYFUNCTION("""COMPUTED_VALUE"""),0.0)</f>
        <v>0</v>
      </c>
      <c r="D1647" s="77">
        <f>IFERROR(__xludf.DUMMYFUNCTION("""COMPUTED_VALUE"""),0.0)</f>
        <v>0</v>
      </c>
      <c r="E1647" s="46" t="b">
        <f>IFERROR(__xludf.DUMMYFUNCTION("""COMPUTED_VALUE"""),TRUE)</f>
        <v>1</v>
      </c>
    </row>
    <row r="1648" hidden="1">
      <c r="A1648" s="76" t="str">
        <f>IFERROR(__xludf.DUMMYFUNCTION("""COMPUTED_VALUE"""),"Power Hungry")</f>
        <v>Power Hungry</v>
      </c>
      <c r="B1648" s="76" t="str">
        <f>IFERROR(__xludf.DUMMYFUNCTION("""COMPUTED_VALUE"""),"Lorehold Spirit")</f>
        <v>Lorehold Spirit</v>
      </c>
      <c r="C1648" s="77">
        <f>IFERROR(__xludf.DUMMYFUNCTION("""COMPUTED_VALUE"""),0.0)</f>
        <v>0</v>
      </c>
      <c r="D1648" s="77">
        <f>IFERROR(__xludf.DUMMYFUNCTION("""COMPUTED_VALUE"""),1.0)</f>
        <v>1</v>
      </c>
      <c r="E1648" s="46" t="b">
        <f>IFERROR(__xludf.DUMMYFUNCTION("""COMPUTED_VALUE"""),FALSE)</f>
        <v>0</v>
      </c>
    </row>
    <row r="1649" hidden="1">
      <c r="A1649" s="76" t="str">
        <f>IFERROR(__xludf.DUMMYFUNCTION("""COMPUTED_VALUE"""),"Power Hungry")</f>
        <v>Power Hungry</v>
      </c>
      <c r="B1649" s="76" t="str">
        <f>IFERROR(__xludf.DUMMYFUNCTION("""COMPUTED_VALUE"""),"Mutant Menace")</f>
        <v>Mutant Menace</v>
      </c>
      <c r="C1649" s="77">
        <f>IFERROR(__xludf.DUMMYFUNCTION("""COMPUTED_VALUE"""),0.0)</f>
        <v>0</v>
      </c>
      <c r="D1649" s="77">
        <f>IFERROR(__xludf.DUMMYFUNCTION("""COMPUTED_VALUE"""),0.0)</f>
        <v>0</v>
      </c>
      <c r="E1649" s="46" t="b">
        <f>IFERROR(__xludf.DUMMYFUNCTION("""COMPUTED_VALUE"""),TRUE)</f>
        <v>1</v>
      </c>
    </row>
    <row r="1650" hidden="1">
      <c r="A1650" s="76" t="str">
        <f>IFERROR(__xludf.DUMMYFUNCTION("""COMPUTED_VALUE"""),"Power Hungry")</f>
        <v>Power Hungry</v>
      </c>
      <c r="B1650" s="76" t="str">
        <f>IFERROR(__xludf.DUMMYFUNCTION("""COMPUTED_VALUE"""),"Party Time")</f>
        <v>Party Time</v>
      </c>
      <c r="C1650" s="77">
        <f>IFERROR(__xludf.DUMMYFUNCTION("""COMPUTED_VALUE"""),0.0)</f>
        <v>0</v>
      </c>
      <c r="D1650" s="77">
        <f>IFERROR(__xludf.DUMMYFUNCTION("""COMPUTED_VALUE"""),0.0)</f>
        <v>0</v>
      </c>
      <c r="E1650" s="46" t="b">
        <f>IFERROR(__xludf.DUMMYFUNCTION("""COMPUTED_VALUE"""),TRUE)</f>
        <v>1</v>
      </c>
    </row>
    <row r="1651" hidden="1">
      <c r="A1651" s="76" t="str">
        <f>IFERROR(__xludf.DUMMYFUNCTION("""COMPUTED_VALUE"""),"Power Hungry")</f>
        <v>Power Hungry</v>
      </c>
      <c r="B1651" s="76" t="str">
        <f>IFERROR(__xludf.DUMMYFUNCTION("""COMPUTED_VALUE"""),"Peace Offering")</f>
        <v>Peace Offering</v>
      </c>
      <c r="C1651" s="77">
        <f>IFERROR(__xludf.DUMMYFUNCTION("""COMPUTED_VALUE"""),0.0)</f>
        <v>0</v>
      </c>
      <c r="D1651" s="77">
        <f>IFERROR(__xludf.DUMMYFUNCTION("""COMPUTED_VALUE"""),0.0)</f>
        <v>0</v>
      </c>
      <c r="E1651" s="46" t="b">
        <f>IFERROR(__xludf.DUMMYFUNCTION("""COMPUTED_VALUE"""),TRUE)</f>
        <v>1</v>
      </c>
    </row>
    <row r="1652" hidden="1">
      <c r="A1652" s="76" t="str">
        <f>IFERROR(__xludf.DUMMYFUNCTION("""COMPUTED_VALUE"""),"Power Hungry")</f>
        <v>Power Hungry</v>
      </c>
      <c r="B1652" s="76" t="str">
        <f>IFERROR(__xludf.DUMMYFUNCTION("""COMPUTED_VALUE"""),"Power Hungry")</f>
        <v>Power Hungry</v>
      </c>
      <c r="C1652" s="77">
        <f>IFERROR(__xludf.DUMMYFUNCTION("""COMPUTED_VALUE"""),0.0)</f>
        <v>0</v>
      </c>
      <c r="D1652" s="77">
        <f>IFERROR(__xludf.DUMMYFUNCTION("""COMPUTED_VALUE"""),0.0)</f>
        <v>0</v>
      </c>
      <c r="E1652" s="46" t="b">
        <f>IFERROR(__xludf.DUMMYFUNCTION("""COMPUTED_VALUE"""),TRUE)</f>
        <v>1</v>
      </c>
    </row>
    <row r="1653" hidden="1">
      <c r="A1653" s="76" t="str">
        <f>IFERROR(__xludf.DUMMYFUNCTION("""COMPUTED_VALUE"""),"Power Hungry")</f>
        <v>Power Hungry</v>
      </c>
      <c r="B1653" s="76" t="str">
        <f>IFERROR(__xludf.DUMMYFUNCTION("""COMPUTED_VALUE"""),"Primal Genesis")</f>
        <v>Primal Genesis</v>
      </c>
      <c r="C1653" s="77">
        <f>IFERROR(__xludf.DUMMYFUNCTION("""COMPUTED_VALUE"""),0.0)</f>
        <v>0</v>
      </c>
      <c r="D1653" s="77">
        <f>IFERROR(__xludf.DUMMYFUNCTION("""COMPUTED_VALUE"""),0.0)</f>
        <v>0</v>
      </c>
      <c r="E1653" s="46" t="b">
        <f>IFERROR(__xludf.DUMMYFUNCTION("""COMPUTED_VALUE"""),TRUE)</f>
        <v>1</v>
      </c>
    </row>
    <row r="1654" hidden="1">
      <c r="A1654" s="76" t="str">
        <f>IFERROR(__xludf.DUMMYFUNCTION("""COMPUTED_VALUE"""),"Power Hungry")</f>
        <v>Power Hungry</v>
      </c>
      <c r="B1654" s="76" t="str">
        <f>IFERROR(__xludf.DUMMYFUNCTION("""COMPUTED_VALUE"""),"Prismari Artistry")</f>
        <v>Prismari Artistry</v>
      </c>
      <c r="C1654" s="77">
        <f>IFERROR(__xludf.DUMMYFUNCTION("""COMPUTED_VALUE"""),0.0)</f>
        <v>0</v>
      </c>
      <c r="D1654" s="77">
        <f>IFERROR(__xludf.DUMMYFUNCTION("""COMPUTED_VALUE"""),0.0)</f>
        <v>0</v>
      </c>
      <c r="E1654" s="46" t="b">
        <f>IFERROR(__xludf.DUMMYFUNCTION("""COMPUTED_VALUE"""),TRUE)</f>
        <v>1</v>
      </c>
    </row>
    <row r="1655" hidden="1">
      <c r="A1655" s="76" t="str">
        <f>IFERROR(__xludf.DUMMYFUNCTION("""COMPUTED_VALUE"""),"Power Hungry")</f>
        <v>Power Hungry</v>
      </c>
      <c r="B1655" s="76" t="str">
        <f>IFERROR(__xludf.DUMMYFUNCTION("""COMPUTED_VALUE"""),"Prismari Performance")</f>
        <v>Prismari Performance</v>
      </c>
      <c r="C1655" s="77">
        <f>IFERROR(__xludf.DUMMYFUNCTION("""COMPUTED_VALUE"""),0.0)</f>
        <v>0</v>
      </c>
      <c r="D1655" s="77">
        <f>IFERROR(__xludf.DUMMYFUNCTION("""COMPUTED_VALUE"""),0.0)</f>
        <v>0</v>
      </c>
      <c r="E1655" s="46" t="b">
        <f>IFERROR(__xludf.DUMMYFUNCTION("""COMPUTED_VALUE"""),TRUE)</f>
        <v>1</v>
      </c>
    </row>
    <row r="1656" hidden="1">
      <c r="A1656" s="76" t="str">
        <f>IFERROR(__xludf.DUMMYFUNCTION("""COMPUTED_VALUE"""),"Power Hungry")</f>
        <v>Power Hungry</v>
      </c>
      <c r="B1656" s="76" t="str">
        <f>IFERROR(__xludf.DUMMYFUNCTION("""COMPUTED_VALUE"""),"Quandrix Unlimited")</f>
        <v>Quandrix Unlimited</v>
      </c>
      <c r="C1656" s="77">
        <f>IFERROR(__xludf.DUMMYFUNCTION("""COMPUTED_VALUE"""),0.0)</f>
        <v>0</v>
      </c>
      <c r="D1656" s="77">
        <f>IFERROR(__xludf.DUMMYFUNCTION("""COMPUTED_VALUE"""),0.0)</f>
        <v>0</v>
      </c>
      <c r="E1656" s="46" t="b">
        <f>IFERROR(__xludf.DUMMYFUNCTION("""COMPUTED_VALUE"""),TRUE)</f>
        <v>1</v>
      </c>
    </row>
    <row r="1657" hidden="1">
      <c r="A1657" s="76" t="str">
        <f>IFERROR(__xludf.DUMMYFUNCTION("""COMPUTED_VALUE"""),"Power Hungry")</f>
        <v>Power Hungry</v>
      </c>
      <c r="B1657" s="76" t="str">
        <f>IFERROR(__xludf.DUMMYFUNCTION("""COMPUTED_VALUE"""),"Quick Draw")</f>
        <v>Quick Draw</v>
      </c>
      <c r="C1657" s="77">
        <f>IFERROR(__xludf.DUMMYFUNCTION("""COMPUTED_VALUE"""),0.0)</f>
        <v>0</v>
      </c>
      <c r="D1657" s="77">
        <f>IFERROR(__xludf.DUMMYFUNCTION("""COMPUTED_VALUE"""),0.0)</f>
        <v>0</v>
      </c>
      <c r="E1657" s="46" t="b">
        <f>IFERROR(__xludf.DUMMYFUNCTION("""COMPUTED_VALUE"""),TRUE)</f>
        <v>1</v>
      </c>
    </row>
    <row r="1658" hidden="1">
      <c r="A1658" s="76" t="str">
        <f>IFERROR(__xludf.DUMMYFUNCTION("""COMPUTED_VALUE"""),"Power Hungry")</f>
        <v>Power Hungry</v>
      </c>
      <c r="B1658" s="76" t="str">
        <f>IFERROR(__xludf.DUMMYFUNCTION("""COMPUTED_VALUE"""),"Reap the Tides")</f>
        <v>Reap the Tides</v>
      </c>
      <c r="C1658" s="77">
        <f>IFERROR(__xludf.DUMMYFUNCTION("""COMPUTED_VALUE"""),0.0)</f>
        <v>0</v>
      </c>
      <c r="D1658" s="77">
        <f>IFERROR(__xludf.DUMMYFUNCTION("""COMPUTED_VALUE"""),0.0)</f>
        <v>0</v>
      </c>
      <c r="E1658" s="46" t="b">
        <f>IFERROR(__xludf.DUMMYFUNCTION("""COMPUTED_VALUE"""),TRUE)</f>
        <v>1</v>
      </c>
    </row>
    <row r="1659" hidden="1">
      <c r="A1659" s="76" t="str">
        <f>IFERROR(__xludf.DUMMYFUNCTION("""COMPUTED_VALUE"""),"Power Hungry")</f>
        <v>Power Hungry</v>
      </c>
      <c r="B1659" s="76" t="str">
        <f>IFERROR(__xludf.DUMMYFUNCTION("""COMPUTED_VALUE"""),"Rebellion Rising")</f>
        <v>Rebellion Rising</v>
      </c>
      <c r="C1659" s="77">
        <f>IFERROR(__xludf.DUMMYFUNCTION("""COMPUTED_VALUE"""),0.0)</f>
        <v>0</v>
      </c>
      <c r="D1659" s="77">
        <f>IFERROR(__xludf.DUMMYFUNCTION("""COMPUTED_VALUE"""),0.0)</f>
        <v>0</v>
      </c>
      <c r="E1659" s="46" t="b">
        <f>IFERROR(__xludf.DUMMYFUNCTION("""COMPUTED_VALUE"""),TRUE)</f>
        <v>1</v>
      </c>
    </row>
    <row r="1660" hidden="1">
      <c r="A1660" s="76" t="str">
        <f>IFERROR(__xludf.DUMMYFUNCTION("""COMPUTED_VALUE"""),"Power Hungry")</f>
        <v>Power Hungry</v>
      </c>
      <c r="B1660" s="76" t="str">
        <f>IFERROR(__xludf.DUMMYFUNCTION("""COMPUTED_VALUE"""),"Revival Trance")</f>
        <v>Revival Trance</v>
      </c>
      <c r="C1660" s="77">
        <f>IFERROR(__xludf.DUMMYFUNCTION("""COMPUTED_VALUE"""),0.0)</f>
        <v>0</v>
      </c>
      <c r="D1660" s="77">
        <f>IFERROR(__xludf.DUMMYFUNCTION("""COMPUTED_VALUE"""),0.0)</f>
        <v>0</v>
      </c>
      <c r="E1660" s="46" t="b">
        <f>IFERROR(__xludf.DUMMYFUNCTION("""COMPUTED_VALUE"""),TRUE)</f>
        <v>1</v>
      </c>
    </row>
    <row r="1661" hidden="1">
      <c r="A1661" s="76" t="str">
        <f>IFERROR(__xludf.DUMMYFUNCTION("""COMPUTED_VALUE"""),"Power Hungry")</f>
        <v>Power Hungry</v>
      </c>
      <c r="B1661" s="76" t="str">
        <f>IFERROR(__xludf.DUMMYFUNCTION("""COMPUTED_VALUE"""),"Riders of Rohan")</f>
        <v>Riders of Rohan</v>
      </c>
      <c r="C1661" s="77">
        <f>IFERROR(__xludf.DUMMYFUNCTION("""COMPUTED_VALUE"""),0.0)</f>
        <v>0</v>
      </c>
      <c r="D1661" s="77">
        <f>IFERROR(__xludf.DUMMYFUNCTION("""COMPUTED_VALUE"""),0.0)</f>
        <v>0</v>
      </c>
      <c r="E1661" s="46" t="b">
        <f>IFERROR(__xludf.DUMMYFUNCTION("""COMPUTED_VALUE"""),TRUE)</f>
        <v>1</v>
      </c>
    </row>
    <row r="1662" hidden="1">
      <c r="A1662" s="76" t="str">
        <f>IFERROR(__xludf.DUMMYFUNCTION("""COMPUTED_VALUE"""),"Power Hungry")</f>
        <v>Power Hungry</v>
      </c>
      <c r="B1662" s="76" t="str">
        <f>IFERROR(__xludf.DUMMYFUNCTION("""COMPUTED_VALUE"""),"Science!")</f>
        <v>Science!</v>
      </c>
      <c r="C1662" s="77">
        <f>IFERROR(__xludf.DUMMYFUNCTION("""COMPUTED_VALUE"""),0.0)</f>
        <v>0</v>
      </c>
      <c r="D1662" s="77">
        <f>IFERROR(__xludf.DUMMYFUNCTION("""COMPUTED_VALUE"""),0.0)</f>
        <v>0</v>
      </c>
      <c r="E1662" s="46" t="b">
        <f>IFERROR(__xludf.DUMMYFUNCTION("""COMPUTED_VALUE"""),TRUE)</f>
        <v>1</v>
      </c>
    </row>
    <row r="1663" hidden="1">
      <c r="A1663" s="76" t="str">
        <f>IFERROR(__xludf.DUMMYFUNCTION("""COMPUTED_VALUE"""),"Power Hungry")</f>
        <v>Power Hungry</v>
      </c>
      <c r="B1663" s="76" t="str">
        <f>IFERROR(__xludf.DUMMYFUNCTION("""COMPUTED_VALUE"""),"Scions &amp; Spellcraft")</f>
        <v>Scions &amp; Spellcraft</v>
      </c>
      <c r="C1663" s="77">
        <f>IFERROR(__xludf.DUMMYFUNCTION("""COMPUTED_VALUE"""),0.0)</f>
        <v>0</v>
      </c>
      <c r="D1663" s="77">
        <f>IFERROR(__xludf.DUMMYFUNCTION("""COMPUTED_VALUE"""),0.0)</f>
        <v>0</v>
      </c>
      <c r="E1663" s="46" t="b">
        <f>IFERROR(__xludf.DUMMYFUNCTION("""COMPUTED_VALUE"""),TRUE)</f>
        <v>1</v>
      </c>
    </row>
    <row r="1664" hidden="1">
      <c r="A1664" s="76" t="str">
        <f>IFERROR(__xludf.DUMMYFUNCTION("""COMPUTED_VALUE"""),"Power Hungry")</f>
        <v>Power Hungry</v>
      </c>
      <c r="B1664" s="76" t="str">
        <f>IFERROR(__xludf.DUMMYFUNCTION("""COMPUTED_VALUE"""),"Scrappy Survivors")</f>
        <v>Scrappy Survivors</v>
      </c>
      <c r="C1664" s="77">
        <f>IFERROR(__xludf.DUMMYFUNCTION("""COMPUTED_VALUE"""),0.0)</f>
        <v>0</v>
      </c>
      <c r="D1664" s="77">
        <f>IFERROR(__xludf.DUMMYFUNCTION("""COMPUTED_VALUE"""),0.0)</f>
        <v>0</v>
      </c>
      <c r="E1664" s="46" t="b">
        <f>IFERROR(__xludf.DUMMYFUNCTION("""COMPUTED_VALUE"""),TRUE)</f>
        <v>1</v>
      </c>
    </row>
    <row r="1665" hidden="1">
      <c r="A1665" s="76" t="str">
        <f>IFERROR(__xludf.DUMMYFUNCTION("""COMPUTED_VALUE"""),"Power Hungry")</f>
        <v>Power Hungry</v>
      </c>
      <c r="B1665" s="76" t="str">
        <f>IFERROR(__xludf.DUMMYFUNCTION("""COMPUTED_VALUE"""),"Silverquill Influence")</f>
        <v>Silverquill Influence</v>
      </c>
      <c r="C1665" s="77">
        <f>IFERROR(__xludf.DUMMYFUNCTION("""COMPUTED_VALUE"""),0.0)</f>
        <v>0</v>
      </c>
      <c r="D1665" s="77">
        <f>IFERROR(__xludf.DUMMYFUNCTION("""COMPUTED_VALUE"""),0.0)</f>
        <v>0</v>
      </c>
      <c r="E1665" s="46" t="b">
        <f>IFERROR(__xludf.DUMMYFUNCTION("""COMPUTED_VALUE"""),TRUE)</f>
        <v>1</v>
      </c>
    </row>
    <row r="1666" hidden="1">
      <c r="A1666" s="76" t="str">
        <f>IFERROR(__xludf.DUMMYFUNCTION("""COMPUTED_VALUE"""),"Power Hungry")</f>
        <v>Power Hungry</v>
      </c>
      <c r="B1666" s="76" t="str">
        <f>IFERROR(__xludf.DUMMYFUNCTION("""COMPUTED_VALUE"""),"Spirit Squadron")</f>
        <v>Spirit Squadron</v>
      </c>
      <c r="C1666" s="77">
        <f>IFERROR(__xludf.DUMMYFUNCTION("""COMPUTED_VALUE"""),0.0)</f>
        <v>0</v>
      </c>
      <c r="D1666" s="77">
        <f>IFERROR(__xludf.DUMMYFUNCTION("""COMPUTED_VALUE"""),0.0)</f>
        <v>0</v>
      </c>
      <c r="E1666" s="46" t="b">
        <f>IFERROR(__xludf.DUMMYFUNCTION("""COMPUTED_VALUE"""),TRUE)</f>
        <v>1</v>
      </c>
    </row>
    <row r="1667" hidden="1">
      <c r="A1667" s="76" t="str">
        <f>IFERROR(__xludf.DUMMYFUNCTION("""COMPUTED_VALUE"""),"Power Hungry")</f>
        <v>Power Hungry</v>
      </c>
      <c r="B1667" s="76" t="str">
        <f>IFERROR(__xludf.DUMMYFUNCTION("""COMPUTED_VALUE"""),"Squirreled Away")</f>
        <v>Squirreled Away</v>
      </c>
      <c r="C1667" s="77">
        <f>IFERROR(__xludf.DUMMYFUNCTION("""COMPUTED_VALUE"""),0.0)</f>
        <v>0</v>
      </c>
      <c r="D1667" s="77">
        <f>IFERROR(__xludf.DUMMYFUNCTION("""COMPUTED_VALUE"""),0.0)</f>
        <v>0</v>
      </c>
      <c r="E1667" s="46" t="b">
        <f>IFERROR(__xludf.DUMMYFUNCTION("""COMPUTED_VALUE"""),TRUE)</f>
        <v>1</v>
      </c>
    </row>
    <row r="1668" hidden="1">
      <c r="A1668" s="76" t="str">
        <f>IFERROR(__xludf.DUMMYFUNCTION("""COMPUTED_VALUE"""),"Power Hungry")</f>
        <v>Power Hungry</v>
      </c>
      <c r="B1668" s="76" t="str">
        <f>IFERROR(__xludf.DUMMYFUNCTION("""COMPUTED_VALUE"""),"Sultai Arisen")</f>
        <v>Sultai Arisen</v>
      </c>
      <c r="C1668" s="77">
        <f>IFERROR(__xludf.DUMMYFUNCTION("""COMPUTED_VALUE"""),0.0)</f>
        <v>0</v>
      </c>
      <c r="D1668" s="77">
        <f>IFERROR(__xludf.DUMMYFUNCTION("""COMPUTED_VALUE"""),1.0)</f>
        <v>1</v>
      </c>
      <c r="E1668" s="46" t="b">
        <f>IFERROR(__xludf.DUMMYFUNCTION("""COMPUTED_VALUE"""),FALSE)</f>
        <v>0</v>
      </c>
    </row>
    <row r="1669" hidden="1">
      <c r="A1669" s="76" t="str">
        <f>IFERROR(__xludf.DUMMYFUNCTION("""COMPUTED_VALUE"""),"Power Hungry")</f>
        <v>Power Hungry</v>
      </c>
      <c r="B1669" s="76" t="str">
        <f>IFERROR(__xludf.DUMMYFUNCTION("""COMPUTED_VALUE"""),"Temur Roar")</f>
        <v>Temur Roar</v>
      </c>
      <c r="C1669" s="77">
        <f>IFERROR(__xludf.DUMMYFUNCTION("""COMPUTED_VALUE"""),0.0)</f>
        <v>0</v>
      </c>
      <c r="D1669" s="77">
        <f>IFERROR(__xludf.DUMMYFUNCTION("""COMPUTED_VALUE"""),0.0)</f>
        <v>0</v>
      </c>
      <c r="E1669" s="46" t="b">
        <f>IFERROR(__xludf.DUMMYFUNCTION("""COMPUTED_VALUE"""),TRUE)</f>
        <v>1</v>
      </c>
    </row>
    <row r="1670" hidden="1">
      <c r="A1670" s="76" t="str">
        <f>IFERROR(__xludf.DUMMYFUNCTION("""COMPUTED_VALUE"""),"Power Hungry")</f>
        <v>Power Hungry</v>
      </c>
      <c r="B1670" s="76" t="str">
        <f>IFERROR(__xludf.DUMMYFUNCTION("""COMPUTED_VALUE"""),"The Hosts of Mordor")</f>
        <v>The Hosts of Mordor</v>
      </c>
      <c r="C1670" s="77">
        <f>IFERROR(__xludf.DUMMYFUNCTION("""COMPUTED_VALUE"""),0.0)</f>
        <v>0</v>
      </c>
      <c r="D1670" s="77">
        <f>IFERROR(__xludf.DUMMYFUNCTION("""COMPUTED_VALUE"""),0.0)</f>
        <v>0</v>
      </c>
      <c r="E1670" s="46" t="b">
        <f>IFERROR(__xludf.DUMMYFUNCTION("""COMPUTED_VALUE"""),TRUE)</f>
        <v>1</v>
      </c>
    </row>
    <row r="1671" hidden="1">
      <c r="A1671" s="76" t="str">
        <f>IFERROR(__xludf.DUMMYFUNCTION("""COMPUTED_VALUE"""),"Power Hungry")</f>
        <v>Power Hungry</v>
      </c>
      <c r="B1671" s="76" t="str">
        <f>IFERROR(__xludf.DUMMYFUNCTION("""COMPUTED_VALUE"""),"The Ruinous Powers")</f>
        <v>The Ruinous Powers</v>
      </c>
      <c r="C1671" s="77">
        <f>IFERROR(__xludf.DUMMYFUNCTION("""COMPUTED_VALUE"""),0.0)</f>
        <v>0</v>
      </c>
      <c r="D1671" s="77">
        <f>IFERROR(__xludf.DUMMYFUNCTION("""COMPUTED_VALUE"""),0.0)</f>
        <v>0</v>
      </c>
      <c r="E1671" s="46" t="b">
        <f>IFERROR(__xludf.DUMMYFUNCTION("""COMPUTED_VALUE"""),TRUE)</f>
        <v>1</v>
      </c>
    </row>
    <row r="1672" hidden="1">
      <c r="A1672" s="76" t="str">
        <f>IFERROR(__xludf.DUMMYFUNCTION("""COMPUTED_VALUE"""),"Power Hungry")</f>
        <v>Power Hungry</v>
      </c>
      <c r="B1672" s="76" t="str">
        <f>IFERROR(__xludf.DUMMYFUNCTION("""COMPUTED_VALUE"""),"Timey-Wimey")</f>
        <v>Timey-Wimey</v>
      </c>
      <c r="C1672" s="77">
        <f>IFERROR(__xludf.DUMMYFUNCTION("""COMPUTED_VALUE"""),0.0)</f>
        <v>0</v>
      </c>
      <c r="D1672" s="77">
        <f>IFERROR(__xludf.DUMMYFUNCTION("""COMPUTED_VALUE"""),0.0)</f>
        <v>0</v>
      </c>
      <c r="E1672" s="46" t="b">
        <f>IFERROR(__xludf.DUMMYFUNCTION("""COMPUTED_VALUE"""),TRUE)</f>
        <v>1</v>
      </c>
    </row>
    <row r="1673" hidden="1">
      <c r="A1673" s="76" t="str">
        <f>IFERROR(__xludf.DUMMYFUNCTION("""COMPUTED_VALUE"""),"Power Hungry")</f>
        <v>Power Hungry</v>
      </c>
      <c r="B1673" s="76" t="str">
        <f>IFERROR(__xludf.DUMMYFUNCTION("""COMPUTED_VALUE"""),"Tinker Time")</f>
        <v>Tinker Time</v>
      </c>
      <c r="C1673" s="77">
        <f>IFERROR(__xludf.DUMMYFUNCTION("""COMPUTED_VALUE"""),0.0)</f>
        <v>0</v>
      </c>
      <c r="D1673" s="77">
        <f>IFERROR(__xludf.DUMMYFUNCTION("""COMPUTED_VALUE"""),0.0)</f>
        <v>0</v>
      </c>
      <c r="E1673" s="46" t="b">
        <f>IFERROR(__xludf.DUMMYFUNCTION("""COMPUTED_VALUE"""),TRUE)</f>
        <v>1</v>
      </c>
    </row>
    <row r="1674" hidden="1">
      <c r="A1674" s="76" t="str">
        <f>IFERROR(__xludf.DUMMYFUNCTION("""COMPUTED_VALUE"""),"Power Hungry")</f>
        <v>Power Hungry</v>
      </c>
      <c r="B1674" s="76" t="str">
        <f>IFERROR(__xludf.DUMMYFUNCTION("""COMPUTED_VALUE"""),"Turtle Power!")</f>
        <v>Turtle Power!</v>
      </c>
      <c r="C1674" s="77">
        <f>IFERROR(__xludf.DUMMYFUNCTION("""COMPUTED_VALUE"""),0.0)</f>
        <v>0</v>
      </c>
      <c r="D1674" s="77">
        <f>IFERROR(__xludf.DUMMYFUNCTION("""COMPUTED_VALUE"""),0.0)</f>
        <v>0</v>
      </c>
      <c r="E1674" s="46" t="b">
        <f>IFERROR(__xludf.DUMMYFUNCTION("""COMPUTED_VALUE"""),TRUE)</f>
        <v>1</v>
      </c>
    </row>
    <row r="1675" hidden="1">
      <c r="A1675" s="76" t="str">
        <f>IFERROR(__xludf.DUMMYFUNCTION("""COMPUTED_VALUE"""),"Power Hungry")</f>
        <v>Power Hungry</v>
      </c>
      <c r="B1675" s="76" t="str">
        <f>IFERROR(__xludf.DUMMYFUNCTION("""COMPUTED_VALUE"""),"Veloci-ramp-tor")</f>
        <v>Veloci-ramp-tor</v>
      </c>
      <c r="C1675" s="77">
        <f>IFERROR(__xludf.DUMMYFUNCTION("""COMPUTED_VALUE"""),0.0)</f>
        <v>0</v>
      </c>
      <c r="D1675" s="77">
        <f>IFERROR(__xludf.DUMMYFUNCTION("""COMPUTED_VALUE"""),0.0)</f>
        <v>0</v>
      </c>
      <c r="E1675" s="46" t="b">
        <f>IFERROR(__xludf.DUMMYFUNCTION("""COMPUTED_VALUE"""),TRUE)</f>
        <v>1</v>
      </c>
    </row>
    <row r="1676" hidden="1">
      <c r="A1676" s="76" t="str">
        <f>IFERROR(__xludf.DUMMYFUNCTION("""COMPUTED_VALUE"""),"Primal Genesis")</f>
        <v>Primal Genesis</v>
      </c>
      <c r="B1676" s="76" t="str">
        <f>IFERROR(__xludf.DUMMYFUNCTION("""COMPUTED_VALUE"""),"Ahoy Mateys")</f>
        <v>Ahoy Mateys</v>
      </c>
      <c r="C1676" s="77">
        <f>IFERROR(__xludf.DUMMYFUNCTION("""COMPUTED_VALUE"""),0.0)</f>
        <v>0</v>
      </c>
      <c r="D1676" s="77">
        <f>IFERROR(__xludf.DUMMYFUNCTION("""COMPUTED_VALUE"""),0.0)</f>
        <v>0</v>
      </c>
      <c r="E1676" s="46" t="b">
        <f>IFERROR(__xludf.DUMMYFUNCTION("""COMPUTED_VALUE"""),TRUE)</f>
        <v>1</v>
      </c>
    </row>
    <row r="1677" hidden="1">
      <c r="A1677" s="76" t="str">
        <f>IFERROR(__xludf.DUMMYFUNCTION("""COMPUTED_VALUE"""),"Primal Genesis")</f>
        <v>Primal Genesis</v>
      </c>
      <c r="B1677" s="76" t="str">
        <f>IFERROR(__xludf.DUMMYFUNCTION("""COMPUTED_VALUE"""),"Animated Army")</f>
        <v>Animated Army</v>
      </c>
      <c r="C1677" s="77">
        <f>IFERROR(__xludf.DUMMYFUNCTION("""COMPUTED_VALUE"""),0.0)</f>
        <v>0</v>
      </c>
      <c r="D1677" s="77">
        <f>IFERROR(__xludf.DUMMYFUNCTION("""COMPUTED_VALUE"""),0.0)</f>
        <v>0</v>
      </c>
      <c r="E1677" s="46" t="b">
        <f>IFERROR(__xludf.DUMMYFUNCTION("""COMPUTED_VALUE"""),TRUE)</f>
        <v>1</v>
      </c>
    </row>
    <row r="1678">
      <c r="A1678" s="76" t="str">
        <f>IFERROR(__xludf.DUMMYFUNCTION("""COMPUTED_VALUE"""),"Primal Genesis")</f>
        <v>Primal Genesis</v>
      </c>
      <c r="B1678" s="76" t="str">
        <f>IFERROR(__xludf.DUMMYFUNCTION("""COMPUTED_VALUE"""),"Arcane Maelstrom")</f>
        <v>Arcane Maelstrom</v>
      </c>
      <c r="C1678" s="77">
        <f>IFERROR(__xludf.DUMMYFUNCTION("""COMPUTED_VALUE"""),0.0)</f>
        <v>0</v>
      </c>
      <c r="D1678" s="77">
        <f>IFERROR(__xludf.DUMMYFUNCTION("""COMPUTED_VALUE"""),0.0)</f>
        <v>0</v>
      </c>
      <c r="E1678" s="46" t="b">
        <f>IFERROR(__xludf.DUMMYFUNCTION("""COMPUTED_VALUE"""),TRUE)</f>
        <v>1</v>
      </c>
    </row>
    <row r="1679" hidden="1">
      <c r="A1679" s="76" t="str">
        <f>IFERROR(__xludf.DUMMYFUNCTION("""COMPUTED_VALUE"""),"Primal Genesis")</f>
        <v>Primal Genesis</v>
      </c>
      <c r="B1679" s="76" t="str">
        <f>IFERROR(__xludf.DUMMYFUNCTION("""COMPUTED_VALUE"""),"Blame Game")</f>
        <v>Blame Game</v>
      </c>
      <c r="C1679" s="77">
        <f>IFERROR(__xludf.DUMMYFUNCTION("""COMPUTED_VALUE"""),0.0)</f>
        <v>0</v>
      </c>
      <c r="D1679" s="77">
        <f>IFERROR(__xludf.DUMMYFUNCTION("""COMPUTED_VALUE"""),0.0)</f>
        <v>0</v>
      </c>
      <c r="E1679" s="46" t="b">
        <f>IFERROR(__xludf.DUMMYFUNCTION("""COMPUTED_VALUE"""),TRUE)</f>
        <v>1</v>
      </c>
    </row>
    <row r="1680" hidden="1">
      <c r="A1680" s="76" t="str">
        <f>IFERROR(__xludf.DUMMYFUNCTION("""COMPUTED_VALUE"""),"Primal Genesis")</f>
        <v>Primal Genesis</v>
      </c>
      <c r="B1680" s="76" t="str">
        <f>IFERROR(__xludf.DUMMYFUNCTION("""COMPUTED_VALUE"""),"Blight Curse")</f>
        <v>Blight Curse</v>
      </c>
      <c r="C1680" s="77">
        <f>IFERROR(__xludf.DUMMYFUNCTION("""COMPUTED_VALUE"""),0.0)</f>
        <v>0</v>
      </c>
      <c r="D1680" s="77">
        <f>IFERROR(__xludf.DUMMYFUNCTION("""COMPUTED_VALUE"""),0.0)</f>
        <v>0</v>
      </c>
      <c r="E1680" s="46" t="b">
        <f>IFERROR(__xludf.DUMMYFUNCTION("""COMPUTED_VALUE"""),TRUE)</f>
        <v>1</v>
      </c>
    </row>
    <row r="1681" hidden="1">
      <c r="A1681" s="76" t="str">
        <f>IFERROR(__xludf.DUMMYFUNCTION("""COMPUTED_VALUE"""),"Primal Genesis")</f>
        <v>Primal Genesis</v>
      </c>
      <c r="B1681" s="76" t="str">
        <f>IFERROR(__xludf.DUMMYFUNCTION("""COMPUTED_VALUE"""),"Blood Rites")</f>
        <v>Blood Rites</v>
      </c>
      <c r="C1681" s="77">
        <f>IFERROR(__xludf.DUMMYFUNCTION("""COMPUTED_VALUE"""),0.0)</f>
        <v>0</v>
      </c>
      <c r="D1681" s="77">
        <f>IFERROR(__xludf.DUMMYFUNCTION("""COMPUTED_VALUE"""),0.0)</f>
        <v>0</v>
      </c>
      <c r="E1681" s="46" t="b">
        <f>IFERROR(__xludf.DUMMYFUNCTION("""COMPUTED_VALUE"""),TRUE)</f>
        <v>1</v>
      </c>
    </row>
    <row r="1682" hidden="1">
      <c r="A1682" s="76" t="str">
        <f>IFERROR(__xludf.DUMMYFUNCTION("""COMPUTED_VALUE"""),"Primal Genesis")</f>
        <v>Primal Genesis</v>
      </c>
      <c r="B1682" s="76" t="str">
        <f>IFERROR(__xludf.DUMMYFUNCTION("""COMPUTED_VALUE"""),"Buckle Up")</f>
        <v>Buckle Up</v>
      </c>
      <c r="C1682" s="77">
        <f>IFERROR(__xludf.DUMMYFUNCTION("""COMPUTED_VALUE"""),0.0)</f>
        <v>0</v>
      </c>
      <c r="D1682" s="77">
        <f>IFERROR(__xludf.DUMMYFUNCTION("""COMPUTED_VALUE"""),0.0)</f>
        <v>0</v>
      </c>
      <c r="E1682" s="46" t="b">
        <f>IFERROR(__xludf.DUMMYFUNCTION("""COMPUTED_VALUE"""),TRUE)</f>
        <v>1</v>
      </c>
    </row>
    <row r="1683">
      <c r="A1683" s="76" t="str">
        <f>IFERROR(__xludf.DUMMYFUNCTION("""COMPUTED_VALUE"""),"Primal Genesis")</f>
        <v>Primal Genesis</v>
      </c>
      <c r="B1683" s="76" t="str">
        <f>IFERROR(__xludf.DUMMYFUNCTION("""COMPUTED_VALUE"""),"Cabaretti Cacophony")</f>
        <v>Cabaretti Cacophony</v>
      </c>
      <c r="C1683" s="77">
        <f>IFERROR(__xludf.DUMMYFUNCTION("""COMPUTED_VALUE"""),0.0)</f>
        <v>0</v>
      </c>
      <c r="D1683" s="77">
        <f>IFERROR(__xludf.DUMMYFUNCTION("""COMPUTED_VALUE"""),0.0)</f>
        <v>0</v>
      </c>
      <c r="E1683" s="46" t="b">
        <f>IFERROR(__xludf.DUMMYFUNCTION("""COMPUTED_VALUE"""),TRUE)</f>
        <v>1</v>
      </c>
    </row>
    <row r="1684">
      <c r="A1684" s="76" t="str">
        <f>IFERROR(__xludf.DUMMYFUNCTION("""COMPUTED_VALUE"""),"Primal Genesis")</f>
        <v>Primal Genesis</v>
      </c>
      <c r="B1684" s="76" t="str">
        <f>IFERROR(__xludf.DUMMYFUNCTION("""COMPUTED_VALUE"""),"Cavalry Charge")</f>
        <v>Cavalry Charge</v>
      </c>
      <c r="C1684" s="77">
        <f>IFERROR(__xludf.DUMMYFUNCTION("""COMPUTED_VALUE"""),0.0)</f>
        <v>0</v>
      </c>
      <c r="D1684" s="77">
        <f>IFERROR(__xludf.DUMMYFUNCTION("""COMPUTED_VALUE"""),0.0)</f>
        <v>0</v>
      </c>
      <c r="E1684" s="46" t="b">
        <f>IFERROR(__xludf.DUMMYFUNCTION("""COMPUTED_VALUE"""),TRUE)</f>
        <v>1</v>
      </c>
    </row>
    <row r="1685" hidden="1">
      <c r="A1685" s="76" t="str">
        <f>IFERROR(__xludf.DUMMYFUNCTION("""COMPUTED_VALUE"""),"Primal Genesis")</f>
        <v>Primal Genesis</v>
      </c>
      <c r="B1685" s="76" t="str">
        <f>IFERROR(__xludf.DUMMYFUNCTION("""COMPUTED_VALUE"""),"Corrupting Influence")</f>
        <v>Corrupting Influence</v>
      </c>
      <c r="C1685" s="77">
        <f>IFERROR(__xludf.DUMMYFUNCTION("""COMPUTED_VALUE"""),0.0)</f>
        <v>0</v>
      </c>
      <c r="D1685" s="77">
        <f>IFERROR(__xludf.DUMMYFUNCTION("""COMPUTED_VALUE"""),0.0)</f>
        <v>0</v>
      </c>
      <c r="E1685" s="46" t="b">
        <f>IFERROR(__xludf.DUMMYFUNCTION("""COMPUTED_VALUE"""),TRUE)</f>
        <v>1</v>
      </c>
    </row>
    <row r="1686">
      <c r="A1686" s="76" t="str">
        <f>IFERROR(__xludf.DUMMYFUNCTION("""COMPUTED_VALUE"""),"Primal Genesis")</f>
        <v>Primal Genesis</v>
      </c>
      <c r="B1686" s="76" t="str">
        <f>IFERROR(__xludf.DUMMYFUNCTION("""COMPUTED_VALUE"""),"Counter Blitz")</f>
        <v>Counter Blitz</v>
      </c>
      <c r="C1686" s="77">
        <f>IFERROR(__xludf.DUMMYFUNCTION("""COMPUTED_VALUE"""),0.0)</f>
        <v>0</v>
      </c>
      <c r="D1686" s="77">
        <f>IFERROR(__xludf.DUMMYFUNCTION("""COMPUTED_VALUE"""),0.0)</f>
        <v>0</v>
      </c>
      <c r="E1686" s="46" t="b">
        <f>IFERROR(__xludf.DUMMYFUNCTION("""COMPUTED_VALUE"""),TRUE)</f>
        <v>1</v>
      </c>
    </row>
    <row r="1687" hidden="1">
      <c r="A1687" s="76" t="str">
        <f>IFERROR(__xludf.DUMMYFUNCTION("""COMPUTED_VALUE"""),"Primal Genesis")</f>
        <v>Primal Genesis</v>
      </c>
      <c r="B1687" s="76" t="str">
        <f>IFERROR(__xludf.DUMMYFUNCTION("""COMPUTED_VALUE"""),"Counter Intelligence")</f>
        <v>Counter Intelligence</v>
      </c>
      <c r="C1687" s="77">
        <f>IFERROR(__xludf.DUMMYFUNCTION("""COMPUTED_VALUE"""),0.0)</f>
        <v>0</v>
      </c>
      <c r="D1687" s="77">
        <f>IFERROR(__xludf.DUMMYFUNCTION("""COMPUTED_VALUE"""),0.0)</f>
        <v>0</v>
      </c>
      <c r="E1687" s="46" t="b">
        <f>IFERROR(__xludf.DUMMYFUNCTION("""COMPUTED_VALUE"""),TRUE)</f>
        <v>1</v>
      </c>
    </row>
    <row r="1688">
      <c r="A1688" s="76" t="str">
        <f>IFERROR(__xludf.DUMMYFUNCTION("""COMPUTED_VALUE"""),"Primal Genesis")</f>
        <v>Primal Genesis</v>
      </c>
      <c r="B1688" s="76" t="str">
        <f>IFERROR(__xludf.DUMMYFUNCTION("""COMPUTED_VALUE"""),"Creative Energy")</f>
        <v>Creative Energy</v>
      </c>
      <c r="C1688" s="77">
        <f>IFERROR(__xludf.DUMMYFUNCTION("""COMPUTED_VALUE"""),0.0)</f>
        <v>0</v>
      </c>
      <c r="D1688" s="77">
        <f>IFERROR(__xludf.DUMMYFUNCTION("""COMPUTED_VALUE"""),0.0)</f>
        <v>0</v>
      </c>
      <c r="E1688" s="46" t="b">
        <f>IFERROR(__xludf.DUMMYFUNCTION("""COMPUTED_VALUE"""),TRUE)</f>
        <v>1</v>
      </c>
    </row>
    <row r="1689">
      <c r="A1689" s="76" t="str">
        <f>IFERROR(__xludf.DUMMYFUNCTION("""COMPUTED_VALUE"""),"Primal Genesis")</f>
        <v>Primal Genesis</v>
      </c>
      <c r="B1689" s="76" t="str">
        <f>IFERROR(__xludf.DUMMYFUNCTION("""COMPUTED_VALUE"""),"Dance of the Elements")</f>
        <v>Dance of the Elements</v>
      </c>
      <c r="C1689" s="77">
        <f>IFERROR(__xludf.DUMMYFUNCTION("""COMPUTED_VALUE"""),0.0)</f>
        <v>0</v>
      </c>
      <c r="D1689" s="77">
        <f>IFERROR(__xludf.DUMMYFUNCTION("""COMPUTED_VALUE"""),0.0)</f>
        <v>0</v>
      </c>
      <c r="E1689" s="46" t="b">
        <f>IFERROR(__xludf.DUMMYFUNCTION("""COMPUTED_VALUE"""),TRUE)</f>
        <v>1</v>
      </c>
    </row>
    <row r="1690" hidden="1">
      <c r="A1690" s="76" t="str">
        <f>IFERROR(__xludf.DUMMYFUNCTION("""COMPUTED_VALUE"""),"Primal Genesis")</f>
        <v>Primal Genesis</v>
      </c>
      <c r="B1690" s="76" t="str">
        <f>IFERROR(__xludf.DUMMYFUNCTION("""COMPUTED_VALUE"""),"Deep Clue Sea")</f>
        <v>Deep Clue Sea</v>
      </c>
      <c r="C1690" s="77">
        <f>IFERROR(__xludf.DUMMYFUNCTION("""COMPUTED_VALUE"""),0.0)</f>
        <v>0</v>
      </c>
      <c r="D1690" s="77">
        <f>IFERROR(__xludf.DUMMYFUNCTION("""COMPUTED_VALUE"""),0.0)</f>
        <v>0</v>
      </c>
      <c r="E1690" s="46" t="b">
        <f>IFERROR(__xludf.DUMMYFUNCTION("""COMPUTED_VALUE"""),TRUE)</f>
        <v>1</v>
      </c>
    </row>
    <row r="1691" hidden="1">
      <c r="A1691" s="76" t="str">
        <f>IFERROR(__xludf.DUMMYFUNCTION("""COMPUTED_VALUE"""),"Primal Genesis")</f>
        <v>Primal Genesis</v>
      </c>
      <c r="B1691" s="76" t="str">
        <f>IFERROR(__xludf.DUMMYFUNCTION("""COMPUTED_VALUE"""),"Doom Prevails")</f>
        <v>Doom Prevails</v>
      </c>
      <c r="C1691" s="77">
        <f>IFERROR(__xludf.DUMMYFUNCTION("""COMPUTED_VALUE"""),0.0)</f>
        <v>0</v>
      </c>
      <c r="D1691" s="77">
        <f>IFERROR(__xludf.DUMMYFUNCTION("""COMPUTED_VALUE"""),0.0)</f>
        <v>0</v>
      </c>
      <c r="E1691" s="46" t="b">
        <f>IFERROR(__xludf.DUMMYFUNCTION("""COMPUTED_VALUE"""),TRUE)</f>
        <v>1</v>
      </c>
    </row>
    <row r="1692">
      <c r="A1692" s="76" t="str">
        <f>IFERROR(__xludf.DUMMYFUNCTION("""COMPUTED_VALUE"""),"Primal Genesis")</f>
        <v>Primal Genesis</v>
      </c>
      <c r="B1692" s="76" t="str">
        <f>IFERROR(__xludf.DUMMYFUNCTION("""COMPUTED_VALUE"""),"Eldrazi Incursion")</f>
        <v>Eldrazi Incursion</v>
      </c>
      <c r="C1692" s="77">
        <f>IFERROR(__xludf.DUMMYFUNCTION("""COMPUTED_VALUE"""),0.0)</f>
        <v>0</v>
      </c>
      <c r="D1692" s="77">
        <f>IFERROR(__xludf.DUMMYFUNCTION("""COMPUTED_VALUE"""),0.0)</f>
        <v>0</v>
      </c>
      <c r="E1692" s="46" t="b">
        <f>IFERROR(__xludf.DUMMYFUNCTION("""COMPUTED_VALUE"""),TRUE)</f>
        <v>1</v>
      </c>
    </row>
    <row r="1693" hidden="1">
      <c r="A1693" s="76" t="str">
        <f>IFERROR(__xludf.DUMMYFUNCTION("""COMPUTED_VALUE"""),"Primal Genesis")</f>
        <v>Primal Genesis</v>
      </c>
      <c r="B1693" s="76" t="str">
        <f>IFERROR(__xludf.DUMMYFUNCTION("""COMPUTED_VALUE"""),"Eldrazi Unbound")</f>
        <v>Eldrazi Unbound</v>
      </c>
      <c r="C1693" s="77">
        <f>IFERROR(__xludf.DUMMYFUNCTION("""COMPUTED_VALUE"""),0.0)</f>
        <v>0</v>
      </c>
      <c r="D1693" s="77">
        <f>IFERROR(__xludf.DUMMYFUNCTION("""COMPUTED_VALUE"""),0.0)</f>
        <v>0</v>
      </c>
      <c r="E1693" s="46" t="b">
        <f>IFERROR(__xludf.DUMMYFUNCTION("""COMPUTED_VALUE"""),TRUE)</f>
        <v>1</v>
      </c>
    </row>
    <row r="1694" hidden="1">
      <c r="A1694" s="76" t="str">
        <f>IFERROR(__xludf.DUMMYFUNCTION("""COMPUTED_VALUE"""),"Primal Genesis")</f>
        <v>Primal Genesis</v>
      </c>
      <c r="B1694" s="76" t="str">
        <f>IFERROR(__xludf.DUMMYFUNCTION("""COMPUTED_VALUE"""),"Endless Punishment")</f>
        <v>Endless Punishment</v>
      </c>
      <c r="C1694" s="77">
        <f>IFERROR(__xludf.DUMMYFUNCTION("""COMPUTED_VALUE"""),0.0)</f>
        <v>0</v>
      </c>
      <c r="D1694" s="77">
        <f>IFERROR(__xludf.DUMMYFUNCTION("""COMPUTED_VALUE"""),0.0)</f>
        <v>0</v>
      </c>
      <c r="E1694" s="46" t="b">
        <f>IFERROR(__xludf.DUMMYFUNCTION("""COMPUTED_VALUE"""),TRUE)</f>
        <v>1</v>
      </c>
    </row>
    <row r="1695" hidden="1">
      <c r="A1695" s="76" t="str">
        <f>IFERROR(__xludf.DUMMYFUNCTION("""COMPUTED_VALUE"""),"Primal Genesis")</f>
        <v>Primal Genesis</v>
      </c>
      <c r="B1695" s="76" t="str">
        <f>IFERROR(__xludf.DUMMYFUNCTION("""COMPUTED_VALUE"""),"Enduring Enchantments")</f>
        <v>Enduring Enchantments</v>
      </c>
      <c r="C1695" s="77">
        <f>IFERROR(__xludf.DUMMYFUNCTION("""COMPUTED_VALUE"""),0.0)</f>
        <v>0</v>
      </c>
      <c r="D1695" s="77">
        <f>IFERROR(__xludf.DUMMYFUNCTION("""COMPUTED_VALUE"""),0.0)</f>
        <v>0</v>
      </c>
      <c r="E1695" s="46" t="b">
        <f>IFERROR(__xludf.DUMMYFUNCTION("""COMPUTED_VALUE"""),TRUE)</f>
        <v>1</v>
      </c>
    </row>
    <row r="1696">
      <c r="A1696" s="76" t="str">
        <f>IFERROR(__xludf.DUMMYFUNCTION("""COMPUTED_VALUE"""),"Primal Genesis")</f>
        <v>Primal Genesis</v>
      </c>
      <c r="B1696" s="76" t="str">
        <f>IFERROR(__xludf.DUMMYFUNCTION("""COMPUTED_VALUE"""),"Explorers of the Deep")</f>
        <v>Explorers of the Deep</v>
      </c>
      <c r="C1696" s="77">
        <f>IFERROR(__xludf.DUMMYFUNCTION("""COMPUTED_VALUE"""),0.0)</f>
        <v>0</v>
      </c>
      <c r="D1696" s="77">
        <f>IFERROR(__xludf.DUMMYFUNCTION("""COMPUTED_VALUE"""),0.0)</f>
        <v>0</v>
      </c>
      <c r="E1696" s="46" t="b">
        <f>IFERROR(__xludf.DUMMYFUNCTION("""COMPUTED_VALUE"""),TRUE)</f>
        <v>1</v>
      </c>
    </row>
    <row r="1697" hidden="1">
      <c r="A1697" s="76" t="str">
        <f>IFERROR(__xludf.DUMMYFUNCTION("""COMPUTED_VALUE"""),"Primal Genesis")</f>
        <v>Primal Genesis</v>
      </c>
      <c r="B1697" s="76" t="str">
        <f>IFERROR(__xludf.DUMMYFUNCTION("""COMPUTED_VALUE"""),"Family Matters")</f>
        <v>Family Matters</v>
      </c>
      <c r="C1697" s="77">
        <f>IFERROR(__xludf.DUMMYFUNCTION("""COMPUTED_VALUE"""),0.0)</f>
        <v>0</v>
      </c>
      <c r="D1697" s="77">
        <f>IFERROR(__xludf.DUMMYFUNCTION("""COMPUTED_VALUE"""),0.0)</f>
        <v>0</v>
      </c>
      <c r="E1697" s="46" t="b">
        <f>IFERROR(__xludf.DUMMYFUNCTION("""COMPUTED_VALUE"""),TRUE)</f>
        <v>1</v>
      </c>
    </row>
    <row r="1698" hidden="1">
      <c r="A1698" s="76" t="str">
        <f>IFERROR(__xludf.DUMMYFUNCTION("""COMPUTED_VALUE"""),"Primal Genesis")</f>
        <v>Primal Genesis</v>
      </c>
      <c r="B1698" s="76" t="str">
        <f>IFERROR(__xludf.DUMMYFUNCTION("""COMPUTED_VALUE"""),"Food and Fellowship")</f>
        <v>Food and Fellowship</v>
      </c>
      <c r="C1698" s="77">
        <f>IFERROR(__xludf.DUMMYFUNCTION("""COMPUTED_VALUE"""),0.0)</f>
        <v>0</v>
      </c>
      <c r="D1698" s="77">
        <f>IFERROR(__xludf.DUMMYFUNCTION("""COMPUTED_VALUE"""),0.0)</f>
        <v>0</v>
      </c>
      <c r="E1698" s="46" t="b">
        <f>IFERROR(__xludf.DUMMYFUNCTION("""COMPUTED_VALUE"""),TRUE)</f>
        <v>1</v>
      </c>
    </row>
    <row r="1699" hidden="1">
      <c r="A1699" s="76" t="str">
        <f>IFERROR(__xludf.DUMMYFUNCTION("""COMPUTED_VALUE"""),"Primal Genesis")</f>
        <v>Primal Genesis</v>
      </c>
      <c r="B1699" s="76" t="str">
        <f>IFERROR(__xludf.DUMMYFUNCTION("""COMPUTED_VALUE"""),"Jeskai Striker")</f>
        <v>Jeskai Striker</v>
      </c>
      <c r="C1699" s="77">
        <f>IFERROR(__xludf.DUMMYFUNCTION("""COMPUTED_VALUE"""),0.0)</f>
        <v>0</v>
      </c>
      <c r="D1699" s="77">
        <f>IFERROR(__xludf.DUMMYFUNCTION("""COMPUTED_VALUE"""),0.0)</f>
        <v>0</v>
      </c>
      <c r="E1699" s="46" t="b">
        <f>IFERROR(__xludf.DUMMYFUNCTION("""COMPUTED_VALUE"""),TRUE)</f>
        <v>1</v>
      </c>
    </row>
    <row r="1700" hidden="1">
      <c r="A1700" s="76" t="str">
        <f>IFERROR(__xludf.DUMMYFUNCTION("""COMPUTED_VALUE"""),"Primal Genesis")</f>
        <v>Primal Genesis</v>
      </c>
      <c r="B1700" s="76" t="str">
        <f>IFERROR(__xludf.DUMMYFUNCTION("""COMPUTED_VALUE"""),"Legends' Legacy")</f>
        <v>Legends' Legacy</v>
      </c>
      <c r="C1700" s="77">
        <f>IFERROR(__xludf.DUMMYFUNCTION("""COMPUTED_VALUE"""),0.0)</f>
        <v>0</v>
      </c>
      <c r="D1700" s="77">
        <f>IFERROR(__xludf.DUMMYFUNCTION("""COMPUTED_VALUE"""),0.0)</f>
        <v>0</v>
      </c>
      <c r="E1700" s="46" t="b">
        <f>IFERROR(__xludf.DUMMYFUNCTION("""COMPUTED_VALUE"""),TRUE)</f>
        <v>1</v>
      </c>
    </row>
    <row r="1701">
      <c r="A1701" s="76" t="str">
        <f>IFERROR(__xludf.DUMMYFUNCTION("""COMPUTED_VALUE"""),"Primal Genesis")</f>
        <v>Primal Genesis</v>
      </c>
      <c r="B1701" s="76" t="str">
        <f>IFERROR(__xludf.DUMMYFUNCTION("""COMPUTED_VALUE"""),"Limit Break")</f>
        <v>Limit Break</v>
      </c>
      <c r="C1701" s="77">
        <f>IFERROR(__xludf.DUMMYFUNCTION("""COMPUTED_VALUE"""),0.0)</f>
        <v>0</v>
      </c>
      <c r="D1701" s="77">
        <f>IFERROR(__xludf.DUMMYFUNCTION("""COMPUTED_VALUE"""),0.0)</f>
        <v>0</v>
      </c>
      <c r="E1701" s="46" t="b">
        <f>IFERROR(__xludf.DUMMYFUNCTION("""COMPUTED_VALUE"""),TRUE)</f>
        <v>1</v>
      </c>
    </row>
    <row r="1702" hidden="1">
      <c r="A1702" s="76" t="str">
        <f>IFERROR(__xludf.DUMMYFUNCTION("""COMPUTED_VALUE"""),"Primal Genesis")</f>
        <v>Primal Genesis</v>
      </c>
      <c r="B1702" s="76" t="str">
        <f>IFERROR(__xludf.DUMMYFUNCTION("""COMPUTED_VALUE"""),"Lorehold Spirit")</f>
        <v>Lorehold Spirit</v>
      </c>
      <c r="C1702" s="77">
        <f>IFERROR(__xludf.DUMMYFUNCTION("""COMPUTED_VALUE"""),0.0)</f>
        <v>0</v>
      </c>
      <c r="D1702" s="77">
        <f>IFERROR(__xludf.DUMMYFUNCTION("""COMPUTED_VALUE"""),0.0)</f>
        <v>0</v>
      </c>
      <c r="E1702" s="46" t="b">
        <f>IFERROR(__xludf.DUMMYFUNCTION("""COMPUTED_VALUE"""),TRUE)</f>
        <v>1</v>
      </c>
    </row>
    <row r="1703" hidden="1">
      <c r="A1703" s="76" t="str">
        <f>IFERROR(__xludf.DUMMYFUNCTION("""COMPUTED_VALUE"""),"Primal Genesis")</f>
        <v>Primal Genesis</v>
      </c>
      <c r="B1703" s="76" t="str">
        <f>IFERROR(__xludf.DUMMYFUNCTION("""COMPUTED_VALUE"""),"Mutant Menace")</f>
        <v>Mutant Menace</v>
      </c>
      <c r="C1703" s="77">
        <f>IFERROR(__xludf.DUMMYFUNCTION("""COMPUTED_VALUE"""),0.0)</f>
        <v>0</v>
      </c>
      <c r="D1703" s="77">
        <f>IFERROR(__xludf.DUMMYFUNCTION("""COMPUTED_VALUE"""),0.0)</f>
        <v>0</v>
      </c>
      <c r="E1703" s="46" t="b">
        <f>IFERROR(__xludf.DUMMYFUNCTION("""COMPUTED_VALUE"""),TRUE)</f>
        <v>1</v>
      </c>
    </row>
    <row r="1704" hidden="1">
      <c r="A1704" s="76" t="str">
        <f>IFERROR(__xludf.DUMMYFUNCTION("""COMPUTED_VALUE"""),"Primal Genesis")</f>
        <v>Primal Genesis</v>
      </c>
      <c r="B1704" s="76" t="str">
        <f>IFERROR(__xludf.DUMMYFUNCTION("""COMPUTED_VALUE"""),"Party Time")</f>
        <v>Party Time</v>
      </c>
      <c r="C1704" s="77">
        <f>IFERROR(__xludf.DUMMYFUNCTION("""COMPUTED_VALUE"""),0.0)</f>
        <v>0</v>
      </c>
      <c r="D1704" s="77">
        <f>IFERROR(__xludf.DUMMYFUNCTION("""COMPUTED_VALUE"""),0.0)</f>
        <v>0</v>
      </c>
      <c r="E1704" s="46" t="b">
        <f>IFERROR(__xludf.DUMMYFUNCTION("""COMPUTED_VALUE"""),TRUE)</f>
        <v>1</v>
      </c>
    </row>
    <row r="1705" hidden="1">
      <c r="A1705" s="76" t="str">
        <f>IFERROR(__xludf.DUMMYFUNCTION("""COMPUTED_VALUE"""),"Primal Genesis")</f>
        <v>Primal Genesis</v>
      </c>
      <c r="B1705" s="76" t="str">
        <f>IFERROR(__xludf.DUMMYFUNCTION("""COMPUTED_VALUE"""),"Peace Offering")</f>
        <v>Peace Offering</v>
      </c>
      <c r="C1705" s="77">
        <f>IFERROR(__xludf.DUMMYFUNCTION("""COMPUTED_VALUE"""),0.0)</f>
        <v>0</v>
      </c>
      <c r="D1705" s="77">
        <f>IFERROR(__xludf.DUMMYFUNCTION("""COMPUTED_VALUE"""),0.0)</f>
        <v>0</v>
      </c>
      <c r="E1705" s="46" t="b">
        <f>IFERROR(__xludf.DUMMYFUNCTION("""COMPUTED_VALUE"""),TRUE)</f>
        <v>1</v>
      </c>
    </row>
    <row r="1706" hidden="1">
      <c r="A1706" s="76" t="str">
        <f>IFERROR(__xludf.DUMMYFUNCTION("""COMPUTED_VALUE"""),"Primal Genesis")</f>
        <v>Primal Genesis</v>
      </c>
      <c r="B1706" s="76" t="str">
        <f>IFERROR(__xludf.DUMMYFUNCTION("""COMPUTED_VALUE"""),"Power Hungry")</f>
        <v>Power Hungry</v>
      </c>
      <c r="C1706" s="77">
        <f>IFERROR(__xludf.DUMMYFUNCTION("""COMPUTED_VALUE"""),0.0)</f>
        <v>0</v>
      </c>
      <c r="D1706" s="77">
        <f>IFERROR(__xludf.DUMMYFUNCTION("""COMPUTED_VALUE"""),0.0)</f>
        <v>0</v>
      </c>
      <c r="E1706" s="46" t="b">
        <f>IFERROR(__xludf.DUMMYFUNCTION("""COMPUTED_VALUE"""),TRUE)</f>
        <v>1</v>
      </c>
    </row>
    <row r="1707" hidden="1">
      <c r="A1707" s="76" t="str">
        <f>IFERROR(__xludf.DUMMYFUNCTION("""COMPUTED_VALUE"""),"Primal Genesis")</f>
        <v>Primal Genesis</v>
      </c>
      <c r="B1707" s="76" t="str">
        <f>IFERROR(__xludf.DUMMYFUNCTION("""COMPUTED_VALUE"""),"Primal Genesis")</f>
        <v>Primal Genesis</v>
      </c>
      <c r="C1707" s="77">
        <f>IFERROR(__xludf.DUMMYFUNCTION("""COMPUTED_VALUE"""),0.0)</f>
        <v>0</v>
      </c>
      <c r="D1707" s="77">
        <f>IFERROR(__xludf.DUMMYFUNCTION("""COMPUTED_VALUE"""),0.0)</f>
        <v>0</v>
      </c>
      <c r="E1707" s="46" t="b">
        <f>IFERROR(__xludf.DUMMYFUNCTION("""COMPUTED_VALUE"""),TRUE)</f>
        <v>1</v>
      </c>
    </row>
    <row r="1708">
      <c r="A1708" s="76" t="str">
        <f>IFERROR(__xludf.DUMMYFUNCTION("""COMPUTED_VALUE"""),"Primal Genesis")</f>
        <v>Primal Genesis</v>
      </c>
      <c r="B1708" s="76" t="str">
        <f>IFERROR(__xludf.DUMMYFUNCTION("""COMPUTED_VALUE"""),"Prismari Artistry")</f>
        <v>Prismari Artistry</v>
      </c>
      <c r="C1708" s="77">
        <f>IFERROR(__xludf.DUMMYFUNCTION("""COMPUTED_VALUE"""),0.0)</f>
        <v>0</v>
      </c>
      <c r="D1708" s="77">
        <f>IFERROR(__xludf.DUMMYFUNCTION("""COMPUTED_VALUE"""),0.0)</f>
        <v>0</v>
      </c>
      <c r="E1708" s="46" t="b">
        <f>IFERROR(__xludf.DUMMYFUNCTION("""COMPUTED_VALUE"""),TRUE)</f>
        <v>1</v>
      </c>
    </row>
    <row r="1709">
      <c r="A1709" s="76" t="str">
        <f>IFERROR(__xludf.DUMMYFUNCTION("""COMPUTED_VALUE"""),"Primal Genesis")</f>
        <v>Primal Genesis</v>
      </c>
      <c r="B1709" s="76" t="str">
        <f>IFERROR(__xludf.DUMMYFUNCTION("""COMPUTED_VALUE"""),"Prismari Performance")</f>
        <v>Prismari Performance</v>
      </c>
      <c r="C1709" s="77">
        <f>IFERROR(__xludf.DUMMYFUNCTION("""COMPUTED_VALUE"""),0.0)</f>
        <v>0</v>
      </c>
      <c r="D1709" s="77">
        <f>IFERROR(__xludf.DUMMYFUNCTION("""COMPUTED_VALUE"""),0.0)</f>
        <v>0</v>
      </c>
      <c r="E1709" s="46" t="b">
        <f>IFERROR(__xludf.DUMMYFUNCTION("""COMPUTED_VALUE"""),TRUE)</f>
        <v>1</v>
      </c>
    </row>
    <row r="1710" hidden="1">
      <c r="A1710" s="76" t="str">
        <f>IFERROR(__xludf.DUMMYFUNCTION("""COMPUTED_VALUE"""),"Primal Genesis")</f>
        <v>Primal Genesis</v>
      </c>
      <c r="B1710" s="76" t="str">
        <f>IFERROR(__xludf.DUMMYFUNCTION("""COMPUTED_VALUE"""),"Quandrix Unlimited")</f>
        <v>Quandrix Unlimited</v>
      </c>
      <c r="C1710" s="77">
        <f>IFERROR(__xludf.DUMMYFUNCTION("""COMPUTED_VALUE"""),0.0)</f>
        <v>0</v>
      </c>
      <c r="D1710" s="77">
        <f>IFERROR(__xludf.DUMMYFUNCTION("""COMPUTED_VALUE"""),0.0)</f>
        <v>0</v>
      </c>
      <c r="E1710" s="46" t="b">
        <f>IFERROR(__xludf.DUMMYFUNCTION("""COMPUTED_VALUE"""),TRUE)</f>
        <v>1</v>
      </c>
    </row>
    <row r="1711" hidden="1">
      <c r="A1711" s="76" t="str">
        <f>IFERROR(__xludf.DUMMYFUNCTION("""COMPUTED_VALUE"""),"Primal Genesis")</f>
        <v>Primal Genesis</v>
      </c>
      <c r="B1711" s="76" t="str">
        <f>IFERROR(__xludf.DUMMYFUNCTION("""COMPUTED_VALUE"""),"Quick Draw")</f>
        <v>Quick Draw</v>
      </c>
      <c r="C1711" s="77">
        <f>IFERROR(__xludf.DUMMYFUNCTION("""COMPUTED_VALUE"""),0.0)</f>
        <v>0</v>
      </c>
      <c r="D1711" s="77">
        <f>IFERROR(__xludf.DUMMYFUNCTION("""COMPUTED_VALUE"""),0.0)</f>
        <v>0</v>
      </c>
      <c r="E1711" s="46" t="b">
        <f>IFERROR(__xludf.DUMMYFUNCTION("""COMPUTED_VALUE"""),TRUE)</f>
        <v>1</v>
      </c>
    </row>
    <row r="1712">
      <c r="A1712" s="76" t="str">
        <f>IFERROR(__xludf.DUMMYFUNCTION("""COMPUTED_VALUE"""),"Primal Genesis")</f>
        <v>Primal Genesis</v>
      </c>
      <c r="B1712" s="76" t="str">
        <f>IFERROR(__xludf.DUMMYFUNCTION("""COMPUTED_VALUE"""),"Reap the Tides")</f>
        <v>Reap the Tides</v>
      </c>
      <c r="C1712" s="77">
        <f>IFERROR(__xludf.DUMMYFUNCTION("""COMPUTED_VALUE"""),0.0)</f>
        <v>0</v>
      </c>
      <c r="D1712" s="77">
        <f>IFERROR(__xludf.DUMMYFUNCTION("""COMPUTED_VALUE"""),0.0)</f>
        <v>0</v>
      </c>
      <c r="E1712" s="46" t="b">
        <f>IFERROR(__xludf.DUMMYFUNCTION("""COMPUTED_VALUE"""),TRUE)</f>
        <v>1</v>
      </c>
    </row>
    <row r="1713" hidden="1">
      <c r="A1713" s="76" t="str">
        <f>IFERROR(__xludf.DUMMYFUNCTION("""COMPUTED_VALUE"""),"Primal Genesis")</f>
        <v>Primal Genesis</v>
      </c>
      <c r="B1713" s="76" t="str">
        <f>IFERROR(__xludf.DUMMYFUNCTION("""COMPUTED_VALUE"""),"Rebellion Rising")</f>
        <v>Rebellion Rising</v>
      </c>
      <c r="C1713" s="77">
        <f>IFERROR(__xludf.DUMMYFUNCTION("""COMPUTED_VALUE"""),0.0)</f>
        <v>0</v>
      </c>
      <c r="D1713" s="77">
        <f>IFERROR(__xludf.DUMMYFUNCTION("""COMPUTED_VALUE"""),0.0)</f>
        <v>0</v>
      </c>
      <c r="E1713" s="46" t="b">
        <f>IFERROR(__xludf.DUMMYFUNCTION("""COMPUTED_VALUE"""),TRUE)</f>
        <v>1</v>
      </c>
    </row>
    <row r="1714" hidden="1">
      <c r="A1714" s="76" t="str">
        <f>IFERROR(__xludf.DUMMYFUNCTION("""COMPUTED_VALUE"""),"Primal Genesis")</f>
        <v>Primal Genesis</v>
      </c>
      <c r="B1714" s="76" t="str">
        <f>IFERROR(__xludf.DUMMYFUNCTION("""COMPUTED_VALUE"""),"Revival Trance")</f>
        <v>Revival Trance</v>
      </c>
      <c r="C1714" s="77">
        <f>IFERROR(__xludf.DUMMYFUNCTION("""COMPUTED_VALUE"""),0.0)</f>
        <v>0</v>
      </c>
      <c r="D1714" s="77">
        <f>IFERROR(__xludf.DUMMYFUNCTION("""COMPUTED_VALUE"""),1.0)</f>
        <v>1</v>
      </c>
      <c r="E1714" s="46" t="b">
        <f>IFERROR(__xludf.DUMMYFUNCTION("""COMPUTED_VALUE"""),FALSE)</f>
        <v>0</v>
      </c>
    </row>
    <row r="1715" hidden="1">
      <c r="A1715" s="76" t="str">
        <f>IFERROR(__xludf.DUMMYFUNCTION("""COMPUTED_VALUE"""),"Primal Genesis")</f>
        <v>Primal Genesis</v>
      </c>
      <c r="B1715" s="76" t="str">
        <f>IFERROR(__xludf.DUMMYFUNCTION("""COMPUTED_VALUE"""),"Riders of Rohan")</f>
        <v>Riders of Rohan</v>
      </c>
      <c r="C1715" s="77">
        <f>IFERROR(__xludf.DUMMYFUNCTION("""COMPUTED_VALUE"""),0.0)</f>
        <v>0</v>
      </c>
      <c r="D1715" s="77">
        <f>IFERROR(__xludf.DUMMYFUNCTION("""COMPUTED_VALUE"""),0.0)</f>
        <v>0</v>
      </c>
      <c r="E1715" s="46" t="b">
        <f>IFERROR(__xludf.DUMMYFUNCTION("""COMPUTED_VALUE"""),TRUE)</f>
        <v>1</v>
      </c>
    </row>
    <row r="1716" hidden="1">
      <c r="A1716" s="76" t="str">
        <f>IFERROR(__xludf.DUMMYFUNCTION("""COMPUTED_VALUE"""),"Primal Genesis")</f>
        <v>Primal Genesis</v>
      </c>
      <c r="B1716" s="76" t="str">
        <f>IFERROR(__xludf.DUMMYFUNCTION("""COMPUTED_VALUE"""),"Science!")</f>
        <v>Science!</v>
      </c>
      <c r="C1716" s="77">
        <f>IFERROR(__xludf.DUMMYFUNCTION("""COMPUTED_VALUE"""),0.0)</f>
        <v>0</v>
      </c>
      <c r="D1716" s="77">
        <f>IFERROR(__xludf.DUMMYFUNCTION("""COMPUTED_VALUE"""),0.0)</f>
        <v>0</v>
      </c>
      <c r="E1716" s="46" t="b">
        <f>IFERROR(__xludf.DUMMYFUNCTION("""COMPUTED_VALUE"""),TRUE)</f>
        <v>1</v>
      </c>
    </row>
    <row r="1717" hidden="1">
      <c r="A1717" s="76" t="str">
        <f>IFERROR(__xludf.DUMMYFUNCTION("""COMPUTED_VALUE"""),"Primal Genesis")</f>
        <v>Primal Genesis</v>
      </c>
      <c r="B1717" s="76" t="str">
        <f>IFERROR(__xludf.DUMMYFUNCTION("""COMPUTED_VALUE"""),"Scions &amp; Spellcraft")</f>
        <v>Scions &amp; Spellcraft</v>
      </c>
      <c r="C1717" s="77">
        <f>IFERROR(__xludf.DUMMYFUNCTION("""COMPUTED_VALUE"""),0.0)</f>
        <v>0</v>
      </c>
      <c r="D1717" s="77">
        <f>IFERROR(__xludf.DUMMYFUNCTION("""COMPUTED_VALUE"""),1.0)</f>
        <v>1</v>
      </c>
      <c r="E1717" s="46" t="b">
        <f>IFERROR(__xludf.DUMMYFUNCTION("""COMPUTED_VALUE"""),FALSE)</f>
        <v>0</v>
      </c>
    </row>
    <row r="1718">
      <c r="A1718" s="76" t="str">
        <f>IFERROR(__xludf.DUMMYFUNCTION("""COMPUTED_VALUE"""),"Primal Genesis")</f>
        <v>Primal Genesis</v>
      </c>
      <c r="B1718" s="76" t="str">
        <f>IFERROR(__xludf.DUMMYFUNCTION("""COMPUTED_VALUE"""),"Scrappy Survivors")</f>
        <v>Scrappy Survivors</v>
      </c>
      <c r="C1718" s="77">
        <f>IFERROR(__xludf.DUMMYFUNCTION("""COMPUTED_VALUE"""),0.0)</f>
        <v>0</v>
      </c>
      <c r="D1718" s="77">
        <f>IFERROR(__xludf.DUMMYFUNCTION("""COMPUTED_VALUE"""),0.0)</f>
        <v>0</v>
      </c>
      <c r="E1718" s="46" t="b">
        <f>IFERROR(__xludf.DUMMYFUNCTION("""COMPUTED_VALUE"""),TRUE)</f>
        <v>1</v>
      </c>
    </row>
    <row r="1719">
      <c r="A1719" s="76" t="str">
        <f>IFERROR(__xludf.DUMMYFUNCTION("""COMPUTED_VALUE"""),"Primal Genesis")</f>
        <v>Primal Genesis</v>
      </c>
      <c r="B1719" s="76" t="str">
        <f>IFERROR(__xludf.DUMMYFUNCTION("""COMPUTED_VALUE"""),"Silverquill Influence")</f>
        <v>Silverquill Influence</v>
      </c>
      <c r="C1719" s="77">
        <f>IFERROR(__xludf.DUMMYFUNCTION("""COMPUTED_VALUE"""),0.0)</f>
        <v>0</v>
      </c>
      <c r="D1719" s="77">
        <f>IFERROR(__xludf.DUMMYFUNCTION("""COMPUTED_VALUE"""),0.0)</f>
        <v>0</v>
      </c>
      <c r="E1719" s="46" t="b">
        <f>IFERROR(__xludf.DUMMYFUNCTION("""COMPUTED_VALUE"""),TRUE)</f>
        <v>1</v>
      </c>
    </row>
    <row r="1720" hidden="1">
      <c r="A1720" s="76" t="str">
        <f>IFERROR(__xludf.DUMMYFUNCTION("""COMPUTED_VALUE"""),"Primal Genesis")</f>
        <v>Primal Genesis</v>
      </c>
      <c r="B1720" s="76" t="str">
        <f>IFERROR(__xludf.DUMMYFUNCTION("""COMPUTED_VALUE"""),"Spirit Squadron")</f>
        <v>Spirit Squadron</v>
      </c>
      <c r="C1720" s="77">
        <f>IFERROR(__xludf.DUMMYFUNCTION("""COMPUTED_VALUE"""),0.0)</f>
        <v>0</v>
      </c>
      <c r="D1720" s="77">
        <f>IFERROR(__xludf.DUMMYFUNCTION("""COMPUTED_VALUE"""),0.0)</f>
        <v>0</v>
      </c>
      <c r="E1720" s="46" t="b">
        <f>IFERROR(__xludf.DUMMYFUNCTION("""COMPUTED_VALUE"""),TRUE)</f>
        <v>1</v>
      </c>
    </row>
    <row r="1721" hidden="1">
      <c r="A1721" s="76" t="str">
        <f>IFERROR(__xludf.DUMMYFUNCTION("""COMPUTED_VALUE"""),"Primal Genesis")</f>
        <v>Primal Genesis</v>
      </c>
      <c r="B1721" s="76" t="str">
        <f>IFERROR(__xludf.DUMMYFUNCTION("""COMPUTED_VALUE"""),"Squirreled Away")</f>
        <v>Squirreled Away</v>
      </c>
      <c r="C1721" s="77">
        <f>IFERROR(__xludf.DUMMYFUNCTION("""COMPUTED_VALUE"""),0.0)</f>
        <v>0</v>
      </c>
      <c r="D1721" s="77">
        <f>IFERROR(__xludf.DUMMYFUNCTION("""COMPUTED_VALUE"""),0.0)</f>
        <v>0</v>
      </c>
      <c r="E1721" s="46" t="b">
        <f>IFERROR(__xludf.DUMMYFUNCTION("""COMPUTED_VALUE"""),TRUE)</f>
        <v>1</v>
      </c>
    </row>
    <row r="1722" hidden="1">
      <c r="A1722" s="76" t="str">
        <f>IFERROR(__xludf.DUMMYFUNCTION("""COMPUTED_VALUE"""),"Primal Genesis")</f>
        <v>Primal Genesis</v>
      </c>
      <c r="B1722" s="76" t="str">
        <f>IFERROR(__xludf.DUMMYFUNCTION("""COMPUTED_VALUE"""),"Sultai Arisen")</f>
        <v>Sultai Arisen</v>
      </c>
      <c r="C1722" s="77">
        <f>IFERROR(__xludf.DUMMYFUNCTION("""COMPUTED_VALUE"""),0.0)</f>
        <v>0</v>
      </c>
      <c r="D1722" s="77">
        <f>IFERROR(__xludf.DUMMYFUNCTION("""COMPUTED_VALUE"""),0.0)</f>
        <v>0</v>
      </c>
      <c r="E1722" s="46" t="b">
        <f>IFERROR(__xludf.DUMMYFUNCTION("""COMPUTED_VALUE"""),TRUE)</f>
        <v>1</v>
      </c>
    </row>
    <row r="1723" hidden="1">
      <c r="A1723" s="76" t="str">
        <f>IFERROR(__xludf.DUMMYFUNCTION("""COMPUTED_VALUE"""),"Primal Genesis")</f>
        <v>Primal Genesis</v>
      </c>
      <c r="B1723" s="76" t="str">
        <f>IFERROR(__xludf.DUMMYFUNCTION("""COMPUTED_VALUE"""),"Temur Roar")</f>
        <v>Temur Roar</v>
      </c>
      <c r="C1723" s="77">
        <f>IFERROR(__xludf.DUMMYFUNCTION("""COMPUTED_VALUE"""),0.0)</f>
        <v>0</v>
      </c>
      <c r="D1723" s="77">
        <f>IFERROR(__xludf.DUMMYFUNCTION("""COMPUTED_VALUE"""),0.0)</f>
        <v>0</v>
      </c>
      <c r="E1723" s="46" t="b">
        <f>IFERROR(__xludf.DUMMYFUNCTION("""COMPUTED_VALUE"""),TRUE)</f>
        <v>1</v>
      </c>
    </row>
    <row r="1724" hidden="1">
      <c r="A1724" s="76" t="str">
        <f>IFERROR(__xludf.DUMMYFUNCTION("""COMPUTED_VALUE"""),"Primal Genesis")</f>
        <v>Primal Genesis</v>
      </c>
      <c r="B1724" s="76" t="str">
        <f>IFERROR(__xludf.DUMMYFUNCTION("""COMPUTED_VALUE"""),"The Hosts of Mordor")</f>
        <v>The Hosts of Mordor</v>
      </c>
      <c r="C1724" s="77">
        <f>IFERROR(__xludf.DUMMYFUNCTION("""COMPUTED_VALUE"""),0.0)</f>
        <v>0</v>
      </c>
      <c r="D1724" s="77">
        <f>IFERROR(__xludf.DUMMYFUNCTION("""COMPUTED_VALUE"""),0.0)</f>
        <v>0</v>
      </c>
      <c r="E1724" s="46" t="b">
        <f>IFERROR(__xludf.DUMMYFUNCTION("""COMPUTED_VALUE"""),TRUE)</f>
        <v>1</v>
      </c>
    </row>
    <row r="1725">
      <c r="A1725" s="76" t="str">
        <f>IFERROR(__xludf.DUMMYFUNCTION("""COMPUTED_VALUE"""),"Primal Genesis")</f>
        <v>Primal Genesis</v>
      </c>
      <c r="B1725" s="76" t="str">
        <f>IFERROR(__xludf.DUMMYFUNCTION("""COMPUTED_VALUE"""),"The Ruinous Powers")</f>
        <v>The Ruinous Powers</v>
      </c>
      <c r="C1725" s="77">
        <f>IFERROR(__xludf.DUMMYFUNCTION("""COMPUTED_VALUE"""),0.0)</f>
        <v>0</v>
      </c>
      <c r="D1725" s="77">
        <f>IFERROR(__xludf.DUMMYFUNCTION("""COMPUTED_VALUE"""),0.0)</f>
        <v>0</v>
      </c>
      <c r="E1725" s="46" t="b">
        <f>IFERROR(__xludf.DUMMYFUNCTION("""COMPUTED_VALUE"""),TRUE)</f>
        <v>1</v>
      </c>
    </row>
    <row r="1726">
      <c r="A1726" s="76" t="str">
        <f>IFERROR(__xludf.DUMMYFUNCTION("""COMPUTED_VALUE"""),"Primal Genesis")</f>
        <v>Primal Genesis</v>
      </c>
      <c r="B1726" s="76" t="str">
        <f>IFERROR(__xludf.DUMMYFUNCTION("""COMPUTED_VALUE"""),"Timey-Wimey")</f>
        <v>Timey-Wimey</v>
      </c>
      <c r="C1726" s="77">
        <f>IFERROR(__xludf.DUMMYFUNCTION("""COMPUTED_VALUE"""),0.0)</f>
        <v>0</v>
      </c>
      <c r="D1726" s="77">
        <f>IFERROR(__xludf.DUMMYFUNCTION("""COMPUTED_VALUE"""),0.0)</f>
        <v>0</v>
      </c>
      <c r="E1726" s="46" t="b">
        <f>IFERROR(__xludf.DUMMYFUNCTION("""COMPUTED_VALUE"""),TRUE)</f>
        <v>1</v>
      </c>
    </row>
    <row r="1727" hidden="1">
      <c r="A1727" s="76" t="str">
        <f>IFERROR(__xludf.DUMMYFUNCTION("""COMPUTED_VALUE"""),"Primal Genesis")</f>
        <v>Primal Genesis</v>
      </c>
      <c r="B1727" s="76" t="str">
        <f>IFERROR(__xludf.DUMMYFUNCTION("""COMPUTED_VALUE"""),"Tinker Time")</f>
        <v>Tinker Time</v>
      </c>
      <c r="C1727" s="77">
        <f>IFERROR(__xludf.DUMMYFUNCTION("""COMPUTED_VALUE"""),0.0)</f>
        <v>0</v>
      </c>
      <c r="D1727" s="77">
        <f>IFERROR(__xludf.DUMMYFUNCTION("""COMPUTED_VALUE"""),0.0)</f>
        <v>0</v>
      </c>
      <c r="E1727" s="46" t="b">
        <f>IFERROR(__xludf.DUMMYFUNCTION("""COMPUTED_VALUE"""),TRUE)</f>
        <v>1</v>
      </c>
    </row>
    <row r="1728">
      <c r="A1728" s="76" t="str">
        <f>IFERROR(__xludf.DUMMYFUNCTION("""COMPUTED_VALUE"""),"Primal Genesis")</f>
        <v>Primal Genesis</v>
      </c>
      <c r="B1728" s="76" t="str">
        <f>IFERROR(__xludf.DUMMYFUNCTION("""COMPUTED_VALUE"""),"Turtle Power!")</f>
        <v>Turtle Power!</v>
      </c>
      <c r="C1728" s="77">
        <f>IFERROR(__xludf.DUMMYFUNCTION("""COMPUTED_VALUE"""),0.0)</f>
        <v>0</v>
      </c>
      <c r="D1728" s="77">
        <f>IFERROR(__xludf.DUMMYFUNCTION("""COMPUTED_VALUE"""),0.0)</f>
        <v>0</v>
      </c>
      <c r="E1728" s="46" t="b">
        <f>IFERROR(__xludf.DUMMYFUNCTION("""COMPUTED_VALUE"""),TRUE)</f>
        <v>1</v>
      </c>
    </row>
    <row r="1729" hidden="1">
      <c r="A1729" s="76" t="str">
        <f>IFERROR(__xludf.DUMMYFUNCTION("""COMPUTED_VALUE"""),"Primal Genesis")</f>
        <v>Primal Genesis</v>
      </c>
      <c r="B1729" s="76" t="str">
        <f>IFERROR(__xludf.DUMMYFUNCTION("""COMPUTED_VALUE"""),"Veloci-ramp-tor")</f>
        <v>Veloci-ramp-tor</v>
      </c>
      <c r="C1729" s="77">
        <f>IFERROR(__xludf.DUMMYFUNCTION("""COMPUTED_VALUE"""),0.0)</f>
        <v>0</v>
      </c>
      <c r="D1729" s="77">
        <f>IFERROR(__xludf.DUMMYFUNCTION("""COMPUTED_VALUE"""),0.0)</f>
        <v>0</v>
      </c>
      <c r="E1729" s="46" t="b">
        <f>IFERROR(__xludf.DUMMYFUNCTION("""COMPUTED_VALUE"""),TRUE)</f>
        <v>1</v>
      </c>
    </row>
    <row r="1730" hidden="1">
      <c r="A1730" s="76" t="str">
        <f>IFERROR(__xludf.DUMMYFUNCTION("""COMPUTED_VALUE"""),"Prismari Artistry")</f>
        <v>Prismari Artistry</v>
      </c>
      <c r="B1730" s="76" t="str">
        <f>IFERROR(__xludf.DUMMYFUNCTION("""COMPUTED_VALUE"""),"Ahoy Mateys")</f>
        <v>Ahoy Mateys</v>
      </c>
      <c r="C1730" s="77">
        <f>IFERROR(__xludf.DUMMYFUNCTION("""COMPUTED_VALUE"""),0.0)</f>
        <v>0</v>
      </c>
      <c r="D1730" s="77">
        <f>IFERROR(__xludf.DUMMYFUNCTION("""COMPUTED_VALUE"""),0.0)</f>
        <v>0</v>
      </c>
      <c r="E1730" s="46" t="b">
        <f>IFERROR(__xludf.DUMMYFUNCTION("""COMPUTED_VALUE"""),TRUE)</f>
        <v>1</v>
      </c>
    </row>
    <row r="1731" hidden="1">
      <c r="A1731" s="76" t="str">
        <f>IFERROR(__xludf.DUMMYFUNCTION("""COMPUTED_VALUE"""),"Prismari Artistry")</f>
        <v>Prismari Artistry</v>
      </c>
      <c r="B1731" s="76" t="str">
        <f>IFERROR(__xludf.DUMMYFUNCTION("""COMPUTED_VALUE"""),"Animated Army")</f>
        <v>Animated Army</v>
      </c>
      <c r="C1731" s="77">
        <f>IFERROR(__xludf.DUMMYFUNCTION("""COMPUTED_VALUE"""),0.0)</f>
        <v>0</v>
      </c>
      <c r="D1731" s="77">
        <f>IFERROR(__xludf.DUMMYFUNCTION("""COMPUTED_VALUE"""),0.0)</f>
        <v>0</v>
      </c>
      <c r="E1731" s="46" t="b">
        <f>IFERROR(__xludf.DUMMYFUNCTION("""COMPUTED_VALUE"""),TRUE)</f>
        <v>1</v>
      </c>
    </row>
    <row r="1732" hidden="1">
      <c r="A1732" s="76" t="str">
        <f>IFERROR(__xludf.DUMMYFUNCTION("""COMPUTED_VALUE"""),"Prismari Artistry")</f>
        <v>Prismari Artistry</v>
      </c>
      <c r="B1732" s="76" t="str">
        <f>IFERROR(__xludf.DUMMYFUNCTION("""COMPUTED_VALUE"""),"Arcane Maelstrom")</f>
        <v>Arcane Maelstrom</v>
      </c>
      <c r="C1732" s="77">
        <f>IFERROR(__xludf.DUMMYFUNCTION("""COMPUTED_VALUE"""),0.0)</f>
        <v>0</v>
      </c>
      <c r="D1732" s="77">
        <f>IFERROR(__xludf.DUMMYFUNCTION("""COMPUTED_VALUE"""),0.0)</f>
        <v>0</v>
      </c>
      <c r="E1732" s="46" t="b">
        <f>IFERROR(__xludf.DUMMYFUNCTION("""COMPUTED_VALUE"""),TRUE)</f>
        <v>1</v>
      </c>
    </row>
    <row r="1733">
      <c r="A1733" s="76" t="str">
        <f>IFERROR(__xludf.DUMMYFUNCTION("""COMPUTED_VALUE"""),"Prismari Artistry")</f>
        <v>Prismari Artistry</v>
      </c>
      <c r="B1733" s="76" t="str">
        <f>IFERROR(__xludf.DUMMYFUNCTION("""COMPUTED_VALUE"""),"Blame Game")</f>
        <v>Blame Game</v>
      </c>
      <c r="C1733" s="77">
        <f>IFERROR(__xludf.DUMMYFUNCTION("""COMPUTED_VALUE"""),0.0)</f>
        <v>0</v>
      </c>
      <c r="D1733" s="77">
        <f>IFERROR(__xludf.DUMMYFUNCTION("""COMPUTED_VALUE"""),0.0)</f>
        <v>0</v>
      </c>
      <c r="E1733" s="46" t="b">
        <f>IFERROR(__xludf.DUMMYFUNCTION("""COMPUTED_VALUE"""),TRUE)</f>
        <v>1</v>
      </c>
    </row>
    <row r="1734" hidden="1">
      <c r="A1734" s="76" t="str">
        <f>IFERROR(__xludf.DUMMYFUNCTION("""COMPUTED_VALUE"""),"Prismari Artistry")</f>
        <v>Prismari Artistry</v>
      </c>
      <c r="B1734" s="76" t="str">
        <f>IFERROR(__xludf.DUMMYFUNCTION("""COMPUTED_VALUE"""),"Blight Curse")</f>
        <v>Blight Curse</v>
      </c>
      <c r="C1734" s="77">
        <f>IFERROR(__xludf.DUMMYFUNCTION("""COMPUTED_VALUE"""),0.0)</f>
        <v>0</v>
      </c>
      <c r="D1734" s="77">
        <f>IFERROR(__xludf.DUMMYFUNCTION("""COMPUTED_VALUE"""),0.0)</f>
        <v>0</v>
      </c>
      <c r="E1734" s="46" t="b">
        <f>IFERROR(__xludf.DUMMYFUNCTION("""COMPUTED_VALUE"""),TRUE)</f>
        <v>1</v>
      </c>
    </row>
    <row r="1735" hidden="1">
      <c r="A1735" s="76" t="str">
        <f>IFERROR(__xludf.DUMMYFUNCTION("""COMPUTED_VALUE"""),"Prismari Artistry")</f>
        <v>Prismari Artistry</v>
      </c>
      <c r="B1735" s="76" t="str">
        <f>IFERROR(__xludf.DUMMYFUNCTION("""COMPUTED_VALUE"""),"Blood Rites")</f>
        <v>Blood Rites</v>
      </c>
      <c r="C1735" s="77">
        <f>IFERROR(__xludf.DUMMYFUNCTION("""COMPUTED_VALUE"""),0.0)</f>
        <v>0</v>
      </c>
      <c r="D1735" s="77">
        <f>IFERROR(__xludf.DUMMYFUNCTION("""COMPUTED_VALUE"""),0.0)</f>
        <v>0</v>
      </c>
      <c r="E1735" s="46" t="b">
        <f>IFERROR(__xludf.DUMMYFUNCTION("""COMPUTED_VALUE"""),TRUE)</f>
        <v>1</v>
      </c>
    </row>
    <row r="1736">
      <c r="A1736" s="76" t="str">
        <f>IFERROR(__xludf.DUMMYFUNCTION("""COMPUTED_VALUE"""),"Prismari Artistry")</f>
        <v>Prismari Artistry</v>
      </c>
      <c r="B1736" s="76" t="str">
        <f>IFERROR(__xludf.DUMMYFUNCTION("""COMPUTED_VALUE"""),"Buckle Up")</f>
        <v>Buckle Up</v>
      </c>
      <c r="C1736" s="77">
        <f>IFERROR(__xludf.DUMMYFUNCTION("""COMPUTED_VALUE"""),0.0)</f>
        <v>0</v>
      </c>
      <c r="D1736" s="77">
        <f>IFERROR(__xludf.DUMMYFUNCTION("""COMPUTED_VALUE"""),0.0)</f>
        <v>0</v>
      </c>
      <c r="E1736" s="46" t="b">
        <f>IFERROR(__xludf.DUMMYFUNCTION("""COMPUTED_VALUE"""),TRUE)</f>
        <v>1</v>
      </c>
    </row>
    <row r="1737">
      <c r="A1737" s="76" t="str">
        <f>IFERROR(__xludf.DUMMYFUNCTION("""COMPUTED_VALUE"""),"Prismari Artistry")</f>
        <v>Prismari Artistry</v>
      </c>
      <c r="B1737" s="76" t="str">
        <f>IFERROR(__xludf.DUMMYFUNCTION("""COMPUTED_VALUE"""),"Cabaretti Cacophony")</f>
        <v>Cabaretti Cacophony</v>
      </c>
      <c r="C1737" s="77">
        <f>IFERROR(__xludf.DUMMYFUNCTION("""COMPUTED_VALUE"""),0.0)</f>
        <v>0</v>
      </c>
      <c r="D1737" s="77">
        <f>IFERROR(__xludf.DUMMYFUNCTION("""COMPUTED_VALUE"""),1.0)</f>
        <v>1</v>
      </c>
      <c r="E1737" s="46" t="b">
        <f>IFERROR(__xludf.DUMMYFUNCTION("""COMPUTED_VALUE"""),FALSE)</f>
        <v>0</v>
      </c>
    </row>
    <row r="1738">
      <c r="A1738" s="76" t="str">
        <f>IFERROR(__xludf.DUMMYFUNCTION("""COMPUTED_VALUE"""),"Prismari Artistry")</f>
        <v>Prismari Artistry</v>
      </c>
      <c r="B1738" s="76" t="str">
        <f>IFERROR(__xludf.DUMMYFUNCTION("""COMPUTED_VALUE"""),"Cavalry Charge")</f>
        <v>Cavalry Charge</v>
      </c>
      <c r="C1738" s="77">
        <f>IFERROR(__xludf.DUMMYFUNCTION("""COMPUTED_VALUE"""),0.0)</f>
        <v>0</v>
      </c>
      <c r="D1738" s="77">
        <f>IFERROR(__xludf.DUMMYFUNCTION("""COMPUTED_VALUE"""),0.0)</f>
        <v>0</v>
      </c>
      <c r="E1738" s="46" t="b">
        <f>IFERROR(__xludf.DUMMYFUNCTION("""COMPUTED_VALUE"""),TRUE)</f>
        <v>1</v>
      </c>
    </row>
    <row r="1739">
      <c r="A1739" s="76" t="str">
        <f>IFERROR(__xludf.DUMMYFUNCTION("""COMPUTED_VALUE"""),"Prismari Artistry")</f>
        <v>Prismari Artistry</v>
      </c>
      <c r="B1739" s="76" t="str">
        <f>IFERROR(__xludf.DUMMYFUNCTION("""COMPUTED_VALUE"""),"Corrupting Influence")</f>
        <v>Corrupting Influence</v>
      </c>
      <c r="C1739" s="77">
        <f>IFERROR(__xludf.DUMMYFUNCTION("""COMPUTED_VALUE"""),0.0)</f>
        <v>0</v>
      </c>
      <c r="D1739" s="77">
        <f>IFERROR(__xludf.DUMMYFUNCTION("""COMPUTED_VALUE"""),0.0)</f>
        <v>0</v>
      </c>
      <c r="E1739" s="46" t="b">
        <f>IFERROR(__xludf.DUMMYFUNCTION("""COMPUTED_VALUE"""),TRUE)</f>
        <v>1</v>
      </c>
    </row>
    <row r="1740" hidden="1">
      <c r="A1740" s="76" t="str">
        <f>IFERROR(__xludf.DUMMYFUNCTION("""COMPUTED_VALUE"""),"Prismari Artistry")</f>
        <v>Prismari Artistry</v>
      </c>
      <c r="B1740" s="76" t="str">
        <f>IFERROR(__xludf.DUMMYFUNCTION("""COMPUTED_VALUE"""),"Counter Blitz")</f>
        <v>Counter Blitz</v>
      </c>
      <c r="C1740" s="77">
        <f>IFERROR(__xludf.DUMMYFUNCTION("""COMPUTED_VALUE"""),0.0)</f>
        <v>0</v>
      </c>
      <c r="D1740" s="77">
        <f>IFERROR(__xludf.DUMMYFUNCTION("""COMPUTED_VALUE"""),0.0)</f>
        <v>0</v>
      </c>
      <c r="E1740" s="46" t="b">
        <f>IFERROR(__xludf.DUMMYFUNCTION("""COMPUTED_VALUE"""),TRUE)</f>
        <v>1</v>
      </c>
    </row>
    <row r="1741">
      <c r="A1741" s="76" t="str">
        <f>IFERROR(__xludf.DUMMYFUNCTION("""COMPUTED_VALUE"""),"Prismari Artistry")</f>
        <v>Prismari Artistry</v>
      </c>
      <c r="B1741" s="76" t="str">
        <f>IFERROR(__xludf.DUMMYFUNCTION("""COMPUTED_VALUE"""),"Counter Intelligence")</f>
        <v>Counter Intelligence</v>
      </c>
      <c r="C1741" s="77">
        <f>IFERROR(__xludf.DUMMYFUNCTION("""COMPUTED_VALUE"""),0.0)</f>
        <v>0</v>
      </c>
      <c r="D1741" s="77">
        <f>IFERROR(__xludf.DUMMYFUNCTION("""COMPUTED_VALUE"""),0.0)</f>
        <v>0</v>
      </c>
      <c r="E1741" s="46" t="b">
        <f>IFERROR(__xludf.DUMMYFUNCTION("""COMPUTED_VALUE"""),TRUE)</f>
        <v>1</v>
      </c>
    </row>
    <row r="1742" hidden="1">
      <c r="A1742" s="76" t="str">
        <f>IFERROR(__xludf.DUMMYFUNCTION("""COMPUTED_VALUE"""),"Prismari Artistry")</f>
        <v>Prismari Artistry</v>
      </c>
      <c r="B1742" s="76" t="str">
        <f>IFERROR(__xludf.DUMMYFUNCTION("""COMPUTED_VALUE"""),"Creative Energy")</f>
        <v>Creative Energy</v>
      </c>
      <c r="C1742" s="77">
        <f>IFERROR(__xludf.DUMMYFUNCTION("""COMPUTED_VALUE"""),0.0)</f>
        <v>0</v>
      </c>
      <c r="D1742" s="77">
        <f>IFERROR(__xludf.DUMMYFUNCTION("""COMPUTED_VALUE"""),0.0)</f>
        <v>0</v>
      </c>
      <c r="E1742" s="46" t="b">
        <f>IFERROR(__xludf.DUMMYFUNCTION("""COMPUTED_VALUE"""),TRUE)</f>
        <v>1</v>
      </c>
    </row>
    <row r="1743" hidden="1">
      <c r="A1743" s="76" t="str">
        <f>IFERROR(__xludf.DUMMYFUNCTION("""COMPUTED_VALUE"""),"Prismari Artistry")</f>
        <v>Prismari Artistry</v>
      </c>
      <c r="B1743" s="76" t="str">
        <f>IFERROR(__xludf.DUMMYFUNCTION("""COMPUTED_VALUE"""),"Dance of the Elements")</f>
        <v>Dance of the Elements</v>
      </c>
      <c r="C1743" s="77">
        <f>IFERROR(__xludf.DUMMYFUNCTION("""COMPUTED_VALUE"""),1.0)</f>
        <v>1</v>
      </c>
      <c r="D1743" s="77">
        <f>IFERROR(__xludf.DUMMYFUNCTION("""COMPUTED_VALUE"""),0.0)</f>
        <v>0</v>
      </c>
      <c r="E1743" s="46" t="b">
        <f>IFERROR(__xludf.DUMMYFUNCTION("""COMPUTED_VALUE"""),FALSE)</f>
        <v>0</v>
      </c>
    </row>
    <row r="1744" hidden="1">
      <c r="A1744" s="76" t="str">
        <f>IFERROR(__xludf.DUMMYFUNCTION("""COMPUTED_VALUE"""),"Prismari Artistry")</f>
        <v>Prismari Artistry</v>
      </c>
      <c r="B1744" s="76" t="str">
        <f>IFERROR(__xludf.DUMMYFUNCTION("""COMPUTED_VALUE"""),"Deep Clue Sea")</f>
        <v>Deep Clue Sea</v>
      </c>
      <c r="C1744" s="77">
        <f>IFERROR(__xludf.DUMMYFUNCTION("""COMPUTED_VALUE"""),0.0)</f>
        <v>0</v>
      </c>
      <c r="D1744" s="77">
        <f>IFERROR(__xludf.DUMMYFUNCTION("""COMPUTED_VALUE"""),0.0)</f>
        <v>0</v>
      </c>
      <c r="E1744" s="46" t="b">
        <f>IFERROR(__xludf.DUMMYFUNCTION("""COMPUTED_VALUE"""),TRUE)</f>
        <v>1</v>
      </c>
    </row>
    <row r="1745" hidden="1">
      <c r="A1745" s="76" t="str">
        <f>IFERROR(__xludf.DUMMYFUNCTION("""COMPUTED_VALUE"""),"Prismari Artistry")</f>
        <v>Prismari Artistry</v>
      </c>
      <c r="B1745" s="76" t="str">
        <f>IFERROR(__xludf.DUMMYFUNCTION("""COMPUTED_VALUE"""),"Doom Prevails")</f>
        <v>Doom Prevails</v>
      </c>
      <c r="C1745" s="77">
        <f>IFERROR(__xludf.DUMMYFUNCTION("""COMPUTED_VALUE"""),0.0)</f>
        <v>0</v>
      </c>
      <c r="D1745" s="77">
        <f>IFERROR(__xludf.DUMMYFUNCTION("""COMPUTED_VALUE"""),0.0)</f>
        <v>0</v>
      </c>
      <c r="E1745" s="46" t="b">
        <f>IFERROR(__xludf.DUMMYFUNCTION("""COMPUTED_VALUE"""),TRUE)</f>
        <v>1</v>
      </c>
    </row>
    <row r="1746" hidden="1">
      <c r="A1746" s="76" t="str">
        <f>IFERROR(__xludf.DUMMYFUNCTION("""COMPUTED_VALUE"""),"Prismari Artistry")</f>
        <v>Prismari Artistry</v>
      </c>
      <c r="B1746" s="76" t="str">
        <f>IFERROR(__xludf.DUMMYFUNCTION("""COMPUTED_VALUE"""),"Eldrazi Incursion")</f>
        <v>Eldrazi Incursion</v>
      </c>
      <c r="C1746" s="77">
        <f>IFERROR(__xludf.DUMMYFUNCTION("""COMPUTED_VALUE"""),0.0)</f>
        <v>0</v>
      </c>
      <c r="D1746" s="77">
        <f>IFERROR(__xludf.DUMMYFUNCTION("""COMPUTED_VALUE"""),0.0)</f>
        <v>0</v>
      </c>
      <c r="E1746" s="46" t="b">
        <f>IFERROR(__xludf.DUMMYFUNCTION("""COMPUTED_VALUE"""),TRUE)</f>
        <v>1</v>
      </c>
    </row>
    <row r="1747" hidden="1">
      <c r="A1747" s="76" t="str">
        <f>IFERROR(__xludf.DUMMYFUNCTION("""COMPUTED_VALUE"""),"Prismari Artistry")</f>
        <v>Prismari Artistry</v>
      </c>
      <c r="B1747" s="76" t="str">
        <f>IFERROR(__xludf.DUMMYFUNCTION("""COMPUTED_VALUE"""),"Eldrazi Unbound")</f>
        <v>Eldrazi Unbound</v>
      </c>
      <c r="C1747" s="77">
        <f>IFERROR(__xludf.DUMMYFUNCTION("""COMPUTED_VALUE"""),0.0)</f>
        <v>0</v>
      </c>
      <c r="D1747" s="77">
        <f>IFERROR(__xludf.DUMMYFUNCTION("""COMPUTED_VALUE"""),0.0)</f>
        <v>0</v>
      </c>
      <c r="E1747" s="46" t="b">
        <f>IFERROR(__xludf.DUMMYFUNCTION("""COMPUTED_VALUE"""),TRUE)</f>
        <v>1</v>
      </c>
    </row>
    <row r="1748">
      <c r="A1748" s="76" t="str">
        <f>IFERROR(__xludf.DUMMYFUNCTION("""COMPUTED_VALUE"""),"Prismari Artistry")</f>
        <v>Prismari Artistry</v>
      </c>
      <c r="B1748" s="76" t="str">
        <f>IFERROR(__xludf.DUMMYFUNCTION("""COMPUTED_VALUE"""),"Endless Punishment")</f>
        <v>Endless Punishment</v>
      </c>
      <c r="C1748" s="77">
        <f>IFERROR(__xludf.DUMMYFUNCTION("""COMPUTED_VALUE"""),0.0)</f>
        <v>0</v>
      </c>
      <c r="D1748" s="77">
        <f>IFERROR(__xludf.DUMMYFUNCTION("""COMPUTED_VALUE"""),0.0)</f>
        <v>0</v>
      </c>
      <c r="E1748" s="46" t="b">
        <f>IFERROR(__xludf.DUMMYFUNCTION("""COMPUTED_VALUE"""),TRUE)</f>
        <v>1</v>
      </c>
    </row>
    <row r="1749">
      <c r="A1749" s="76" t="str">
        <f>IFERROR(__xludf.DUMMYFUNCTION("""COMPUTED_VALUE"""),"Prismari Artistry")</f>
        <v>Prismari Artistry</v>
      </c>
      <c r="B1749" s="76" t="str">
        <f>IFERROR(__xludf.DUMMYFUNCTION("""COMPUTED_VALUE"""),"Enduring Enchantments")</f>
        <v>Enduring Enchantments</v>
      </c>
      <c r="C1749" s="77">
        <f>IFERROR(__xludf.DUMMYFUNCTION("""COMPUTED_VALUE"""),0.0)</f>
        <v>0</v>
      </c>
      <c r="D1749" s="77">
        <f>IFERROR(__xludf.DUMMYFUNCTION("""COMPUTED_VALUE"""),0.0)</f>
        <v>0</v>
      </c>
      <c r="E1749" s="46" t="b">
        <f>IFERROR(__xludf.DUMMYFUNCTION("""COMPUTED_VALUE"""),TRUE)</f>
        <v>1</v>
      </c>
    </row>
    <row r="1750">
      <c r="A1750" s="76" t="str">
        <f>IFERROR(__xludf.DUMMYFUNCTION("""COMPUTED_VALUE"""),"Prismari Artistry")</f>
        <v>Prismari Artistry</v>
      </c>
      <c r="B1750" s="76" t="str">
        <f>IFERROR(__xludf.DUMMYFUNCTION("""COMPUTED_VALUE"""),"Explorers of the Deep")</f>
        <v>Explorers of the Deep</v>
      </c>
      <c r="C1750" s="77">
        <f>IFERROR(__xludf.DUMMYFUNCTION("""COMPUTED_VALUE"""),0.0)</f>
        <v>0</v>
      </c>
      <c r="D1750" s="77">
        <f>IFERROR(__xludf.DUMMYFUNCTION("""COMPUTED_VALUE"""),0.0)</f>
        <v>0</v>
      </c>
      <c r="E1750" s="46" t="b">
        <f>IFERROR(__xludf.DUMMYFUNCTION("""COMPUTED_VALUE"""),TRUE)</f>
        <v>1</v>
      </c>
    </row>
    <row r="1751">
      <c r="A1751" s="76" t="str">
        <f>IFERROR(__xludf.DUMMYFUNCTION("""COMPUTED_VALUE"""),"Prismari Artistry")</f>
        <v>Prismari Artistry</v>
      </c>
      <c r="B1751" s="76" t="str">
        <f>IFERROR(__xludf.DUMMYFUNCTION("""COMPUTED_VALUE"""),"Family Matters")</f>
        <v>Family Matters</v>
      </c>
      <c r="C1751" s="77">
        <f>IFERROR(__xludf.DUMMYFUNCTION("""COMPUTED_VALUE"""),0.0)</f>
        <v>0</v>
      </c>
      <c r="D1751" s="77">
        <f>IFERROR(__xludf.DUMMYFUNCTION("""COMPUTED_VALUE"""),0.0)</f>
        <v>0</v>
      </c>
      <c r="E1751" s="46" t="b">
        <f>IFERROR(__xludf.DUMMYFUNCTION("""COMPUTED_VALUE"""),TRUE)</f>
        <v>1</v>
      </c>
    </row>
    <row r="1752" hidden="1">
      <c r="A1752" s="76" t="str">
        <f>IFERROR(__xludf.DUMMYFUNCTION("""COMPUTED_VALUE"""),"Prismari Artistry")</f>
        <v>Prismari Artistry</v>
      </c>
      <c r="B1752" s="76" t="str">
        <f>IFERROR(__xludf.DUMMYFUNCTION("""COMPUTED_VALUE"""),"Food and Fellowship")</f>
        <v>Food and Fellowship</v>
      </c>
      <c r="C1752" s="77">
        <f>IFERROR(__xludf.DUMMYFUNCTION("""COMPUTED_VALUE"""),0.0)</f>
        <v>0</v>
      </c>
      <c r="D1752" s="77">
        <f>IFERROR(__xludf.DUMMYFUNCTION("""COMPUTED_VALUE"""),0.0)</f>
        <v>0</v>
      </c>
      <c r="E1752" s="46" t="b">
        <f>IFERROR(__xludf.DUMMYFUNCTION("""COMPUTED_VALUE"""),TRUE)</f>
        <v>1</v>
      </c>
    </row>
    <row r="1753">
      <c r="A1753" s="76" t="str">
        <f>IFERROR(__xludf.DUMMYFUNCTION("""COMPUTED_VALUE"""),"Prismari Artistry")</f>
        <v>Prismari Artistry</v>
      </c>
      <c r="B1753" s="76" t="str">
        <f>IFERROR(__xludf.DUMMYFUNCTION("""COMPUTED_VALUE"""),"Jeskai Striker")</f>
        <v>Jeskai Striker</v>
      </c>
      <c r="C1753" s="77">
        <f>IFERROR(__xludf.DUMMYFUNCTION("""COMPUTED_VALUE"""),0.0)</f>
        <v>0</v>
      </c>
      <c r="D1753" s="77">
        <f>IFERROR(__xludf.DUMMYFUNCTION("""COMPUTED_VALUE"""),1.0)</f>
        <v>1</v>
      </c>
      <c r="E1753" s="46" t="b">
        <f>IFERROR(__xludf.DUMMYFUNCTION("""COMPUTED_VALUE"""),FALSE)</f>
        <v>0</v>
      </c>
    </row>
    <row r="1754" hidden="1">
      <c r="A1754" s="76" t="str">
        <f>IFERROR(__xludf.DUMMYFUNCTION("""COMPUTED_VALUE"""),"Prismari Artistry")</f>
        <v>Prismari Artistry</v>
      </c>
      <c r="B1754" s="76" t="str">
        <f>IFERROR(__xludf.DUMMYFUNCTION("""COMPUTED_VALUE"""),"Legends' Legacy")</f>
        <v>Legends' Legacy</v>
      </c>
      <c r="C1754" s="77">
        <f>IFERROR(__xludf.DUMMYFUNCTION("""COMPUTED_VALUE"""),0.0)</f>
        <v>0</v>
      </c>
      <c r="D1754" s="77">
        <f>IFERROR(__xludf.DUMMYFUNCTION("""COMPUTED_VALUE"""),0.0)</f>
        <v>0</v>
      </c>
      <c r="E1754" s="46" t="b">
        <f>IFERROR(__xludf.DUMMYFUNCTION("""COMPUTED_VALUE"""),TRUE)</f>
        <v>1</v>
      </c>
    </row>
    <row r="1755" hidden="1">
      <c r="A1755" s="76" t="str">
        <f>IFERROR(__xludf.DUMMYFUNCTION("""COMPUTED_VALUE"""),"Prismari Artistry")</f>
        <v>Prismari Artistry</v>
      </c>
      <c r="B1755" s="76" t="str">
        <f>IFERROR(__xludf.DUMMYFUNCTION("""COMPUTED_VALUE"""),"Limit Break")</f>
        <v>Limit Break</v>
      </c>
      <c r="C1755" s="77">
        <f>IFERROR(__xludf.DUMMYFUNCTION("""COMPUTED_VALUE"""),0.0)</f>
        <v>0</v>
      </c>
      <c r="D1755" s="77">
        <f>IFERROR(__xludf.DUMMYFUNCTION("""COMPUTED_VALUE"""),0.0)</f>
        <v>0</v>
      </c>
      <c r="E1755" s="46" t="b">
        <f>IFERROR(__xludf.DUMMYFUNCTION("""COMPUTED_VALUE"""),TRUE)</f>
        <v>1</v>
      </c>
    </row>
    <row r="1756" hidden="1">
      <c r="A1756" s="76" t="str">
        <f>IFERROR(__xludf.DUMMYFUNCTION("""COMPUTED_VALUE"""),"Prismari Artistry")</f>
        <v>Prismari Artistry</v>
      </c>
      <c r="B1756" s="76" t="str">
        <f>IFERROR(__xludf.DUMMYFUNCTION("""COMPUTED_VALUE"""),"Lorehold Spirit")</f>
        <v>Lorehold Spirit</v>
      </c>
      <c r="C1756" s="77">
        <f>IFERROR(__xludf.DUMMYFUNCTION("""COMPUTED_VALUE"""),0.0)</f>
        <v>0</v>
      </c>
      <c r="D1756" s="77">
        <f>IFERROR(__xludf.DUMMYFUNCTION("""COMPUTED_VALUE"""),1.0)</f>
        <v>1</v>
      </c>
      <c r="E1756" s="46" t="b">
        <f>IFERROR(__xludf.DUMMYFUNCTION("""COMPUTED_VALUE"""),FALSE)</f>
        <v>0</v>
      </c>
    </row>
    <row r="1757" hidden="1">
      <c r="A1757" s="76" t="str">
        <f>IFERROR(__xludf.DUMMYFUNCTION("""COMPUTED_VALUE"""),"Prismari Artistry")</f>
        <v>Prismari Artistry</v>
      </c>
      <c r="B1757" s="76" t="str">
        <f>IFERROR(__xludf.DUMMYFUNCTION("""COMPUTED_VALUE"""),"Mutant Menace")</f>
        <v>Mutant Menace</v>
      </c>
      <c r="C1757" s="77">
        <f>IFERROR(__xludf.DUMMYFUNCTION("""COMPUTED_VALUE"""),1.0)</f>
        <v>1</v>
      </c>
      <c r="D1757" s="77">
        <f>IFERROR(__xludf.DUMMYFUNCTION("""COMPUTED_VALUE"""),0.0)</f>
        <v>0</v>
      </c>
      <c r="E1757" s="46" t="b">
        <f>IFERROR(__xludf.DUMMYFUNCTION("""COMPUTED_VALUE"""),FALSE)</f>
        <v>0</v>
      </c>
    </row>
    <row r="1758" hidden="1">
      <c r="A1758" s="76" t="str">
        <f>IFERROR(__xludf.DUMMYFUNCTION("""COMPUTED_VALUE"""),"Prismari Artistry")</f>
        <v>Prismari Artistry</v>
      </c>
      <c r="B1758" s="76" t="str">
        <f>IFERROR(__xludf.DUMMYFUNCTION("""COMPUTED_VALUE"""),"Party Time")</f>
        <v>Party Time</v>
      </c>
      <c r="C1758" s="77">
        <f>IFERROR(__xludf.DUMMYFUNCTION("""COMPUTED_VALUE"""),0.0)</f>
        <v>0</v>
      </c>
      <c r="D1758" s="77">
        <f>IFERROR(__xludf.DUMMYFUNCTION("""COMPUTED_VALUE"""),0.0)</f>
        <v>0</v>
      </c>
      <c r="E1758" s="46" t="b">
        <f>IFERROR(__xludf.DUMMYFUNCTION("""COMPUTED_VALUE"""),TRUE)</f>
        <v>1</v>
      </c>
    </row>
    <row r="1759">
      <c r="A1759" s="76" t="str">
        <f>IFERROR(__xludf.DUMMYFUNCTION("""COMPUTED_VALUE"""),"Prismari Artistry")</f>
        <v>Prismari Artistry</v>
      </c>
      <c r="B1759" s="76" t="str">
        <f>IFERROR(__xludf.DUMMYFUNCTION("""COMPUTED_VALUE"""),"Peace Offering")</f>
        <v>Peace Offering</v>
      </c>
      <c r="C1759" s="77">
        <f>IFERROR(__xludf.DUMMYFUNCTION("""COMPUTED_VALUE"""),0.0)</f>
        <v>0</v>
      </c>
      <c r="D1759" s="77">
        <f>IFERROR(__xludf.DUMMYFUNCTION("""COMPUTED_VALUE"""),0.0)</f>
        <v>0</v>
      </c>
      <c r="E1759" s="46" t="b">
        <f>IFERROR(__xludf.DUMMYFUNCTION("""COMPUTED_VALUE"""),TRUE)</f>
        <v>1</v>
      </c>
    </row>
    <row r="1760" hidden="1">
      <c r="A1760" s="76" t="str">
        <f>IFERROR(__xludf.DUMMYFUNCTION("""COMPUTED_VALUE"""),"Prismari Artistry")</f>
        <v>Prismari Artistry</v>
      </c>
      <c r="B1760" s="76" t="str">
        <f>IFERROR(__xludf.DUMMYFUNCTION("""COMPUTED_VALUE"""),"Power Hungry")</f>
        <v>Power Hungry</v>
      </c>
      <c r="C1760" s="77">
        <f>IFERROR(__xludf.DUMMYFUNCTION("""COMPUTED_VALUE"""),0.0)</f>
        <v>0</v>
      </c>
      <c r="D1760" s="77">
        <f>IFERROR(__xludf.DUMMYFUNCTION("""COMPUTED_VALUE"""),0.0)</f>
        <v>0</v>
      </c>
      <c r="E1760" s="46" t="b">
        <f>IFERROR(__xludf.DUMMYFUNCTION("""COMPUTED_VALUE"""),TRUE)</f>
        <v>1</v>
      </c>
    </row>
    <row r="1761">
      <c r="A1761" s="76" t="str">
        <f>IFERROR(__xludf.DUMMYFUNCTION("""COMPUTED_VALUE"""),"Prismari Artistry")</f>
        <v>Prismari Artistry</v>
      </c>
      <c r="B1761" s="76" t="str">
        <f>IFERROR(__xludf.DUMMYFUNCTION("""COMPUTED_VALUE"""),"Primal Genesis")</f>
        <v>Primal Genesis</v>
      </c>
      <c r="C1761" s="77">
        <f>IFERROR(__xludf.DUMMYFUNCTION("""COMPUTED_VALUE"""),0.0)</f>
        <v>0</v>
      </c>
      <c r="D1761" s="77">
        <f>IFERROR(__xludf.DUMMYFUNCTION("""COMPUTED_VALUE"""),0.0)</f>
        <v>0</v>
      </c>
      <c r="E1761" s="46" t="b">
        <f>IFERROR(__xludf.DUMMYFUNCTION("""COMPUTED_VALUE"""),TRUE)</f>
        <v>1</v>
      </c>
    </row>
    <row r="1762" hidden="1">
      <c r="A1762" s="76" t="str">
        <f>IFERROR(__xludf.DUMMYFUNCTION("""COMPUTED_VALUE"""),"Prismari Artistry")</f>
        <v>Prismari Artistry</v>
      </c>
      <c r="B1762" s="76" t="str">
        <f>IFERROR(__xludf.DUMMYFUNCTION("""COMPUTED_VALUE"""),"Prismari Artistry")</f>
        <v>Prismari Artistry</v>
      </c>
      <c r="C1762" s="77">
        <f>IFERROR(__xludf.DUMMYFUNCTION("""COMPUTED_VALUE"""),1.0)</f>
        <v>1</v>
      </c>
      <c r="D1762" s="77">
        <f>IFERROR(__xludf.DUMMYFUNCTION("""COMPUTED_VALUE"""),1.0)</f>
        <v>1</v>
      </c>
      <c r="E1762" s="46" t="b">
        <f>IFERROR(__xludf.DUMMYFUNCTION("""COMPUTED_VALUE"""),TRUE)</f>
        <v>1</v>
      </c>
    </row>
    <row r="1763" hidden="1">
      <c r="A1763" s="76" t="str">
        <f>IFERROR(__xludf.DUMMYFUNCTION("""COMPUTED_VALUE"""),"Prismari Artistry")</f>
        <v>Prismari Artistry</v>
      </c>
      <c r="B1763" s="76" t="str">
        <f>IFERROR(__xludf.DUMMYFUNCTION("""COMPUTED_VALUE"""),"Prismari Performance")</f>
        <v>Prismari Performance</v>
      </c>
      <c r="C1763" s="77">
        <f>IFERROR(__xludf.DUMMYFUNCTION("""COMPUTED_VALUE"""),0.0)</f>
        <v>0</v>
      </c>
      <c r="D1763" s="77">
        <f>IFERROR(__xludf.DUMMYFUNCTION("""COMPUTED_VALUE"""),0.0)</f>
        <v>0</v>
      </c>
      <c r="E1763" s="46" t="b">
        <f>IFERROR(__xludf.DUMMYFUNCTION("""COMPUTED_VALUE"""),TRUE)</f>
        <v>1</v>
      </c>
    </row>
    <row r="1764" hidden="1">
      <c r="A1764" s="76" t="str">
        <f>IFERROR(__xludf.DUMMYFUNCTION("""COMPUTED_VALUE"""),"Prismari Artistry")</f>
        <v>Prismari Artistry</v>
      </c>
      <c r="B1764" s="76" t="str">
        <f>IFERROR(__xludf.DUMMYFUNCTION("""COMPUTED_VALUE"""),"Quandrix Unlimited")</f>
        <v>Quandrix Unlimited</v>
      </c>
      <c r="C1764" s="77">
        <f>IFERROR(__xludf.DUMMYFUNCTION("""COMPUTED_VALUE"""),0.0)</f>
        <v>0</v>
      </c>
      <c r="D1764" s="77">
        <f>IFERROR(__xludf.DUMMYFUNCTION("""COMPUTED_VALUE"""),0.0)</f>
        <v>0</v>
      </c>
      <c r="E1764" s="46" t="b">
        <f>IFERROR(__xludf.DUMMYFUNCTION("""COMPUTED_VALUE"""),TRUE)</f>
        <v>1</v>
      </c>
    </row>
    <row r="1765" hidden="1">
      <c r="A1765" s="76" t="str">
        <f>IFERROR(__xludf.DUMMYFUNCTION("""COMPUTED_VALUE"""),"Prismari Artistry")</f>
        <v>Prismari Artistry</v>
      </c>
      <c r="B1765" s="76" t="str">
        <f>IFERROR(__xludf.DUMMYFUNCTION("""COMPUTED_VALUE"""),"Quick Draw")</f>
        <v>Quick Draw</v>
      </c>
      <c r="C1765" s="77">
        <f>IFERROR(__xludf.DUMMYFUNCTION("""COMPUTED_VALUE"""),0.0)</f>
        <v>0</v>
      </c>
      <c r="D1765" s="77">
        <f>IFERROR(__xludf.DUMMYFUNCTION("""COMPUTED_VALUE"""),1.0)</f>
        <v>1</v>
      </c>
      <c r="E1765" s="46" t="b">
        <f>IFERROR(__xludf.DUMMYFUNCTION("""COMPUTED_VALUE"""),FALSE)</f>
        <v>0</v>
      </c>
    </row>
    <row r="1766">
      <c r="A1766" s="76" t="str">
        <f>IFERROR(__xludf.DUMMYFUNCTION("""COMPUTED_VALUE"""),"Prismari Artistry")</f>
        <v>Prismari Artistry</v>
      </c>
      <c r="B1766" s="76" t="str">
        <f>IFERROR(__xludf.DUMMYFUNCTION("""COMPUTED_VALUE"""),"Reap the Tides")</f>
        <v>Reap the Tides</v>
      </c>
      <c r="C1766" s="77">
        <f>IFERROR(__xludf.DUMMYFUNCTION("""COMPUTED_VALUE"""),0.0)</f>
        <v>0</v>
      </c>
      <c r="D1766" s="77">
        <f>IFERROR(__xludf.DUMMYFUNCTION("""COMPUTED_VALUE"""),0.0)</f>
        <v>0</v>
      </c>
      <c r="E1766" s="46" t="b">
        <f>IFERROR(__xludf.DUMMYFUNCTION("""COMPUTED_VALUE"""),TRUE)</f>
        <v>1</v>
      </c>
    </row>
    <row r="1767">
      <c r="A1767" s="76" t="str">
        <f>IFERROR(__xludf.DUMMYFUNCTION("""COMPUTED_VALUE"""),"Prismari Artistry")</f>
        <v>Prismari Artistry</v>
      </c>
      <c r="B1767" s="76" t="str">
        <f>IFERROR(__xludf.DUMMYFUNCTION("""COMPUTED_VALUE"""),"Rebellion Rising")</f>
        <v>Rebellion Rising</v>
      </c>
      <c r="C1767" s="77">
        <f>IFERROR(__xludf.DUMMYFUNCTION("""COMPUTED_VALUE"""),0.0)</f>
        <v>0</v>
      </c>
      <c r="D1767" s="77">
        <f>IFERROR(__xludf.DUMMYFUNCTION("""COMPUTED_VALUE"""),0.0)</f>
        <v>0</v>
      </c>
      <c r="E1767" s="46" t="b">
        <f>IFERROR(__xludf.DUMMYFUNCTION("""COMPUTED_VALUE"""),TRUE)</f>
        <v>1</v>
      </c>
    </row>
    <row r="1768">
      <c r="A1768" s="76" t="str">
        <f>IFERROR(__xludf.DUMMYFUNCTION("""COMPUTED_VALUE"""),"Prismari Artistry")</f>
        <v>Prismari Artistry</v>
      </c>
      <c r="B1768" s="76" t="str">
        <f>IFERROR(__xludf.DUMMYFUNCTION("""COMPUTED_VALUE"""),"Revival Trance")</f>
        <v>Revival Trance</v>
      </c>
      <c r="C1768" s="77">
        <f>IFERROR(__xludf.DUMMYFUNCTION("""COMPUTED_VALUE"""),0.0)</f>
        <v>0</v>
      </c>
      <c r="D1768" s="77">
        <f>IFERROR(__xludf.DUMMYFUNCTION("""COMPUTED_VALUE"""),0.0)</f>
        <v>0</v>
      </c>
      <c r="E1768" s="46" t="b">
        <f>IFERROR(__xludf.DUMMYFUNCTION("""COMPUTED_VALUE"""),TRUE)</f>
        <v>1</v>
      </c>
    </row>
    <row r="1769">
      <c r="A1769" s="76" t="str">
        <f>IFERROR(__xludf.DUMMYFUNCTION("""COMPUTED_VALUE"""),"Prismari Artistry")</f>
        <v>Prismari Artistry</v>
      </c>
      <c r="B1769" s="76" t="str">
        <f>IFERROR(__xludf.DUMMYFUNCTION("""COMPUTED_VALUE"""),"Riders of Rohan")</f>
        <v>Riders of Rohan</v>
      </c>
      <c r="C1769" s="77">
        <f>IFERROR(__xludf.DUMMYFUNCTION("""COMPUTED_VALUE"""),0.0)</f>
        <v>0</v>
      </c>
      <c r="D1769" s="77">
        <f>IFERROR(__xludf.DUMMYFUNCTION("""COMPUTED_VALUE"""),0.0)</f>
        <v>0</v>
      </c>
      <c r="E1769" s="46" t="b">
        <f>IFERROR(__xludf.DUMMYFUNCTION("""COMPUTED_VALUE"""),TRUE)</f>
        <v>1</v>
      </c>
    </row>
    <row r="1770" hidden="1">
      <c r="A1770" s="76" t="str">
        <f>IFERROR(__xludf.DUMMYFUNCTION("""COMPUTED_VALUE"""),"Prismari Artistry")</f>
        <v>Prismari Artistry</v>
      </c>
      <c r="B1770" s="76" t="str">
        <f>IFERROR(__xludf.DUMMYFUNCTION("""COMPUTED_VALUE"""),"Science!")</f>
        <v>Science!</v>
      </c>
      <c r="C1770" s="77">
        <f>IFERROR(__xludf.DUMMYFUNCTION("""COMPUTED_VALUE"""),0.0)</f>
        <v>0</v>
      </c>
      <c r="D1770" s="77">
        <f>IFERROR(__xludf.DUMMYFUNCTION("""COMPUTED_VALUE"""),0.0)</f>
        <v>0</v>
      </c>
      <c r="E1770" s="46" t="b">
        <f>IFERROR(__xludf.DUMMYFUNCTION("""COMPUTED_VALUE"""),TRUE)</f>
        <v>1</v>
      </c>
    </row>
    <row r="1771" hidden="1">
      <c r="A1771" s="76" t="str">
        <f>IFERROR(__xludf.DUMMYFUNCTION("""COMPUTED_VALUE"""),"Prismari Artistry")</f>
        <v>Prismari Artistry</v>
      </c>
      <c r="B1771" s="76" t="str">
        <f>IFERROR(__xludf.DUMMYFUNCTION("""COMPUTED_VALUE"""),"Scions &amp; Spellcraft")</f>
        <v>Scions &amp; Spellcraft</v>
      </c>
      <c r="C1771" s="77">
        <f>IFERROR(__xludf.DUMMYFUNCTION("""COMPUTED_VALUE"""),0.0)</f>
        <v>0</v>
      </c>
      <c r="D1771" s="77">
        <f>IFERROR(__xludf.DUMMYFUNCTION("""COMPUTED_VALUE"""),0.0)</f>
        <v>0</v>
      </c>
      <c r="E1771" s="46" t="b">
        <f>IFERROR(__xludf.DUMMYFUNCTION("""COMPUTED_VALUE"""),TRUE)</f>
        <v>1</v>
      </c>
    </row>
    <row r="1772">
      <c r="A1772" s="76" t="str">
        <f>IFERROR(__xludf.DUMMYFUNCTION("""COMPUTED_VALUE"""),"Prismari Artistry")</f>
        <v>Prismari Artistry</v>
      </c>
      <c r="B1772" s="76" t="str">
        <f>IFERROR(__xludf.DUMMYFUNCTION("""COMPUTED_VALUE"""),"Scrappy Survivors")</f>
        <v>Scrappy Survivors</v>
      </c>
      <c r="C1772" s="77">
        <f>IFERROR(__xludf.DUMMYFUNCTION("""COMPUTED_VALUE"""),0.0)</f>
        <v>0</v>
      </c>
      <c r="D1772" s="77">
        <f>IFERROR(__xludf.DUMMYFUNCTION("""COMPUTED_VALUE"""),0.0)</f>
        <v>0</v>
      </c>
      <c r="E1772" s="46" t="b">
        <f>IFERROR(__xludf.DUMMYFUNCTION("""COMPUTED_VALUE"""),TRUE)</f>
        <v>1</v>
      </c>
    </row>
    <row r="1773">
      <c r="A1773" s="76" t="str">
        <f>IFERROR(__xludf.DUMMYFUNCTION("""COMPUTED_VALUE"""),"Prismari Artistry")</f>
        <v>Prismari Artistry</v>
      </c>
      <c r="B1773" s="76" t="str">
        <f>IFERROR(__xludf.DUMMYFUNCTION("""COMPUTED_VALUE"""),"Silverquill Influence")</f>
        <v>Silverquill Influence</v>
      </c>
      <c r="C1773" s="77">
        <f>IFERROR(__xludf.DUMMYFUNCTION("""COMPUTED_VALUE"""),0.0)</f>
        <v>0</v>
      </c>
      <c r="D1773" s="77">
        <f>IFERROR(__xludf.DUMMYFUNCTION("""COMPUTED_VALUE"""),0.0)</f>
        <v>0</v>
      </c>
      <c r="E1773" s="46" t="b">
        <f>IFERROR(__xludf.DUMMYFUNCTION("""COMPUTED_VALUE"""),TRUE)</f>
        <v>1</v>
      </c>
    </row>
    <row r="1774" hidden="1">
      <c r="A1774" s="76" t="str">
        <f>IFERROR(__xludf.DUMMYFUNCTION("""COMPUTED_VALUE"""),"Prismari Artistry")</f>
        <v>Prismari Artistry</v>
      </c>
      <c r="B1774" s="76" t="str">
        <f>IFERROR(__xludf.DUMMYFUNCTION("""COMPUTED_VALUE"""),"Spirit Squadron")</f>
        <v>Spirit Squadron</v>
      </c>
      <c r="C1774" s="77">
        <f>IFERROR(__xludf.DUMMYFUNCTION("""COMPUTED_VALUE"""),0.0)</f>
        <v>0</v>
      </c>
      <c r="D1774" s="77">
        <f>IFERROR(__xludf.DUMMYFUNCTION("""COMPUTED_VALUE"""),0.0)</f>
        <v>0</v>
      </c>
      <c r="E1774" s="46" t="b">
        <f>IFERROR(__xludf.DUMMYFUNCTION("""COMPUTED_VALUE"""),TRUE)</f>
        <v>1</v>
      </c>
    </row>
    <row r="1775" hidden="1">
      <c r="A1775" s="76" t="str">
        <f>IFERROR(__xludf.DUMMYFUNCTION("""COMPUTED_VALUE"""),"Prismari Artistry")</f>
        <v>Prismari Artistry</v>
      </c>
      <c r="B1775" s="76" t="str">
        <f>IFERROR(__xludf.DUMMYFUNCTION("""COMPUTED_VALUE"""),"Squirreled Away")</f>
        <v>Squirreled Away</v>
      </c>
      <c r="C1775" s="77">
        <f>IFERROR(__xludf.DUMMYFUNCTION("""COMPUTED_VALUE"""),0.0)</f>
        <v>0</v>
      </c>
      <c r="D1775" s="77">
        <f>IFERROR(__xludf.DUMMYFUNCTION("""COMPUTED_VALUE"""),0.0)</f>
        <v>0</v>
      </c>
      <c r="E1775" s="46" t="b">
        <f>IFERROR(__xludf.DUMMYFUNCTION("""COMPUTED_VALUE"""),TRUE)</f>
        <v>1</v>
      </c>
    </row>
    <row r="1776" hidden="1">
      <c r="A1776" s="76" t="str">
        <f>IFERROR(__xludf.DUMMYFUNCTION("""COMPUTED_VALUE"""),"Prismari Artistry")</f>
        <v>Prismari Artistry</v>
      </c>
      <c r="B1776" s="76" t="str">
        <f>IFERROR(__xludf.DUMMYFUNCTION("""COMPUTED_VALUE"""),"Sultai Arisen")</f>
        <v>Sultai Arisen</v>
      </c>
      <c r="C1776" s="77">
        <f>IFERROR(__xludf.DUMMYFUNCTION("""COMPUTED_VALUE"""),0.0)</f>
        <v>0</v>
      </c>
      <c r="D1776" s="77">
        <f>IFERROR(__xludf.DUMMYFUNCTION("""COMPUTED_VALUE"""),0.0)</f>
        <v>0</v>
      </c>
      <c r="E1776" s="46" t="b">
        <f>IFERROR(__xludf.DUMMYFUNCTION("""COMPUTED_VALUE"""),TRUE)</f>
        <v>1</v>
      </c>
    </row>
    <row r="1777" hidden="1">
      <c r="A1777" s="76" t="str">
        <f>IFERROR(__xludf.DUMMYFUNCTION("""COMPUTED_VALUE"""),"Prismari Artistry")</f>
        <v>Prismari Artistry</v>
      </c>
      <c r="B1777" s="76" t="str">
        <f>IFERROR(__xludf.DUMMYFUNCTION("""COMPUTED_VALUE"""),"Temur Roar")</f>
        <v>Temur Roar</v>
      </c>
      <c r="C1777" s="77">
        <f>IFERROR(__xludf.DUMMYFUNCTION("""COMPUTED_VALUE"""),0.0)</f>
        <v>0</v>
      </c>
      <c r="D1777" s="77">
        <f>IFERROR(__xludf.DUMMYFUNCTION("""COMPUTED_VALUE"""),0.0)</f>
        <v>0</v>
      </c>
      <c r="E1777" s="46" t="b">
        <f>IFERROR(__xludf.DUMMYFUNCTION("""COMPUTED_VALUE"""),TRUE)</f>
        <v>1</v>
      </c>
    </row>
    <row r="1778" hidden="1">
      <c r="A1778" s="76" t="str">
        <f>IFERROR(__xludf.DUMMYFUNCTION("""COMPUTED_VALUE"""),"Prismari Artistry")</f>
        <v>Prismari Artistry</v>
      </c>
      <c r="B1778" s="76" t="str">
        <f>IFERROR(__xludf.DUMMYFUNCTION("""COMPUTED_VALUE"""),"The Hosts of Mordor")</f>
        <v>The Hosts of Mordor</v>
      </c>
      <c r="C1778" s="77">
        <f>IFERROR(__xludf.DUMMYFUNCTION("""COMPUTED_VALUE"""),0.0)</f>
        <v>0</v>
      </c>
      <c r="D1778" s="77">
        <f>IFERROR(__xludf.DUMMYFUNCTION("""COMPUTED_VALUE"""),0.0)</f>
        <v>0</v>
      </c>
      <c r="E1778" s="46" t="b">
        <f>IFERROR(__xludf.DUMMYFUNCTION("""COMPUTED_VALUE"""),TRUE)</f>
        <v>1</v>
      </c>
    </row>
    <row r="1779" hidden="1">
      <c r="A1779" s="76" t="str">
        <f>IFERROR(__xludf.DUMMYFUNCTION("""COMPUTED_VALUE"""),"Prismari Artistry")</f>
        <v>Prismari Artistry</v>
      </c>
      <c r="B1779" s="76" t="str">
        <f>IFERROR(__xludf.DUMMYFUNCTION("""COMPUTED_VALUE"""),"The Ruinous Powers")</f>
        <v>The Ruinous Powers</v>
      </c>
      <c r="C1779" s="77">
        <f>IFERROR(__xludf.DUMMYFUNCTION("""COMPUTED_VALUE"""),0.0)</f>
        <v>0</v>
      </c>
      <c r="D1779" s="77">
        <f>IFERROR(__xludf.DUMMYFUNCTION("""COMPUTED_VALUE"""),0.0)</f>
        <v>0</v>
      </c>
      <c r="E1779" s="46" t="b">
        <f>IFERROR(__xludf.DUMMYFUNCTION("""COMPUTED_VALUE"""),TRUE)</f>
        <v>1</v>
      </c>
    </row>
    <row r="1780" hidden="1">
      <c r="A1780" s="76" t="str">
        <f>IFERROR(__xludf.DUMMYFUNCTION("""COMPUTED_VALUE"""),"Prismari Artistry")</f>
        <v>Prismari Artistry</v>
      </c>
      <c r="B1780" s="76" t="str">
        <f>IFERROR(__xludf.DUMMYFUNCTION("""COMPUTED_VALUE"""),"Timey-Wimey")</f>
        <v>Timey-Wimey</v>
      </c>
      <c r="C1780" s="77">
        <f>IFERROR(__xludf.DUMMYFUNCTION("""COMPUTED_VALUE"""),0.0)</f>
        <v>0</v>
      </c>
      <c r="D1780" s="77">
        <f>IFERROR(__xludf.DUMMYFUNCTION("""COMPUTED_VALUE"""),0.0)</f>
        <v>0</v>
      </c>
      <c r="E1780" s="46" t="b">
        <f>IFERROR(__xludf.DUMMYFUNCTION("""COMPUTED_VALUE"""),TRUE)</f>
        <v>1</v>
      </c>
    </row>
    <row r="1781" hidden="1">
      <c r="A1781" s="76" t="str">
        <f>IFERROR(__xludf.DUMMYFUNCTION("""COMPUTED_VALUE"""),"Prismari Artistry")</f>
        <v>Prismari Artistry</v>
      </c>
      <c r="B1781" s="76" t="str">
        <f>IFERROR(__xludf.DUMMYFUNCTION("""COMPUTED_VALUE"""),"Tinker Time")</f>
        <v>Tinker Time</v>
      </c>
      <c r="C1781" s="77">
        <f>IFERROR(__xludf.DUMMYFUNCTION("""COMPUTED_VALUE"""),0.0)</f>
        <v>0</v>
      </c>
      <c r="D1781" s="77">
        <f>IFERROR(__xludf.DUMMYFUNCTION("""COMPUTED_VALUE"""),0.0)</f>
        <v>0</v>
      </c>
      <c r="E1781" s="46" t="b">
        <f>IFERROR(__xludf.DUMMYFUNCTION("""COMPUTED_VALUE"""),TRUE)</f>
        <v>1</v>
      </c>
    </row>
    <row r="1782" hidden="1">
      <c r="A1782" s="76" t="str">
        <f>IFERROR(__xludf.DUMMYFUNCTION("""COMPUTED_VALUE"""),"Prismari Artistry")</f>
        <v>Prismari Artistry</v>
      </c>
      <c r="B1782" s="76" t="str">
        <f>IFERROR(__xludf.DUMMYFUNCTION("""COMPUTED_VALUE"""),"Turtle Power!")</f>
        <v>Turtle Power!</v>
      </c>
      <c r="C1782" s="77">
        <f>IFERROR(__xludf.DUMMYFUNCTION("""COMPUTED_VALUE"""),1.0)</f>
        <v>1</v>
      </c>
      <c r="D1782" s="77">
        <f>IFERROR(__xludf.DUMMYFUNCTION("""COMPUTED_VALUE"""),0.0)</f>
        <v>0</v>
      </c>
      <c r="E1782" s="46" t="b">
        <f>IFERROR(__xludf.DUMMYFUNCTION("""COMPUTED_VALUE"""),FALSE)</f>
        <v>0</v>
      </c>
    </row>
    <row r="1783" hidden="1">
      <c r="A1783" s="76" t="str">
        <f>IFERROR(__xludf.DUMMYFUNCTION("""COMPUTED_VALUE"""),"Prismari Artistry")</f>
        <v>Prismari Artistry</v>
      </c>
      <c r="B1783" s="76" t="str">
        <f>IFERROR(__xludf.DUMMYFUNCTION("""COMPUTED_VALUE"""),"Veloci-ramp-tor")</f>
        <v>Veloci-ramp-tor</v>
      </c>
      <c r="C1783" s="77">
        <f>IFERROR(__xludf.DUMMYFUNCTION("""COMPUTED_VALUE"""),0.0)</f>
        <v>0</v>
      </c>
      <c r="D1783" s="77">
        <f>IFERROR(__xludf.DUMMYFUNCTION("""COMPUTED_VALUE"""),0.0)</f>
        <v>0</v>
      </c>
      <c r="E1783" s="46" t="b">
        <f>IFERROR(__xludf.DUMMYFUNCTION("""COMPUTED_VALUE"""),TRUE)</f>
        <v>1</v>
      </c>
    </row>
    <row r="1784" hidden="1">
      <c r="A1784" s="76" t="str">
        <f>IFERROR(__xludf.DUMMYFUNCTION("""COMPUTED_VALUE"""),"Prismari Performance")</f>
        <v>Prismari Performance</v>
      </c>
      <c r="B1784" s="76" t="str">
        <f>IFERROR(__xludf.DUMMYFUNCTION("""COMPUTED_VALUE"""),"Ahoy Mateys")</f>
        <v>Ahoy Mateys</v>
      </c>
      <c r="C1784" s="77">
        <f>IFERROR(__xludf.DUMMYFUNCTION("""COMPUTED_VALUE"""),0.0)</f>
        <v>0</v>
      </c>
      <c r="D1784" s="77">
        <f>IFERROR(__xludf.DUMMYFUNCTION("""COMPUTED_VALUE"""),0.0)</f>
        <v>0</v>
      </c>
      <c r="E1784" s="46" t="b">
        <f>IFERROR(__xludf.DUMMYFUNCTION("""COMPUTED_VALUE"""),TRUE)</f>
        <v>1</v>
      </c>
    </row>
    <row r="1785" hidden="1">
      <c r="A1785" s="76" t="str">
        <f>IFERROR(__xludf.DUMMYFUNCTION("""COMPUTED_VALUE"""),"Prismari Performance")</f>
        <v>Prismari Performance</v>
      </c>
      <c r="B1785" s="76" t="str">
        <f>IFERROR(__xludf.DUMMYFUNCTION("""COMPUTED_VALUE"""),"Animated Army")</f>
        <v>Animated Army</v>
      </c>
      <c r="C1785" s="77">
        <f>IFERROR(__xludf.DUMMYFUNCTION("""COMPUTED_VALUE"""),0.0)</f>
        <v>0</v>
      </c>
      <c r="D1785" s="77">
        <f>IFERROR(__xludf.DUMMYFUNCTION("""COMPUTED_VALUE"""),0.0)</f>
        <v>0</v>
      </c>
      <c r="E1785" s="46" t="b">
        <f>IFERROR(__xludf.DUMMYFUNCTION("""COMPUTED_VALUE"""),TRUE)</f>
        <v>1</v>
      </c>
    </row>
    <row r="1786" hidden="1">
      <c r="A1786" s="76" t="str">
        <f>IFERROR(__xludf.DUMMYFUNCTION("""COMPUTED_VALUE"""),"Prismari Performance")</f>
        <v>Prismari Performance</v>
      </c>
      <c r="B1786" s="76" t="str">
        <f>IFERROR(__xludf.DUMMYFUNCTION("""COMPUTED_VALUE"""),"Arcane Maelstrom")</f>
        <v>Arcane Maelstrom</v>
      </c>
      <c r="C1786" s="77">
        <f>IFERROR(__xludf.DUMMYFUNCTION("""COMPUTED_VALUE"""),0.0)</f>
        <v>0</v>
      </c>
      <c r="D1786" s="77">
        <f>IFERROR(__xludf.DUMMYFUNCTION("""COMPUTED_VALUE"""),0.0)</f>
        <v>0</v>
      </c>
      <c r="E1786" s="46" t="b">
        <f>IFERROR(__xludf.DUMMYFUNCTION("""COMPUTED_VALUE"""),TRUE)</f>
        <v>1</v>
      </c>
    </row>
    <row r="1787" hidden="1">
      <c r="A1787" s="76" t="str">
        <f>IFERROR(__xludf.DUMMYFUNCTION("""COMPUTED_VALUE"""),"Prismari Performance")</f>
        <v>Prismari Performance</v>
      </c>
      <c r="B1787" s="76" t="str">
        <f>IFERROR(__xludf.DUMMYFUNCTION("""COMPUTED_VALUE"""),"Blame Game")</f>
        <v>Blame Game</v>
      </c>
      <c r="C1787" s="77">
        <f>IFERROR(__xludf.DUMMYFUNCTION("""COMPUTED_VALUE"""),0.0)</f>
        <v>0</v>
      </c>
      <c r="D1787" s="77">
        <f>IFERROR(__xludf.DUMMYFUNCTION("""COMPUTED_VALUE"""),0.0)</f>
        <v>0</v>
      </c>
      <c r="E1787" s="46" t="b">
        <f>IFERROR(__xludf.DUMMYFUNCTION("""COMPUTED_VALUE"""),TRUE)</f>
        <v>1</v>
      </c>
    </row>
    <row r="1788" hidden="1">
      <c r="A1788" s="76" t="str">
        <f>IFERROR(__xludf.DUMMYFUNCTION("""COMPUTED_VALUE"""),"Prismari Performance")</f>
        <v>Prismari Performance</v>
      </c>
      <c r="B1788" s="76" t="str">
        <f>IFERROR(__xludf.DUMMYFUNCTION("""COMPUTED_VALUE"""),"Blight Curse")</f>
        <v>Blight Curse</v>
      </c>
      <c r="C1788" s="77">
        <f>IFERROR(__xludf.DUMMYFUNCTION("""COMPUTED_VALUE"""),0.0)</f>
        <v>0</v>
      </c>
      <c r="D1788" s="77">
        <f>IFERROR(__xludf.DUMMYFUNCTION("""COMPUTED_VALUE"""),0.0)</f>
        <v>0</v>
      </c>
      <c r="E1788" s="46" t="b">
        <f>IFERROR(__xludf.DUMMYFUNCTION("""COMPUTED_VALUE"""),TRUE)</f>
        <v>1</v>
      </c>
    </row>
    <row r="1789" hidden="1">
      <c r="A1789" s="76" t="str">
        <f>IFERROR(__xludf.DUMMYFUNCTION("""COMPUTED_VALUE"""),"Prismari Performance")</f>
        <v>Prismari Performance</v>
      </c>
      <c r="B1789" s="76" t="str">
        <f>IFERROR(__xludf.DUMMYFUNCTION("""COMPUTED_VALUE"""),"Blood Rites")</f>
        <v>Blood Rites</v>
      </c>
      <c r="C1789" s="77">
        <f>IFERROR(__xludf.DUMMYFUNCTION("""COMPUTED_VALUE"""),0.0)</f>
        <v>0</v>
      </c>
      <c r="D1789" s="77">
        <f>IFERROR(__xludf.DUMMYFUNCTION("""COMPUTED_VALUE"""),0.0)</f>
        <v>0</v>
      </c>
      <c r="E1789" s="46" t="b">
        <f>IFERROR(__xludf.DUMMYFUNCTION("""COMPUTED_VALUE"""),TRUE)</f>
        <v>1</v>
      </c>
    </row>
    <row r="1790" hidden="1">
      <c r="A1790" s="76" t="str">
        <f>IFERROR(__xludf.DUMMYFUNCTION("""COMPUTED_VALUE"""),"Prismari Performance")</f>
        <v>Prismari Performance</v>
      </c>
      <c r="B1790" s="76" t="str">
        <f>IFERROR(__xludf.DUMMYFUNCTION("""COMPUTED_VALUE"""),"Buckle Up")</f>
        <v>Buckle Up</v>
      </c>
      <c r="C1790" s="77">
        <f>IFERROR(__xludf.DUMMYFUNCTION("""COMPUTED_VALUE"""),0.0)</f>
        <v>0</v>
      </c>
      <c r="D1790" s="77">
        <f>IFERROR(__xludf.DUMMYFUNCTION("""COMPUTED_VALUE"""),0.0)</f>
        <v>0</v>
      </c>
      <c r="E1790" s="46" t="b">
        <f>IFERROR(__xludf.DUMMYFUNCTION("""COMPUTED_VALUE"""),TRUE)</f>
        <v>1</v>
      </c>
    </row>
    <row r="1791">
      <c r="A1791" s="76" t="str">
        <f>IFERROR(__xludf.DUMMYFUNCTION("""COMPUTED_VALUE"""),"Prismari Performance")</f>
        <v>Prismari Performance</v>
      </c>
      <c r="B1791" s="76" t="str">
        <f>IFERROR(__xludf.DUMMYFUNCTION("""COMPUTED_VALUE"""),"Cabaretti Cacophony")</f>
        <v>Cabaretti Cacophony</v>
      </c>
      <c r="C1791" s="77">
        <f>IFERROR(__xludf.DUMMYFUNCTION("""COMPUTED_VALUE"""),0.0)</f>
        <v>0</v>
      </c>
      <c r="D1791" s="77">
        <f>IFERROR(__xludf.DUMMYFUNCTION("""COMPUTED_VALUE"""),0.0)</f>
        <v>0</v>
      </c>
      <c r="E1791" s="46" t="b">
        <f>IFERROR(__xludf.DUMMYFUNCTION("""COMPUTED_VALUE"""),TRUE)</f>
        <v>1</v>
      </c>
    </row>
    <row r="1792">
      <c r="A1792" s="76" t="str">
        <f>IFERROR(__xludf.DUMMYFUNCTION("""COMPUTED_VALUE"""),"Prismari Performance")</f>
        <v>Prismari Performance</v>
      </c>
      <c r="B1792" s="76" t="str">
        <f>IFERROR(__xludf.DUMMYFUNCTION("""COMPUTED_VALUE"""),"Cavalry Charge")</f>
        <v>Cavalry Charge</v>
      </c>
      <c r="C1792" s="77">
        <f>IFERROR(__xludf.DUMMYFUNCTION("""COMPUTED_VALUE"""),0.0)</f>
        <v>0</v>
      </c>
      <c r="D1792" s="77">
        <f>IFERROR(__xludf.DUMMYFUNCTION("""COMPUTED_VALUE"""),0.0)</f>
        <v>0</v>
      </c>
      <c r="E1792" s="46" t="b">
        <f>IFERROR(__xludf.DUMMYFUNCTION("""COMPUTED_VALUE"""),TRUE)</f>
        <v>1</v>
      </c>
    </row>
    <row r="1793" hidden="1">
      <c r="A1793" s="76" t="str">
        <f>IFERROR(__xludf.DUMMYFUNCTION("""COMPUTED_VALUE"""),"Prismari Performance")</f>
        <v>Prismari Performance</v>
      </c>
      <c r="B1793" s="76" t="str">
        <f>IFERROR(__xludf.DUMMYFUNCTION("""COMPUTED_VALUE"""),"Corrupting Influence")</f>
        <v>Corrupting Influence</v>
      </c>
      <c r="C1793" s="77">
        <f>IFERROR(__xludf.DUMMYFUNCTION("""COMPUTED_VALUE"""),0.0)</f>
        <v>0</v>
      </c>
      <c r="D1793" s="77">
        <f>IFERROR(__xludf.DUMMYFUNCTION("""COMPUTED_VALUE"""),1.0)</f>
        <v>1</v>
      </c>
      <c r="E1793" s="46" t="b">
        <f>IFERROR(__xludf.DUMMYFUNCTION("""COMPUTED_VALUE"""),FALSE)</f>
        <v>0</v>
      </c>
    </row>
    <row r="1794">
      <c r="A1794" s="76" t="str">
        <f>IFERROR(__xludf.DUMMYFUNCTION("""COMPUTED_VALUE"""),"Prismari Performance")</f>
        <v>Prismari Performance</v>
      </c>
      <c r="B1794" s="76" t="str">
        <f>IFERROR(__xludf.DUMMYFUNCTION("""COMPUTED_VALUE"""),"Counter Blitz")</f>
        <v>Counter Blitz</v>
      </c>
      <c r="C1794" s="77">
        <f>IFERROR(__xludf.DUMMYFUNCTION("""COMPUTED_VALUE"""),0.0)</f>
        <v>0</v>
      </c>
      <c r="D1794" s="77">
        <f>IFERROR(__xludf.DUMMYFUNCTION("""COMPUTED_VALUE"""),0.0)</f>
        <v>0</v>
      </c>
      <c r="E1794" s="46" t="b">
        <f>IFERROR(__xludf.DUMMYFUNCTION("""COMPUTED_VALUE"""),TRUE)</f>
        <v>1</v>
      </c>
    </row>
    <row r="1795">
      <c r="A1795" s="76" t="str">
        <f>IFERROR(__xludf.DUMMYFUNCTION("""COMPUTED_VALUE"""),"Prismari Performance")</f>
        <v>Prismari Performance</v>
      </c>
      <c r="B1795" s="76" t="str">
        <f>IFERROR(__xludf.DUMMYFUNCTION("""COMPUTED_VALUE"""),"Counter Intelligence")</f>
        <v>Counter Intelligence</v>
      </c>
      <c r="C1795" s="77">
        <f>IFERROR(__xludf.DUMMYFUNCTION("""COMPUTED_VALUE"""),0.0)</f>
        <v>0</v>
      </c>
      <c r="D1795" s="77">
        <f>IFERROR(__xludf.DUMMYFUNCTION("""COMPUTED_VALUE"""),0.0)</f>
        <v>0</v>
      </c>
      <c r="E1795" s="46" t="b">
        <f>IFERROR(__xludf.DUMMYFUNCTION("""COMPUTED_VALUE"""),TRUE)</f>
        <v>1</v>
      </c>
    </row>
    <row r="1796" hidden="1">
      <c r="A1796" s="76" t="str">
        <f>IFERROR(__xludf.DUMMYFUNCTION("""COMPUTED_VALUE"""),"Prismari Performance")</f>
        <v>Prismari Performance</v>
      </c>
      <c r="B1796" s="76" t="str">
        <f>IFERROR(__xludf.DUMMYFUNCTION("""COMPUTED_VALUE"""),"Creative Energy")</f>
        <v>Creative Energy</v>
      </c>
      <c r="C1796" s="77">
        <f>IFERROR(__xludf.DUMMYFUNCTION("""COMPUTED_VALUE"""),0.0)</f>
        <v>0</v>
      </c>
      <c r="D1796" s="77">
        <f>IFERROR(__xludf.DUMMYFUNCTION("""COMPUTED_VALUE"""),0.0)</f>
        <v>0</v>
      </c>
      <c r="E1796" s="46" t="b">
        <f>IFERROR(__xludf.DUMMYFUNCTION("""COMPUTED_VALUE"""),TRUE)</f>
        <v>1</v>
      </c>
    </row>
    <row r="1797" hidden="1">
      <c r="A1797" s="76" t="str">
        <f>IFERROR(__xludf.DUMMYFUNCTION("""COMPUTED_VALUE"""),"Prismari Performance")</f>
        <v>Prismari Performance</v>
      </c>
      <c r="B1797" s="76" t="str">
        <f>IFERROR(__xludf.DUMMYFUNCTION("""COMPUTED_VALUE"""),"Dance of the Elements")</f>
        <v>Dance of the Elements</v>
      </c>
      <c r="C1797" s="77">
        <f>IFERROR(__xludf.DUMMYFUNCTION("""COMPUTED_VALUE"""),0.0)</f>
        <v>0</v>
      </c>
      <c r="D1797" s="77">
        <f>IFERROR(__xludf.DUMMYFUNCTION("""COMPUTED_VALUE"""),0.0)</f>
        <v>0</v>
      </c>
      <c r="E1797" s="46" t="b">
        <f>IFERROR(__xludf.DUMMYFUNCTION("""COMPUTED_VALUE"""),TRUE)</f>
        <v>1</v>
      </c>
    </row>
    <row r="1798" hidden="1">
      <c r="A1798" s="76" t="str">
        <f>IFERROR(__xludf.DUMMYFUNCTION("""COMPUTED_VALUE"""),"Prismari Performance")</f>
        <v>Prismari Performance</v>
      </c>
      <c r="B1798" s="76" t="str">
        <f>IFERROR(__xludf.DUMMYFUNCTION("""COMPUTED_VALUE"""),"Deep Clue Sea")</f>
        <v>Deep Clue Sea</v>
      </c>
      <c r="C1798" s="77">
        <f>IFERROR(__xludf.DUMMYFUNCTION("""COMPUTED_VALUE"""),0.0)</f>
        <v>0</v>
      </c>
      <c r="D1798" s="77">
        <f>IFERROR(__xludf.DUMMYFUNCTION("""COMPUTED_VALUE"""),0.0)</f>
        <v>0</v>
      </c>
      <c r="E1798" s="46" t="b">
        <f>IFERROR(__xludf.DUMMYFUNCTION("""COMPUTED_VALUE"""),TRUE)</f>
        <v>1</v>
      </c>
    </row>
    <row r="1799" hidden="1">
      <c r="A1799" s="76" t="str">
        <f>IFERROR(__xludf.DUMMYFUNCTION("""COMPUTED_VALUE"""),"Prismari Performance")</f>
        <v>Prismari Performance</v>
      </c>
      <c r="B1799" s="76" t="str">
        <f>IFERROR(__xludf.DUMMYFUNCTION("""COMPUTED_VALUE"""),"Doom Prevails")</f>
        <v>Doom Prevails</v>
      </c>
      <c r="C1799" s="77">
        <f>IFERROR(__xludf.DUMMYFUNCTION("""COMPUTED_VALUE"""),0.0)</f>
        <v>0</v>
      </c>
      <c r="D1799" s="77">
        <f>IFERROR(__xludf.DUMMYFUNCTION("""COMPUTED_VALUE"""),0.0)</f>
        <v>0</v>
      </c>
      <c r="E1799" s="46" t="b">
        <f>IFERROR(__xludf.DUMMYFUNCTION("""COMPUTED_VALUE"""),TRUE)</f>
        <v>1</v>
      </c>
    </row>
    <row r="1800">
      <c r="A1800" s="76" t="str">
        <f>IFERROR(__xludf.DUMMYFUNCTION("""COMPUTED_VALUE"""),"Prismari Performance")</f>
        <v>Prismari Performance</v>
      </c>
      <c r="B1800" s="76" t="str">
        <f>IFERROR(__xludf.DUMMYFUNCTION("""COMPUTED_VALUE"""),"Eldrazi Incursion")</f>
        <v>Eldrazi Incursion</v>
      </c>
      <c r="C1800" s="77">
        <f>IFERROR(__xludf.DUMMYFUNCTION("""COMPUTED_VALUE"""),0.0)</f>
        <v>0</v>
      </c>
      <c r="D1800" s="77">
        <f>IFERROR(__xludf.DUMMYFUNCTION("""COMPUTED_VALUE"""),0.0)</f>
        <v>0</v>
      </c>
      <c r="E1800" s="46" t="b">
        <f>IFERROR(__xludf.DUMMYFUNCTION("""COMPUTED_VALUE"""),TRUE)</f>
        <v>1</v>
      </c>
    </row>
    <row r="1801" hidden="1">
      <c r="A1801" s="76" t="str">
        <f>IFERROR(__xludf.DUMMYFUNCTION("""COMPUTED_VALUE"""),"Prismari Performance")</f>
        <v>Prismari Performance</v>
      </c>
      <c r="B1801" s="76" t="str">
        <f>IFERROR(__xludf.DUMMYFUNCTION("""COMPUTED_VALUE"""),"Eldrazi Unbound")</f>
        <v>Eldrazi Unbound</v>
      </c>
      <c r="C1801" s="77">
        <f>IFERROR(__xludf.DUMMYFUNCTION("""COMPUTED_VALUE"""),0.0)</f>
        <v>0</v>
      </c>
      <c r="D1801" s="77">
        <f>IFERROR(__xludf.DUMMYFUNCTION("""COMPUTED_VALUE"""),0.0)</f>
        <v>0</v>
      </c>
      <c r="E1801" s="46" t="b">
        <f>IFERROR(__xludf.DUMMYFUNCTION("""COMPUTED_VALUE"""),TRUE)</f>
        <v>1</v>
      </c>
    </row>
    <row r="1802" hidden="1">
      <c r="A1802" s="76" t="str">
        <f>IFERROR(__xludf.DUMMYFUNCTION("""COMPUTED_VALUE"""),"Prismari Performance")</f>
        <v>Prismari Performance</v>
      </c>
      <c r="B1802" s="76" t="str">
        <f>IFERROR(__xludf.DUMMYFUNCTION("""COMPUTED_VALUE"""),"Endless Punishment")</f>
        <v>Endless Punishment</v>
      </c>
      <c r="C1802" s="77">
        <f>IFERROR(__xludf.DUMMYFUNCTION("""COMPUTED_VALUE"""),0.0)</f>
        <v>0</v>
      </c>
      <c r="D1802" s="77">
        <f>IFERROR(__xludf.DUMMYFUNCTION("""COMPUTED_VALUE"""),0.0)</f>
        <v>0</v>
      </c>
      <c r="E1802" s="46" t="b">
        <f>IFERROR(__xludf.DUMMYFUNCTION("""COMPUTED_VALUE"""),TRUE)</f>
        <v>1</v>
      </c>
    </row>
    <row r="1803" hidden="1">
      <c r="A1803" s="76" t="str">
        <f>IFERROR(__xludf.DUMMYFUNCTION("""COMPUTED_VALUE"""),"Prismari Performance")</f>
        <v>Prismari Performance</v>
      </c>
      <c r="B1803" s="76" t="str">
        <f>IFERROR(__xludf.DUMMYFUNCTION("""COMPUTED_VALUE"""),"Enduring Enchantments")</f>
        <v>Enduring Enchantments</v>
      </c>
      <c r="C1803" s="77">
        <f>IFERROR(__xludf.DUMMYFUNCTION("""COMPUTED_VALUE"""),0.0)</f>
        <v>0</v>
      </c>
      <c r="D1803" s="77">
        <f>IFERROR(__xludf.DUMMYFUNCTION("""COMPUTED_VALUE"""),0.0)</f>
        <v>0</v>
      </c>
      <c r="E1803" s="46" t="b">
        <f>IFERROR(__xludf.DUMMYFUNCTION("""COMPUTED_VALUE"""),TRUE)</f>
        <v>1</v>
      </c>
    </row>
    <row r="1804" hidden="1">
      <c r="A1804" s="76" t="str">
        <f>IFERROR(__xludf.DUMMYFUNCTION("""COMPUTED_VALUE"""),"Prismari Performance")</f>
        <v>Prismari Performance</v>
      </c>
      <c r="B1804" s="76" t="str">
        <f>IFERROR(__xludf.DUMMYFUNCTION("""COMPUTED_VALUE"""),"Explorers of the Deep")</f>
        <v>Explorers of the Deep</v>
      </c>
      <c r="C1804" s="77">
        <f>IFERROR(__xludf.DUMMYFUNCTION("""COMPUTED_VALUE"""),0.0)</f>
        <v>0</v>
      </c>
      <c r="D1804" s="77">
        <f>IFERROR(__xludf.DUMMYFUNCTION("""COMPUTED_VALUE"""),0.0)</f>
        <v>0</v>
      </c>
      <c r="E1804" s="46" t="b">
        <f>IFERROR(__xludf.DUMMYFUNCTION("""COMPUTED_VALUE"""),TRUE)</f>
        <v>1</v>
      </c>
    </row>
    <row r="1805" hidden="1">
      <c r="A1805" s="76" t="str">
        <f>IFERROR(__xludf.DUMMYFUNCTION("""COMPUTED_VALUE"""),"Prismari Performance")</f>
        <v>Prismari Performance</v>
      </c>
      <c r="B1805" s="76" t="str">
        <f>IFERROR(__xludf.DUMMYFUNCTION("""COMPUTED_VALUE"""),"Family Matters")</f>
        <v>Family Matters</v>
      </c>
      <c r="C1805" s="77">
        <f>IFERROR(__xludf.DUMMYFUNCTION("""COMPUTED_VALUE"""),0.0)</f>
        <v>0</v>
      </c>
      <c r="D1805" s="77">
        <f>IFERROR(__xludf.DUMMYFUNCTION("""COMPUTED_VALUE"""),0.0)</f>
        <v>0</v>
      </c>
      <c r="E1805" s="46" t="b">
        <f>IFERROR(__xludf.DUMMYFUNCTION("""COMPUTED_VALUE"""),TRUE)</f>
        <v>1</v>
      </c>
    </row>
    <row r="1806" hidden="1">
      <c r="A1806" s="76" t="str">
        <f>IFERROR(__xludf.DUMMYFUNCTION("""COMPUTED_VALUE"""),"Prismari Performance")</f>
        <v>Prismari Performance</v>
      </c>
      <c r="B1806" s="76" t="str">
        <f>IFERROR(__xludf.DUMMYFUNCTION("""COMPUTED_VALUE"""),"Food and Fellowship")</f>
        <v>Food and Fellowship</v>
      </c>
      <c r="C1806" s="77">
        <f>IFERROR(__xludf.DUMMYFUNCTION("""COMPUTED_VALUE"""),0.0)</f>
        <v>0</v>
      </c>
      <c r="D1806" s="77">
        <f>IFERROR(__xludf.DUMMYFUNCTION("""COMPUTED_VALUE"""),0.0)</f>
        <v>0</v>
      </c>
      <c r="E1806" s="46" t="b">
        <f>IFERROR(__xludf.DUMMYFUNCTION("""COMPUTED_VALUE"""),TRUE)</f>
        <v>1</v>
      </c>
    </row>
    <row r="1807" hidden="1">
      <c r="A1807" s="76" t="str">
        <f>IFERROR(__xludf.DUMMYFUNCTION("""COMPUTED_VALUE"""),"Prismari Performance")</f>
        <v>Prismari Performance</v>
      </c>
      <c r="B1807" s="76" t="str">
        <f>IFERROR(__xludf.DUMMYFUNCTION("""COMPUTED_VALUE"""),"Jeskai Striker")</f>
        <v>Jeskai Striker</v>
      </c>
      <c r="C1807" s="77">
        <f>IFERROR(__xludf.DUMMYFUNCTION("""COMPUTED_VALUE"""),0.0)</f>
        <v>0</v>
      </c>
      <c r="D1807" s="77">
        <f>IFERROR(__xludf.DUMMYFUNCTION("""COMPUTED_VALUE"""),0.0)</f>
        <v>0</v>
      </c>
      <c r="E1807" s="46" t="b">
        <f>IFERROR(__xludf.DUMMYFUNCTION("""COMPUTED_VALUE"""),TRUE)</f>
        <v>1</v>
      </c>
    </row>
    <row r="1808" hidden="1">
      <c r="A1808" s="76" t="str">
        <f>IFERROR(__xludf.DUMMYFUNCTION("""COMPUTED_VALUE"""),"Prismari Performance")</f>
        <v>Prismari Performance</v>
      </c>
      <c r="B1808" s="76" t="str">
        <f>IFERROR(__xludf.DUMMYFUNCTION("""COMPUTED_VALUE"""),"Legends' Legacy")</f>
        <v>Legends' Legacy</v>
      </c>
      <c r="C1808" s="77">
        <f>IFERROR(__xludf.DUMMYFUNCTION("""COMPUTED_VALUE"""),0.0)</f>
        <v>0</v>
      </c>
      <c r="D1808" s="77">
        <f>IFERROR(__xludf.DUMMYFUNCTION("""COMPUTED_VALUE"""),0.0)</f>
        <v>0</v>
      </c>
      <c r="E1808" s="46" t="b">
        <f>IFERROR(__xludf.DUMMYFUNCTION("""COMPUTED_VALUE"""),TRUE)</f>
        <v>1</v>
      </c>
    </row>
    <row r="1809" hidden="1">
      <c r="A1809" s="76" t="str">
        <f>IFERROR(__xludf.DUMMYFUNCTION("""COMPUTED_VALUE"""),"Prismari Performance")</f>
        <v>Prismari Performance</v>
      </c>
      <c r="B1809" s="76" t="str">
        <f>IFERROR(__xludf.DUMMYFUNCTION("""COMPUTED_VALUE"""),"Limit Break")</f>
        <v>Limit Break</v>
      </c>
      <c r="C1809" s="77">
        <f>IFERROR(__xludf.DUMMYFUNCTION("""COMPUTED_VALUE"""),0.0)</f>
        <v>0</v>
      </c>
      <c r="D1809" s="77">
        <f>IFERROR(__xludf.DUMMYFUNCTION("""COMPUTED_VALUE"""),0.0)</f>
        <v>0</v>
      </c>
      <c r="E1809" s="46" t="b">
        <f>IFERROR(__xludf.DUMMYFUNCTION("""COMPUTED_VALUE"""),TRUE)</f>
        <v>1</v>
      </c>
    </row>
    <row r="1810" hidden="1">
      <c r="A1810" s="76" t="str">
        <f>IFERROR(__xludf.DUMMYFUNCTION("""COMPUTED_VALUE"""),"Prismari Performance")</f>
        <v>Prismari Performance</v>
      </c>
      <c r="B1810" s="76" t="str">
        <f>IFERROR(__xludf.DUMMYFUNCTION("""COMPUTED_VALUE"""),"Lorehold Spirit")</f>
        <v>Lorehold Spirit</v>
      </c>
      <c r="C1810" s="77">
        <f>IFERROR(__xludf.DUMMYFUNCTION("""COMPUTED_VALUE"""),0.0)</f>
        <v>0</v>
      </c>
      <c r="D1810" s="77">
        <f>IFERROR(__xludf.DUMMYFUNCTION("""COMPUTED_VALUE"""),0.0)</f>
        <v>0</v>
      </c>
      <c r="E1810" s="46" t="b">
        <f>IFERROR(__xludf.DUMMYFUNCTION("""COMPUTED_VALUE"""),TRUE)</f>
        <v>1</v>
      </c>
    </row>
    <row r="1811" hidden="1">
      <c r="A1811" s="76" t="str">
        <f>IFERROR(__xludf.DUMMYFUNCTION("""COMPUTED_VALUE"""),"Prismari Performance")</f>
        <v>Prismari Performance</v>
      </c>
      <c r="B1811" s="76" t="str">
        <f>IFERROR(__xludf.DUMMYFUNCTION("""COMPUTED_VALUE"""),"Mutant Menace")</f>
        <v>Mutant Menace</v>
      </c>
      <c r="C1811" s="77">
        <f>IFERROR(__xludf.DUMMYFUNCTION("""COMPUTED_VALUE"""),0.0)</f>
        <v>0</v>
      </c>
      <c r="D1811" s="77">
        <f>IFERROR(__xludf.DUMMYFUNCTION("""COMPUTED_VALUE"""),0.0)</f>
        <v>0</v>
      </c>
      <c r="E1811" s="46" t="b">
        <f>IFERROR(__xludf.DUMMYFUNCTION("""COMPUTED_VALUE"""),TRUE)</f>
        <v>1</v>
      </c>
    </row>
    <row r="1812" hidden="1">
      <c r="A1812" s="76" t="str">
        <f>IFERROR(__xludf.DUMMYFUNCTION("""COMPUTED_VALUE"""),"Prismari Performance")</f>
        <v>Prismari Performance</v>
      </c>
      <c r="B1812" s="76" t="str">
        <f>IFERROR(__xludf.DUMMYFUNCTION("""COMPUTED_VALUE"""),"Party Time")</f>
        <v>Party Time</v>
      </c>
      <c r="C1812" s="77">
        <f>IFERROR(__xludf.DUMMYFUNCTION("""COMPUTED_VALUE"""),0.0)</f>
        <v>0</v>
      </c>
      <c r="D1812" s="77">
        <f>IFERROR(__xludf.DUMMYFUNCTION("""COMPUTED_VALUE"""),0.0)</f>
        <v>0</v>
      </c>
      <c r="E1812" s="46" t="b">
        <f>IFERROR(__xludf.DUMMYFUNCTION("""COMPUTED_VALUE"""),TRUE)</f>
        <v>1</v>
      </c>
    </row>
    <row r="1813" hidden="1">
      <c r="A1813" s="76" t="str">
        <f>IFERROR(__xludf.DUMMYFUNCTION("""COMPUTED_VALUE"""),"Prismari Performance")</f>
        <v>Prismari Performance</v>
      </c>
      <c r="B1813" s="76" t="str">
        <f>IFERROR(__xludf.DUMMYFUNCTION("""COMPUTED_VALUE"""),"Peace Offering")</f>
        <v>Peace Offering</v>
      </c>
      <c r="C1813" s="77">
        <f>IFERROR(__xludf.DUMMYFUNCTION("""COMPUTED_VALUE"""),0.0)</f>
        <v>0</v>
      </c>
      <c r="D1813" s="77">
        <f>IFERROR(__xludf.DUMMYFUNCTION("""COMPUTED_VALUE"""),0.0)</f>
        <v>0</v>
      </c>
      <c r="E1813" s="46" t="b">
        <f>IFERROR(__xludf.DUMMYFUNCTION("""COMPUTED_VALUE"""),TRUE)</f>
        <v>1</v>
      </c>
    </row>
    <row r="1814" hidden="1">
      <c r="A1814" s="76" t="str">
        <f>IFERROR(__xludf.DUMMYFUNCTION("""COMPUTED_VALUE"""),"Prismari Performance")</f>
        <v>Prismari Performance</v>
      </c>
      <c r="B1814" s="76" t="str">
        <f>IFERROR(__xludf.DUMMYFUNCTION("""COMPUTED_VALUE"""),"Power Hungry")</f>
        <v>Power Hungry</v>
      </c>
      <c r="C1814" s="77">
        <f>IFERROR(__xludf.DUMMYFUNCTION("""COMPUTED_VALUE"""),0.0)</f>
        <v>0</v>
      </c>
      <c r="D1814" s="77">
        <f>IFERROR(__xludf.DUMMYFUNCTION("""COMPUTED_VALUE"""),0.0)</f>
        <v>0</v>
      </c>
      <c r="E1814" s="46" t="b">
        <f>IFERROR(__xludf.DUMMYFUNCTION("""COMPUTED_VALUE"""),TRUE)</f>
        <v>1</v>
      </c>
    </row>
    <row r="1815">
      <c r="A1815" s="76" t="str">
        <f>IFERROR(__xludf.DUMMYFUNCTION("""COMPUTED_VALUE"""),"Prismari Performance")</f>
        <v>Prismari Performance</v>
      </c>
      <c r="B1815" s="76" t="str">
        <f>IFERROR(__xludf.DUMMYFUNCTION("""COMPUTED_VALUE"""),"Primal Genesis")</f>
        <v>Primal Genesis</v>
      </c>
      <c r="C1815" s="77">
        <f>IFERROR(__xludf.DUMMYFUNCTION("""COMPUTED_VALUE"""),0.0)</f>
        <v>0</v>
      </c>
      <c r="D1815" s="77">
        <f>IFERROR(__xludf.DUMMYFUNCTION("""COMPUTED_VALUE"""),0.0)</f>
        <v>0</v>
      </c>
      <c r="E1815" s="46" t="b">
        <f>IFERROR(__xludf.DUMMYFUNCTION("""COMPUTED_VALUE"""),TRUE)</f>
        <v>1</v>
      </c>
    </row>
    <row r="1816" hidden="1">
      <c r="A1816" s="76" t="str">
        <f>IFERROR(__xludf.DUMMYFUNCTION("""COMPUTED_VALUE"""),"Prismari Performance")</f>
        <v>Prismari Performance</v>
      </c>
      <c r="B1816" s="76" t="str">
        <f>IFERROR(__xludf.DUMMYFUNCTION("""COMPUTED_VALUE"""),"Prismari Artistry")</f>
        <v>Prismari Artistry</v>
      </c>
      <c r="C1816" s="77">
        <f>IFERROR(__xludf.DUMMYFUNCTION("""COMPUTED_VALUE"""),0.0)</f>
        <v>0</v>
      </c>
      <c r="D1816" s="77">
        <f>IFERROR(__xludf.DUMMYFUNCTION("""COMPUTED_VALUE"""),0.0)</f>
        <v>0</v>
      </c>
      <c r="E1816" s="46" t="b">
        <f>IFERROR(__xludf.DUMMYFUNCTION("""COMPUTED_VALUE"""),TRUE)</f>
        <v>1</v>
      </c>
    </row>
    <row r="1817" hidden="1">
      <c r="A1817" s="76" t="str">
        <f>IFERROR(__xludf.DUMMYFUNCTION("""COMPUTED_VALUE"""),"Prismari Performance")</f>
        <v>Prismari Performance</v>
      </c>
      <c r="B1817" s="76" t="str">
        <f>IFERROR(__xludf.DUMMYFUNCTION("""COMPUTED_VALUE"""),"Prismari Performance")</f>
        <v>Prismari Performance</v>
      </c>
      <c r="C1817" s="77">
        <f>IFERROR(__xludf.DUMMYFUNCTION("""COMPUTED_VALUE"""),0.0)</f>
        <v>0</v>
      </c>
      <c r="D1817" s="77">
        <f>IFERROR(__xludf.DUMMYFUNCTION("""COMPUTED_VALUE"""),0.0)</f>
        <v>0</v>
      </c>
      <c r="E1817" s="46" t="b">
        <f>IFERROR(__xludf.DUMMYFUNCTION("""COMPUTED_VALUE"""),TRUE)</f>
        <v>1</v>
      </c>
    </row>
    <row r="1818" hidden="1">
      <c r="A1818" s="76" t="str">
        <f>IFERROR(__xludf.DUMMYFUNCTION("""COMPUTED_VALUE"""),"Prismari Performance")</f>
        <v>Prismari Performance</v>
      </c>
      <c r="B1818" s="76" t="str">
        <f>IFERROR(__xludf.DUMMYFUNCTION("""COMPUTED_VALUE"""),"Quandrix Unlimited")</f>
        <v>Quandrix Unlimited</v>
      </c>
      <c r="C1818" s="77">
        <f>IFERROR(__xludf.DUMMYFUNCTION("""COMPUTED_VALUE"""),0.0)</f>
        <v>0</v>
      </c>
      <c r="D1818" s="77">
        <f>IFERROR(__xludf.DUMMYFUNCTION("""COMPUTED_VALUE"""),0.0)</f>
        <v>0</v>
      </c>
      <c r="E1818" s="46" t="b">
        <f>IFERROR(__xludf.DUMMYFUNCTION("""COMPUTED_VALUE"""),TRUE)</f>
        <v>1</v>
      </c>
    </row>
    <row r="1819" hidden="1">
      <c r="A1819" s="76" t="str">
        <f>IFERROR(__xludf.DUMMYFUNCTION("""COMPUTED_VALUE"""),"Prismari Performance")</f>
        <v>Prismari Performance</v>
      </c>
      <c r="B1819" s="76" t="str">
        <f>IFERROR(__xludf.DUMMYFUNCTION("""COMPUTED_VALUE"""),"Quick Draw")</f>
        <v>Quick Draw</v>
      </c>
      <c r="C1819" s="77">
        <f>IFERROR(__xludf.DUMMYFUNCTION("""COMPUTED_VALUE"""),0.0)</f>
        <v>0</v>
      </c>
      <c r="D1819" s="77">
        <f>IFERROR(__xludf.DUMMYFUNCTION("""COMPUTED_VALUE"""),0.0)</f>
        <v>0</v>
      </c>
      <c r="E1819" s="46" t="b">
        <f>IFERROR(__xludf.DUMMYFUNCTION("""COMPUTED_VALUE"""),TRUE)</f>
        <v>1</v>
      </c>
    </row>
    <row r="1820" hidden="1">
      <c r="A1820" s="76" t="str">
        <f>IFERROR(__xludf.DUMMYFUNCTION("""COMPUTED_VALUE"""),"Prismari Performance")</f>
        <v>Prismari Performance</v>
      </c>
      <c r="B1820" s="76" t="str">
        <f>IFERROR(__xludf.DUMMYFUNCTION("""COMPUTED_VALUE"""),"Reap the Tides")</f>
        <v>Reap the Tides</v>
      </c>
      <c r="C1820" s="77">
        <f>IFERROR(__xludf.DUMMYFUNCTION("""COMPUTED_VALUE"""),0.0)</f>
        <v>0</v>
      </c>
      <c r="D1820" s="77">
        <f>IFERROR(__xludf.DUMMYFUNCTION("""COMPUTED_VALUE"""),0.0)</f>
        <v>0</v>
      </c>
      <c r="E1820" s="46" t="b">
        <f>IFERROR(__xludf.DUMMYFUNCTION("""COMPUTED_VALUE"""),TRUE)</f>
        <v>1</v>
      </c>
    </row>
    <row r="1821" hidden="1">
      <c r="A1821" s="76" t="str">
        <f>IFERROR(__xludf.DUMMYFUNCTION("""COMPUTED_VALUE"""),"Prismari Performance")</f>
        <v>Prismari Performance</v>
      </c>
      <c r="B1821" s="76" t="str">
        <f>IFERROR(__xludf.DUMMYFUNCTION("""COMPUTED_VALUE"""),"Rebellion Rising")</f>
        <v>Rebellion Rising</v>
      </c>
      <c r="C1821" s="77">
        <f>IFERROR(__xludf.DUMMYFUNCTION("""COMPUTED_VALUE"""),0.0)</f>
        <v>0</v>
      </c>
      <c r="D1821" s="77">
        <f>IFERROR(__xludf.DUMMYFUNCTION("""COMPUTED_VALUE"""),0.0)</f>
        <v>0</v>
      </c>
      <c r="E1821" s="46" t="b">
        <f>IFERROR(__xludf.DUMMYFUNCTION("""COMPUTED_VALUE"""),TRUE)</f>
        <v>1</v>
      </c>
    </row>
    <row r="1822" hidden="1">
      <c r="A1822" s="76" t="str">
        <f>IFERROR(__xludf.DUMMYFUNCTION("""COMPUTED_VALUE"""),"Prismari Performance")</f>
        <v>Prismari Performance</v>
      </c>
      <c r="B1822" s="76" t="str">
        <f>IFERROR(__xludf.DUMMYFUNCTION("""COMPUTED_VALUE"""),"Revival Trance")</f>
        <v>Revival Trance</v>
      </c>
      <c r="C1822" s="77">
        <f>IFERROR(__xludf.DUMMYFUNCTION("""COMPUTED_VALUE"""),0.0)</f>
        <v>0</v>
      </c>
      <c r="D1822" s="77">
        <f>IFERROR(__xludf.DUMMYFUNCTION("""COMPUTED_VALUE"""),0.0)</f>
        <v>0</v>
      </c>
      <c r="E1822" s="46" t="b">
        <f>IFERROR(__xludf.DUMMYFUNCTION("""COMPUTED_VALUE"""),TRUE)</f>
        <v>1</v>
      </c>
    </row>
    <row r="1823" hidden="1">
      <c r="A1823" s="76" t="str">
        <f>IFERROR(__xludf.DUMMYFUNCTION("""COMPUTED_VALUE"""),"Prismari Performance")</f>
        <v>Prismari Performance</v>
      </c>
      <c r="B1823" s="76" t="str">
        <f>IFERROR(__xludf.DUMMYFUNCTION("""COMPUTED_VALUE"""),"Riders of Rohan")</f>
        <v>Riders of Rohan</v>
      </c>
      <c r="C1823" s="77">
        <f>IFERROR(__xludf.DUMMYFUNCTION("""COMPUTED_VALUE"""),0.0)</f>
        <v>0</v>
      </c>
      <c r="D1823" s="77">
        <f>IFERROR(__xludf.DUMMYFUNCTION("""COMPUTED_VALUE"""),0.0)</f>
        <v>0</v>
      </c>
      <c r="E1823" s="46" t="b">
        <f>IFERROR(__xludf.DUMMYFUNCTION("""COMPUTED_VALUE"""),TRUE)</f>
        <v>1</v>
      </c>
    </row>
    <row r="1824" hidden="1">
      <c r="A1824" s="76" t="str">
        <f>IFERROR(__xludf.DUMMYFUNCTION("""COMPUTED_VALUE"""),"Prismari Performance")</f>
        <v>Prismari Performance</v>
      </c>
      <c r="B1824" s="76" t="str">
        <f>IFERROR(__xludf.DUMMYFUNCTION("""COMPUTED_VALUE"""),"Science!")</f>
        <v>Science!</v>
      </c>
      <c r="C1824" s="77">
        <f>IFERROR(__xludf.DUMMYFUNCTION("""COMPUTED_VALUE"""),0.0)</f>
        <v>0</v>
      </c>
      <c r="D1824" s="77">
        <f>IFERROR(__xludf.DUMMYFUNCTION("""COMPUTED_VALUE"""),0.0)</f>
        <v>0</v>
      </c>
      <c r="E1824" s="46" t="b">
        <f>IFERROR(__xludf.DUMMYFUNCTION("""COMPUTED_VALUE"""),TRUE)</f>
        <v>1</v>
      </c>
    </row>
    <row r="1825" hidden="1">
      <c r="A1825" s="76" t="str">
        <f>IFERROR(__xludf.DUMMYFUNCTION("""COMPUTED_VALUE"""),"Prismari Performance")</f>
        <v>Prismari Performance</v>
      </c>
      <c r="B1825" s="76" t="str">
        <f>IFERROR(__xludf.DUMMYFUNCTION("""COMPUTED_VALUE"""),"Scions &amp; Spellcraft")</f>
        <v>Scions &amp; Spellcraft</v>
      </c>
      <c r="C1825" s="77">
        <f>IFERROR(__xludf.DUMMYFUNCTION("""COMPUTED_VALUE"""),0.0)</f>
        <v>0</v>
      </c>
      <c r="D1825" s="77">
        <f>IFERROR(__xludf.DUMMYFUNCTION("""COMPUTED_VALUE"""),0.0)</f>
        <v>0</v>
      </c>
      <c r="E1825" s="46" t="b">
        <f>IFERROR(__xludf.DUMMYFUNCTION("""COMPUTED_VALUE"""),TRUE)</f>
        <v>1</v>
      </c>
    </row>
    <row r="1826" hidden="1">
      <c r="A1826" s="76" t="str">
        <f>IFERROR(__xludf.DUMMYFUNCTION("""COMPUTED_VALUE"""),"Prismari Performance")</f>
        <v>Prismari Performance</v>
      </c>
      <c r="B1826" s="76" t="str">
        <f>IFERROR(__xludf.DUMMYFUNCTION("""COMPUTED_VALUE"""),"Scrappy Survivors")</f>
        <v>Scrappy Survivors</v>
      </c>
      <c r="C1826" s="77">
        <f>IFERROR(__xludf.DUMMYFUNCTION("""COMPUTED_VALUE"""),0.0)</f>
        <v>0</v>
      </c>
      <c r="D1826" s="77">
        <f>IFERROR(__xludf.DUMMYFUNCTION("""COMPUTED_VALUE"""),0.0)</f>
        <v>0</v>
      </c>
      <c r="E1826" s="46" t="b">
        <f>IFERROR(__xludf.DUMMYFUNCTION("""COMPUTED_VALUE"""),TRUE)</f>
        <v>1</v>
      </c>
    </row>
    <row r="1827" hidden="1">
      <c r="A1827" s="76" t="str">
        <f>IFERROR(__xludf.DUMMYFUNCTION("""COMPUTED_VALUE"""),"Prismari Performance")</f>
        <v>Prismari Performance</v>
      </c>
      <c r="B1827" s="76" t="str">
        <f>IFERROR(__xludf.DUMMYFUNCTION("""COMPUTED_VALUE"""),"Silverquill Influence")</f>
        <v>Silverquill Influence</v>
      </c>
      <c r="C1827" s="77">
        <f>IFERROR(__xludf.DUMMYFUNCTION("""COMPUTED_VALUE"""),0.0)</f>
        <v>0</v>
      </c>
      <c r="D1827" s="77">
        <f>IFERROR(__xludf.DUMMYFUNCTION("""COMPUTED_VALUE"""),0.0)</f>
        <v>0</v>
      </c>
      <c r="E1827" s="46" t="b">
        <f>IFERROR(__xludf.DUMMYFUNCTION("""COMPUTED_VALUE"""),TRUE)</f>
        <v>1</v>
      </c>
    </row>
    <row r="1828" hidden="1">
      <c r="A1828" s="76" t="str">
        <f>IFERROR(__xludf.DUMMYFUNCTION("""COMPUTED_VALUE"""),"Prismari Performance")</f>
        <v>Prismari Performance</v>
      </c>
      <c r="B1828" s="76" t="str">
        <f>IFERROR(__xludf.DUMMYFUNCTION("""COMPUTED_VALUE"""),"Spirit Squadron")</f>
        <v>Spirit Squadron</v>
      </c>
      <c r="C1828" s="77">
        <f>IFERROR(__xludf.DUMMYFUNCTION("""COMPUTED_VALUE"""),0.0)</f>
        <v>0</v>
      </c>
      <c r="D1828" s="77">
        <f>IFERROR(__xludf.DUMMYFUNCTION("""COMPUTED_VALUE"""),0.0)</f>
        <v>0</v>
      </c>
      <c r="E1828" s="46" t="b">
        <f>IFERROR(__xludf.DUMMYFUNCTION("""COMPUTED_VALUE"""),TRUE)</f>
        <v>1</v>
      </c>
    </row>
    <row r="1829" hidden="1">
      <c r="A1829" s="76" t="str">
        <f>IFERROR(__xludf.DUMMYFUNCTION("""COMPUTED_VALUE"""),"Prismari Performance")</f>
        <v>Prismari Performance</v>
      </c>
      <c r="B1829" s="76" t="str">
        <f>IFERROR(__xludf.DUMMYFUNCTION("""COMPUTED_VALUE"""),"Squirreled Away")</f>
        <v>Squirreled Away</v>
      </c>
      <c r="C1829" s="77">
        <f>IFERROR(__xludf.DUMMYFUNCTION("""COMPUTED_VALUE"""),0.0)</f>
        <v>0</v>
      </c>
      <c r="D1829" s="77">
        <f>IFERROR(__xludf.DUMMYFUNCTION("""COMPUTED_VALUE"""),0.0)</f>
        <v>0</v>
      </c>
      <c r="E1829" s="46" t="b">
        <f>IFERROR(__xludf.DUMMYFUNCTION("""COMPUTED_VALUE"""),TRUE)</f>
        <v>1</v>
      </c>
    </row>
    <row r="1830" hidden="1">
      <c r="A1830" s="76" t="str">
        <f>IFERROR(__xludf.DUMMYFUNCTION("""COMPUTED_VALUE"""),"Prismari Performance")</f>
        <v>Prismari Performance</v>
      </c>
      <c r="B1830" s="76" t="str">
        <f>IFERROR(__xludf.DUMMYFUNCTION("""COMPUTED_VALUE"""),"Sultai Arisen")</f>
        <v>Sultai Arisen</v>
      </c>
      <c r="C1830" s="77">
        <f>IFERROR(__xludf.DUMMYFUNCTION("""COMPUTED_VALUE"""),0.0)</f>
        <v>0</v>
      </c>
      <c r="D1830" s="77">
        <f>IFERROR(__xludf.DUMMYFUNCTION("""COMPUTED_VALUE"""),0.0)</f>
        <v>0</v>
      </c>
      <c r="E1830" s="46" t="b">
        <f>IFERROR(__xludf.DUMMYFUNCTION("""COMPUTED_VALUE"""),TRUE)</f>
        <v>1</v>
      </c>
    </row>
    <row r="1831" hidden="1">
      <c r="A1831" s="76" t="str">
        <f>IFERROR(__xludf.DUMMYFUNCTION("""COMPUTED_VALUE"""),"Prismari Performance")</f>
        <v>Prismari Performance</v>
      </c>
      <c r="B1831" s="76" t="str">
        <f>IFERROR(__xludf.DUMMYFUNCTION("""COMPUTED_VALUE"""),"Temur Roar")</f>
        <v>Temur Roar</v>
      </c>
      <c r="C1831" s="77">
        <f>IFERROR(__xludf.DUMMYFUNCTION("""COMPUTED_VALUE"""),0.0)</f>
        <v>0</v>
      </c>
      <c r="D1831" s="77">
        <f>IFERROR(__xludf.DUMMYFUNCTION("""COMPUTED_VALUE"""),0.0)</f>
        <v>0</v>
      </c>
      <c r="E1831" s="46" t="b">
        <f>IFERROR(__xludf.DUMMYFUNCTION("""COMPUTED_VALUE"""),TRUE)</f>
        <v>1</v>
      </c>
    </row>
    <row r="1832" hidden="1">
      <c r="A1832" s="76" t="str">
        <f>IFERROR(__xludf.DUMMYFUNCTION("""COMPUTED_VALUE"""),"Prismari Performance")</f>
        <v>Prismari Performance</v>
      </c>
      <c r="B1832" s="76" t="str">
        <f>IFERROR(__xludf.DUMMYFUNCTION("""COMPUTED_VALUE"""),"The Hosts of Mordor")</f>
        <v>The Hosts of Mordor</v>
      </c>
      <c r="C1832" s="77">
        <f>IFERROR(__xludf.DUMMYFUNCTION("""COMPUTED_VALUE"""),0.0)</f>
        <v>0</v>
      </c>
      <c r="D1832" s="77">
        <f>IFERROR(__xludf.DUMMYFUNCTION("""COMPUTED_VALUE"""),0.0)</f>
        <v>0</v>
      </c>
      <c r="E1832" s="46" t="b">
        <f>IFERROR(__xludf.DUMMYFUNCTION("""COMPUTED_VALUE"""),TRUE)</f>
        <v>1</v>
      </c>
    </row>
    <row r="1833" hidden="1">
      <c r="A1833" s="76" t="str">
        <f>IFERROR(__xludf.DUMMYFUNCTION("""COMPUTED_VALUE"""),"Prismari Performance")</f>
        <v>Prismari Performance</v>
      </c>
      <c r="B1833" s="76" t="str">
        <f>IFERROR(__xludf.DUMMYFUNCTION("""COMPUTED_VALUE"""),"The Ruinous Powers")</f>
        <v>The Ruinous Powers</v>
      </c>
      <c r="C1833" s="77">
        <f>IFERROR(__xludf.DUMMYFUNCTION("""COMPUTED_VALUE"""),0.0)</f>
        <v>0</v>
      </c>
      <c r="D1833" s="77">
        <f>IFERROR(__xludf.DUMMYFUNCTION("""COMPUTED_VALUE"""),0.0)</f>
        <v>0</v>
      </c>
      <c r="E1833" s="46" t="b">
        <f>IFERROR(__xludf.DUMMYFUNCTION("""COMPUTED_VALUE"""),TRUE)</f>
        <v>1</v>
      </c>
    </row>
    <row r="1834">
      <c r="A1834" s="76" t="str">
        <f>IFERROR(__xludf.DUMMYFUNCTION("""COMPUTED_VALUE"""),"Prismari Performance")</f>
        <v>Prismari Performance</v>
      </c>
      <c r="B1834" s="76" t="str">
        <f>IFERROR(__xludf.DUMMYFUNCTION("""COMPUTED_VALUE"""),"Timey-Wimey")</f>
        <v>Timey-Wimey</v>
      </c>
      <c r="C1834" s="77">
        <f>IFERROR(__xludf.DUMMYFUNCTION("""COMPUTED_VALUE"""),0.0)</f>
        <v>0</v>
      </c>
      <c r="D1834" s="77">
        <f>IFERROR(__xludf.DUMMYFUNCTION("""COMPUTED_VALUE"""),0.0)</f>
        <v>0</v>
      </c>
      <c r="E1834" s="46" t="b">
        <f>IFERROR(__xludf.DUMMYFUNCTION("""COMPUTED_VALUE"""),TRUE)</f>
        <v>1</v>
      </c>
    </row>
    <row r="1835" hidden="1">
      <c r="A1835" s="76" t="str">
        <f>IFERROR(__xludf.DUMMYFUNCTION("""COMPUTED_VALUE"""),"Prismari Performance")</f>
        <v>Prismari Performance</v>
      </c>
      <c r="B1835" s="76" t="str">
        <f>IFERROR(__xludf.DUMMYFUNCTION("""COMPUTED_VALUE"""),"Tinker Time")</f>
        <v>Tinker Time</v>
      </c>
      <c r="C1835" s="77">
        <f>IFERROR(__xludf.DUMMYFUNCTION("""COMPUTED_VALUE"""),0.0)</f>
        <v>0</v>
      </c>
      <c r="D1835" s="77">
        <f>IFERROR(__xludf.DUMMYFUNCTION("""COMPUTED_VALUE"""),0.0)</f>
        <v>0</v>
      </c>
      <c r="E1835" s="46" t="b">
        <f>IFERROR(__xludf.DUMMYFUNCTION("""COMPUTED_VALUE"""),TRUE)</f>
        <v>1</v>
      </c>
    </row>
    <row r="1836" hidden="1">
      <c r="A1836" s="76" t="str">
        <f>IFERROR(__xludf.DUMMYFUNCTION("""COMPUTED_VALUE"""),"Prismari Performance")</f>
        <v>Prismari Performance</v>
      </c>
      <c r="B1836" s="76" t="str">
        <f>IFERROR(__xludf.DUMMYFUNCTION("""COMPUTED_VALUE"""),"Turtle Power!")</f>
        <v>Turtle Power!</v>
      </c>
      <c r="C1836" s="77">
        <f>IFERROR(__xludf.DUMMYFUNCTION("""COMPUTED_VALUE"""),0.0)</f>
        <v>0</v>
      </c>
      <c r="D1836" s="77">
        <f>IFERROR(__xludf.DUMMYFUNCTION("""COMPUTED_VALUE"""),0.0)</f>
        <v>0</v>
      </c>
      <c r="E1836" s="46" t="b">
        <f>IFERROR(__xludf.DUMMYFUNCTION("""COMPUTED_VALUE"""),TRUE)</f>
        <v>1</v>
      </c>
    </row>
    <row r="1837" hidden="1">
      <c r="A1837" s="76" t="str">
        <f>IFERROR(__xludf.DUMMYFUNCTION("""COMPUTED_VALUE"""),"Prismari Performance")</f>
        <v>Prismari Performance</v>
      </c>
      <c r="B1837" s="76" t="str">
        <f>IFERROR(__xludf.DUMMYFUNCTION("""COMPUTED_VALUE"""),"Veloci-ramp-tor")</f>
        <v>Veloci-ramp-tor</v>
      </c>
      <c r="C1837" s="77">
        <f>IFERROR(__xludf.DUMMYFUNCTION("""COMPUTED_VALUE"""),0.0)</f>
        <v>0</v>
      </c>
      <c r="D1837" s="77">
        <f>IFERROR(__xludf.DUMMYFUNCTION("""COMPUTED_VALUE"""),0.0)</f>
        <v>0</v>
      </c>
      <c r="E1837" s="46" t="b">
        <f>IFERROR(__xludf.DUMMYFUNCTION("""COMPUTED_VALUE"""),TRUE)</f>
        <v>1</v>
      </c>
    </row>
    <row r="1838" hidden="1">
      <c r="A1838" s="76" t="str">
        <f>IFERROR(__xludf.DUMMYFUNCTION("""COMPUTED_VALUE"""),"Quandrix Unlimited")</f>
        <v>Quandrix Unlimited</v>
      </c>
      <c r="B1838" s="76" t="str">
        <f>IFERROR(__xludf.DUMMYFUNCTION("""COMPUTED_VALUE"""),"Ahoy Mateys")</f>
        <v>Ahoy Mateys</v>
      </c>
      <c r="C1838" s="77">
        <f>IFERROR(__xludf.DUMMYFUNCTION("""COMPUTED_VALUE"""),0.0)</f>
        <v>0</v>
      </c>
      <c r="D1838" s="77">
        <f>IFERROR(__xludf.DUMMYFUNCTION("""COMPUTED_VALUE"""),0.0)</f>
        <v>0</v>
      </c>
      <c r="E1838" s="46" t="b">
        <f>IFERROR(__xludf.DUMMYFUNCTION("""COMPUTED_VALUE"""),TRUE)</f>
        <v>1</v>
      </c>
    </row>
    <row r="1839">
      <c r="A1839" s="76" t="str">
        <f>IFERROR(__xludf.DUMMYFUNCTION("""COMPUTED_VALUE"""),"Quandrix Unlimited")</f>
        <v>Quandrix Unlimited</v>
      </c>
      <c r="B1839" s="76" t="str">
        <f>IFERROR(__xludf.DUMMYFUNCTION("""COMPUTED_VALUE"""),"Animated Army")</f>
        <v>Animated Army</v>
      </c>
      <c r="C1839" s="77">
        <f>IFERROR(__xludf.DUMMYFUNCTION("""COMPUTED_VALUE"""),0.0)</f>
        <v>0</v>
      </c>
      <c r="D1839" s="77">
        <f>IFERROR(__xludf.DUMMYFUNCTION("""COMPUTED_VALUE"""),0.0)</f>
        <v>0</v>
      </c>
      <c r="E1839" s="46" t="b">
        <f>IFERROR(__xludf.DUMMYFUNCTION("""COMPUTED_VALUE"""),TRUE)</f>
        <v>1</v>
      </c>
    </row>
    <row r="1840" hidden="1">
      <c r="A1840" s="76" t="str">
        <f>IFERROR(__xludf.DUMMYFUNCTION("""COMPUTED_VALUE"""),"Quandrix Unlimited")</f>
        <v>Quandrix Unlimited</v>
      </c>
      <c r="B1840" s="76" t="str">
        <f>IFERROR(__xludf.DUMMYFUNCTION("""COMPUTED_VALUE"""),"Arcane Maelstrom")</f>
        <v>Arcane Maelstrom</v>
      </c>
      <c r="C1840" s="77">
        <f>IFERROR(__xludf.DUMMYFUNCTION("""COMPUTED_VALUE"""),0.0)</f>
        <v>0</v>
      </c>
      <c r="D1840" s="77">
        <f>IFERROR(__xludf.DUMMYFUNCTION("""COMPUTED_VALUE"""),0.0)</f>
        <v>0</v>
      </c>
      <c r="E1840" s="46" t="b">
        <f>IFERROR(__xludf.DUMMYFUNCTION("""COMPUTED_VALUE"""),TRUE)</f>
        <v>1</v>
      </c>
    </row>
    <row r="1841" hidden="1">
      <c r="A1841" s="76" t="str">
        <f>IFERROR(__xludf.DUMMYFUNCTION("""COMPUTED_VALUE"""),"Quandrix Unlimited")</f>
        <v>Quandrix Unlimited</v>
      </c>
      <c r="B1841" s="76" t="str">
        <f>IFERROR(__xludf.DUMMYFUNCTION("""COMPUTED_VALUE"""),"Blame Game")</f>
        <v>Blame Game</v>
      </c>
      <c r="C1841" s="77">
        <f>IFERROR(__xludf.DUMMYFUNCTION("""COMPUTED_VALUE"""),0.0)</f>
        <v>0</v>
      </c>
      <c r="D1841" s="77">
        <f>IFERROR(__xludf.DUMMYFUNCTION("""COMPUTED_VALUE"""),0.0)</f>
        <v>0</v>
      </c>
      <c r="E1841" s="46" t="b">
        <f>IFERROR(__xludf.DUMMYFUNCTION("""COMPUTED_VALUE"""),TRUE)</f>
        <v>1</v>
      </c>
    </row>
    <row r="1842" hidden="1">
      <c r="A1842" s="76" t="str">
        <f>IFERROR(__xludf.DUMMYFUNCTION("""COMPUTED_VALUE"""),"Quandrix Unlimited")</f>
        <v>Quandrix Unlimited</v>
      </c>
      <c r="B1842" s="76" t="str">
        <f>IFERROR(__xludf.DUMMYFUNCTION("""COMPUTED_VALUE"""),"Blight Curse")</f>
        <v>Blight Curse</v>
      </c>
      <c r="C1842" s="77">
        <f>IFERROR(__xludf.DUMMYFUNCTION("""COMPUTED_VALUE"""),1.0)</f>
        <v>1</v>
      </c>
      <c r="D1842" s="77">
        <f>IFERROR(__xludf.DUMMYFUNCTION("""COMPUTED_VALUE"""),0.0)</f>
        <v>0</v>
      </c>
      <c r="E1842" s="46" t="b">
        <f>IFERROR(__xludf.DUMMYFUNCTION("""COMPUTED_VALUE"""),FALSE)</f>
        <v>0</v>
      </c>
    </row>
    <row r="1843" hidden="1">
      <c r="A1843" s="76" t="str">
        <f>IFERROR(__xludf.DUMMYFUNCTION("""COMPUTED_VALUE"""),"Quandrix Unlimited")</f>
        <v>Quandrix Unlimited</v>
      </c>
      <c r="B1843" s="76" t="str">
        <f>IFERROR(__xludf.DUMMYFUNCTION("""COMPUTED_VALUE"""),"Blood Rites")</f>
        <v>Blood Rites</v>
      </c>
      <c r="C1843" s="77">
        <f>IFERROR(__xludf.DUMMYFUNCTION("""COMPUTED_VALUE"""),0.0)</f>
        <v>0</v>
      </c>
      <c r="D1843" s="77">
        <f>IFERROR(__xludf.DUMMYFUNCTION("""COMPUTED_VALUE"""),0.0)</f>
        <v>0</v>
      </c>
      <c r="E1843" s="46" t="b">
        <f>IFERROR(__xludf.DUMMYFUNCTION("""COMPUTED_VALUE"""),TRUE)</f>
        <v>1</v>
      </c>
    </row>
    <row r="1844" hidden="1">
      <c r="A1844" s="76" t="str">
        <f>IFERROR(__xludf.DUMMYFUNCTION("""COMPUTED_VALUE"""),"Quandrix Unlimited")</f>
        <v>Quandrix Unlimited</v>
      </c>
      <c r="B1844" s="76" t="str">
        <f>IFERROR(__xludf.DUMMYFUNCTION("""COMPUTED_VALUE"""),"Buckle Up")</f>
        <v>Buckle Up</v>
      </c>
      <c r="C1844" s="77">
        <f>IFERROR(__xludf.DUMMYFUNCTION("""COMPUTED_VALUE"""),0.0)</f>
        <v>0</v>
      </c>
      <c r="D1844" s="77">
        <f>IFERROR(__xludf.DUMMYFUNCTION("""COMPUTED_VALUE"""),0.0)</f>
        <v>0</v>
      </c>
      <c r="E1844" s="46" t="b">
        <f>IFERROR(__xludf.DUMMYFUNCTION("""COMPUTED_VALUE"""),TRUE)</f>
        <v>1</v>
      </c>
    </row>
    <row r="1845">
      <c r="A1845" s="76" t="str">
        <f>IFERROR(__xludf.DUMMYFUNCTION("""COMPUTED_VALUE"""),"Quandrix Unlimited")</f>
        <v>Quandrix Unlimited</v>
      </c>
      <c r="B1845" s="76" t="str">
        <f>IFERROR(__xludf.DUMMYFUNCTION("""COMPUTED_VALUE"""),"Cabaretti Cacophony")</f>
        <v>Cabaretti Cacophony</v>
      </c>
      <c r="C1845" s="77">
        <f>IFERROR(__xludf.DUMMYFUNCTION("""COMPUTED_VALUE"""),0.0)</f>
        <v>0</v>
      </c>
      <c r="D1845" s="77">
        <f>IFERROR(__xludf.DUMMYFUNCTION("""COMPUTED_VALUE"""),0.0)</f>
        <v>0</v>
      </c>
      <c r="E1845" s="46" t="b">
        <f>IFERROR(__xludf.DUMMYFUNCTION("""COMPUTED_VALUE"""),TRUE)</f>
        <v>1</v>
      </c>
    </row>
    <row r="1846" hidden="1">
      <c r="A1846" s="76" t="str">
        <f>IFERROR(__xludf.DUMMYFUNCTION("""COMPUTED_VALUE"""),"Quandrix Unlimited")</f>
        <v>Quandrix Unlimited</v>
      </c>
      <c r="B1846" s="76" t="str">
        <f>IFERROR(__xludf.DUMMYFUNCTION("""COMPUTED_VALUE"""),"Cavalry Charge")</f>
        <v>Cavalry Charge</v>
      </c>
      <c r="C1846" s="77">
        <f>IFERROR(__xludf.DUMMYFUNCTION("""COMPUTED_VALUE"""),0.0)</f>
        <v>0</v>
      </c>
      <c r="D1846" s="77">
        <f>IFERROR(__xludf.DUMMYFUNCTION("""COMPUTED_VALUE"""),0.0)</f>
        <v>0</v>
      </c>
      <c r="E1846" s="46" t="b">
        <f>IFERROR(__xludf.DUMMYFUNCTION("""COMPUTED_VALUE"""),TRUE)</f>
        <v>1</v>
      </c>
    </row>
    <row r="1847" hidden="1">
      <c r="A1847" s="76" t="str">
        <f>IFERROR(__xludf.DUMMYFUNCTION("""COMPUTED_VALUE"""),"Quandrix Unlimited")</f>
        <v>Quandrix Unlimited</v>
      </c>
      <c r="B1847" s="76" t="str">
        <f>IFERROR(__xludf.DUMMYFUNCTION("""COMPUTED_VALUE"""),"Corrupting Influence")</f>
        <v>Corrupting Influence</v>
      </c>
      <c r="C1847" s="77">
        <f>IFERROR(__xludf.DUMMYFUNCTION("""COMPUTED_VALUE"""),0.0)</f>
        <v>0</v>
      </c>
      <c r="D1847" s="77">
        <f>IFERROR(__xludf.DUMMYFUNCTION("""COMPUTED_VALUE"""),1.0)</f>
        <v>1</v>
      </c>
      <c r="E1847" s="46" t="b">
        <f>IFERROR(__xludf.DUMMYFUNCTION("""COMPUTED_VALUE"""),FALSE)</f>
        <v>0</v>
      </c>
    </row>
    <row r="1848" hidden="1">
      <c r="A1848" s="76" t="str">
        <f>IFERROR(__xludf.DUMMYFUNCTION("""COMPUTED_VALUE"""),"Quandrix Unlimited")</f>
        <v>Quandrix Unlimited</v>
      </c>
      <c r="B1848" s="76" t="str">
        <f>IFERROR(__xludf.DUMMYFUNCTION("""COMPUTED_VALUE"""),"Counter Blitz")</f>
        <v>Counter Blitz</v>
      </c>
      <c r="C1848" s="77">
        <f>IFERROR(__xludf.DUMMYFUNCTION("""COMPUTED_VALUE"""),2.0)</f>
        <v>2</v>
      </c>
      <c r="D1848" s="77">
        <f>IFERROR(__xludf.DUMMYFUNCTION("""COMPUTED_VALUE"""),0.0)</f>
        <v>0</v>
      </c>
      <c r="E1848" s="46" t="b">
        <f>IFERROR(__xludf.DUMMYFUNCTION("""COMPUTED_VALUE"""),FALSE)</f>
        <v>0</v>
      </c>
    </row>
    <row r="1849" hidden="1">
      <c r="A1849" s="76" t="str">
        <f>IFERROR(__xludf.DUMMYFUNCTION("""COMPUTED_VALUE"""),"Quandrix Unlimited")</f>
        <v>Quandrix Unlimited</v>
      </c>
      <c r="B1849" s="76" t="str">
        <f>IFERROR(__xludf.DUMMYFUNCTION("""COMPUTED_VALUE"""),"Counter Intelligence")</f>
        <v>Counter Intelligence</v>
      </c>
      <c r="C1849" s="77">
        <f>IFERROR(__xludf.DUMMYFUNCTION("""COMPUTED_VALUE"""),0.0)</f>
        <v>0</v>
      </c>
      <c r="D1849" s="77">
        <f>IFERROR(__xludf.DUMMYFUNCTION("""COMPUTED_VALUE"""),0.0)</f>
        <v>0</v>
      </c>
      <c r="E1849" s="46" t="b">
        <f>IFERROR(__xludf.DUMMYFUNCTION("""COMPUTED_VALUE"""),TRUE)</f>
        <v>1</v>
      </c>
    </row>
    <row r="1850" hidden="1">
      <c r="A1850" s="76" t="str">
        <f>IFERROR(__xludf.DUMMYFUNCTION("""COMPUTED_VALUE"""),"Quandrix Unlimited")</f>
        <v>Quandrix Unlimited</v>
      </c>
      <c r="B1850" s="76" t="str">
        <f>IFERROR(__xludf.DUMMYFUNCTION("""COMPUTED_VALUE"""),"Creative Energy")</f>
        <v>Creative Energy</v>
      </c>
      <c r="C1850" s="77">
        <f>IFERROR(__xludf.DUMMYFUNCTION("""COMPUTED_VALUE"""),3.0)</f>
        <v>3</v>
      </c>
      <c r="D1850" s="77">
        <f>IFERROR(__xludf.DUMMYFUNCTION("""COMPUTED_VALUE"""),2.0)</f>
        <v>2</v>
      </c>
      <c r="E1850" s="46" t="b">
        <f>IFERROR(__xludf.DUMMYFUNCTION("""COMPUTED_VALUE"""),FALSE)</f>
        <v>0</v>
      </c>
    </row>
    <row r="1851" hidden="1">
      <c r="A1851" s="76" t="str">
        <f>IFERROR(__xludf.DUMMYFUNCTION("""COMPUTED_VALUE"""),"Quandrix Unlimited")</f>
        <v>Quandrix Unlimited</v>
      </c>
      <c r="B1851" s="76" t="str">
        <f>IFERROR(__xludf.DUMMYFUNCTION("""COMPUTED_VALUE"""),"Dance of the Elements")</f>
        <v>Dance of the Elements</v>
      </c>
      <c r="C1851" s="77">
        <f>IFERROR(__xludf.DUMMYFUNCTION("""COMPUTED_VALUE"""),0.0)</f>
        <v>0</v>
      </c>
      <c r="D1851" s="77">
        <f>IFERROR(__xludf.DUMMYFUNCTION("""COMPUTED_VALUE"""),0.0)</f>
        <v>0</v>
      </c>
      <c r="E1851" s="46" t="b">
        <f>IFERROR(__xludf.DUMMYFUNCTION("""COMPUTED_VALUE"""),TRUE)</f>
        <v>1</v>
      </c>
    </row>
    <row r="1852" hidden="1">
      <c r="A1852" s="76" t="str">
        <f>IFERROR(__xludf.DUMMYFUNCTION("""COMPUTED_VALUE"""),"Quandrix Unlimited")</f>
        <v>Quandrix Unlimited</v>
      </c>
      <c r="B1852" s="76" t="str">
        <f>IFERROR(__xludf.DUMMYFUNCTION("""COMPUTED_VALUE"""),"Deep Clue Sea")</f>
        <v>Deep Clue Sea</v>
      </c>
      <c r="C1852" s="77">
        <f>IFERROR(__xludf.DUMMYFUNCTION("""COMPUTED_VALUE"""),2.0)</f>
        <v>2</v>
      </c>
      <c r="D1852" s="77">
        <f>IFERROR(__xludf.DUMMYFUNCTION("""COMPUTED_VALUE"""),0.0)</f>
        <v>0</v>
      </c>
      <c r="E1852" s="46" t="b">
        <f>IFERROR(__xludf.DUMMYFUNCTION("""COMPUTED_VALUE"""),FALSE)</f>
        <v>0</v>
      </c>
    </row>
    <row r="1853" hidden="1">
      <c r="A1853" s="76" t="str">
        <f>IFERROR(__xludf.DUMMYFUNCTION("""COMPUTED_VALUE"""),"Quandrix Unlimited")</f>
        <v>Quandrix Unlimited</v>
      </c>
      <c r="B1853" s="76" t="str">
        <f>IFERROR(__xludf.DUMMYFUNCTION("""COMPUTED_VALUE"""),"Doom Prevails")</f>
        <v>Doom Prevails</v>
      </c>
      <c r="C1853" s="77">
        <f>IFERROR(__xludf.DUMMYFUNCTION("""COMPUTED_VALUE"""),0.0)</f>
        <v>0</v>
      </c>
      <c r="D1853" s="77">
        <f>IFERROR(__xludf.DUMMYFUNCTION("""COMPUTED_VALUE"""),1.0)</f>
        <v>1</v>
      </c>
      <c r="E1853" s="46" t="b">
        <f>IFERROR(__xludf.DUMMYFUNCTION("""COMPUTED_VALUE"""),FALSE)</f>
        <v>0</v>
      </c>
    </row>
    <row r="1854" hidden="1">
      <c r="A1854" s="76" t="str">
        <f>IFERROR(__xludf.DUMMYFUNCTION("""COMPUTED_VALUE"""),"Quandrix Unlimited")</f>
        <v>Quandrix Unlimited</v>
      </c>
      <c r="B1854" s="76" t="str">
        <f>IFERROR(__xludf.DUMMYFUNCTION("""COMPUTED_VALUE"""),"Eldrazi Incursion")</f>
        <v>Eldrazi Incursion</v>
      </c>
      <c r="C1854" s="77">
        <f>IFERROR(__xludf.DUMMYFUNCTION("""COMPUTED_VALUE"""),0.0)</f>
        <v>0</v>
      </c>
      <c r="D1854" s="77">
        <f>IFERROR(__xludf.DUMMYFUNCTION("""COMPUTED_VALUE"""),0.0)</f>
        <v>0</v>
      </c>
      <c r="E1854" s="46" t="b">
        <f>IFERROR(__xludf.DUMMYFUNCTION("""COMPUTED_VALUE"""),TRUE)</f>
        <v>1</v>
      </c>
    </row>
    <row r="1855" hidden="1">
      <c r="A1855" s="76" t="str">
        <f>IFERROR(__xludf.DUMMYFUNCTION("""COMPUTED_VALUE"""),"Quandrix Unlimited")</f>
        <v>Quandrix Unlimited</v>
      </c>
      <c r="B1855" s="76" t="str">
        <f>IFERROR(__xludf.DUMMYFUNCTION("""COMPUTED_VALUE"""),"Eldrazi Unbound")</f>
        <v>Eldrazi Unbound</v>
      </c>
      <c r="C1855" s="77">
        <f>IFERROR(__xludf.DUMMYFUNCTION("""COMPUTED_VALUE"""),0.0)</f>
        <v>0</v>
      </c>
      <c r="D1855" s="77">
        <f>IFERROR(__xludf.DUMMYFUNCTION("""COMPUTED_VALUE"""),0.0)</f>
        <v>0</v>
      </c>
      <c r="E1855" s="46" t="b">
        <f>IFERROR(__xludf.DUMMYFUNCTION("""COMPUTED_VALUE"""),TRUE)</f>
        <v>1</v>
      </c>
    </row>
    <row r="1856" hidden="1">
      <c r="A1856" s="76" t="str">
        <f>IFERROR(__xludf.DUMMYFUNCTION("""COMPUTED_VALUE"""),"Quandrix Unlimited")</f>
        <v>Quandrix Unlimited</v>
      </c>
      <c r="B1856" s="76" t="str">
        <f>IFERROR(__xludf.DUMMYFUNCTION("""COMPUTED_VALUE"""),"Endless Punishment")</f>
        <v>Endless Punishment</v>
      </c>
      <c r="C1856" s="77">
        <f>IFERROR(__xludf.DUMMYFUNCTION("""COMPUTED_VALUE"""),1.0)</f>
        <v>1</v>
      </c>
      <c r="D1856" s="77">
        <f>IFERROR(__xludf.DUMMYFUNCTION("""COMPUTED_VALUE"""),1.0)</f>
        <v>1</v>
      </c>
      <c r="E1856" s="46" t="b">
        <f>IFERROR(__xludf.DUMMYFUNCTION("""COMPUTED_VALUE"""),FALSE)</f>
        <v>0</v>
      </c>
    </row>
    <row r="1857" hidden="1">
      <c r="A1857" s="76" t="str">
        <f>IFERROR(__xludf.DUMMYFUNCTION("""COMPUTED_VALUE"""),"Quandrix Unlimited")</f>
        <v>Quandrix Unlimited</v>
      </c>
      <c r="B1857" s="76" t="str">
        <f>IFERROR(__xludf.DUMMYFUNCTION("""COMPUTED_VALUE"""),"Enduring Enchantments")</f>
        <v>Enduring Enchantments</v>
      </c>
      <c r="C1857" s="77">
        <f>IFERROR(__xludf.DUMMYFUNCTION("""COMPUTED_VALUE"""),0.0)</f>
        <v>0</v>
      </c>
      <c r="D1857" s="77">
        <f>IFERROR(__xludf.DUMMYFUNCTION("""COMPUTED_VALUE"""),0.0)</f>
        <v>0</v>
      </c>
      <c r="E1857" s="46" t="b">
        <f>IFERROR(__xludf.DUMMYFUNCTION("""COMPUTED_VALUE"""),TRUE)</f>
        <v>1</v>
      </c>
    </row>
    <row r="1858" hidden="1">
      <c r="A1858" s="76" t="str">
        <f>IFERROR(__xludf.DUMMYFUNCTION("""COMPUTED_VALUE"""),"Quandrix Unlimited")</f>
        <v>Quandrix Unlimited</v>
      </c>
      <c r="B1858" s="76" t="str">
        <f>IFERROR(__xludf.DUMMYFUNCTION("""COMPUTED_VALUE"""),"Explorers of the Deep")</f>
        <v>Explorers of the Deep</v>
      </c>
      <c r="C1858" s="77">
        <f>IFERROR(__xludf.DUMMYFUNCTION("""COMPUTED_VALUE"""),0.0)</f>
        <v>0</v>
      </c>
      <c r="D1858" s="77">
        <f>IFERROR(__xludf.DUMMYFUNCTION("""COMPUTED_VALUE"""),0.0)</f>
        <v>0</v>
      </c>
      <c r="E1858" s="46" t="b">
        <f>IFERROR(__xludf.DUMMYFUNCTION("""COMPUTED_VALUE"""),TRUE)</f>
        <v>1</v>
      </c>
    </row>
    <row r="1859">
      <c r="A1859" s="76" t="str">
        <f>IFERROR(__xludf.DUMMYFUNCTION("""COMPUTED_VALUE"""),"Quandrix Unlimited")</f>
        <v>Quandrix Unlimited</v>
      </c>
      <c r="B1859" s="76" t="str">
        <f>IFERROR(__xludf.DUMMYFUNCTION("""COMPUTED_VALUE"""),"Family Matters")</f>
        <v>Family Matters</v>
      </c>
      <c r="C1859" s="77">
        <f>IFERROR(__xludf.DUMMYFUNCTION("""COMPUTED_VALUE"""),0.0)</f>
        <v>0</v>
      </c>
      <c r="D1859" s="77">
        <f>IFERROR(__xludf.DUMMYFUNCTION("""COMPUTED_VALUE"""),0.0)</f>
        <v>0</v>
      </c>
      <c r="E1859" s="46" t="b">
        <f>IFERROR(__xludf.DUMMYFUNCTION("""COMPUTED_VALUE"""),TRUE)</f>
        <v>1</v>
      </c>
    </row>
    <row r="1860" hidden="1">
      <c r="A1860" s="76" t="str">
        <f>IFERROR(__xludf.DUMMYFUNCTION("""COMPUTED_VALUE"""),"Quandrix Unlimited")</f>
        <v>Quandrix Unlimited</v>
      </c>
      <c r="B1860" s="76" t="str">
        <f>IFERROR(__xludf.DUMMYFUNCTION("""COMPUTED_VALUE"""),"Food and Fellowship")</f>
        <v>Food and Fellowship</v>
      </c>
      <c r="C1860" s="77">
        <f>IFERROR(__xludf.DUMMYFUNCTION("""COMPUTED_VALUE"""),0.0)</f>
        <v>0</v>
      </c>
      <c r="D1860" s="77">
        <f>IFERROR(__xludf.DUMMYFUNCTION("""COMPUTED_VALUE"""),0.0)</f>
        <v>0</v>
      </c>
      <c r="E1860" s="46" t="b">
        <f>IFERROR(__xludf.DUMMYFUNCTION("""COMPUTED_VALUE"""),TRUE)</f>
        <v>1</v>
      </c>
    </row>
    <row r="1861" hidden="1">
      <c r="A1861" s="76" t="str">
        <f>IFERROR(__xludf.DUMMYFUNCTION("""COMPUTED_VALUE"""),"Quandrix Unlimited")</f>
        <v>Quandrix Unlimited</v>
      </c>
      <c r="B1861" s="76" t="str">
        <f>IFERROR(__xludf.DUMMYFUNCTION("""COMPUTED_VALUE"""),"Jeskai Striker")</f>
        <v>Jeskai Striker</v>
      </c>
      <c r="C1861" s="77">
        <f>IFERROR(__xludf.DUMMYFUNCTION("""COMPUTED_VALUE"""),2.0)</f>
        <v>2</v>
      </c>
      <c r="D1861" s="77">
        <f>IFERROR(__xludf.DUMMYFUNCTION("""COMPUTED_VALUE"""),0.0)</f>
        <v>0</v>
      </c>
      <c r="E1861" s="46" t="b">
        <f>IFERROR(__xludf.DUMMYFUNCTION("""COMPUTED_VALUE"""),FALSE)</f>
        <v>0</v>
      </c>
    </row>
    <row r="1862" hidden="1">
      <c r="A1862" s="76" t="str">
        <f>IFERROR(__xludf.DUMMYFUNCTION("""COMPUTED_VALUE"""),"Quandrix Unlimited")</f>
        <v>Quandrix Unlimited</v>
      </c>
      <c r="B1862" s="76" t="str">
        <f>IFERROR(__xludf.DUMMYFUNCTION("""COMPUTED_VALUE"""),"Legends' Legacy")</f>
        <v>Legends' Legacy</v>
      </c>
      <c r="C1862" s="77">
        <f>IFERROR(__xludf.DUMMYFUNCTION("""COMPUTED_VALUE"""),0.0)</f>
        <v>0</v>
      </c>
      <c r="D1862" s="77">
        <f>IFERROR(__xludf.DUMMYFUNCTION("""COMPUTED_VALUE"""),0.0)</f>
        <v>0</v>
      </c>
      <c r="E1862" s="46" t="b">
        <f>IFERROR(__xludf.DUMMYFUNCTION("""COMPUTED_VALUE"""),TRUE)</f>
        <v>1</v>
      </c>
    </row>
    <row r="1863" hidden="1">
      <c r="A1863" s="76" t="str">
        <f>IFERROR(__xludf.DUMMYFUNCTION("""COMPUTED_VALUE"""),"Quandrix Unlimited")</f>
        <v>Quandrix Unlimited</v>
      </c>
      <c r="B1863" s="76" t="str">
        <f>IFERROR(__xludf.DUMMYFUNCTION("""COMPUTED_VALUE"""),"Limit Break")</f>
        <v>Limit Break</v>
      </c>
      <c r="C1863" s="77">
        <f>IFERROR(__xludf.DUMMYFUNCTION("""COMPUTED_VALUE"""),0.0)</f>
        <v>0</v>
      </c>
      <c r="D1863" s="77">
        <f>IFERROR(__xludf.DUMMYFUNCTION("""COMPUTED_VALUE"""),0.0)</f>
        <v>0</v>
      </c>
      <c r="E1863" s="46" t="b">
        <f>IFERROR(__xludf.DUMMYFUNCTION("""COMPUTED_VALUE"""),TRUE)</f>
        <v>1</v>
      </c>
    </row>
    <row r="1864" hidden="1">
      <c r="A1864" s="76" t="str">
        <f>IFERROR(__xludf.DUMMYFUNCTION("""COMPUTED_VALUE"""),"Quandrix Unlimited")</f>
        <v>Quandrix Unlimited</v>
      </c>
      <c r="B1864" s="76" t="str">
        <f>IFERROR(__xludf.DUMMYFUNCTION("""COMPUTED_VALUE"""),"Lorehold Spirit")</f>
        <v>Lorehold Spirit</v>
      </c>
      <c r="C1864" s="77">
        <f>IFERROR(__xludf.DUMMYFUNCTION("""COMPUTED_VALUE"""),0.0)</f>
        <v>0</v>
      </c>
      <c r="D1864" s="77">
        <f>IFERROR(__xludf.DUMMYFUNCTION("""COMPUTED_VALUE"""),0.0)</f>
        <v>0</v>
      </c>
      <c r="E1864" s="46" t="b">
        <f>IFERROR(__xludf.DUMMYFUNCTION("""COMPUTED_VALUE"""),TRUE)</f>
        <v>1</v>
      </c>
    </row>
    <row r="1865" hidden="1">
      <c r="A1865" s="76" t="str">
        <f>IFERROR(__xludf.DUMMYFUNCTION("""COMPUTED_VALUE"""),"Quandrix Unlimited")</f>
        <v>Quandrix Unlimited</v>
      </c>
      <c r="B1865" s="76" t="str">
        <f>IFERROR(__xludf.DUMMYFUNCTION("""COMPUTED_VALUE"""),"Mutant Menace")</f>
        <v>Mutant Menace</v>
      </c>
      <c r="C1865" s="77">
        <f>IFERROR(__xludf.DUMMYFUNCTION("""COMPUTED_VALUE"""),0.0)</f>
        <v>0</v>
      </c>
      <c r="D1865" s="77">
        <f>IFERROR(__xludf.DUMMYFUNCTION("""COMPUTED_VALUE"""),0.0)</f>
        <v>0</v>
      </c>
      <c r="E1865" s="46" t="b">
        <f>IFERROR(__xludf.DUMMYFUNCTION("""COMPUTED_VALUE"""),TRUE)</f>
        <v>1</v>
      </c>
    </row>
    <row r="1866" hidden="1">
      <c r="A1866" s="76" t="str">
        <f>IFERROR(__xludf.DUMMYFUNCTION("""COMPUTED_VALUE"""),"Quandrix Unlimited")</f>
        <v>Quandrix Unlimited</v>
      </c>
      <c r="B1866" s="76" t="str">
        <f>IFERROR(__xludf.DUMMYFUNCTION("""COMPUTED_VALUE"""),"Party Time")</f>
        <v>Party Time</v>
      </c>
      <c r="C1866" s="77">
        <f>IFERROR(__xludf.DUMMYFUNCTION("""COMPUTED_VALUE"""),0.0)</f>
        <v>0</v>
      </c>
      <c r="D1866" s="77">
        <f>IFERROR(__xludf.DUMMYFUNCTION("""COMPUTED_VALUE"""),1.0)</f>
        <v>1</v>
      </c>
      <c r="E1866" s="46" t="b">
        <f>IFERROR(__xludf.DUMMYFUNCTION("""COMPUTED_VALUE"""),FALSE)</f>
        <v>0</v>
      </c>
    </row>
    <row r="1867" hidden="1">
      <c r="A1867" s="76" t="str">
        <f>IFERROR(__xludf.DUMMYFUNCTION("""COMPUTED_VALUE"""),"Quandrix Unlimited")</f>
        <v>Quandrix Unlimited</v>
      </c>
      <c r="B1867" s="76" t="str">
        <f>IFERROR(__xludf.DUMMYFUNCTION("""COMPUTED_VALUE"""),"Peace Offering")</f>
        <v>Peace Offering</v>
      </c>
      <c r="C1867" s="77">
        <f>IFERROR(__xludf.DUMMYFUNCTION("""COMPUTED_VALUE"""),0.0)</f>
        <v>0</v>
      </c>
      <c r="D1867" s="77">
        <f>IFERROR(__xludf.DUMMYFUNCTION("""COMPUTED_VALUE"""),0.0)</f>
        <v>0</v>
      </c>
      <c r="E1867" s="46" t="b">
        <f>IFERROR(__xludf.DUMMYFUNCTION("""COMPUTED_VALUE"""),TRUE)</f>
        <v>1</v>
      </c>
    </row>
    <row r="1868" hidden="1">
      <c r="A1868" s="76" t="str">
        <f>IFERROR(__xludf.DUMMYFUNCTION("""COMPUTED_VALUE"""),"Quandrix Unlimited")</f>
        <v>Quandrix Unlimited</v>
      </c>
      <c r="B1868" s="76" t="str">
        <f>IFERROR(__xludf.DUMMYFUNCTION("""COMPUTED_VALUE"""),"Power Hungry")</f>
        <v>Power Hungry</v>
      </c>
      <c r="C1868" s="77">
        <f>IFERROR(__xludf.DUMMYFUNCTION("""COMPUTED_VALUE"""),0.0)</f>
        <v>0</v>
      </c>
      <c r="D1868" s="77">
        <f>IFERROR(__xludf.DUMMYFUNCTION("""COMPUTED_VALUE"""),0.0)</f>
        <v>0</v>
      </c>
      <c r="E1868" s="46" t="b">
        <f>IFERROR(__xludf.DUMMYFUNCTION("""COMPUTED_VALUE"""),TRUE)</f>
        <v>1</v>
      </c>
    </row>
    <row r="1869" hidden="1">
      <c r="A1869" s="76" t="str">
        <f>IFERROR(__xludf.DUMMYFUNCTION("""COMPUTED_VALUE"""),"Quandrix Unlimited")</f>
        <v>Quandrix Unlimited</v>
      </c>
      <c r="B1869" s="76" t="str">
        <f>IFERROR(__xludf.DUMMYFUNCTION("""COMPUTED_VALUE"""),"Primal Genesis")</f>
        <v>Primal Genesis</v>
      </c>
      <c r="C1869" s="77">
        <f>IFERROR(__xludf.DUMMYFUNCTION("""COMPUTED_VALUE"""),0.0)</f>
        <v>0</v>
      </c>
      <c r="D1869" s="77">
        <f>IFERROR(__xludf.DUMMYFUNCTION("""COMPUTED_VALUE"""),0.0)</f>
        <v>0</v>
      </c>
      <c r="E1869" s="46" t="b">
        <f>IFERROR(__xludf.DUMMYFUNCTION("""COMPUTED_VALUE"""),TRUE)</f>
        <v>1</v>
      </c>
    </row>
    <row r="1870" hidden="1">
      <c r="A1870" s="76" t="str">
        <f>IFERROR(__xludf.DUMMYFUNCTION("""COMPUTED_VALUE"""),"Quandrix Unlimited")</f>
        <v>Quandrix Unlimited</v>
      </c>
      <c r="B1870" s="76" t="str">
        <f>IFERROR(__xludf.DUMMYFUNCTION("""COMPUTED_VALUE"""),"Prismari Artistry")</f>
        <v>Prismari Artistry</v>
      </c>
      <c r="C1870" s="77">
        <f>IFERROR(__xludf.DUMMYFUNCTION("""COMPUTED_VALUE"""),0.0)</f>
        <v>0</v>
      </c>
      <c r="D1870" s="77">
        <f>IFERROR(__xludf.DUMMYFUNCTION("""COMPUTED_VALUE"""),0.0)</f>
        <v>0</v>
      </c>
      <c r="E1870" s="46" t="b">
        <f>IFERROR(__xludf.DUMMYFUNCTION("""COMPUTED_VALUE"""),TRUE)</f>
        <v>1</v>
      </c>
    </row>
    <row r="1871" hidden="1">
      <c r="A1871" s="76" t="str">
        <f>IFERROR(__xludf.DUMMYFUNCTION("""COMPUTED_VALUE"""),"Quandrix Unlimited")</f>
        <v>Quandrix Unlimited</v>
      </c>
      <c r="B1871" s="76" t="str">
        <f>IFERROR(__xludf.DUMMYFUNCTION("""COMPUTED_VALUE"""),"Prismari Performance")</f>
        <v>Prismari Performance</v>
      </c>
      <c r="C1871" s="77">
        <f>IFERROR(__xludf.DUMMYFUNCTION("""COMPUTED_VALUE"""),0.0)</f>
        <v>0</v>
      </c>
      <c r="D1871" s="77">
        <f>IFERROR(__xludf.DUMMYFUNCTION("""COMPUTED_VALUE"""),0.0)</f>
        <v>0</v>
      </c>
      <c r="E1871" s="46" t="b">
        <f>IFERROR(__xludf.DUMMYFUNCTION("""COMPUTED_VALUE"""),TRUE)</f>
        <v>1</v>
      </c>
    </row>
    <row r="1872" hidden="1">
      <c r="A1872" s="76" t="str">
        <f>IFERROR(__xludf.DUMMYFUNCTION("""COMPUTED_VALUE"""),"Quandrix Unlimited")</f>
        <v>Quandrix Unlimited</v>
      </c>
      <c r="B1872" s="76" t="str">
        <f>IFERROR(__xludf.DUMMYFUNCTION("""COMPUTED_VALUE"""),"Quandrix Unlimited")</f>
        <v>Quandrix Unlimited</v>
      </c>
      <c r="C1872" s="77">
        <f>IFERROR(__xludf.DUMMYFUNCTION("""COMPUTED_VALUE"""),6.0)</f>
        <v>6</v>
      </c>
      <c r="D1872" s="77">
        <f>IFERROR(__xludf.DUMMYFUNCTION("""COMPUTED_VALUE"""),6.0)</f>
        <v>6</v>
      </c>
      <c r="E1872" s="46" t="b">
        <f>IFERROR(__xludf.DUMMYFUNCTION("""COMPUTED_VALUE"""),TRUE)</f>
        <v>1</v>
      </c>
    </row>
    <row r="1873" hidden="1">
      <c r="A1873" s="76" t="str">
        <f>IFERROR(__xludf.DUMMYFUNCTION("""COMPUTED_VALUE"""),"Quandrix Unlimited")</f>
        <v>Quandrix Unlimited</v>
      </c>
      <c r="B1873" s="76" t="str">
        <f>IFERROR(__xludf.DUMMYFUNCTION("""COMPUTED_VALUE"""),"Quick Draw")</f>
        <v>Quick Draw</v>
      </c>
      <c r="C1873" s="77">
        <f>IFERROR(__xludf.DUMMYFUNCTION("""COMPUTED_VALUE"""),1.0)</f>
        <v>1</v>
      </c>
      <c r="D1873" s="77">
        <f>IFERROR(__xludf.DUMMYFUNCTION("""COMPUTED_VALUE"""),0.0)</f>
        <v>0</v>
      </c>
      <c r="E1873" s="46" t="b">
        <f>IFERROR(__xludf.DUMMYFUNCTION("""COMPUTED_VALUE"""),FALSE)</f>
        <v>0</v>
      </c>
    </row>
    <row r="1874" hidden="1">
      <c r="A1874" s="76" t="str">
        <f>IFERROR(__xludf.DUMMYFUNCTION("""COMPUTED_VALUE"""),"Quandrix Unlimited")</f>
        <v>Quandrix Unlimited</v>
      </c>
      <c r="B1874" s="76" t="str">
        <f>IFERROR(__xludf.DUMMYFUNCTION("""COMPUTED_VALUE"""),"Reap the Tides")</f>
        <v>Reap the Tides</v>
      </c>
      <c r="C1874" s="77">
        <f>IFERROR(__xludf.DUMMYFUNCTION("""COMPUTED_VALUE"""),0.0)</f>
        <v>0</v>
      </c>
      <c r="D1874" s="77">
        <f>IFERROR(__xludf.DUMMYFUNCTION("""COMPUTED_VALUE"""),1.0)</f>
        <v>1</v>
      </c>
      <c r="E1874" s="46" t="b">
        <f>IFERROR(__xludf.DUMMYFUNCTION("""COMPUTED_VALUE"""),FALSE)</f>
        <v>0</v>
      </c>
    </row>
    <row r="1875" hidden="1">
      <c r="A1875" s="76" t="str">
        <f>IFERROR(__xludf.DUMMYFUNCTION("""COMPUTED_VALUE"""),"Quandrix Unlimited")</f>
        <v>Quandrix Unlimited</v>
      </c>
      <c r="B1875" s="76" t="str">
        <f>IFERROR(__xludf.DUMMYFUNCTION("""COMPUTED_VALUE"""),"Rebellion Rising")</f>
        <v>Rebellion Rising</v>
      </c>
      <c r="C1875" s="77">
        <f>IFERROR(__xludf.DUMMYFUNCTION("""COMPUTED_VALUE"""),0.0)</f>
        <v>0</v>
      </c>
      <c r="D1875" s="77">
        <f>IFERROR(__xludf.DUMMYFUNCTION("""COMPUTED_VALUE"""),0.0)</f>
        <v>0</v>
      </c>
      <c r="E1875" s="46" t="b">
        <f>IFERROR(__xludf.DUMMYFUNCTION("""COMPUTED_VALUE"""),TRUE)</f>
        <v>1</v>
      </c>
    </row>
    <row r="1876" hidden="1">
      <c r="A1876" s="76" t="str">
        <f>IFERROR(__xludf.DUMMYFUNCTION("""COMPUTED_VALUE"""),"Quandrix Unlimited")</f>
        <v>Quandrix Unlimited</v>
      </c>
      <c r="B1876" s="76" t="str">
        <f>IFERROR(__xludf.DUMMYFUNCTION("""COMPUTED_VALUE"""),"Revival Trance")</f>
        <v>Revival Trance</v>
      </c>
      <c r="C1876" s="77">
        <f>IFERROR(__xludf.DUMMYFUNCTION("""COMPUTED_VALUE"""),0.0)</f>
        <v>0</v>
      </c>
      <c r="D1876" s="77">
        <f>IFERROR(__xludf.DUMMYFUNCTION("""COMPUTED_VALUE"""),0.0)</f>
        <v>0</v>
      </c>
      <c r="E1876" s="46" t="b">
        <f>IFERROR(__xludf.DUMMYFUNCTION("""COMPUTED_VALUE"""),TRUE)</f>
        <v>1</v>
      </c>
    </row>
    <row r="1877" hidden="1">
      <c r="A1877" s="76" t="str">
        <f>IFERROR(__xludf.DUMMYFUNCTION("""COMPUTED_VALUE"""),"Quandrix Unlimited")</f>
        <v>Quandrix Unlimited</v>
      </c>
      <c r="B1877" s="76" t="str">
        <f>IFERROR(__xludf.DUMMYFUNCTION("""COMPUTED_VALUE"""),"Riders of Rohan")</f>
        <v>Riders of Rohan</v>
      </c>
      <c r="C1877" s="77">
        <f>IFERROR(__xludf.DUMMYFUNCTION("""COMPUTED_VALUE"""),1.0)</f>
        <v>1</v>
      </c>
      <c r="D1877" s="77">
        <f>IFERROR(__xludf.DUMMYFUNCTION("""COMPUTED_VALUE"""),1.0)</f>
        <v>1</v>
      </c>
      <c r="E1877" s="46" t="b">
        <f>IFERROR(__xludf.DUMMYFUNCTION("""COMPUTED_VALUE"""),FALSE)</f>
        <v>0</v>
      </c>
    </row>
    <row r="1878" hidden="1">
      <c r="A1878" s="76" t="str">
        <f>IFERROR(__xludf.DUMMYFUNCTION("""COMPUTED_VALUE"""),"Quandrix Unlimited")</f>
        <v>Quandrix Unlimited</v>
      </c>
      <c r="B1878" s="76" t="str">
        <f>IFERROR(__xludf.DUMMYFUNCTION("""COMPUTED_VALUE"""),"Science!")</f>
        <v>Science!</v>
      </c>
      <c r="C1878" s="77">
        <f>IFERROR(__xludf.DUMMYFUNCTION("""COMPUTED_VALUE"""),0.0)</f>
        <v>0</v>
      </c>
      <c r="D1878" s="77">
        <f>IFERROR(__xludf.DUMMYFUNCTION("""COMPUTED_VALUE"""),0.0)</f>
        <v>0</v>
      </c>
      <c r="E1878" s="46" t="b">
        <f>IFERROR(__xludf.DUMMYFUNCTION("""COMPUTED_VALUE"""),TRUE)</f>
        <v>1</v>
      </c>
    </row>
    <row r="1879" hidden="1">
      <c r="A1879" s="76" t="str">
        <f>IFERROR(__xludf.DUMMYFUNCTION("""COMPUTED_VALUE"""),"Quandrix Unlimited")</f>
        <v>Quandrix Unlimited</v>
      </c>
      <c r="B1879" s="76" t="str">
        <f>IFERROR(__xludf.DUMMYFUNCTION("""COMPUTED_VALUE"""),"Scions &amp; Spellcraft")</f>
        <v>Scions &amp; Spellcraft</v>
      </c>
      <c r="C1879" s="77">
        <f>IFERROR(__xludf.DUMMYFUNCTION("""COMPUTED_VALUE"""),0.0)</f>
        <v>0</v>
      </c>
      <c r="D1879" s="77">
        <f>IFERROR(__xludf.DUMMYFUNCTION("""COMPUTED_VALUE"""),0.0)</f>
        <v>0</v>
      </c>
      <c r="E1879" s="46" t="b">
        <f>IFERROR(__xludf.DUMMYFUNCTION("""COMPUTED_VALUE"""),TRUE)</f>
        <v>1</v>
      </c>
    </row>
    <row r="1880" hidden="1">
      <c r="A1880" s="76" t="str">
        <f>IFERROR(__xludf.DUMMYFUNCTION("""COMPUTED_VALUE"""),"Quandrix Unlimited")</f>
        <v>Quandrix Unlimited</v>
      </c>
      <c r="B1880" s="76" t="str">
        <f>IFERROR(__xludf.DUMMYFUNCTION("""COMPUTED_VALUE"""),"Scrappy Survivors")</f>
        <v>Scrappy Survivors</v>
      </c>
      <c r="C1880" s="77">
        <f>IFERROR(__xludf.DUMMYFUNCTION("""COMPUTED_VALUE"""),0.0)</f>
        <v>0</v>
      </c>
      <c r="D1880" s="77">
        <f>IFERROR(__xludf.DUMMYFUNCTION("""COMPUTED_VALUE"""),0.0)</f>
        <v>0</v>
      </c>
      <c r="E1880" s="46" t="b">
        <f>IFERROR(__xludf.DUMMYFUNCTION("""COMPUTED_VALUE"""),TRUE)</f>
        <v>1</v>
      </c>
    </row>
    <row r="1881" hidden="1">
      <c r="A1881" s="76" t="str">
        <f>IFERROR(__xludf.DUMMYFUNCTION("""COMPUTED_VALUE"""),"Quandrix Unlimited")</f>
        <v>Quandrix Unlimited</v>
      </c>
      <c r="B1881" s="76" t="str">
        <f>IFERROR(__xludf.DUMMYFUNCTION("""COMPUTED_VALUE"""),"Silverquill Influence")</f>
        <v>Silverquill Influence</v>
      </c>
      <c r="C1881" s="77">
        <f>IFERROR(__xludf.DUMMYFUNCTION("""COMPUTED_VALUE"""),0.0)</f>
        <v>0</v>
      </c>
      <c r="D1881" s="77">
        <f>IFERROR(__xludf.DUMMYFUNCTION("""COMPUTED_VALUE"""),0.0)</f>
        <v>0</v>
      </c>
      <c r="E1881" s="46" t="b">
        <f>IFERROR(__xludf.DUMMYFUNCTION("""COMPUTED_VALUE"""),TRUE)</f>
        <v>1</v>
      </c>
    </row>
    <row r="1882" hidden="1">
      <c r="A1882" s="76" t="str">
        <f>IFERROR(__xludf.DUMMYFUNCTION("""COMPUTED_VALUE"""),"Quandrix Unlimited")</f>
        <v>Quandrix Unlimited</v>
      </c>
      <c r="B1882" s="76" t="str">
        <f>IFERROR(__xludf.DUMMYFUNCTION("""COMPUTED_VALUE"""),"Spirit Squadron")</f>
        <v>Spirit Squadron</v>
      </c>
      <c r="C1882" s="77">
        <f>IFERROR(__xludf.DUMMYFUNCTION("""COMPUTED_VALUE"""),0.0)</f>
        <v>0</v>
      </c>
      <c r="D1882" s="77">
        <f>IFERROR(__xludf.DUMMYFUNCTION("""COMPUTED_VALUE"""),0.0)</f>
        <v>0</v>
      </c>
      <c r="E1882" s="46" t="b">
        <f>IFERROR(__xludf.DUMMYFUNCTION("""COMPUTED_VALUE"""),TRUE)</f>
        <v>1</v>
      </c>
    </row>
    <row r="1883" hidden="1">
      <c r="A1883" s="76" t="str">
        <f>IFERROR(__xludf.DUMMYFUNCTION("""COMPUTED_VALUE"""),"Quandrix Unlimited")</f>
        <v>Quandrix Unlimited</v>
      </c>
      <c r="B1883" s="76" t="str">
        <f>IFERROR(__xludf.DUMMYFUNCTION("""COMPUTED_VALUE"""),"Squirreled Away")</f>
        <v>Squirreled Away</v>
      </c>
      <c r="C1883" s="77">
        <f>IFERROR(__xludf.DUMMYFUNCTION("""COMPUTED_VALUE"""),0.0)</f>
        <v>0</v>
      </c>
      <c r="D1883" s="77">
        <f>IFERROR(__xludf.DUMMYFUNCTION("""COMPUTED_VALUE"""),1.0)</f>
        <v>1</v>
      </c>
      <c r="E1883" s="46" t="b">
        <f>IFERROR(__xludf.DUMMYFUNCTION("""COMPUTED_VALUE"""),FALSE)</f>
        <v>0</v>
      </c>
    </row>
    <row r="1884" hidden="1">
      <c r="A1884" s="76" t="str">
        <f>IFERROR(__xludf.DUMMYFUNCTION("""COMPUTED_VALUE"""),"Quandrix Unlimited")</f>
        <v>Quandrix Unlimited</v>
      </c>
      <c r="B1884" s="76" t="str">
        <f>IFERROR(__xludf.DUMMYFUNCTION("""COMPUTED_VALUE"""),"Sultai Arisen")</f>
        <v>Sultai Arisen</v>
      </c>
      <c r="C1884" s="77">
        <f>IFERROR(__xludf.DUMMYFUNCTION("""COMPUTED_VALUE"""),1.0)</f>
        <v>1</v>
      </c>
      <c r="D1884" s="77">
        <f>IFERROR(__xludf.DUMMYFUNCTION("""COMPUTED_VALUE"""),0.0)</f>
        <v>0</v>
      </c>
      <c r="E1884" s="46" t="b">
        <f>IFERROR(__xludf.DUMMYFUNCTION("""COMPUTED_VALUE"""),FALSE)</f>
        <v>0</v>
      </c>
    </row>
    <row r="1885" hidden="1">
      <c r="A1885" s="76" t="str">
        <f>IFERROR(__xludf.DUMMYFUNCTION("""COMPUTED_VALUE"""),"Quandrix Unlimited")</f>
        <v>Quandrix Unlimited</v>
      </c>
      <c r="B1885" s="76" t="str">
        <f>IFERROR(__xludf.DUMMYFUNCTION("""COMPUTED_VALUE"""),"Temur Roar")</f>
        <v>Temur Roar</v>
      </c>
      <c r="C1885" s="77">
        <f>IFERROR(__xludf.DUMMYFUNCTION("""COMPUTED_VALUE"""),0.0)</f>
        <v>0</v>
      </c>
      <c r="D1885" s="77">
        <f>IFERROR(__xludf.DUMMYFUNCTION("""COMPUTED_VALUE"""),0.0)</f>
        <v>0</v>
      </c>
      <c r="E1885" s="46" t="b">
        <f>IFERROR(__xludf.DUMMYFUNCTION("""COMPUTED_VALUE"""),TRUE)</f>
        <v>1</v>
      </c>
    </row>
    <row r="1886">
      <c r="A1886" s="76" t="str">
        <f>IFERROR(__xludf.DUMMYFUNCTION("""COMPUTED_VALUE"""),"Quandrix Unlimited")</f>
        <v>Quandrix Unlimited</v>
      </c>
      <c r="B1886" s="76" t="str">
        <f>IFERROR(__xludf.DUMMYFUNCTION("""COMPUTED_VALUE"""),"The Hosts of Mordor")</f>
        <v>The Hosts of Mordor</v>
      </c>
      <c r="C1886" s="77">
        <f>IFERROR(__xludf.DUMMYFUNCTION("""COMPUTED_VALUE"""),0.0)</f>
        <v>0</v>
      </c>
      <c r="D1886" s="77">
        <f>IFERROR(__xludf.DUMMYFUNCTION("""COMPUTED_VALUE"""),0.0)</f>
        <v>0</v>
      </c>
      <c r="E1886" s="46" t="b">
        <f>IFERROR(__xludf.DUMMYFUNCTION("""COMPUTED_VALUE"""),TRUE)</f>
        <v>1</v>
      </c>
    </row>
    <row r="1887" hidden="1">
      <c r="A1887" s="76" t="str">
        <f>IFERROR(__xludf.DUMMYFUNCTION("""COMPUTED_VALUE"""),"Quandrix Unlimited")</f>
        <v>Quandrix Unlimited</v>
      </c>
      <c r="B1887" s="76" t="str">
        <f>IFERROR(__xludf.DUMMYFUNCTION("""COMPUTED_VALUE"""),"The Ruinous Powers")</f>
        <v>The Ruinous Powers</v>
      </c>
      <c r="C1887" s="77">
        <f>IFERROR(__xludf.DUMMYFUNCTION("""COMPUTED_VALUE"""),0.0)</f>
        <v>0</v>
      </c>
      <c r="D1887" s="77">
        <f>IFERROR(__xludf.DUMMYFUNCTION("""COMPUTED_VALUE"""),0.0)</f>
        <v>0</v>
      </c>
      <c r="E1887" s="46" t="b">
        <f>IFERROR(__xludf.DUMMYFUNCTION("""COMPUTED_VALUE"""),TRUE)</f>
        <v>1</v>
      </c>
    </row>
    <row r="1888" hidden="1">
      <c r="A1888" s="76" t="str">
        <f>IFERROR(__xludf.DUMMYFUNCTION("""COMPUTED_VALUE"""),"Quandrix Unlimited")</f>
        <v>Quandrix Unlimited</v>
      </c>
      <c r="B1888" s="76" t="str">
        <f>IFERROR(__xludf.DUMMYFUNCTION("""COMPUTED_VALUE"""),"Timey-Wimey")</f>
        <v>Timey-Wimey</v>
      </c>
      <c r="C1888" s="77">
        <f>IFERROR(__xludf.DUMMYFUNCTION("""COMPUTED_VALUE"""),0.0)</f>
        <v>0</v>
      </c>
      <c r="D1888" s="77">
        <f>IFERROR(__xludf.DUMMYFUNCTION("""COMPUTED_VALUE"""),0.0)</f>
        <v>0</v>
      </c>
      <c r="E1888" s="46" t="b">
        <f>IFERROR(__xludf.DUMMYFUNCTION("""COMPUTED_VALUE"""),TRUE)</f>
        <v>1</v>
      </c>
    </row>
    <row r="1889" hidden="1">
      <c r="A1889" s="76" t="str">
        <f>IFERROR(__xludf.DUMMYFUNCTION("""COMPUTED_VALUE"""),"Quandrix Unlimited")</f>
        <v>Quandrix Unlimited</v>
      </c>
      <c r="B1889" s="76" t="str">
        <f>IFERROR(__xludf.DUMMYFUNCTION("""COMPUTED_VALUE"""),"Tinker Time")</f>
        <v>Tinker Time</v>
      </c>
      <c r="C1889" s="77">
        <f>IFERROR(__xludf.DUMMYFUNCTION("""COMPUTED_VALUE"""),0.0)</f>
        <v>0</v>
      </c>
      <c r="D1889" s="77">
        <f>IFERROR(__xludf.DUMMYFUNCTION("""COMPUTED_VALUE"""),0.0)</f>
        <v>0</v>
      </c>
      <c r="E1889" s="46" t="b">
        <f>IFERROR(__xludf.DUMMYFUNCTION("""COMPUTED_VALUE"""),TRUE)</f>
        <v>1</v>
      </c>
    </row>
    <row r="1890" hidden="1">
      <c r="A1890" s="76" t="str">
        <f>IFERROR(__xludf.DUMMYFUNCTION("""COMPUTED_VALUE"""),"Quandrix Unlimited")</f>
        <v>Quandrix Unlimited</v>
      </c>
      <c r="B1890" s="76" t="str">
        <f>IFERROR(__xludf.DUMMYFUNCTION("""COMPUTED_VALUE"""),"Turtle Power!")</f>
        <v>Turtle Power!</v>
      </c>
      <c r="C1890" s="77">
        <f>IFERROR(__xludf.DUMMYFUNCTION("""COMPUTED_VALUE"""),1.0)</f>
        <v>1</v>
      </c>
      <c r="D1890" s="77">
        <f>IFERROR(__xludf.DUMMYFUNCTION("""COMPUTED_VALUE"""),0.0)</f>
        <v>0</v>
      </c>
      <c r="E1890" s="46" t="b">
        <f>IFERROR(__xludf.DUMMYFUNCTION("""COMPUTED_VALUE"""),FALSE)</f>
        <v>0</v>
      </c>
    </row>
    <row r="1891">
      <c r="A1891" s="76" t="str">
        <f>IFERROR(__xludf.DUMMYFUNCTION("""COMPUTED_VALUE"""),"Quandrix Unlimited")</f>
        <v>Quandrix Unlimited</v>
      </c>
      <c r="B1891" s="76" t="str">
        <f>IFERROR(__xludf.DUMMYFUNCTION("""COMPUTED_VALUE"""),"Veloci-ramp-tor")</f>
        <v>Veloci-ramp-tor</v>
      </c>
      <c r="C1891" s="77">
        <f>IFERROR(__xludf.DUMMYFUNCTION("""COMPUTED_VALUE"""),1.0)</f>
        <v>1</v>
      </c>
      <c r="D1891" s="77">
        <f>IFERROR(__xludf.DUMMYFUNCTION("""COMPUTED_VALUE"""),0.0)</f>
        <v>0</v>
      </c>
      <c r="E1891" s="46" t="b">
        <f>IFERROR(__xludf.DUMMYFUNCTION("""COMPUTED_VALUE"""),FALSE)</f>
        <v>0</v>
      </c>
    </row>
    <row r="1892" hidden="1">
      <c r="A1892" s="76" t="str">
        <f>IFERROR(__xludf.DUMMYFUNCTION("""COMPUTED_VALUE"""),"Quick Draw")</f>
        <v>Quick Draw</v>
      </c>
      <c r="B1892" s="76" t="str">
        <f>IFERROR(__xludf.DUMMYFUNCTION("""COMPUTED_VALUE"""),"Ahoy Mateys")</f>
        <v>Ahoy Mateys</v>
      </c>
      <c r="C1892" s="77">
        <f>IFERROR(__xludf.DUMMYFUNCTION("""COMPUTED_VALUE"""),0.0)</f>
        <v>0</v>
      </c>
      <c r="D1892" s="77">
        <f>IFERROR(__xludf.DUMMYFUNCTION("""COMPUTED_VALUE"""),0.0)</f>
        <v>0</v>
      </c>
      <c r="E1892" s="46" t="b">
        <f>IFERROR(__xludf.DUMMYFUNCTION("""COMPUTED_VALUE"""),TRUE)</f>
        <v>1</v>
      </c>
    </row>
    <row r="1893" hidden="1">
      <c r="A1893" s="76" t="str">
        <f>IFERROR(__xludf.DUMMYFUNCTION("""COMPUTED_VALUE"""),"Quick Draw")</f>
        <v>Quick Draw</v>
      </c>
      <c r="B1893" s="76" t="str">
        <f>IFERROR(__xludf.DUMMYFUNCTION("""COMPUTED_VALUE"""),"Animated Army")</f>
        <v>Animated Army</v>
      </c>
      <c r="C1893" s="77">
        <f>IFERROR(__xludf.DUMMYFUNCTION("""COMPUTED_VALUE"""),0.0)</f>
        <v>0</v>
      </c>
      <c r="D1893" s="77">
        <f>IFERROR(__xludf.DUMMYFUNCTION("""COMPUTED_VALUE"""),0.0)</f>
        <v>0</v>
      </c>
      <c r="E1893" s="46" t="b">
        <f>IFERROR(__xludf.DUMMYFUNCTION("""COMPUTED_VALUE"""),TRUE)</f>
        <v>1</v>
      </c>
    </row>
    <row r="1894">
      <c r="A1894" s="76" t="str">
        <f>IFERROR(__xludf.DUMMYFUNCTION("""COMPUTED_VALUE"""),"Quick Draw")</f>
        <v>Quick Draw</v>
      </c>
      <c r="B1894" s="76" t="str">
        <f>IFERROR(__xludf.DUMMYFUNCTION("""COMPUTED_VALUE"""),"Arcane Maelstrom")</f>
        <v>Arcane Maelstrom</v>
      </c>
      <c r="C1894" s="77">
        <f>IFERROR(__xludf.DUMMYFUNCTION("""COMPUTED_VALUE"""),0.0)</f>
        <v>0</v>
      </c>
      <c r="D1894" s="77">
        <f>IFERROR(__xludf.DUMMYFUNCTION("""COMPUTED_VALUE"""),0.0)</f>
        <v>0</v>
      </c>
      <c r="E1894" s="46" t="b">
        <f>IFERROR(__xludf.DUMMYFUNCTION("""COMPUTED_VALUE"""),TRUE)</f>
        <v>1</v>
      </c>
    </row>
    <row r="1895" hidden="1">
      <c r="A1895" s="76" t="str">
        <f>IFERROR(__xludf.DUMMYFUNCTION("""COMPUTED_VALUE"""),"Quick Draw")</f>
        <v>Quick Draw</v>
      </c>
      <c r="B1895" s="76" t="str">
        <f>IFERROR(__xludf.DUMMYFUNCTION("""COMPUTED_VALUE"""),"Blame Game")</f>
        <v>Blame Game</v>
      </c>
      <c r="C1895" s="77">
        <f>IFERROR(__xludf.DUMMYFUNCTION("""COMPUTED_VALUE"""),0.0)</f>
        <v>0</v>
      </c>
      <c r="D1895" s="77">
        <f>IFERROR(__xludf.DUMMYFUNCTION("""COMPUTED_VALUE"""),0.0)</f>
        <v>0</v>
      </c>
      <c r="E1895" s="46" t="b">
        <f>IFERROR(__xludf.DUMMYFUNCTION("""COMPUTED_VALUE"""),TRUE)</f>
        <v>1</v>
      </c>
    </row>
    <row r="1896" hidden="1">
      <c r="A1896" s="76" t="str">
        <f>IFERROR(__xludf.DUMMYFUNCTION("""COMPUTED_VALUE"""),"Quick Draw")</f>
        <v>Quick Draw</v>
      </c>
      <c r="B1896" s="76" t="str">
        <f>IFERROR(__xludf.DUMMYFUNCTION("""COMPUTED_VALUE"""),"Blight Curse")</f>
        <v>Blight Curse</v>
      </c>
      <c r="C1896" s="77">
        <f>IFERROR(__xludf.DUMMYFUNCTION("""COMPUTED_VALUE"""),0.0)</f>
        <v>0</v>
      </c>
      <c r="D1896" s="77">
        <f>IFERROR(__xludf.DUMMYFUNCTION("""COMPUTED_VALUE"""),0.0)</f>
        <v>0</v>
      </c>
      <c r="E1896" s="46" t="b">
        <f>IFERROR(__xludf.DUMMYFUNCTION("""COMPUTED_VALUE"""),TRUE)</f>
        <v>1</v>
      </c>
    </row>
    <row r="1897" hidden="1">
      <c r="A1897" s="76" t="str">
        <f>IFERROR(__xludf.DUMMYFUNCTION("""COMPUTED_VALUE"""),"Quick Draw")</f>
        <v>Quick Draw</v>
      </c>
      <c r="B1897" s="76" t="str">
        <f>IFERROR(__xludf.DUMMYFUNCTION("""COMPUTED_VALUE"""),"Blood Rites")</f>
        <v>Blood Rites</v>
      </c>
      <c r="C1897" s="77">
        <f>IFERROR(__xludf.DUMMYFUNCTION("""COMPUTED_VALUE"""),2.0)</f>
        <v>2</v>
      </c>
      <c r="D1897" s="77">
        <f>IFERROR(__xludf.DUMMYFUNCTION("""COMPUTED_VALUE"""),0.0)</f>
        <v>0</v>
      </c>
      <c r="E1897" s="46" t="b">
        <f>IFERROR(__xludf.DUMMYFUNCTION("""COMPUTED_VALUE"""),FALSE)</f>
        <v>0</v>
      </c>
    </row>
    <row r="1898" hidden="1">
      <c r="A1898" s="76" t="str">
        <f>IFERROR(__xludf.DUMMYFUNCTION("""COMPUTED_VALUE"""),"Quick Draw")</f>
        <v>Quick Draw</v>
      </c>
      <c r="B1898" s="76" t="str">
        <f>IFERROR(__xludf.DUMMYFUNCTION("""COMPUTED_VALUE"""),"Buckle Up")</f>
        <v>Buckle Up</v>
      </c>
      <c r="C1898" s="77">
        <f>IFERROR(__xludf.DUMMYFUNCTION("""COMPUTED_VALUE"""),0.0)</f>
        <v>0</v>
      </c>
      <c r="D1898" s="77">
        <f>IFERROR(__xludf.DUMMYFUNCTION("""COMPUTED_VALUE"""),0.0)</f>
        <v>0</v>
      </c>
      <c r="E1898" s="46" t="b">
        <f>IFERROR(__xludf.DUMMYFUNCTION("""COMPUTED_VALUE"""),TRUE)</f>
        <v>1</v>
      </c>
    </row>
    <row r="1899" hidden="1">
      <c r="A1899" s="76" t="str">
        <f>IFERROR(__xludf.DUMMYFUNCTION("""COMPUTED_VALUE"""),"Quick Draw")</f>
        <v>Quick Draw</v>
      </c>
      <c r="B1899" s="76" t="str">
        <f>IFERROR(__xludf.DUMMYFUNCTION("""COMPUTED_VALUE"""),"Cabaretti Cacophony")</f>
        <v>Cabaretti Cacophony</v>
      </c>
      <c r="C1899" s="77">
        <f>IFERROR(__xludf.DUMMYFUNCTION("""COMPUTED_VALUE"""),0.0)</f>
        <v>0</v>
      </c>
      <c r="D1899" s="77">
        <f>IFERROR(__xludf.DUMMYFUNCTION("""COMPUTED_VALUE"""),0.0)</f>
        <v>0</v>
      </c>
      <c r="E1899" s="46" t="b">
        <f>IFERROR(__xludf.DUMMYFUNCTION("""COMPUTED_VALUE"""),TRUE)</f>
        <v>1</v>
      </c>
    </row>
    <row r="1900" hidden="1">
      <c r="A1900" s="76" t="str">
        <f>IFERROR(__xludf.DUMMYFUNCTION("""COMPUTED_VALUE"""),"Quick Draw")</f>
        <v>Quick Draw</v>
      </c>
      <c r="B1900" s="76" t="str">
        <f>IFERROR(__xludf.DUMMYFUNCTION("""COMPUTED_VALUE"""),"Cavalry Charge")</f>
        <v>Cavalry Charge</v>
      </c>
      <c r="C1900" s="77">
        <f>IFERROR(__xludf.DUMMYFUNCTION("""COMPUTED_VALUE"""),2.0)</f>
        <v>2</v>
      </c>
      <c r="D1900" s="77">
        <f>IFERROR(__xludf.DUMMYFUNCTION("""COMPUTED_VALUE"""),2.0)</f>
        <v>2</v>
      </c>
      <c r="E1900" s="46" t="b">
        <f>IFERROR(__xludf.DUMMYFUNCTION("""COMPUTED_VALUE"""),FALSE)</f>
        <v>0</v>
      </c>
    </row>
    <row r="1901" hidden="1">
      <c r="A1901" s="76" t="str">
        <f>IFERROR(__xludf.DUMMYFUNCTION("""COMPUTED_VALUE"""),"Quick Draw")</f>
        <v>Quick Draw</v>
      </c>
      <c r="B1901" s="76" t="str">
        <f>IFERROR(__xludf.DUMMYFUNCTION("""COMPUTED_VALUE"""),"Corrupting Influence")</f>
        <v>Corrupting Influence</v>
      </c>
      <c r="C1901" s="77">
        <f>IFERROR(__xludf.DUMMYFUNCTION("""COMPUTED_VALUE"""),2.0)</f>
        <v>2</v>
      </c>
      <c r="D1901" s="77">
        <f>IFERROR(__xludf.DUMMYFUNCTION("""COMPUTED_VALUE"""),1.0)</f>
        <v>1</v>
      </c>
      <c r="E1901" s="46" t="b">
        <f>IFERROR(__xludf.DUMMYFUNCTION("""COMPUTED_VALUE"""),FALSE)</f>
        <v>0</v>
      </c>
    </row>
    <row r="1902">
      <c r="A1902" s="76" t="str">
        <f>IFERROR(__xludf.DUMMYFUNCTION("""COMPUTED_VALUE"""),"Quick Draw")</f>
        <v>Quick Draw</v>
      </c>
      <c r="B1902" s="76" t="str">
        <f>IFERROR(__xludf.DUMMYFUNCTION("""COMPUTED_VALUE"""),"Counter Blitz")</f>
        <v>Counter Blitz</v>
      </c>
      <c r="C1902" s="77">
        <f>IFERROR(__xludf.DUMMYFUNCTION("""COMPUTED_VALUE"""),1.0)</f>
        <v>1</v>
      </c>
      <c r="D1902" s="77">
        <f>IFERROR(__xludf.DUMMYFUNCTION("""COMPUTED_VALUE"""),0.0)</f>
        <v>0</v>
      </c>
      <c r="E1902" s="46" t="b">
        <f>IFERROR(__xludf.DUMMYFUNCTION("""COMPUTED_VALUE"""),FALSE)</f>
        <v>0</v>
      </c>
    </row>
    <row r="1903">
      <c r="A1903" s="76" t="str">
        <f>IFERROR(__xludf.DUMMYFUNCTION("""COMPUTED_VALUE"""),"Quick Draw")</f>
        <v>Quick Draw</v>
      </c>
      <c r="B1903" s="76" t="str">
        <f>IFERROR(__xludf.DUMMYFUNCTION("""COMPUTED_VALUE"""),"Counter Intelligence")</f>
        <v>Counter Intelligence</v>
      </c>
      <c r="C1903" s="77">
        <f>IFERROR(__xludf.DUMMYFUNCTION("""COMPUTED_VALUE"""),2.0)</f>
        <v>2</v>
      </c>
      <c r="D1903" s="77">
        <f>IFERROR(__xludf.DUMMYFUNCTION("""COMPUTED_VALUE"""),0.0)</f>
        <v>0</v>
      </c>
      <c r="E1903" s="46" t="b">
        <f>IFERROR(__xludf.DUMMYFUNCTION("""COMPUTED_VALUE"""),FALSE)</f>
        <v>0</v>
      </c>
    </row>
    <row r="1904" hidden="1">
      <c r="A1904" s="76" t="str">
        <f>IFERROR(__xludf.DUMMYFUNCTION("""COMPUTED_VALUE"""),"Quick Draw")</f>
        <v>Quick Draw</v>
      </c>
      <c r="B1904" s="76" t="str">
        <f>IFERROR(__xludf.DUMMYFUNCTION("""COMPUTED_VALUE"""),"Creative Energy")</f>
        <v>Creative Energy</v>
      </c>
      <c r="C1904" s="77">
        <f>IFERROR(__xludf.DUMMYFUNCTION("""COMPUTED_VALUE"""),0.0)</f>
        <v>0</v>
      </c>
      <c r="D1904" s="77">
        <f>IFERROR(__xludf.DUMMYFUNCTION("""COMPUTED_VALUE"""),0.0)</f>
        <v>0</v>
      </c>
      <c r="E1904" s="46" t="b">
        <f>IFERROR(__xludf.DUMMYFUNCTION("""COMPUTED_VALUE"""),TRUE)</f>
        <v>1</v>
      </c>
    </row>
    <row r="1905" hidden="1">
      <c r="A1905" s="76" t="str">
        <f>IFERROR(__xludf.DUMMYFUNCTION("""COMPUTED_VALUE"""),"Quick Draw")</f>
        <v>Quick Draw</v>
      </c>
      <c r="B1905" s="76" t="str">
        <f>IFERROR(__xludf.DUMMYFUNCTION("""COMPUTED_VALUE"""),"Dance of the Elements")</f>
        <v>Dance of the Elements</v>
      </c>
      <c r="C1905" s="77">
        <f>IFERROR(__xludf.DUMMYFUNCTION("""COMPUTED_VALUE"""),3.0)</f>
        <v>3</v>
      </c>
      <c r="D1905" s="77">
        <f>IFERROR(__xludf.DUMMYFUNCTION("""COMPUTED_VALUE"""),0.0)</f>
        <v>0</v>
      </c>
      <c r="E1905" s="46" t="b">
        <f>IFERROR(__xludf.DUMMYFUNCTION("""COMPUTED_VALUE"""),FALSE)</f>
        <v>0</v>
      </c>
    </row>
    <row r="1906" hidden="1">
      <c r="A1906" s="76" t="str">
        <f>IFERROR(__xludf.DUMMYFUNCTION("""COMPUTED_VALUE"""),"Quick Draw")</f>
        <v>Quick Draw</v>
      </c>
      <c r="B1906" s="76" t="str">
        <f>IFERROR(__xludf.DUMMYFUNCTION("""COMPUTED_VALUE"""),"Deep Clue Sea")</f>
        <v>Deep Clue Sea</v>
      </c>
      <c r="C1906" s="77">
        <f>IFERROR(__xludf.DUMMYFUNCTION("""COMPUTED_VALUE"""),0.0)</f>
        <v>0</v>
      </c>
      <c r="D1906" s="77">
        <f>IFERROR(__xludf.DUMMYFUNCTION("""COMPUTED_VALUE"""),0.0)</f>
        <v>0</v>
      </c>
      <c r="E1906" s="46" t="b">
        <f>IFERROR(__xludf.DUMMYFUNCTION("""COMPUTED_VALUE"""),TRUE)</f>
        <v>1</v>
      </c>
    </row>
    <row r="1907" hidden="1">
      <c r="A1907" s="76" t="str">
        <f>IFERROR(__xludf.DUMMYFUNCTION("""COMPUTED_VALUE"""),"Quick Draw")</f>
        <v>Quick Draw</v>
      </c>
      <c r="B1907" s="76" t="str">
        <f>IFERROR(__xludf.DUMMYFUNCTION("""COMPUTED_VALUE"""),"Doom Prevails")</f>
        <v>Doom Prevails</v>
      </c>
      <c r="C1907" s="77">
        <f>IFERROR(__xludf.DUMMYFUNCTION("""COMPUTED_VALUE"""),0.0)</f>
        <v>0</v>
      </c>
      <c r="D1907" s="77">
        <f>IFERROR(__xludf.DUMMYFUNCTION("""COMPUTED_VALUE"""),0.0)</f>
        <v>0</v>
      </c>
      <c r="E1907" s="46" t="b">
        <f>IFERROR(__xludf.DUMMYFUNCTION("""COMPUTED_VALUE"""),TRUE)</f>
        <v>1</v>
      </c>
    </row>
    <row r="1908">
      <c r="A1908" s="76" t="str">
        <f>IFERROR(__xludf.DUMMYFUNCTION("""COMPUTED_VALUE"""),"Quick Draw")</f>
        <v>Quick Draw</v>
      </c>
      <c r="B1908" s="76" t="str">
        <f>IFERROR(__xludf.DUMMYFUNCTION("""COMPUTED_VALUE"""),"Eldrazi Incursion")</f>
        <v>Eldrazi Incursion</v>
      </c>
      <c r="C1908" s="77">
        <f>IFERROR(__xludf.DUMMYFUNCTION("""COMPUTED_VALUE"""),0.0)</f>
        <v>0</v>
      </c>
      <c r="D1908" s="77">
        <f>IFERROR(__xludf.DUMMYFUNCTION("""COMPUTED_VALUE"""),0.0)</f>
        <v>0</v>
      </c>
      <c r="E1908" s="46" t="b">
        <f>IFERROR(__xludf.DUMMYFUNCTION("""COMPUTED_VALUE"""),TRUE)</f>
        <v>1</v>
      </c>
    </row>
    <row r="1909" hidden="1">
      <c r="A1909" s="76" t="str">
        <f>IFERROR(__xludf.DUMMYFUNCTION("""COMPUTED_VALUE"""),"Quick Draw")</f>
        <v>Quick Draw</v>
      </c>
      <c r="B1909" s="76" t="str">
        <f>IFERROR(__xludf.DUMMYFUNCTION("""COMPUTED_VALUE"""),"Eldrazi Unbound")</f>
        <v>Eldrazi Unbound</v>
      </c>
      <c r="C1909" s="77">
        <f>IFERROR(__xludf.DUMMYFUNCTION("""COMPUTED_VALUE"""),0.0)</f>
        <v>0</v>
      </c>
      <c r="D1909" s="77">
        <f>IFERROR(__xludf.DUMMYFUNCTION("""COMPUTED_VALUE"""),0.0)</f>
        <v>0</v>
      </c>
      <c r="E1909" s="46" t="b">
        <f>IFERROR(__xludf.DUMMYFUNCTION("""COMPUTED_VALUE"""),TRUE)</f>
        <v>1</v>
      </c>
    </row>
    <row r="1910" hidden="1">
      <c r="A1910" s="76" t="str">
        <f>IFERROR(__xludf.DUMMYFUNCTION("""COMPUTED_VALUE"""),"Quick Draw")</f>
        <v>Quick Draw</v>
      </c>
      <c r="B1910" s="76" t="str">
        <f>IFERROR(__xludf.DUMMYFUNCTION("""COMPUTED_VALUE"""),"Endless Punishment")</f>
        <v>Endless Punishment</v>
      </c>
      <c r="C1910" s="77">
        <f>IFERROR(__xludf.DUMMYFUNCTION("""COMPUTED_VALUE"""),0.0)</f>
        <v>0</v>
      </c>
      <c r="D1910" s="77">
        <f>IFERROR(__xludf.DUMMYFUNCTION("""COMPUTED_VALUE"""),0.0)</f>
        <v>0</v>
      </c>
      <c r="E1910" s="46" t="b">
        <f>IFERROR(__xludf.DUMMYFUNCTION("""COMPUTED_VALUE"""),TRUE)</f>
        <v>1</v>
      </c>
    </row>
    <row r="1911" hidden="1">
      <c r="A1911" s="76" t="str">
        <f>IFERROR(__xludf.DUMMYFUNCTION("""COMPUTED_VALUE"""),"Quick Draw")</f>
        <v>Quick Draw</v>
      </c>
      <c r="B1911" s="76" t="str">
        <f>IFERROR(__xludf.DUMMYFUNCTION("""COMPUTED_VALUE"""),"Enduring Enchantments")</f>
        <v>Enduring Enchantments</v>
      </c>
      <c r="C1911" s="77">
        <f>IFERROR(__xludf.DUMMYFUNCTION("""COMPUTED_VALUE"""),0.0)</f>
        <v>0</v>
      </c>
      <c r="D1911" s="77">
        <f>IFERROR(__xludf.DUMMYFUNCTION("""COMPUTED_VALUE"""),0.0)</f>
        <v>0</v>
      </c>
      <c r="E1911" s="46" t="b">
        <f>IFERROR(__xludf.DUMMYFUNCTION("""COMPUTED_VALUE"""),TRUE)</f>
        <v>1</v>
      </c>
    </row>
    <row r="1912" hidden="1">
      <c r="A1912" s="76" t="str">
        <f>IFERROR(__xludf.DUMMYFUNCTION("""COMPUTED_VALUE"""),"Quick Draw")</f>
        <v>Quick Draw</v>
      </c>
      <c r="B1912" s="76" t="str">
        <f>IFERROR(__xludf.DUMMYFUNCTION("""COMPUTED_VALUE"""),"Explorers of the Deep")</f>
        <v>Explorers of the Deep</v>
      </c>
      <c r="C1912" s="77">
        <f>IFERROR(__xludf.DUMMYFUNCTION("""COMPUTED_VALUE"""),1.0)</f>
        <v>1</v>
      </c>
      <c r="D1912" s="77">
        <f>IFERROR(__xludf.DUMMYFUNCTION("""COMPUTED_VALUE"""),0.0)</f>
        <v>0</v>
      </c>
      <c r="E1912" s="46" t="b">
        <f>IFERROR(__xludf.DUMMYFUNCTION("""COMPUTED_VALUE"""),FALSE)</f>
        <v>0</v>
      </c>
    </row>
    <row r="1913" hidden="1">
      <c r="A1913" s="76" t="str">
        <f>IFERROR(__xludf.DUMMYFUNCTION("""COMPUTED_VALUE"""),"Quick Draw")</f>
        <v>Quick Draw</v>
      </c>
      <c r="B1913" s="76" t="str">
        <f>IFERROR(__xludf.DUMMYFUNCTION("""COMPUTED_VALUE"""),"Family Matters")</f>
        <v>Family Matters</v>
      </c>
      <c r="C1913" s="77">
        <f>IFERROR(__xludf.DUMMYFUNCTION("""COMPUTED_VALUE"""),1.0)</f>
        <v>1</v>
      </c>
      <c r="D1913" s="77">
        <f>IFERROR(__xludf.DUMMYFUNCTION("""COMPUTED_VALUE"""),0.0)</f>
        <v>0</v>
      </c>
      <c r="E1913" s="46" t="b">
        <f>IFERROR(__xludf.DUMMYFUNCTION("""COMPUTED_VALUE"""),FALSE)</f>
        <v>0</v>
      </c>
    </row>
    <row r="1914" hidden="1">
      <c r="A1914" s="76" t="str">
        <f>IFERROR(__xludf.DUMMYFUNCTION("""COMPUTED_VALUE"""),"Quick Draw")</f>
        <v>Quick Draw</v>
      </c>
      <c r="B1914" s="76" t="str">
        <f>IFERROR(__xludf.DUMMYFUNCTION("""COMPUTED_VALUE"""),"Food and Fellowship")</f>
        <v>Food and Fellowship</v>
      </c>
      <c r="C1914" s="77">
        <f>IFERROR(__xludf.DUMMYFUNCTION("""COMPUTED_VALUE"""),1.0)</f>
        <v>1</v>
      </c>
      <c r="D1914" s="77">
        <f>IFERROR(__xludf.DUMMYFUNCTION("""COMPUTED_VALUE"""),0.0)</f>
        <v>0</v>
      </c>
      <c r="E1914" s="46" t="b">
        <f>IFERROR(__xludf.DUMMYFUNCTION("""COMPUTED_VALUE"""),FALSE)</f>
        <v>0</v>
      </c>
    </row>
    <row r="1915" hidden="1">
      <c r="A1915" s="76" t="str">
        <f>IFERROR(__xludf.DUMMYFUNCTION("""COMPUTED_VALUE"""),"Quick Draw")</f>
        <v>Quick Draw</v>
      </c>
      <c r="B1915" s="76" t="str">
        <f>IFERROR(__xludf.DUMMYFUNCTION("""COMPUTED_VALUE"""),"Jeskai Striker")</f>
        <v>Jeskai Striker</v>
      </c>
      <c r="C1915" s="77">
        <f>IFERROR(__xludf.DUMMYFUNCTION("""COMPUTED_VALUE"""),0.0)</f>
        <v>0</v>
      </c>
      <c r="D1915" s="77">
        <f>IFERROR(__xludf.DUMMYFUNCTION("""COMPUTED_VALUE"""),1.0)</f>
        <v>1</v>
      </c>
      <c r="E1915" s="46" t="b">
        <f>IFERROR(__xludf.DUMMYFUNCTION("""COMPUTED_VALUE"""),FALSE)</f>
        <v>0</v>
      </c>
    </row>
    <row r="1916" hidden="1">
      <c r="A1916" s="76" t="str">
        <f>IFERROR(__xludf.DUMMYFUNCTION("""COMPUTED_VALUE"""),"Quick Draw")</f>
        <v>Quick Draw</v>
      </c>
      <c r="B1916" s="76" t="str">
        <f>IFERROR(__xludf.DUMMYFUNCTION("""COMPUTED_VALUE"""),"Legends' Legacy")</f>
        <v>Legends' Legacy</v>
      </c>
      <c r="C1916" s="77">
        <f>IFERROR(__xludf.DUMMYFUNCTION("""COMPUTED_VALUE"""),1.0)</f>
        <v>1</v>
      </c>
      <c r="D1916" s="77">
        <f>IFERROR(__xludf.DUMMYFUNCTION("""COMPUTED_VALUE"""),0.0)</f>
        <v>0</v>
      </c>
      <c r="E1916" s="46" t="b">
        <f>IFERROR(__xludf.DUMMYFUNCTION("""COMPUTED_VALUE"""),FALSE)</f>
        <v>0</v>
      </c>
    </row>
    <row r="1917" hidden="1">
      <c r="A1917" s="76" t="str">
        <f>IFERROR(__xludf.DUMMYFUNCTION("""COMPUTED_VALUE"""),"Quick Draw")</f>
        <v>Quick Draw</v>
      </c>
      <c r="B1917" s="76" t="str">
        <f>IFERROR(__xludf.DUMMYFUNCTION("""COMPUTED_VALUE"""),"Limit Break")</f>
        <v>Limit Break</v>
      </c>
      <c r="C1917" s="77">
        <f>IFERROR(__xludf.DUMMYFUNCTION("""COMPUTED_VALUE"""),0.0)</f>
        <v>0</v>
      </c>
      <c r="D1917" s="77">
        <f>IFERROR(__xludf.DUMMYFUNCTION("""COMPUTED_VALUE"""),0.0)</f>
        <v>0</v>
      </c>
      <c r="E1917" s="46" t="b">
        <f>IFERROR(__xludf.DUMMYFUNCTION("""COMPUTED_VALUE"""),TRUE)</f>
        <v>1</v>
      </c>
    </row>
    <row r="1918" hidden="1">
      <c r="A1918" s="76" t="str">
        <f>IFERROR(__xludf.DUMMYFUNCTION("""COMPUTED_VALUE"""),"Quick Draw")</f>
        <v>Quick Draw</v>
      </c>
      <c r="B1918" s="76" t="str">
        <f>IFERROR(__xludf.DUMMYFUNCTION("""COMPUTED_VALUE"""),"Lorehold Spirit")</f>
        <v>Lorehold Spirit</v>
      </c>
      <c r="C1918" s="77">
        <f>IFERROR(__xludf.DUMMYFUNCTION("""COMPUTED_VALUE"""),1.0)</f>
        <v>1</v>
      </c>
      <c r="D1918" s="77">
        <f>IFERROR(__xludf.DUMMYFUNCTION("""COMPUTED_VALUE"""),0.0)</f>
        <v>0</v>
      </c>
      <c r="E1918" s="46" t="b">
        <f>IFERROR(__xludf.DUMMYFUNCTION("""COMPUTED_VALUE"""),FALSE)</f>
        <v>0</v>
      </c>
    </row>
    <row r="1919" hidden="1">
      <c r="A1919" s="76" t="str">
        <f>IFERROR(__xludf.DUMMYFUNCTION("""COMPUTED_VALUE"""),"Quick Draw")</f>
        <v>Quick Draw</v>
      </c>
      <c r="B1919" s="76" t="str">
        <f>IFERROR(__xludf.DUMMYFUNCTION("""COMPUTED_VALUE"""),"Mutant Menace")</f>
        <v>Mutant Menace</v>
      </c>
      <c r="C1919" s="77">
        <f>IFERROR(__xludf.DUMMYFUNCTION("""COMPUTED_VALUE"""),0.0)</f>
        <v>0</v>
      </c>
      <c r="D1919" s="77">
        <f>IFERROR(__xludf.DUMMYFUNCTION("""COMPUTED_VALUE"""),0.0)</f>
        <v>0</v>
      </c>
      <c r="E1919" s="46" t="b">
        <f>IFERROR(__xludf.DUMMYFUNCTION("""COMPUTED_VALUE"""),TRUE)</f>
        <v>1</v>
      </c>
    </row>
    <row r="1920">
      <c r="A1920" s="76" t="str">
        <f>IFERROR(__xludf.DUMMYFUNCTION("""COMPUTED_VALUE"""),"Quick Draw")</f>
        <v>Quick Draw</v>
      </c>
      <c r="B1920" s="76" t="str">
        <f>IFERROR(__xludf.DUMMYFUNCTION("""COMPUTED_VALUE"""),"Party Time")</f>
        <v>Party Time</v>
      </c>
      <c r="C1920" s="77">
        <f>IFERROR(__xludf.DUMMYFUNCTION("""COMPUTED_VALUE"""),0.0)</f>
        <v>0</v>
      </c>
      <c r="D1920" s="77">
        <f>IFERROR(__xludf.DUMMYFUNCTION("""COMPUTED_VALUE"""),0.0)</f>
        <v>0</v>
      </c>
      <c r="E1920" s="46" t="b">
        <f>IFERROR(__xludf.DUMMYFUNCTION("""COMPUTED_VALUE"""),TRUE)</f>
        <v>1</v>
      </c>
    </row>
    <row r="1921" hidden="1">
      <c r="A1921" s="76" t="str">
        <f>IFERROR(__xludf.DUMMYFUNCTION("""COMPUTED_VALUE"""),"Quick Draw")</f>
        <v>Quick Draw</v>
      </c>
      <c r="B1921" s="76" t="str">
        <f>IFERROR(__xludf.DUMMYFUNCTION("""COMPUTED_VALUE"""),"Peace Offering")</f>
        <v>Peace Offering</v>
      </c>
      <c r="C1921" s="77">
        <f>IFERROR(__xludf.DUMMYFUNCTION("""COMPUTED_VALUE"""),0.0)</f>
        <v>0</v>
      </c>
      <c r="D1921" s="77">
        <f>IFERROR(__xludf.DUMMYFUNCTION("""COMPUTED_VALUE"""),0.0)</f>
        <v>0</v>
      </c>
      <c r="E1921" s="46" t="b">
        <f>IFERROR(__xludf.DUMMYFUNCTION("""COMPUTED_VALUE"""),TRUE)</f>
        <v>1</v>
      </c>
    </row>
    <row r="1922" hidden="1">
      <c r="A1922" s="76" t="str">
        <f>IFERROR(__xludf.DUMMYFUNCTION("""COMPUTED_VALUE"""),"Quick Draw")</f>
        <v>Quick Draw</v>
      </c>
      <c r="B1922" s="76" t="str">
        <f>IFERROR(__xludf.DUMMYFUNCTION("""COMPUTED_VALUE"""),"Power Hungry")</f>
        <v>Power Hungry</v>
      </c>
      <c r="C1922" s="77">
        <f>IFERROR(__xludf.DUMMYFUNCTION("""COMPUTED_VALUE"""),0.0)</f>
        <v>0</v>
      </c>
      <c r="D1922" s="77">
        <f>IFERROR(__xludf.DUMMYFUNCTION("""COMPUTED_VALUE"""),0.0)</f>
        <v>0</v>
      </c>
      <c r="E1922" s="46" t="b">
        <f>IFERROR(__xludf.DUMMYFUNCTION("""COMPUTED_VALUE"""),TRUE)</f>
        <v>1</v>
      </c>
    </row>
    <row r="1923" hidden="1">
      <c r="A1923" s="76" t="str">
        <f>IFERROR(__xludf.DUMMYFUNCTION("""COMPUTED_VALUE"""),"Quick Draw")</f>
        <v>Quick Draw</v>
      </c>
      <c r="B1923" s="76" t="str">
        <f>IFERROR(__xludf.DUMMYFUNCTION("""COMPUTED_VALUE"""),"Primal Genesis")</f>
        <v>Primal Genesis</v>
      </c>
      <c r="C1923" s="77">
        <f>IFERROR(__xludf.DUMMYFUNCTION("""COMPUTED_VALUE"""),0.0)</f>
        <v>0</v>
      </c>
      <c r="D1923" s="77">
        <f>IFERROR(__xludf.DUMMYFUNCTION("""COMPUTED_VALUE"""),0.0)</f>
        <v>0</v>
      </c>
      <c r="E1923" s="46" t="b">
        <f>IFERROR(__xludf.DUMMYFUNCTION("""COMPUTED_VALUE"""),TRUE)</f>
        <v>1</v>
      </c>
    </row>
    <row r="1924" hidden="1">
      <c r="A1924" s="76" t="str">
        <f>IFERROR(__xludf.DUMMYFUNCTION("""COMPUTED_VALUE"""),"Quick Draw")</f>
        <v>Quick Draw</v>
      </c>
      <c r="B1924" s="76" t="str">
        <f>IFERROR(__xludf.DUMMYFUNCTION("""COMPUTED_VALUE"""),"Prismari Artistry")</f>
        <v>Prismari Artistry</v>
      </c>
      <c r="C1924" s="77">
        <f>IFERROR(__xludf.DUMMYFUNCTION("""COMPUTED_VALUE"""),1.0)</f>
        <v>1</v>
      </c>
      <c r="D1924" s="77">
        <f>IFERROR(__xludf.DUMMYFUNCTION("""COMPUTED_VALUE"""),0.0)</f>
        <v>0</v>
      </c>
      <c r="E1924" s="46" t="b">
        <f>IFERROR(__xludf.DUMMYFUNCTION("""COMPUTED_VALUE"""),FALSE)</f>
        <v>0</v>
      </c>
    </row>
    <row r="1925" hidden="1">
      <c r="A1925" s="76" t="str">
        <f>IFERROR(__xludf.DUMMYFUNCTION("""COMPUTED_VALUE"""),"Quick Draw")</f>
        <v>Quick Draw</v>
      </c>
      <c r="B1925" s="76" t="str">
        <f>IFERROR(__xludf.DUMMYFUNCTION("""COMPUTED_VALUE"""),"Prismari Performance")</f>
        <v>Prismari Performance</v>
      </c>
      <c r="C1925" s="77">
        <f>IFERROR(__xludf.DUMMYFUNCTION("""COMPUTED_VALUE"""),0.0)</f>
        <v>0</v>
      </c>
      <c r="D1925" s="77">
        <f>IFERROR(__xludf.DUMMYFUNCTION("""COMPUTED_VALUE"""),0.0)</f>
        <v>0</v>
      </c>
      <c r="E1925" s="46" t="b">
        <f>IFERROR(__xludf.DUMMYFUNCTION("""COMPUTED_VALUE"""),TRUE)</f>
        <v>1</v>
      </c>
    </row>
    <row r="1926" hidden="1">
      <c r="A1926" s="76" t="str">
        <f>IFERROR(__xludf.DUMMYFUNCTION("""COMPUTED_VALUE"""),"Quick Draw")</f>
        <v>Quick Draw</v>
      </c>
      <c r="B1926" s="76" t="str">
        <f>IFERROR(__xludf.DUMMYFUNCTION("""COMPUTED_VALUE"""),"Quandrix Unlimited")</f>
        <v>Quandrix Unlimited</v>
      </c>
      <c r="C1926" s="77">
        <f>IFERROR(__xludf.DUMMYFUNCTION("""COMPUTED_VALUE"""),0.0)</f>
        <v>0</v>
      </c>
      <c r="D1926" s="77">
        <f>IFERROR(__xludf.DUMMYFUNCTION("""COMPUTED_VALUE"""),1.0)</f>
        <v>1</v>
      </c>
      <c r="E1926" s="46" t="b">
        <f>IFERROR(__xludf.DUMMYFUNCTION("""COMPUTED_VALUE"""),FALSE)</f>
        <v>0</v>
      </c>
    </row>
    <row r="1927" hidden="1">
      <c r="A1927" s="76" t="str">
        <f>IFERROR(__xludf.DUMMYFUNCTION("""COMPUTED_VALUE"""),"Quick Draw")</f>
        <v>Quick Draw</v>
      </c>
      <c r="B1927" s="76" t="str">
        <f>IFERROR(__xludf.DUMMYFUNCTION("""COMPUTED_VALUE"""),"Quick Draw")</f>
        <v>Quick Draw</v>
      </c>
      <c r="C1927" s="77">
        <f>IFERROR(__xludf.DUMMYFUNCTION("""COMPUTED_VALUE"""),8.0)</f>
        <v>8</v>
      </c>
      <c r="D1927" s="77">
        <f>IFERROR(__xludf.DUMMYFUNCTION("""COMPUTED_VALUE"""),8.0)</f>
        <v>8</v>
      </c>
      <c r="E1927" s="46" t="b">
        <f>IFERROR(__xludf.DUMMYFUNCTION("""COMPUTED_VALUE"""),TRUE)</f>
        <v>1</v>
      </c>
    </row>
    <row r="1928" hidden="1">
      <c r="A1928" s="76" t="str">
        <f>IFERROR(__xludf.DUMMYFUNCTION("""COMPUTED_VALUE"""),"Quick Draw")</f>
        <v>Quick Draw</v>
      </c>
      <c r="B1928" s="76" t="str">
        <f>IFERROR(__xludf.DUMMYFUNCTION("""COMPUTED_VALUE"""),"Reap the Tides")</f>
        <v>Reap the Tides</v>
      </c>
      <c r="C1928" s="77">
        <f>IFERROR(__xludf.DUMMYFUNCTION("""COMPUTED_VALUE"""),0.0)</f>
        <v>0</v>
      </c>
      <c r="D1928" s="77">
        <f>IFERROR(__xludf.DUMMYFUNCTION("""COMPUTED_VALUE"""),0.0)</f>
        <v>0</v>
      </c>
      <c r="E1928" s="46" t="b">
        <f>IFERROR(__xludf.DUMMYFUNCTION("""COMPUTED_VALUE"""),TRUE)</f>
        <v>1</v>
      </c>
    </row>
    <row r="1929" hidden="1">
      <c r="A1929" s="76" t="str">
        <f>IFERROR(__xludf.DUMMYFUNCTION("""COMPUTED_VALUE"""),"Quick Draw")</f>
        <v>Quick Draw</v>
      </c>
      <c r="B1929" s="76" t="str">
        <f>IFERROR(__xludf.DUMMYFUNCTION("""COMPUTED_VALUE"""),"Rebellion Rising")</f>
        <v>Rebellion Rising</v>
      </c>
      <c r="C1929" s="77">
        <f>IFERROR(__xludf.DUMMYFUNCTION("""COMPUTED_VALUE"""),0.0)</f>
        <v>0</v>
      </c>
      <c r="D1929" s="77">
        <f>IFERROR(__xludf.DUMMYFUNCTION("""COMPUTED_VALUE"""),0.0)</f>
        <v>0</v>
      </c>
      <c r="E1929" s="46" t="b">
        <f>IFERROR(__xludf.DUMMYFUNCTION("""COMPUTED_VALUE"""),TRUE)</f>
        <v>1</v>
      </c>
    </row>
    <row r="1930" hidden="1">
      <c r="A1930" s="76" t="str">
        <f>IFERROR(__xludf.DUMMYFUNCTION("""COMPUTED_VALUE"""),"Quick Draw")</f>
        <v>Quick Draw</v>
      </c>
      <c r="B1930" s="76" t="str">
        <f>IFERROR(__xludf.DUMMYFUNCTION("""COMPUTED_VALUE"""),"Revival Trance")</f>
        <v>Revival Trance</v>
      </c>
      <c r="C1930" s="77">
        <f>IFERROR(__xludf.DUMMYFUNCTION("""COMPUTED_VALUE"""),0.0)</f>
        <v>0</v>
      </c>
      <c r="D1930" s="77">
        <f>IFERROR(__xludf.DUMMYFUNCTION("""COMPUTED_VALUE"""),0.0)</f>
        <v>0</v>
      </c>
      <c r="E1930" s="46" t="b">
        <f>IFERROR(__xludf.DUMMYFUNCTION("""COMPUTED_VALUE"""),TRUE)</f>
        <v>1</v>
      </c>
    </row>
    <row r="1931" hidden="1">
      <c r="A1931" s="76" t="str">
        <f>IFERROR(__xludf.DUMMYFUNCTION("""COMPUTED_VALUE"""),"Quick Draw")</f>
        <v>Quick Draw</v>
      </c>
      <c r="B1931" s="76" t="str">
        <f>IFERROR(__xludf.DUMMYFUNCTION("""COMPUTED_VALUE"""),"Riders of Rohan")</f>
        <v>Riders of Rohan</v>
      </c>
      <c r="C1931" s="77">
        <f>IFERROR(__xludf.DUMMYFUNCTION("""COMPUTED_VALUE"""),1.0)</f>
        <v>1</v>
      </c>
      <c r="D1931" s="77">
        <f>IFERROR(__xludf.DUMMYFUNCTION("""COMPUTED_VALUE"""),0.0)</f>
        <v>0</v>
      </c>
      <c r="E1931" s="46" t="b">
        <f>IFERROR(__xludf.DUMMYFUNCTION("""COMPUTED_VALUE"""),FALSE)</f>
        <v>0</v>
      </c>
    </row>
    <row r="1932" hidden="1">
      <c r="A1932" s="76" t="str">
        <f>IFERROR(__xludf.DUMMYFUNCTION("""COMPUTED_VALUE"""),"Quick Draw")</f>
        <v>Quick Draw</v>
      </c>
      <c r="B1932" s="76" t="str">
        <f>IFERROR(__xludf.DUMMYFUNCTION("""COMPUTED_VALUE"""),"Science!")</f>
        <v>Science!</v>
      </c>
      <c r="C1932" s="77">
        <f>IFERROR(__xludf.DUMMYFUNCTION("""COMPUTED_VALUE"""),1.0)</f>
        <v>1</v>
      </c>
      <c r="D1932" s="77">
        <f>IFERROR(__xludf.DUMMYFUNCTION("""COMPUTED_VALUE"""),0.0)</f>
        <v>0</v>
      </c>
      <c r="E1932" s="46" t="b">
        <f>IFERROR(__xludf.DUMMYFUNCTION("""COMPUTED_VALUE"""),FALSE)</f>
        <v>0</v>
      </c>
    </row>
    <row r="1933" hidden="1">
      <c r="A1933" s="76" t="str">
        <f>IFERROR(__xludf.DUMMYFUNCTION("""COMPUTED_VALUE"""),"Quick Draw")</f>
        <v>Quick Draw</v>
      </c>
      <c r="B1933" s="76" t="str">
        <f>IFERROR(__xludf.DUMMYFUNCTION("""COMPUTED_VALUE"""),"Scions &amp; Spellcraft")</f>
        <v>Scions &amp; Spellcraft</v>
      </c>
      <c r="C1933" s="77">
        <f>IFERROR(__xludf.DUMMYFUNCTION("""COMPUTED_VALUE"""),2.0)</f>
        <v>2</v>
      </c>
      <c r="D1933" s="77">
        <f>IFERROR(__xludf.DUMMYFUNCTION("""COMPUTED_VALUE"""),0.0)</f>
        <v>0</v>
      </c>
      <c r="E1933" s="46" t="b">
        <f>IFERROR(__xludf.DUMMYFUNCTION("""COMPUTED_VALUE"""),FALSE)</f>
        <v>0</v>
      </c>
    </row>
    <row r="1934" hidden="1">
      <c r="A1934" s="76" t="str">
        <f>IFERROR(__xludf.DUMMYFUNCTION("""COMPUTED_VALUE"""),"Quick Draw")</f>
        <v>Quick Draw</v>
      </c>
      <c r="B1934" s="76" t="str">
        <f>IFERROR(__xludf.DUMMYFUNCTION("""COMPUTED_VALUE"""),"Scrappy Survivors")</f>
        <v>Scrappy Survivors</v>
      </c>
      <c r="C1934" s="77">
        <f>IFERROR(__xludf.DUMMYFUNCTION("""COMPUTED_VALUE"""),1.0)</f>
        <v>1</v>
      </c>
      <c r="D1934" s="77">
        <f>IFERROR(__xludf.DUMMYFUNCTION("""COMPUTED_VALUE"""),0.0)</f>
        <v>0</v>
      </c>
      <c r="E1934" s="46" t="b">
        <f>IFERROR(__xludf.DUMMYFUNCTION("""COMPUTED_VALUE"""),FALSE)</f>
        <v>0</v>
      </c>
    </row>
    <row r="1935" hidden="1">
      <c r="A1935" s="76" t="str">
        <f>IFERROR(__xludf.DUMMYFUNCTION("""COMPUTED_VALUE"""),"Quick Draw")</f>
        <v>Quick Draw</v>
      </c>
      <c r="B1935" s="76" t="str">
        <f>IFERROR(__xludf.DUMMYFUNCTION("""COMPUTED_VALUE"""),"Silverquill Influence")</f>
        <v>Silverquill Influence</v>
      </c>
      <c r="C1935" s="77">
        <f>IFERROR(__xludf.DUMMYFUNCTION("""COMPUTED_VALUE"""),0.0)</f>
        <v>0</v>
      </c>
      <c r="D1935" s="77">
        <f>IFERROR(__xludf.DUMMYFUNCTION("""COMPUTED_VALUE"""),0.0)</f>
        <v>0</v>
      </c>
      <c r="E1935" s="46" t="b">
        <f>IFERROR(__xludf.DUMMYFUNCTION("""COMPUTED_VALUE"""),TRUE)</f>
        <v>1</v>
      </c>
    </row>
    <row r="1936" hidden="1">
      <c r="A1936" s="76" t="str">
        <f>IFERROR(__xludf.DUMMYFUNCTION("""COMPUTED_VALUE"""),"Quick Draw")</f>
        <v>Quick Draw</v>
      </c>
      <c r="B1936" s="76" t="str">
        <f>IFERROR(__xludf.DUMMYFUNCTION("""COMPUTED_VALUE"""),"Spirit Squadron")</f>
        <v>Spirit Squadron</v>
      </c>
      <c r="C1936" s="77">
        <f>IFERROR(__xludf.DUMMYFUNCTION("""COMPUTED_VALUE"""),0.0)</f>
        <v>0</v>
      </c>
      <c r="D1936" s="77">
        <f>IFERROR(__xludf.DUMMYFUNCTION("""COMPUTED_VALUE"""),0.0)</f>
        <v>0</v>
      </c>
      <c r="E1936" s="46" t="b">
        <f>IFERROR(__xludf.DUMMYFUNCTION("""COMPUTED_VALUE"""),TRUE)</f>
        <v>1</v>
      </c>
    </row>
    <row r="1937" hidden="1">
      <c r="A1937" s="76" t="str">
        <f>IFERROR(__xludf.DUMMYFUNCTION("""COMPUTED_VALUE"""),"Quick Draw")</f>
        <v>Quick Draw</v>
      </c>
      <c r="B1937" s="76" t="str">
        <f>IFERROR(__xludf.DUMMYFUNCTION("""COMPUTED_VALUE"""),"Squirreled Away")</f>
        <v>Squirreled Away</v>
      </c>
      <c r="C1937" s="77">
        <f>IFERROR(__xludf.DUMMYFUNCTION("""COMPUTED_VALUE"""),1.0)</f>
        <v>1</v>
      </c>
      <c r="D1937" s="77">
        <f>IFERROR(__xludf.DUMMYFUNCTION("""COMPUTED_VALUE"""),1.0)</f>
        <v>1</v>
      </c>
      <c r="E1937" s="46" t="b">
        <f>IFERROR(__xludf.DUMMYFUNCTION("""COMPUTED_VALUE"""),FALSE)</f>
        <v>0</v>
      </c>
    </row>
    <row r="1938" hidden="1">
      <c r="A1938" s="76" t="str">
        <f>IFERROR(__xludf.DUMMYFUNCTION("""COMPUTED_VALUE"""),"Quick Draw")</f>
        <v>Quick Draw</v>
      </c>
      <c r="B1938" s="76" t="str">
        <f>IFERROR(__xludf.DUMMYFUNCTION("""COMPUTED_VALUE"""),"Sultai Arisen")</f>
        <v>Sultai Arisen</v>
      </c>
      <c r="C1938" s="77">
        <f>IFERROR(__xludf.DUMMYFUNCTION("""COMPUTED_VALUE"""),0.0)</f>
        <v>0</v>
      </c>
      <c r="D1938" s="77">
        <f>IFERROR(__xludf.DUMMYFUNCTION("""COMPUTED_VALUE"""),1.0)</f>
        <v>1</v>
      </c>
      <c r="E1938" s="46" t="b">
        <f>IFERROR(__xludf.DUMMYFUNCTION("""COMPUTED_VALUE"""),FALSE)</f>
        <v>0</v>
      </c>
    </row>
    <row r="1939" hidden="1">
      <c r="A1939" s="76" t="str">
        <f>IFERROR(__xludf.DUMMYFUNCTION("""COMPUTED_VALUE"""),"Quick Draw")</f>
        <v>Quick Draw</v>
      </c>
      <c r="B1939" s="76" t="str">
        <f>IFERROR(__xludf.DUMMYFUNCTION("""COMPUTED_VALUE"""),"Temur Roar")</f>
        <v>Temur Roar</v>
      </c>
      <c r="C1939" s="77">
        <f>IFERROR(__xludf.DUMMYFUNCTION("""COMPUTED_VALUE"""),0.0)</f>
        <v>0</v>
      </c>
      <c r="D1939" s="77">
        <f>IFERROR(__xludf.DUMMYFUNCTION("""COMPUTED_VALUE"""),0.0)</f>
        <v>0</v>
      </c>
      <c r="E1939" s="46" t="b">
        <f>IFERROR(__xludf.DUMMYFUNCTION("""COMPUTED_VALUE"""),TRUE)</f>
        <v>1</v>
      </c>
    </row>
    <row r="1940">
      <c r="A1940" s="76" t="str">
        <f>IFERROR(__xludf.DUMMYFUNCTION("""COMPUTED_VALUE"""),"Quick Draw")</f>
        <v>Quick Draw</v>
      </c>
      <c r="B1940" s="76" t="str">
        <f>IFERROR(__xludf.DUMMYFUNCTION("""COMPUTED_VALUE"""),"The Hosts of Mordor")</f>
        <v>The Hosts of Mordor</v>
      </c>
      <c r="C1940" s="77">
        <f>IFERROR(__xludf.DUMMYFUNCTION("""COMPUTED_VALUE"""),0.0)</f>
        <v>0</v>
      </c>
      <c r="D1940" s="77">
        <f>IFERROR(__xludf.DUMMYFUNCTION("""COMPUTED_VALUE"""),0.0)</f>
        <v>0</v>
      </c>
      <c r="E1940" s="46" t="b">
        <f>IFERROR(__xludf.DUMMYFUNCTION("""COMPUTED_VALUE"""),TRUE)</f>
        <v>1</v>
      </c>
    </row>
    <row r="1941" hidden="1">
      <c r="A1941" s="76" t="str">
        <f>IFERROR(__xludf.DUMMYFUNCTION("""COMPUTED_VALUE"""),"Quick Draw")</f>
        <v>Quick Draw</v>
      </c>
      <c r="B1941" s="76" t="str">
        <f>IFERROR(__xludf.DUMMYFUNCTION("""COMPUTED_VALUE"""),"The Ruinous Powers")</f>
        <v>The Ruinous Powers</v>
      </c>
      <c r="C1941" s="77">
        <f>IFERROR(__xludf.DUMMYFUNCTION("""COMPUTED_VALUE"""),0.0)</f>
        <v>0</v>
      </c>
      <c r="D1941" s="77">
        <f>IFERROR(__xludf.DUMMYFUNCTION("""COMPUTED_VALUE"""),0.0)</f>
        <v>0</v>
      </c>
      <c r="E1941" s="46" t="b">
        <f>IFERROR(__xludf.DUMMYFUNCTION("""COMPUTED_VALUE"""),TRUE)</f>
        <v>1</v>
      </c>
    </row>
    <row r="1942" hidden="1">
      <c r="A1942" s="76" t="str">
        <f>IFERROR(__xludf.DUMMYFUNCTION("""COMPUTED_VALUE"""),"Quick Draw")</f>
        <v>Quick Draw</v>
      </c>
      <c r="B1942" s="76" t="str">
        <f>IFERROR(__xludf.DUMMYFUNCTION("""COMPUTED_VALUE"""),"Timey-Wimey")</f>
        <v>Timey-Wimey</v>
      </c>
      <c r="C1942" s="77">
        <f>IFERROR(__xludf.DUMMYFUNCTION("""COMPUTED_VALUE"""),0.0)</f>
        <v>0</v>
      </c>
      <c r="D1942" s="77">
        <f>IFERROR(__xludf.DUMMYFUNCTION("""COMPUTED_VALUE"""),0.0)</f>
        <v>0</v>
      </c>
      <c r="E1942" s="46" t="b">
        <f>IFERROR(__xludf.DUMMYFUNCTION("""COMPUTED_VALUE"""),TRUE)</f>
        <v>1</v>
      </c>
    </row>
    <row r="1943" hidden="1">
      <c r="A1943" s="76" t="str">
        <f>IFERROR(__xludf.DUMMYFUNCTION("""COMPUTED_VALUE"""),"Quick Draw")</f>
        <v>Quick Draw</v>
      </c>
      <c r="B1943" s="76" t="str">
        <f>IFERROR(__xludf.DUMMYFUNCTION("""COMPUTED_VALUE"""),"Tinker Time")</f>
        <v>Tinker Time</v>
      </c>
      <c r="C1943" s="77">
        <f>IFERROR(__xludf.DUMMYFUNCTION("""COMPUTED_VALUE"""),0.0)</f>
        <v>0</v>
      </c>
      <c r="D1943" s="77">
        <f>IFERROR(__xludf.DUMMYFUNCTION("""COMPUTED_VALUE"""),0.0)</f>
        <v>0</v>
      </c>
      <c r="E1943" s="46" t="b">
        <f>IFERROR(__xludf.DUMMYFUNCTION("""COMPUTED_VALUE"""),TRUE)</f>
        <v>1</v>
      </c>
    </row>
    <row r="1944" hidden="1">
      <c r="A1944" s="76" t="str">
        <f>IFERROR(__xludf.DUMMYFUNCTION("""COMPUTED_VALUE"""),"Quick Draw")</f>
        <v>Quick Draw</v>
      </c>
      <c r="B1944" s="76" t="str">
        <f>IFERROR(__xludf.DUMMYFUNCTION("""COMPUTED_VALUE"""),"Turtle Power!")</f>
        <v>Turtle Power!</v>
      </c>
      <c r="C1944" s="77">
        <f>IFERROR(__xludf.DUMMYFUNCTION("""COMPUTED_VALUE"""),0.0)</f>
        <v>0</v>
      </c>
      <c r="D1944" s="77">
        <f>IFERROR(__xludf.DUMMYFUNCTION("""COMPUTED_VALUE"""),0.0)</f>
        <v>0</v>
      </c>
      <c r="E1944" s="46" t="b">
        <f>IFERROR(__xludf.DUMMYFUNCTION("""COMPUTED_VALUE"""),TRUE)</f>
        <v>1</v>
      </c>
    </row>
    <row r="1945" hidden="1">
      <c r="A1945" s="76" t="str">
        <f>IFERROR(__xludf.DUMMYFUNCTION("""COMPUTED_VALUE"""),"Quick Draw")</f>
        <v>Quick Draw</v>
      </c>
      <c r="B1945" s="76" t="str">
        <f>IFERROR(__xludf.DUMMYFUNCTION("""COMPUTED_VALUE"""),"Veloci-ramp-tor")</f>
        <v>Veloci-ramp-tor</v>
      </c>
      <c r="C1945" s="77">
        <f>IFERROR(__xludf.DUMMYFUNCTION("""COMPUTED_VALUE"""),0.0)</f>
        <v>0</v>
      </c>
      <c r="D1945" s="77">
        <f>IFERROR(__xludf.DUMMYFUNCTION("""COMPUTED_VALUE"""),0.0)</f>
        <v>0</v>
      </c>
      <c r="E1945" s="46" t="b">
        <f>IFERROR(__xludf.DUMMYFUNCTION("""COMPUTED_VALUE"""),TRUE)</f>
        <v>1</v>
      </c>
    </row>
    <row r="1946" hidden="1">
      <c r="A1946" s="76" t="str">
        <f>IFERROR(__xludf.DUMMYFUNCTION("""COMPUTED_VALUE"""),"Reap the Tides")</f>
        <v>Reap the Tides</v>
      </c>
      <c r="B1946" s="76" t="str">
        <f>IFERROR(__xludf.DUMMYFUNCTION("""COMPUTED_VALUE"""),"Ahoy Mateys")</f>
        <v>Ahoy Mateys</v>
      </c>
      <c r="C1946" s="77">
        <f>IFERROR(__xludf.DUMMYFUNCTION("""COMPUTED_VALUE"""),0.0)</f>
        <v>0</v>
      </c>
      <c r="D1946" s="77">
        <f>IFERROR(__xludf.DUMMYFUNCTION("""COMPUTED_VALUE"""),0.0)</f>
        <v>0</v>
      </c>
      <c r="E1946" s="46" t="b">
        <f>IFERROR(__xludf.DUMMYFUNCTION("""COMPUTED_VALUE"""),TRUE)</f>
        <v>1</v>
      </c>
    </row>
    <row r="1947" hidden="1">
      <c r="A1947" s="76" t="str">
        <f>IFERROR(__xludf.DUMMYFUNCTION("""COMPUTED_VALUE"""),"Reap the Tides")</f>
        <v>Reap the Tides</v>
      </c>
      <c r="B1947" s="76" t="str">
        <f>IFERROR(__xludf.DUMMYFUNCTION("""COMPUTED_VALUE"""),"Animated Army")</f>
        <v>Animated Army</v>
      </c>
      <c r="C1947" s="77">
        <f>IFERROR(__xludf.DUMMYFUNCTION("""COMPUTED_VALUE"""),0.0)</f>
        <v>0</v>
      </c>
      <c r="D1947" s="77">
        <f>IFERROR(__xludf.DUMMYFUNCTION("""COMPUTED_VALUE"""),0.0)</f>
        <v>0</v>
      </c>
      <c r="E1947" s="46" t="b">
        <f>IFERROR(__xludf.DUMMYFUNCTION("""COMPUTED_VALUE"""),TRUE)</f>
        <v>1</v>
      </c>
    </row>
    <row r="1948" hidden="1">
      <c r="A1948" s="76" t="str">
        <f>IFERROR(__xludf.DUMMYFUNCTION("""COMPUTED_VALUE"""),"Reap the Tides")</f>
        <v>Reap the Tides</v>
      </c>
      <c r="B1948" s="76" t="str">
        <f>IFERROR(__xludf.DUMMYFUNCTION("""COMPUTED_VALUE"""),"Arcane Maelstrom")</f>
        <v>Arcane Maelstrom</v>
      </c>
      <c r="C1948" s="77">
        <f>IFERROR(__xludf.DUMMYFUNCTION("""COMPUTED_VALUE"""),0.0)</f>
        <v>0</v>
      </c>
      <c r="D1948" s="77">
        <f>IFERROR(__xludf.DUMMYFUNCTION("""COMPUTED_VALUE"""),0.0)</f>
        <v>0</v>
      </c>
      <c r="E1948" s="46" t="b">
        <f>IFERROR(__xludf.DUMMYFUNCTION("""COMPUTED_VALUE"""),TRUE)</f>
        <v>1</v>
      </c>
    </row>
    <row r="1949" hidden="1">
      <c r="A1949" s="76" t="str">
        <f>IFERROR(__xludf.DUMMYFUNCTION("""COMPUTED_VALUE"""),"Reap the Tides")</f>
        <v>Reap the Tides</v>
      </c>
      <c r="B1949" s="76" t="str">
        <f>IFERROR(__xludf.DUMMYFUNCTION("""COMPUTED_VALUE"""),"Blame Game")</f>
        <v>Blame Game</v>
      </c>
      <c r="C1949" s="77">
        <f>IFERROR(__xludf.DUMMYFUNCTION("""COMPUTED_VALUE"""),0.0)</f>
        <v>0</v>
      </c>
      <c r="D1949" s="77">
        <f>IFERROR(__xludf.DUMMYFUNCTION("""COMPUTED_VALUE"""),0.0)</f>
        <v>0</v>
      </c>
      <c r="E1949" s="46" t="b">
        <f>IFERROR(__xludf.DUMMYFUNCTION("""COMPUTED_VALUE"""),TRUE)</f>
        <v>1</v>
      </c>
    </row>
    <row r="1950" hidden="1">
      <c r="A1950" s="76" t="str">
        <f>IFERROR(__xludf.DUMMYFUNCTION("""COMPUTED_VALUE"""),"Reap the Tides")</f>
        <v>Reap the Tides</v>
      </c>
      <c r="B1950" s="76" t="str">
        <f>IFERROR(__xludf.DUMMYFUNCTION("""COMPUTED_VALUE"""),"Blight Curse")</f>
        <v>Blight Curse</v>
      </c>
      <c r="C1950" s="77">
        <f>IFERROR(__xludf.DUMMYFUNCTION("""COMPUTED_VALUE"""),0.0)</f>
        <v>0</v>
      </c>
      <c r="D1950" s="77">
        <f>IFERROR(__xludf.DUMMYFUNCTION("""COMPUTED_VALUE"""),0.0)</f>
        <v>0</v>
      </c>
      <c r="E1950" s="46" t="b">
        <f>IFERROR(__xludf.DUMMYFUNCTION("""COMPUTED_VALUE"""),TRUE)</f>
        <v>1</v>
      </c>
    </row>
    <row r="1951">
      <c r="A1951" s="76" t="str">
        <f>IFERROR(__xludf.DUMMYFUNCTION("""COMPUTED_VALUE"""),"Reap the Tides")</f>
        <v>Reap the Tides</v>
      </c>
      <c r="B1951" s="76" t="str">
        <f>IFERROR(__xludf.DUMMYFUNCTION("""COMPUTED_VALUE"""),"Blood Rites")</f>
        <v>Blood Rites</v>
      </c>
      <c r="C1951" s="77">
        <f>IFERROR(__xludf.DUMMYFUNCTION("""COMPUTED_VALUE"""),0.0)</f>
        <v>0</v>
      </c>
      <c r="D1951" s="77">
        <f>IFERROR(__xludf.DUMMYFUNCTION("""COMPUTED_VALUE"""),0.0)</f>
        <v>0</v>
      </c>
      <c r="E1951" s="46" t="b">
        <f>IFERROR(__xludf.DUMMYFUNCTION("""COMPUTED_VALUE"""),TRUE)</f>
        <v>1</v>
      </c>
    </row>
    <row r="1952" hidden="1">
      <c r="A1952" s="76" t="str">
        <f>IFERROR(__xludf.DUMMYFUNCTION("""COMPUTED_VALUE"""),"Reap the Tides")</f>
        <v>Reap the Tides</v>
      </c>
      <c r="B1952" s="76" t="str">
        <f>IFERROR(__xludf.DUMMYFUNCTION("""COMPUTED_VALUE"""),"Buckle Up")</f>
        <v>Buckle Up</v>
      </c>
      <c r="C1952" s="77">
        <f>IFERROR(__xludf.DUMMYFUNCTION("""COMPUTED_VALUE"""),0.0)</f>
        <v>0</v>
      </c>
      <c r="D1952" s="77">
        <f>IFERROR(__xludf.DUMMYFUNCTION("""COMPUTED_VALUE"""),0.0)</f>
        <v>0</v>
      </c>
      <c r="E1952" s="46" t="b">
        <f>IFERROR(__xludf.DUMMYFUNCTION("""COMPUTED_VALUE"""),TRUE)</f>
        <v>1</v>
      </c>
    </row>
    <row r="1953" hidden="1">
      <c r="A1953" s="76" t="str">
        <f>IFERROR(__xludf.DUMMYFUNCTION("""COMPUTED_VALUE"""),"Reap the Tides")</f>
        <v>Reap the Tides</v>
      </c>
      <c r="B1953" s="76" t="str">
        <f>IFERROR(__xludf.DUMMYFUNCTION("""COMPUTED_VALUE"""),"Cabaretti Cacophony")</f>
        <v>Cabaretti Cacophony</v>
      </c>
      <c r="C1953" s="77">
        <f>IFERROR(__xludf.DUMMYFUNCTION("""COMPUTED_VALUE"""),0.0)</f>
        <v>0</v>
      </c>
      <c r="D1953" s="77">
        <f>IFERROR(__xludf.DUMMYFUNCTION("""COMPUTED_VALUE"""),0.0)</f>
        <v>0</v>
      </c>
      <c r="E1953" s="46" t="b">
        <f>IFERROR(__xludf.DUMMYFUNCTION("""COMPUTED_VALUE"""),TRUE)</f>
        <v>1</v>
      </c>
    </row>
    <row r="1954" hidden="1">
      <c r="A1954" s="76" t="str">
        <f>IFERROR(__xludf.DUMMYFUNCTION("""COMPUTED_VALUE"""),"Reap the Tides")</f>
        <v>Reap the Tides</v>
      </c>
      <c r="B1954" s="76" t="str">
        <f>IFERROR(__xludf.DUMMYFUNCTION("""COMPUTED_VALUE"""),"Cavalry Charge")</f>
        <v>Cavalry Charge</v>
      </c>
      <c r="C1954" s="77">
        <f>IFERROR(__xludf.DUMMYFUNCTION("""COMPUTED_VALUE"""),0.0)</f>
        <v>0</v>
      </c>
      <c r="D1954" s="77">
        <f>IFERROR(__xludf.DUMMYFUNCTION("""COMPUTED_VALUE"""),0.0)</f>
        <v>0</v>
      </c>
      <c r="E1954" s="46" t="b">
        <f>IFERROR(__xludf.DUMMYFUNCTION("""COMPUTED_VALUE"""),TRUE)</f>
        <v>1</v>
      </c>
    </row>
    <row r="1955">
      <c r="A1955" s="76" t="str">
        <f>IFERROR(__xludf.DUMMYFUNCTION("""COMPUTED_VALUE"""),"Reap the Tides")</f>
        <v>Reap the Tides</v>
      </c>
      <c r="B1955" s="76" t="str">
        <f>IFERROR(__xludf.DUMMYFUNCTION("""COMPUTED_VALUE"""),"Corrupting Influence")</f>
        <v>Corrupting Influence</v>
      </c>
      <c r="C1955" s="77">
        <f>IFERROR(__xludf.DUMMYFUNCTION("""COMPUTED_VALUE"""),2.0)</f>
        <v>2</v>
      </c>
      <c r="D1955" s="77">
        <f>IFERROR(__xludf.DUMMYFUNCTION("""COMPUTED_VALUE"""),0.0)</f>
        <v>0</v>
      </c>
      <c r="E1955" s="46" t="b">
        <f>IFERROR(__xludf.DUMMYFUNCTION("""COMPUTED_VALUE"""),FALSE)</f>
        <v>0</v>
      </c>
    </row>
    <row r="1956" hidden="1">
      <c r="A1956" s="76" t="str">
        <f>IFERROR(__xludf.DUMMYFUNCTION("""COMPUTED_VALUE"""),"Reap the Tides")</f>
        <v>Reap the Tides</v>
      </c>
      <c r="B1956" s="76" t="str">
        <f>IFERROR(__xludf.DUMMYFUNCTION("""COMPUTED_VALUE"""),"Counter Blitz")</f>
        <v>Counter Blitz</v>
      </c>
      <c r="C1956" s="77">
        <f>IFERROR(__xludf.DUMMYFUNCTION("""COMPUTED_VALUE"""),1.0)</f>
        <v>1</v>
      </c>
      <c r="D1956" s="77">
        <f>IFERROR(__xludf.DUMMYFUNCTION("""COMPUTED_VALUE"""),0.0)</f>
        <v>0</v>
      </c>
      <c r="E1956" s="46" t="b">
        <f>IFERROR(__xludf.DUMMYFUNCTION("""COMPUTED_VALUE"""),FALSE)</f>
        <v>0</v>
      </c>
    </row>
    <row r="1957" hidden="1">
      <c r="A1957" s="76" t="str">
        <f>IFERROR(__xludf.DUMMYFUNCTION("""COMPUTED_VALUE"""),"Reap the Tides")</f>
        <v>Reap the Tides</v>
      </c>
      <c r="B1957" s="76" t="str">
        <f>IFERROR(__xludf.DUMMYFUNCTION("""COMPUTED_VALUE"""),"Counter Intelligence")</f>
        <v>Counter Intelligence</v>
      </c>
      <c r="C1957" s="77">
        <f>IFERROR(__xludf.DUMMYFUNCTION("""COMPUTED_VALUE"""),0.0)</f>
        <v>0</v>
      </c>
      <c r="D1957" s="77">
        <f>IFERROR(__xludf.DUMMYFUNCTION("""COMPUTED_VALUE"""),0.0)</f>
        <v>0</v>
      </c>
      <c r="E1957" s="46" t="b">
        <f>IFERROR(__xludf.DUMMYFUNCTION("""COMPUTED_VALUE"""),TRUE)</f>
        <v>1</v>
      </c>
    </row>
    <row r="1958" hidden="1">
      <c r="A1958" s="76" t="str">
        <f>IFERROR(__xludf.DUMMYFUNCTION("""COMPUTED_VALUE"""),"Reap the Tides")</f>
        <v>Reap the Tides</v>
      </c>
      <c r="B1958" s="76" t="str">
        <f>IFERROR(__xludf.DUMMYFUNCTION("""COMPUTED_VALUE"""),"Creative Energy")</f>
        <v>Creative Energy</v>
      </c>
      <c r="C1958" s="77">
        <f>IFERROR(__xludf.DUMMYFUNCTION("""COMPUTED_VALUE"""),1.0)</f>
        <v>1</v>
      </c>
      <c r="D1958" s="77">
        <f>IFERROR(__xludf.DUMMYFUNCTION("""COMPUTED_VALUE"""),0.0)</f>
        <v>0</v>
      </c>
      <c r="E1958" s="46" t="b">
        <f>IFERROR(__xludf.DUMMYFUNCTION("""COMPUTED_VALUE"""),FALSE)</f>
        <v>0</v>
      </c>
    </row>
    <row r="1959" hidden="1">
      <c r="A1959" s="76" t="str">
        <f>IFERROR(__xludf.DUMMYFUNCTION("""COMPUTED_VALUE"""),"Reap the Tides")</f>
        <v>Reap the Tides</v>
      </c>
      <c r="B1959" s="76" t="str">
        <f>IFERROR(__xludf.DUMMYFUNCTION("""COMPUTED_VALUE"""),"Dance of the Elements")</f>
        <v>Dance of the Elements</v>
      </c>
      <c r="C1959" s="77">
        <f>IFERROR(__xludf.DUMMYFUNCTION("""COMPUTED_VALUE"""),1.0)</f>
        <v>1</v>
      </c>
      <c r="D1959" s="77">
        <f>IFERROR(__xludf.DUMMYFUNCTION("""COMPUTED_VALUE"""),0.0)</f>
        <v>0</v>
      </c>
      <c r="E1959" s="46" t="b">
        <f>IFERROR(__xludf.DUMMYFUNCTION("""COMPUTED_VALUE"""),FALSE)</f>
        <v>0</v>
      </c>
    </row>
    <row r="1960" hidden="1">
      <c r="A1960" s="76" t="str">
        <f>IFERROR(__xludf.DUMMYFUNCTION("""COMPUTED_VALUE"""),"Reap the Tides")</f>
        <v>Reap the Tides</v>
      </c>
      <c r="B1960" s="76" t="str">
        <f>IFERROR(__xludf.DUMMYFUNCTION("""COMPUTED_VALUE"""),"Deep Clue Sea")</f>
        <v>Deep Clue Sea</v>
      </c>
      <c r="C1960" s="77">
        <f>IFERROR(__xludf.DUMMYFUNCTION("""COMPUTED_VALUE"""),0.0)</f>
        <v>0</v>
      </c>
      <c r="D1960" s="77">
        <f>IFERROR(__xludf.DUMMYFUNCTION("""COMPUTED_VALUE"""),0.0)</f>
        <v>0</v>
      </c>
      <c r="E1960" s="46" t="b">
        <f>IFERROR(__xludf.DUMMYFUNCTION("""COMPUTED_VALUE"""),TRUE)</f>
        <v>1</v>
      </c>
    </row>
    <row r="1961" hidden="1">
      <c r="A1961" s="76" t="str">
        <f>IFERROR(__xludf.DUMMYFUNCTION("""COMPUTED_VALUE"""),"Reap the Tides")</f>
        <v>Reap the Tides</v>
      </c>
      <c r="B1961" s="76" t="str">
        <f>IFERROR(__xludf.DUMMYFUNCTION("""COMPUTED_VALUE"""),"Doom Prevails")</f>
        <v>Doom Prevails</v>
      </c>
      <c r="C1961" s="77">
        <f>IFERROR(__xludf.DUMMYFUNCTION("""COMPUTED_VALUE"""),0.0)</f>
        <v>0</v>
      </c>
      <c r="D1961" s="77">
        <f>IFERROR(__xludf.DUMMYFUNCTION("""COMPUTED_VALUE"""),0.0)</f>
        <v>0</v>
      </c>
      <c r="E1961" s="46" t="b">
        <f>IFERROR(__xludf.DUMMYFUNCTION("""COMPUTED_VALUE"""),TRUE)</f>
        <v>1</v>
      </c>
    </row>
    <row r="1962" hidden="1">
      <c r="A1962" s="76" t="str">
        <f>IFERROR(__xludf.DUMMYFUNCTION("""COMPUTED_VALUE"""),"Reap the Tides")</f>
        <v>Reap the Tides</v>
      </c>
      <c r="B1962" s="76" t="str">
        <f>IFERROR(__xludf.DUMMYFUNCTION("""COMPUTED_VALUE"""),"Eldrazi Incursion")</f>
        <v>Eldrazi Incursion</v>
      </c>
      <c r="C1962" s="77">
        <f>IFERROR(__xludf.DUMMYFUNCTION("""COMPUTED_VALUE"""),0.0)</f>
        <v>0</v>
      </c>
      <c r="D1962" s="77">
        <f>IFERROR(__xludf.DUMMYFUNCTION("""COMPUTED_VALUE"""),0.0)</f>
        <v>0</v>
      </c>
      <c r="E1962" s="46" t="b">
        <f>IFERROR(__xludf.DUMMYFUNCTION("""COMPUTED_VALUE"""),TRUE)</f>
        <v>1</v>
      </c>
    </row>
    <row r="1963" hidden="1">
      <c r="A1963" s="76" t="str">
        <f>IFERROR(__xludf.DUMMYFUNCTION("""COMPUTED_VALUE"""),"Reap the Tides")</f>
        <v>Reap the Tides</v>
      </c>
      <c r="B1963" s="76" t="str">
        <f>IFERROR(__xludf.DUMMYFUNCTION("""COMPUTED_VALUE"""),"Eldrazi Unbound")</f>
        <v>Eldrazi Unbound</v>
      </c>
      <c r="C1963" s="77">
        <f>IFERROR(__xludf.DUMMYFUNCTION("""COMPUTED_VALUE"""),0.0)</f>
        <v>0</v>
      </c>
      <c r="D1963" s="77">
        <f>IFERROR(__xludf.DUMMYFUNCTION("""COMPUTED_VALUE"""),0.0)</f>
        <v>0</v>
      </c>
      <c r="E1963" s="46" t="b">
        <f>IFERROR(__xludf.DUMMYFUNCTION("""COMPUTED_VALUE"""),TRUE)</f>
        <v>1</v>
      </c>
    </row>
    <row r="1964" hidden="1">
      <c r="A1964" s="76" t="str">
        <f>IFERROR(__xludf.DUMMYFUNCTION("""COMPUTED_VALUE"""),"Reap the Tides")</f>
        <v>Reap the Tides</v>
      </c>
      <c r="B1964" s="76" t="str">
        <f>IFERROR(__xludf.DUMMYFUNCTION("""COMPUTED_VALUE"""),"Endless Punishment")</f>
        <v>Endless Punishment</v>
      </c>
      <c r="C1964" s="77">
        <f>IFERROR(__xludf.DUMMYFUNCTION("""COMPUTED_VALUE"""),1.0)</f>
        <v>1</v>
      </c>
      <c r="D1964" s="77">
        <f>IFERROR(__xludf.DUMMYFUNCTION("""COMPUTED_VALUE"""),0.0)</f>
        <v>0</v>
      </c>
      <c r="E1964" s="46" t="b">
        <f>IFERROR(__xludf.DUMMYFUNCTION("""COMPUTED_VALUE"""),FALSE)</f>
        <v>0</v>
      </c>
    </row>
    <row r="1965" hidden="1">
      <c r="A1965" s="76" t="str">
        <f>IFERROR(__xludf.DUMMYFUNCTION("""COMPUTED_VALUE"""),"Reap the Tides")</f>
        <v>Reap the Tides</v>
      </c>
      <c r="B1965" s="76" t="str">
        <f>IFERROR(__xludf.DUMMYFUNCTION("""COMPUTED_VALUE"""),"Enduring Enchantments")</f>
        <v>Enduring Enchantments</v>
      </c>
      <c r="C1965" s="77">
        <f>IFERROR(__xludf.DUMMYFUNCTION("""COMPUTED_VALUE"""),0.0)</f>
        <v>0</v>
      </c>
      <c r="D1965" s="77">
        <f>IFERROR(__xludf.DUMMYFUNCTION("""COMPUTED_VALUE"""),0.0)</f>
        <v>0</v>
      </c>
      <c r="E1965" s="46" t="b">
        <f>IFERROR(__xludf.DUMMYFUNCTION("""COMPUTED_VALUE"""),TRUE)</f>
        <v>1</v>
      </c>
    </row>
    <row r="1966">
      <c r="A1966" s="76" t="str">
        <f>IFERROR(__xludf.DUMMYFUNCTION("""COMPUTED_VALUE"""),"Reap the Tides")</f>
        <v>Reap the Tides</v>
      </c>
      <c r="B1966" s="76" t="str">
        <f>IFERROR(__xludf.DUMMYFUNCTION("""COMPUTED_VALUE"""),"Explorers of the Deep")</f>
        <v>Explorers of the Deep</v>
      </c>
      <c r="C1966" s="77">
        <f>IFERROR(__xludf.DUMMYFUNCTION("""COMPUTED_VALUE"""),0.0)</f>
        <v>0</v>
      </c>
      <c r="D1966" s="77">
        <f>IFERROR(__xludf.DUMMYFUNCTION("""COMPUTED_VALUE"""),0.0)</f>
        <v>0</v>
      </c>
      <c r="E1966" s="46" t="b">
        <f>IFERROR(__xludf.DUMMYFUNCTION("""COMPUTED_VALUE"""),TRUE)</f>
        <v>1</v>
      </c>
    </row>
    <row r="1967" hidden="1">
      <c r="A1967" s="76" t="str">
        <f>IFERROR(__xludf.DUMMYFUNCTION("""COMPUTED_VALUE"""),"Reap the Tides")</f>
        <v>Reap the Tides</v>
      </c>
      <c r="B1967" s="76" t="str">
        <f>IFERROR(__xludf.DUMMYFUNCTION("""COMPUTED_VALUE"""),"Family Matters")</f>
        <v>Family Matters</v>
      </c>
      <c r="C1967" s="77">
        <f>IFERROR(__xludf.DUMMYFUNCTION("""COMPUTED_VALUE"""),0.0)</f>
        <v>0</v>
      </c>
      <c r="D1967" s="77">
        <f>IFERROR(__xludf.DUMMYFUNCTION("""COMPUTED_VALUE"""),0.0)</f>
        <v>0</v>
      </c>
      <c r="E1967" s="46" t="b">
        <f>IFERROR(__xludf.DUMMYFUNCTION("""COMPUTED_VALUE"""),TRUE)</f>
        <v>1</v>
      </c>
    </row>
    <row r="1968" hidden="1">
      <c r="A1968" s="76" t="str">
        <f>IFERROR(__xludf.DUMMYFUNCTION("""COMPUTED_VALUE"""),"Reap the Tides")</f>
        <v>Reap the Tides</v>
      </c>
      <c r="B1968" s="76" t="str">
        <f>IFERROR(__xludf.DUMMYFUNCTION("""COMPUTED_VALUE"""),"Food and Fellowship")</f>
        <v>Food and Fellowship</v>
      </c>
      <c r="C1968" s="77">
        <f>IFERROR(__xludf.DUMMYFUNCTION("""COMPUTED_VALUE"""),0.0)</f>
        <v>0</v>
      </c>
      <c r="D1968" s="77">
        <f>IFERROR(__xludf.DUMMYFUNCTION("""COMPUTED_VALUE"""),0.0)</f>
        <v>0</v>
      </c>
      <c r="E1968" s="46" t="b">
        <f>IFERROR(__xludf.DUMMYFUNCTION("""COMPUTED_VALUE"""),TRUE)</f>
        <v>1</v>
      </c>
    </row>
    <row r="1969" hidden="1">
      <c r="A1969" s="76" t="str">
        <f>IFERROR(__xludf.DUMMYFUNCTION("""COMPUTED_VALUE"""),"Reap the Tides")</f>
        <v>Reap the Tides</v>
      </c>
      <c r="B1969" s="76" t="str">
        <f>IFERROR(__xludf.DUMMYFUNCTION("""COMPUTED_VALUE"""),"Jeskai Striker")</f>
        <v>Jeskai Striker</v>
      </c>
      <c r="C1969" s="77">
        <f>IFERROR(__xludf.DUMMYFUNCTION("""COMPUTED_VALUE"""),0.0)</f>
        <v>0</v>
      </c>
      <c r="D1969" s="77">
        <f>IFERROR(__xludf.DUMMYFUNCTION("""COMPUTED_VALUE"""),0.0)</f>
        <v>0</v>
      </c>
      <c r="E1969" s="46" t="b">
        <f>IFERROR(__xludf.DUMMYFUNCTION("""COMPUTED_VALUE"""),TRUE)</f>
        <v>1</v>
      </c>
    </row>
    <row r="1970" hidden="1">
      <c r="A1970" s="76" t="str">
        <f>IFERROR(__xludf.DUMMYFUNCTION("""COMPUTED_VALUE"""),"Reap the Tides")</f>
        <v>Reap the Tides</v>
      </c>
      <c r="B1970" s="76" t="str">
        <f>IFERROR(__xludf.DUMMYFUNCTION("""COMPUTED_VALUE"""),"Legends' Legacy")</f>
        <v>Legends' Legacy</v>
      </c>
      <c r="C1970" s="77">
        <f>IFERROR(__xludf.DUMMYFUNCTION("""COMPUTED_VALUE"""),0.0)</f>
        <v>0</v>
      </c>
      <c r="D1970" s="77">
        <f>IFERROR(__xludf.DUMMYFUNCTION("""COMPUTED_VALUE"""),0.0)</f>
        <v>0</v>
      </c>
      <c r="E1970" s="46" t="b">
        <f>IFERROR(__xludf.DUMMYFUNCTION("""COMPUTED_VALUE"""),TRUE)</f>
        <v>1</v>
      </c>
    </row>
    <row r="1971" hidden="1">
      <c r="A1971" s="76" t="str">
        <f>IFERROR(__xludf.DUMMYFUNCTION("""COMPUTED_VALUE"""),"Reap the Tides")</f>
        <v>Reap the Tides</v>
      </c>
      <c r="B1971" s="76" t="str">
        <f>IFERROR(__xludf.DUMMYFUNCTION("""COMPUTED_VALUE"""),"Limit Break")</f>
        <v>Limit Break</v>
      </c>
      <c r="C1971" s="77">
        <f>IFERROR(__xludf.DUMMYFUNCTION("""COMPUTED_VALUE"""),0.0)</f>
        <v>0</v>
      </c>
      <c r="D1971" s="77">
        <f>IFERROR(__xludf.DUMMYFUNCTION("""COMPUTED_VALUE"""),0.0)</f>
        <v>0</v>
      </c>
      <c r="E1971" s="46" t="b">
        <f>IFERROR(__xludf.DUMMYFUNCTION("""COMPUTED_VALUE"""),TRUE)</f>
        <v>1</v>
      </c>
    </row>
    <row r="1972" hidden="1">
      <c r="A1972" s="76" t="str">
        <f>IFERROR(__xludf.DUMMYFUNCTION("""COMPUTED_VALUE"""),"Reap the Tides")</f>
        <v>Reap the Tides</v>
      </c>
      <c r="B1972" s="76" t="str">
        <f>IFERROR(__xludf.DUMMYFUNCTION("""COMPUTED_VALUE"""),"Lorehold Spirit")</f>
        <v>Lorehold Spirit</v>
      </c>
      <c r="C1972" s="77">
        <f>IFERROR(__xludf.DUMMYFUNCTION("""COMPUTED_VALUE"""),0.0)</f>
        <v>0</v>
      </c>
      <c r="D1972" s="77">
        <f>IFERROR(__xludf.DUMMYFUNCTION("""COMPUTED_VALUE"""),0.0)</f>
        <v>0</v>
      </c>
      <c r="E1972" s="46" t="b">
        <f>IFERROR(__xludf.DUMMYFUNCTION("""COMPUTED_VALUE"""),TRUE)</f>
        <v>1</v>
      </c>
    </row>
    <row r="1973" hidden="1">
      <c r="A1973" s="76" t="str">
        <f>IFERROR(__xludf.DUMMYFUNCTION("""COMPUTED_VALUE"""),"Reap the Tides")</f>
        <v>Reap the Tides</v>
      </c>
      <c r="B1973" s="76" t="str">
        <f>IFERROR(__xludf.DUMMYFUNCTION("""COMPUTED_VALUE"""),"Mutant Menace")</f>
        <v>Mutant Menace</v>
      </c>
      <c r="C1973" s="77">
        <f>IFERROR(__xludf.DUMMYFUNCTION("""COMPUTED_VALUE"""),0.0)</f>
        <v>0</v>
      </c>
      <c r="D1973" s="77">
        <f>IFERROR(__xludf.DUMMYFUNCTION("""COMPUTED_VALUE"""),0.0)</f>
        <v>0</v>
      </c>
      <c r="E1973" s="46" t="b">
        <f>IFERROR(__xludf.DUMMYFUNCTION("""COMPUTED_VALUE"""),TRUE)</f>
        <v>1</v>
      </c>
    </row>
    <row r="1974" hidden="1">
      <c r="A1974" s="76" t="str">
        <f>IFERROR(__xludf.DUMMYFUNCTION("""COMPUTED_VALUE"""),"Reap the Tides")</f>
        <v>Reap the Tides</v>
      </c>
      <c r="B1974" s="76" t="str">
        <f>IFERROR(__xludf.DUMMYFUNCTION("""COMPUTED_VALUE"""),"Party Time")</f>
        <v>Party Time</v>
      </c>
      <c r="C1974" s="77">
        <f>IFERROR(__xludf.DUMMYFUNCTION("""COMPUTED_VALUE"""),0.0)</f>
        <v>0</v>
      </c>
      <c r="D1974" s="77">
        <f>IFERROR(__xludf.DUMMYFUNCTION("""COMPUTED_VALUE"""),0.0)</f>
        <v>0</v>
      </c>
      <c r="E1974" s="46" t="b">
        <f>IFERROR(__xludf.DUMMYFUNCTION("""COMPUTED_VALUE"""),TRUE)</f>
        <v>1</v>
      </c>
    </row>
    <row r="1975" hidden="1">
      <c r="A1975" s="76" t="str">
        <f>IFERROR(__xludf.DUMMYFUNCTION("""COMPUTED_VALUE"""),"Reap the Tides")</f>
        <v>Reap the Tides</v>
      </c>
      <c r="B1975" s="76" t="str">
        <f>IFERROR(__xludf.DUMMYFUNCTION("""COMPUTED_VALUE"""),"Peace Offering")</f>
        <v>Peace Offering</v>
      </c>
      <c r="C1975" s="77">
        <f>IFERROR(__xludf.DUMMYFUNCTION("""COMPUTED_VALUE"""),0.0)</f>
        <v>0</v>
      </c>
      <c r="D1975" s="77">
        <f>IFERROR(__xludf.DUMMYFUNCTION("""COMPUTED_VALUE"""),0.0)</f>
        <v>0</v>
      </c>
      <c r="E1975" s="46" t="b">
        <f>IFERROR(__xludf.DUMMYFUNCTION("""COMPUTED_VALUE"""),TRUE)</f>
        <v>1</v>
      </c>
    </row>
    <row r="1976" hidden="1">
      <c r="A1976" s="76" t="str">
        <f>IFERROR(__xludf.DUMMYFUNCTION("""COMPUTED_VALUE"""),"Reap the Tides")</f>
        <v>Reap the Tides</v>
      </c>
      <c r="B1976" s="76" t="str">
        <f>IFERROR(__xludf.DUMMYFUNCTION("""COMPUTED_VALUE"""),"Power Hungry")</f>
        <v>Power Hungry</v>
      </c>
      <c r="C1976" s="77">
        <f>IFERROR(__xludf.DUMMYFUNCTION("""COMPUTED_VALUE"""),0.0)</f>
        <v>0</v>
      </c>
      <c r="D1976" s="77">
        <f>IFERROR(__xludf.DUMMYFUNCTION("""COMPUTED_VALUE"""),0.0)</f>
        <v>0</v>
      </c>
      <c r="E1976" s="46" t="b">
        <f>IFERROR(__xludf.DUMMYFUNCTION("""COMPUTED_VALUE"""),TRUE)</f>
        <v>1</v>
      </c>
    </row>
    <row r="1977">
      <c r="A1977" s="76" t="str">
        <f>IFERROR(__xludf.DUMMYFUNCTION("""COMPUTED_VALUE"""),"Reap the Tides")</f>
        <v>Reap the Tides</v>
      </c>
      <c r="B1977" s="76" t="str">
        <f>IFERROR(__xludf.DUMMYFUNCTION("""COMPUTED_VALUE"""),"Primal Genesis")</f>
        <v>Primal Genesis</v>
      </c>
      <c r="C1977" s="77">
        <f>IFERROR(__xludf.DUMMYFUNCTION("""COMPUTED_VALUE"""),0.0)</f>
        <v>0</v>
      </c>
      <c r="D1977" s="77">
        <f>IFERROR(__xludf.DUMMYFUNCTION("""COMPUTED_VALUE"""),0.0)</f>
        <v>0</v>
      </c>
      <c r="E1977" s="46" t="b">
        <f>IFERROR(__xludf.DUMMYFUNCTION("""COMPUTED_VALUE"""),TRUE)</f>
        <v>1</v>
      </c>
    </row>
    <row r="1978">
      <c r="A1978" s="76" t="str">
        <f>IFERROR(__xludf.DUMMYFUNCTION("""COMPUTED_VALUE"""),"Reap the Tides")</f>
        <v>Reap the Tides</v>
      </c>
      <c r="B1978" s="76" t="str">
        <f>IFERROR(__xludf.DUMMYFUNCTION("""COMPUTED_VALUE"""),"Prismari Artistry")</f>
        <v>Prismari Artistry</v>
      </c>
      <c r="C1978" s="77">
        <f>IFERROR(__xludf.DUMMYFUNCTION("""COMPUTED_VALUE"""),0.0)</f>
        <v>0</v>
      </c>
      <c r="D1978" s="77">
        <f>IFERROR(__xludf.DUMMYFUNCTION("""COMPUTED_VALUE"""),0.0)</f>
        <v>0</v>
      </c>
      <c r="E1978" s="46" t="b">
        <f>IFERROR(__xludf.DUMMYFUNCTION("""COMPUTED_VALUE"""),TRUE)</f>
        <v>1</v>
      </c>
    </row>
    <row r="1979" hidden="1">
      <c r="A1979" s="76" t="str">
        <f>IFERROR(__xludf.DUMMYFUNCTION("""COMPUTED_VALUE"""),"Reap the Tides")</f>
        <v>Reap the Tides</v>
      </c>
      <c r="B1979" s="76" t="str">
        <f>IFERROR(__xludf.DUMMYFUNCTION("""COMPUTED_VALUE"""),"Prismari Performance")</f>
        <v>Prismari Performance</v>
      </c>
      <c r="C1979" s="77">
        <f>IFERROR(__xludf.DUMMYFUNCTION("""COMPUTED_VALUE"""),0.0)</f>
        <v>0</v>
      </c>
      <c r="D1979" s="77">
        <f>IFERROR(__xludf.DUMMYFUNCTION("""COMPUTED_VALUE"""),0.0)</f>
        <v>0</v>
      </c>
      <c r="E1979" s="46" t="b">
        <f>IFERROR(__xludf.DUMMYFUNCTION("""COMPUTED_VALUE"""),TRUE)</f>
        <v>1</v>
      </c>
    </row>
    <row r="1980" hidden="1">
      <c r="A1980" s="76" t="str">
        <f>IFERROR(__xludf.DUMMYFUNCTION("""COMPUTED_VALUE"""),"Reap the Tides")</f>
        <v>Reap the Tides</v>
      </c>
      <c r="B1980" s="76" t="str">
        <f>IFERROR(__xludf.DUMMYFUNCTION("""COMPUTED_VALUE"""),"Quandrix Unlimited")</f>
        <v>Quandrix Unlimited</v>
      </c>
      <c r="C1980" s="77">
        <f>IFERROR(__xludf.DUMMYFUNCTION("""COMPUTED_VALUE"""),1.0)</f>
        <v>1</v>
      </c>
      <c r="D1980" s="77">
        <f>IFERROR(__xludf.DUMMYFUNCTION("""COMPUTED_VALUE"""),0.0)</f>
        <v>0</v>
      </c>
      <c r="E1980" s="46" t="b">
        <f>IFERROR(__xludf.DUMMYFUNCTION("""COMPUTED_VALUE"""),FALSE)</f>
        <v>0</v>
      </c>
    </row>
    <row r="1981" hidden="1">
      <c r="A1981" s="76" t="str">
        <f>IFERROR(__xludf.DUMMYFUNCTION("""COMPUTED_VALUE"""),"Reap the Tides")</f>
        <v>Reap the Tides</v>
      </c>
      <c r="B1981" s="76" t="str">
        <f>IFERROR(__xludf.DUMMYFUNCTION("""COMPUTED_VALUE"""),"Quick Draw")</f>
        <v>Quick Draw</v>
      </c>
      <c r="C1981" s="77">
        <f>IFERROR(__xludf.DUMMYFUNCTION("""COMPUTED_VALUE"""),0.0)</f>
        <v>0</v>
      </c>
      <c r="D1981" s="77">
        <f>IFERROR(__xludf.DUMMYFUNCTION("""COMPUTED_VALUE"""),0.0)</f>
        <v>0</v>
      </c>
      <c r="E1981" s="46" t="b">
        <f>IFERROR(__xludf.DUMMYFUNCTION("""COMPUTED_VALUE"""),TRUE)</f>
        <v>1</v>
      </c>
    </row>
    <row r="1982" hidden="1">
      <c r="A1982" s="76" t="str">
        <f>IFERROR(__xludf.DUMMYFUNCTION("""COMPUTED_VALUE"""),"Reap the Tides")</f>
        <v>Reap the Tides</v>
      </c>
      <c r="B1982" s="76" t="str">
        <f>IFERROR(__xludf.DUMMYFUNCTION("""COMPUTED_VALUE"""),"Reap the Tides")</f>
        <v>Reap the Tides</v>
      </c>
      <c r="C1982" s="77">
        <f>IFERROR(__xludf.DUMMYFUNCTION("""COMPUTED_VALUE"""),3.0)</f>
        <v>3</v>
      </c>
      <c r="D1982" s="77">
        <f>IFERROR(__xludf.DUMMYFUNCTION("""COMPUTED_VALUE"""),3.0)</f>
        <v>3</v>
      </c>
      <c r="E1982" s="46" t="b">
        <f>IFERROR(__xludf.DUMMYFUNCTION("""COMPUTED_VALUE"""),TRUE)</f>
        <v>1</v>
      </c>
    </row>
    <row r="1983" hidden="1">
      <c r="A1983" s="76" t="str">
        <f>IFERROR(__xludf.DUMMYFUNCTION("""COMPUTED_VALUE"""),"Reap the Tides")</f>
        <v>Reap the Tides</v>
      </c>
      <c r="B1983" s="76" t="str">
        <f>IFERROR(__xludf.DUMMYFUNCTION("""COMPUTED_VALUE"""),"Rebellion Rising")</f>
        <v>Rebellion Rising</v>
      </c>
      <c r="C1983" s="77">
        <f>IFERROR(__xludf.DUMMYFUNCTION("""COMPUTED_VALUE"""),0.0)</f>
        <v>0</v>
      </c>
      <c r="D1983" s="77">
        <f>IFERROR(__xludf.DUMMYFUNCTION("""COMPUTED_VALUE"""),0.0)</f>
        <v>0</v>
      </c>
      <c r="E1983" s="46" t="b">
        <f>IFERROR(__xludf.DUMMYFUNCTION("""COMPUTED_VALUE"""),TRUE)</f>
        <v>1</v>
      </c>
    </row>
    <row r="1984" hidden="1">
      <c r="A1984" s="76" t="str">
        <f>IFERROR(__xludf.DUMMYFUNCTION("""COMPUTED_VALUE"""),"Reap the Tides")</f>
        <v>Reap the Tides</v>
      </c>
      <c r="B1984" s="76" t="str">
        <f>IFERROR(__xludf.DUMMYFUNCTION("""COMPUTED_VALUE"""),"Revival Trance")</f>
        <v>Revival Trance</v>
      </c>
      <c r="C1984" s="77">
        <f>IFERROR(__xludf.DUMMYFUNCTION("""COMPUTED_VALUE"""),0.0)</f>
        <v>0</v>
      </c>
      <c r="D1984" s="77">
        <f>IFERROR(__xludf.DUMMYFUNCTION("""COMPUTED_VALUE"""),0.0)</f>
        <v>0</v>
      </c>
      <c r="E1984" s="46" t="b">
        <f>IFERROR(__xludf.DUMMYFUNCTION("""COMPUTED_VALUE"""),TRUE)</f>
        <v>1</v>
      </c>
    </row>
    <row r="1985" hidden="1">
      <c r="A1985" s="76" t="str">
        <f>IFERROR(__xludf.DUMMYFUNCTION("""COMPUTED_VALUE"""),"Reap the Tides")</f>
        <v>Reap the Tides</v>
      </c>
      <c r="B1985" s="76" t="str">
        <f>IFERROR(__xludf.DUMMYFUNCTION("""COMPUTED_VALUE"""),"Riders of Rohan")</f>
        <v>Riders of Rohan</v>
      </c>
      <c r="C1985" s="77">
        <f>IFERROR(__xludf.DUMMYFUNCTION("""COMPUTED_VALUE"""),0.0)</f>
        <v>0</v>
      </c>
      <c r="D1985" s="77">
        <f>IFERROR(__xludf.DUMMYFUNCTION("""COMPUTED_VALUE"""),0.0)</f>
        <v>0</v>
      </c>
      <c r="E1985" s="46" t="b">
        <f>IFERROR(__xludf.DUMMYFUNCTION("""COMPUTED_VALUE"""),TRUE)</f>
        <v>1</v>
      </c>
    </row>
    <row r="1986">
      <c r="A1986" s="76" t="str">
        <f>IFERROR(__xludf.DUMMYFUNCTION("""COMPUTED_VALUE"""),"Reap the Tides")</f>
        <v>Reap the Tides</v>
      </c>
      <c r="B1986" s="76" t="str">
        <f>IFERROR(__xludf.DUMMYFUNCTION("""COMPUTED_VALUE"""),"Science!")</f>
        <v>Science!</v>
      </c>
      <c r="C1986" s="77">
        <f>IFERROR(__xludf.DUMMYFUNCTION("""COMPUTED_VALUE"""),0.0)</f>
        <v>0</v>
      </c>
      <c r="D1986" s="77">
        <f>IFERROR(__xludf.DUMMYFUNCTION("""COMPUTED_VALUE"""),0.0)</f>
        <v>0</v>
      </c>
      <c r="E1986" s="46" t="b">
        <f>IFERROR(__xludf.DUMMYFUNCTION("""COMPUTED_VALUE"""),TRUE)</f>
        <v>1</v>
      </c>
    </row>
    <row r="1987" hidden="1">
      <c r="A1987" s="78" t="str">
        <f>IFERROR(__xludf.DUMMYFUNCTION("""COMPUTED_VALUE"""),"Reap the Tides")</f>
        <v>Reap the Tides</v>
      </c>
      <c r="B1987" s="78" t="str">
        <f>IFERROR(__xludf.DUMMYFUNCTION("""COMPUTED_VALUE"""),"Scions &amp; Spellcraft")</f>
        <v>Scions &amp; Spellcraft</v>
      </c>
      <c r="C1987" s="79">
        <f>IFERROR(__xludf.DUMMYFUNCTION("""COMPUTED_VALUE"""),0.0)</f>
        <v>0</v>
      </c>
      <c r="D1987" s="79">
        <f>IFERROR(__xludf.DUMMYFUNCTION("""COMPUTED_VALUE"""),0.0)</f>
        <v>0</v>
      </c>
      <c r="E1987" s="69" t="b">
        <f>IFERROR(__xludf.DUMMYFUNCTION("""COMPUTED_VALUE"""),TRUE)</f>
        <v>1</v>
      </c>
    </row>
    <row r="1988" hidden="1">
      <c r="A1988" s="78" t="str">
        <f>IFERROR(__xludf.DUMMYFUNCTION("""COMPUTED_VALUE"""),"Reap the Tides")</f>
        <v>Reap the Tides</v>
      </c>
      <c r="B1988" s="78" t="str">
        <f>IFERROR(__xludf.DUMMYFUNCTION("""COMPUTED_VALUE"""),"Scrappy Survivors")</f>
        <v>Scrappy Survivors</v>
      </c>
      <c r="C1988" s="79">
        <f>IFERROR(__xludf.DUMMYFUNCTION("""COMPUTED_VALUE"""),0.0)</f>
        <v>0</v>
      </c>
      <c r="D1988" s="79">
        <f>IFERROR(__xludf.DUMMYFUNCTION("""COMPUTED_VALUE"""),0.0)</f>
        <v>0</v>
      </c>
      <c r="E1988" s="69" t="b">
        <f>IFERROR(__xludf.DUMMYFUNCTION("""COMPUTED_VALUE"""),TRUE)</f>
        <v>1</v>
      </c>
    </row>
    <row r="1989" hidden="1">
      <c r="A1989" s="78" t="str">
        <f>IFERROR(__xludf.DUMMYFUNCTION("""COMPUTED_VALUE"""),"Reap the Tides")</f>
        <v>Reap the Tides</v>
      </c>
      <c r="B1989" s="78" t="str">
        <f>IFERROR(__xludf.DUMMYFUNCTION("""COMPUTED_VALUE"""),"Silverquill Influence")</f>
        <v>Silverquill Influence</v>
      </c>
      <c r="C1989" s="79">
        <f>IFERROR(__xludf.DUMMYFUNCTION("""COMPUTED_VALUE"""),0.0)</f>
        <v>0</v>
      </c>
      <c r="D1989" s="79">
        <f>IFERROR(__xludf.DUMMYFUNCTION("""COMPUTED_VALUE"""),0.0)</f>
        <v>0</v>
      </c>
      <c r="E1989" s="69" t="b">
        <f>IFERROR(__xludf.DUMMYFUNCTION("""COMPUTED_VALUE"""),TRUE)</f>
        <v>1</v>
      </c>
    </row>
    <row r="1990" hidden="1">
      <c r="A1990" s="78" t="str">
        <f>IFERROR(__xludf.DUMMYFUNCTION("""COMPUTED_VALUE"""),"Reap the Tides")</f>
        <v>Reap the Tides</v>
      </c>
      <c r="B1990" s="78" t="str">
        <f>IFERROR(__xludf.DUMMYFUNCTION("""COMPUTED_VALUE"""),"Spirit Squadron")</f>
        <v>Spirit Squadron</v>
      </c>
      <c r="C1990" s="79">
        <f>IFERROR(__xludf.DUMMYFUNCTION("""COMPUTED_VALUE"""),0.0)</f>
        <v>0</v>
      </c>
      <c r="D1990" s="79">
        <f>IFERROR(__xludf.DUMMYFUNCTION("""COMPUTED_VALUE"""),0.0)</f>
        <v>0</v>
      </c>
      <c r="E1990" s="69" t="b">
        <f>IFERROR(__xludf.DUMMYFUNCTION("""COMPUTED_VALUE"""),TRUE)</f>
        <v>1</v>
      </c>
    </row>
    <row r="1991" hidden="1">
      <c r="A1991" s="78" t="str">
        <f>IFERROR(__xludf.DUMMYFUNCTION("""COMPUTED_VALUE"""),"Reap the Tides")</f>
        <v>Reap the Tides</v>
      </c>
      <c r="B1991" s="78" t="str">
        <f>IFERROR(__xludf.DUMMYFUNCTION("""COMPUTED_VALUE"""),"Squirreled Away")</f>
        <v>Squirreled Away</v>
      </c>
      <c r="C1991" s="79">
        <f>IFERROR(__xludf.DUMMYFUNCTION("""COMPUTED_VALUE"""),0.0)</f>
        <v>0</v>
      </c>
      <c r="D1991" s="79">
        <f>IFERROR(__xludf.DUMMYFUNCTION("""COMPUTED_VALUE"""),0.0)</f>
        <v>0</v>
      </c>
      <c r="E1991" s="69" t="b">
        <f>IFERROR(__xludf.DUMMYFUNCTION("""COMPUTED_VALUE"""),TRUE)</f>
        <v>1</v>
      </c>
    </row>
    <row r="1992" hidden="1">
      <c r="A1992" s="78" t="str">
        <f>IFERROR(__xludf.DUMMYFUNCTION("""COMPUTED_VALUE"""),"Reap the Tides")</f>
        <v>Reap the Tides</v>
      </c>
      <c r="B1992" s="78" t="str">
        <f>IFERROR(__xludf.DUMMYFUNCTION("""COMPUTED_VALUE"""),"Sultai Arisen")</f>
        <v>Sultai Arisen</v>
      </c>
      <c r="C1992" s="79">
        <f>IFERROR(__xludf.DUMMYFUNCTION("""COMPUTED_VALUE"""),0.0)</f>
        <v>0</v>
      </c>
      <c r="D1992" s="79">
        <f>IFERROR(__xludf.DUMMYFUNCTION("""COMPUTED_VALUE"""),0.0)</f>
        <v>0</v>
      </c>
      <c r="E1992" s="69" t="b">
        <f>IFERROR(__xludf.DUMMYFUNCTION("""COMPUTED_VALUE"""),TRUE)</f>
        <v>1</v>
      </c>
    </row>
    <row r="1993" hidden="1">
      <c r="A1993" s="78" t="str">
        <f>IFERROR(__xludf.DUMMYFUNCTION("""COMPUTED_VALUE"""),"Reap the Tides")</f>
        <v>Reap the Tides</v>
      </c>
      <c r="B1993" s="78" t="str">
        <f>IFERROR(__xludf.DUMMYFUNCTION("""COMPUTED_VALUE"""),"Temur Roar")</f>
        <v>Temur Roar</v>
      </c>
      <c r="C1993" s="79">
        <f>IFERROR(__xludf.DUMMYFUNCTION("""COMPUTED_VALUE"""),0.0)</f>
        <v>0</v>
      </c>
      <c r="D1993" s="79">
        <f>IFERROR(__xludf.DUMMYFUNCTION("""COMPUTED_VALUE"""),0.0)</f>
        <v>0</v>
      </c>
      <c r="E1993" s="69" t="b">
        <f>IFERROR(__xludf.DUMMYFUNCTION("""COMPUTED_VALUE"""),TRUE)</f>
        <v>1</v>
      </c>
    </row>
    <row r="1994" hidden="1">
      <c r="A1994" s="78" t="str">
        <f>IFERROR(__xludf.DUMMYFUNCTION("""COMPUTED_VALUE"""),"Reap the Tides")</f>
        <v>Reap the Tides</v>
      </c>
      <c r="B1994" s="78" t="str">
        <f>IFERROR(__xludf.DUMMYFUNCTION("""COMPUTED_VALUE"""),"The Hosts of Mordor")</f>
        <v>The Hosts of Mordor</v>
      </c>
      <c r="C1994" s="79">
        <f>IFERROR(__xludf.DUMMYFUNCTION("""COMPUTED_VALUE"""),0.0)</f>
        <v>0</v>
      </c>
      <c r="D1994" s="79">
        <f>IFERROR(__xludf.DUMMYFUNCTION("""COMPUTED_VALUE"""),0.0)</f>
        <v>0</v>
      </c>
      <c r="E1994" s="69" t="b">
        <f>IFERROR(__xludf.DUMMYFUNCTION("""COMPUTED_VALUE"""),TRUE)</f>
        <v>1</v>
      </c>
    </row>
    <row r="1995" hidden="1">
      <c r="A1995" s="78" t="str">
        <f>IFERROR(__xludf.DUMMYFUNCTION("""COMPUTED_VALUE"""),"Reap the Tides")</f>
        <v>Reap the Tides</v>
      </c>
      <c r="B1995" s="78" t="str">
        <f>IFERROR(__xludf.DUMMYFUNCTION("""COMPUTED_VALUE"""),"The Ruinous Powers")</f>
        <v>The Ruinous Powers</v>
      </c>
      <c r="C1995" s="79">
        <f>IFERROR(__xludf.DUMMYFUNCTION("""COMPUTED_VALUE"""),0.0)</f>
        <v>0</v>
      </c>
      <c r="D1995" s="79">
        <f>IFERROR(__xludf.DUMMYFUNCTION("""COMPUTED_VALUE"""),0.0)</f>
        <v>0</v>
      </c>
      <c r="E1995" s="69" t="b">
        <f>IFERROR(__xludf.DUMMYFUNCTION("""COMPUTED_VALUE"""),TRUE)</f>
        <v>1</v>
      </c>
    </row>
    <row r="1996" hidden="1">
      <c r="A1996" s="78" t="str">
        <f>IFERROR(__xludf.DUMMYFUNCTION("""COMPUTED_VALUE"""),"Reap the Tides")</f>
        <v>Reap the Tides</v>
      </c>
      <c r="B1996" s="78" t="str">
        <f>IFERROR(__xludf.DUMMYFUNCTION("""COMPUTED_VALUE"""),"Timey-Wimey")</f>
        <v>Timey-Wimey</v>
      </c>
      <c r="C1996" s="79">
        <f>IFERROR(__xludf.DUMMYFUNCTION("""COMPUTED_VALUE"""),0.0)</f>
        <v>0</v>
      </c>
      <c r="D1996" s="79">
        <f>IFERROR(__xludf.DUMMYFUNCTION("""COMPUTED_VALUE"""),0.0)</f>
        <v>0</v>
      </c>
      <c r="E1996" s="69" t="b">
        <f>IFERROR(__xludf.DUMMYFUNCTION("""COMPUTED_VALUE"""),TRUE)</f>
        <v>1</v>
      </c>
    </row>
    <row r="1997" hidden="1">
      <c r="A1997" s="78" t="str">
        <f>IFERROR(__xludf.DUMMYFUNCTION("""COMPUTED_VALUE"""),"Reap the Tides")</f>
        <v>Reap the Tides</v>
      </c>
      <c r="B1997" s="78" t="str">
        <f>IFERROR(__xludf.DUMMYFUNCTION("""COMPUTED_VALUE"""),"Tinker Time")</f>
        <v>Tinker Time</v>
      </c>
      <c r="C1997" s="79">
        <f>IFERROR(__xludf.DUMMYFUNCTION("""COMPUTED_VALUE"""),0.0)</f>
        <v>0</v>
      </c>
      <c r="D1997" s="79">
        <f>IFERROR(__xludf.DUMMYFUNCTION("""COMPUTED_VALUE"""),0.0)</f>
        <v>0</v>
      </c>
      <c r="E1997" s="69" t="b">
        <f>IFERROR(__xludf.DUMMYFUNCTION("""COMPUTED_VALUE"""),TRUE)</f>
        <v>1</v>
      </c>
    </row>
    <row r="1998">
      <c r="A1998" s="78" t="str">
        <f>IFERROR(__xludf.DUMMYFUNCTION("""COMPUTED_VALUE"""),"Reap the Tides")</f>
        <v>Reap the Tides</v>
      </c>
      <c r="B1998" s="78" t="str">
        <f>IFERROR(__xludf.DUMMYFUNCTION("""COMPUTED_VALUE"""),"Turtle Power!")</f>
        <v>Turtle Power!</v>
      </c>
      <c r="C1998" s="79">
        <f>IFERROR(__xludf.DUMMYFUNCTION("""COMPUTED_VALUE"""),0.0)</f>
        <v>0</v>
      </c>
      <c r="D1998" s="79">
        <f>IFERROR(__xludf.DUMMYFUNCTION("""COMPUTED_VALUE"""),0.0)</f>
        <v>0</v>
      </c>
      <c r="E1998" s="69" t="b">
        <f>IFERROR(__xludf.DUMMYFUNCTION("""COMPUTED_VALUE"""),TRUE)</f>
        <v>1</v>
      </c>
    </row>
    <row r="1999" hidden="1">
      <c r="A1999" s="78" t="str">
        <f>IFERROR(__xludf.DUMMYFUNCTION("""COMPUTED_VALUE"""),"Reap the Tides")</f>
        <v>Reap the Tides</v>
      </c>
      <c r="B1999" s="78" t="str">
        <f>IFERROR(__xludf.DUMMYFUNCTION("""COMPUTED_VALUE"""),"Veloci-ramp-tor")</f>
        <v>Veloci-ramp-tor</v>
      </c>
      <c r="C1999" s="79">
        <f>IFERROR(__xludf.DUMMYFUNCTION("""COMPUTED_VALUE"""),1.0)</f>
        <v>1</v>
      </c>
      <c r="D1999" s="79">
        <f>IFERROR(__xludf.DUMMYFUNCTION("""COMPUTED_VALUE"""),0.0)</f>
        <v>0</v>
      </c>
      <c r="E1999" s="69" t="b">
        <f>IFERROR(__xludf.DUMMYFUNCTION("""COMPUTED_VALUE"""),FALSE)</f>
        <v>0</v>
      </c>
    </row>
    <row r="2000" hidden="1">
      <c r="A2000" s="78" t="str">
        <f>IFERROR(__xludf.DUMMYFUNCTION("""COMPUTED_VALUE"""),"Rebellion Rising")</f>
        <v>Rebellion Rising</v>
      </c>
      <c r="B2000" s="78" t="str">
        <f>IFERROR(__xludf.DUMMYFUNCTION("""COMPUTED_VALUE"""),"Ahoy Mateys")</f>
        <v>Ahoy Mateys</v>
      </c>
      <c r="C2000" s="79">
        <f>IFERROR(__xludf.DUMMYFUNCTION("""COMPUTED_VALUE"""),0.0)</f>
        <v>0</v>
      </c>
      <c r="D2000" s="79">
        <f>IFERROR(__xludf.DUMMYFUNCTION("""COMPUTED_VALUE"""),0.0)</f>
        <v>0</v>
      </c>
      <c r="E2000" s="69" t="b">
        <f>IFERROR(__xludf.DUMMYFUNCTION("""COMPUTED_VALUE"""),TRUE)</f>
        <v>1</v>
      </c>
    </row>
    <row r="2001" hidden="1">
      <c r="A2001" s="78" t="str">
        <f>IFERROR(__xludf.DUMMYFUNCTION("""COMPUTED_VALUE"""),"Rebellion Rising")</f>
        <v>Rebellion Rising</v>
      </c>
      <c r="B2001" s="78" t="str">
        <f>IFERROR(__xludf.DUMMYFUNCTION("""COMPUTED_VALUE"""),"Animated Army")</f>
        <v>Animated Army</v>
      </c>
      <c r="C2001" s="79">
        <f>IFERROR(__xludf.DUMMYFUNCTION("""COMPUTED_VALUE"""),0.0)</f>
        <v>0</v>
      </c>
      <c r="D2001" s="79">
        <f>IFERROR(__xludf.DUMMYFUNCTION("""COMPUTED_VALUE"""),0.0)</f>
        <v>0</v>
      </c>
      <c r="E2001" s="69" t="b">
        <f>IFERROR(__xludf.DUMMYFUNCTION("""COMPUTED_VALUE"""),TRUE)</f>
        <v>1</v>
      </c>
    </row>
    <row r="2002" hidden="1">
      <c r="A2002" s="78" t="str">
        <f>IFERROR(__xludf.DUMMYFUNCTION("""COMPUTED_VALUE"""),"Rebellion Rising")</f>
        <v>Rebellion Rising</v>
      </c>
      <c r="B2002" s="78" t="str">
        <f>IFERROR(__xludf.DUMMYFUNCTION("""COMPUTED_VALUE"""),"Arcane Maelstrom")</f>
        <v>Arcane Maelstrom</v>
      </c>
      <c r="C2002" s="79">
        <f>IFERROR(__xludf.DUMMYFUNCTION("""COMPUTED_VALUE"""),0.0)</f>
        <v>0</v>
      </c>
      <c r="D2002" s="79">
        <f>IFERROR(__xludf.DUMMYFUNCTION("""COMPUTED_VALUE"""),0.0)</f>
        <v>0</v>
      </c>
      <c r="E2002" s="69" t="b">
        <f>IFERROR(__xludf.DUMMYFUNCTION("""COMPUTED_VALUE"""),TRUE)</f>
        <v>1</v>
      </c>
    </row>
    <row r="2003" hidden="1">
      <c r="A2003" s="78" t="str">
        <f>IFERROR(__xludf.DUMMYFUNCTION("""COMPUTED_VALUE"""),"Rebellion Rising")</f>
        <v>Rebellion Rising</v>
      </c>
      <c r="B2003" s="78" t="str">
        <f>IFERROR(__xludf.DUMMYFUNCTION("""COMPUTED_VALUE"""),"Blame Game")</f>
        <v>Blame Game</v>
      </c>
      <c r="C2003" s="79">
        <f>IFERROR(__xludf.DUMMYFUNCTION("""COMPUTED_VALUE"""),1.0)</f>
        <v>1</v>
      </c>
      <c r="D2003" s="79">
        <f>IFERROR(__xludf.DUMMYFUNCTION("""COMPUTED_VALUE"""),0.0)</f>
        <v>0</v>
      </c>
      <c r="E2003" s="69" t="b">
        <f>IFERROR(__xludf.DUMMYFUNCTION("""COMPUTED_VALUE"""),FALSE)</f>
        <v>0</v>
      </c>
    </row>
    <row r="2004" hidden="1">
      <c r="A2004" s="78" t="str">
        <f>IFERROR(__xludf.DUMMYFUNCTION("""COMPUTED_VALUE"""),"Rebellion Rising")</f>
        <v>Rebellion Rising</v>
      </c>
      <c r="B2004" s="78" t="str">
        <f>IFERROR(__xludf.DUMMYFUNCTION("""COMPUTED_VALUE"""),"Blight Curse")</f>
        <v>Blight Curse</v>
      </c>
      <c r="C2004" s="79">
        <f>IFERROR(__xludf.DUMMYFUNCTION("""COMPUTED_VALUE"""),0.0)</f>
        <v>0</v>
      </c>
      <c r="D2004" s="79">
        <f>IFERROR(__xludf.DUMMYFUNCTION("""COMPUTED_VALUE"""),0.0)</f>
        <v>0</v>
      </c>
      <c r="E2004" s="69" t="b">
        <f>IFERROR(__xludf.DUMMYFUNCTION("""COMPUTED_VALUE"""),TRUE)</f>
        <v>1</v>
      </c>
    </row>
    <row r="2005" hidden="1">
      <c r="A2005" s="78" t="str">
        <f>IFERROR(__xludf.DUMMYFUNCTION("""COMPUTED_VALUE"""),"Rebellion Rising")</f>
        <v>Rebellion Rising</v>
      </c>
      <c r="B2005" s="78" t="str">
        <f>IFERROR(__xludf.DUMMYFUNCTION("""COMPUTED_VALUE"""),"Blood Rites")</f>
        <v>Blood Rites</v>
      </c>
      <c r="C2005" s="79">
        <f>IFERROR(__xludf.DUMMYFUNCTION("""COMPUTED_VALUE"""),0.0)</f>
        <v>0</v>
      </c>
      <c r="D2005" s="79">
        <f>IFERROR(__xludf.DUMMYFUNCTION("""COMPUTED_VALUE"""),0.0)</f>
        <v>0</v>
      </c>
      <c r="E2005" s="69" t="b">
        <f>IFERROR(__xludf.DUMMYFUNCTION("""COMPUTED_VALUE"""),TRUE)</f>
        <v>1</v>
      </c>
    </row>
    <row r="2006">
      <c r="A2006" s="78" t="str">
        <f>IFERROR(__xludf.DUMMYFUNCTION("""COMPUTED_VALUE"""),"Rebellion Rising")</f>
        <v>Rebellion Rising</v>
      </c>
      <c r="B2006" s="78" t="str">
        <f>IFERROR(__xludf.DUMMYFUNCTION("""COMPUTED_VALUE"""),"Buckle Up")</f>
        <v>Buckle Up</v>
      </c>
      <c r="C2006" s="79">
        <f>IFERROR(__xludf.DUMMYFUNCTION("""COMPUTED_VALUE"""),0.0)</f>
        <v>0</v>
      </c>
      <c r="D2006" s="79">
        <f>IFERROR(__xludf.DUMMYFUNCTION("""COMPUTED_VALUE"""),0.0)</f>
        <v>0</v>
      </c>
      <c r="E2006" s="69" t="b">
        <f>IFERROR(__xludf.DUMMYFUNCTION("""COMPUTED_VALUE"""),TRUE)</f>
        <v>1</v>
      </c>
    </row>
    <row r="2007" hidden="1">
      <c r="A2007" s="78" t="str">
        <f>IFERROR(__xludf.DUMMYFUNCTION("""COMPUTED_VALUE"""),"Rebellion Rising")</f>
        <v>Rebellion Rising</v>
      </c>
      <c r="B2007" s="78" t="str">
        <f>IFERROR(__xludf.DUMMYFUNCTION("""COMPUTED_VALUE"""),"Cabaretti Cacophony")</f>
        <v>Cabaretti Cacophony</v>
      </c>
      <c r="C2007" s="79">
        <f>IFERROR(__xludf.DUMMYFUNCTION("""COMPUTED_VALUE"""),0.0)</f>
        <v>0</v>
      </c>
      <c r="D2007" s="79">
        <f>IFERROR(__xludf.DUMMYFUNCTION("""COMPUTED_VALUE"""),0.0)</f>
        <v>0</v>
      </c>
      <c r="E2007" s="69" t="b">
        <f>IFERROR(__xludf.DUMMYFUNCTION("""COMPUTED_VALUE"""),TRUE)</f>
        <v>1</v>
      </c>
    </row>
    <row r="2008" hidden="1">
      <c r="A2008" s="78" t="str">
        <f>IFERROR(__xludf.DUMMYFUNCTION("""COMPUTED_VALUE"""),"Rebellion Rising")</f>
        <v>Rebellion Rising</v>
      </c>
      <c r="B2008" s="78" t="str">
        <f>IFERROR(__xludf.DUMMYFUNCTION("""COMPUTED_VALUE"""),"Cavalry Charge")</f>
        <v>Cavalry Charge</v>
      </c>
      <c r="C2008" s="79">
        <f>IFERROR(__xludf.DUMMYFUNCTION("""COMPUTED_VALUE"""),0.0)</f>
        <v>0</v>
      </c>
      <c r="D2008" s="79">
        <f>IFERROR(__xludf.DUMMYFUNCTION("""COMPUTED_VALUE"""),0.0)</f>
        <v>0</v>
      </c>
      <c r="E2008" s="69" t="b">
        <f>IFERROR(__xludf.DUMMYFUNCTION("""COMPUTED_VALUE"""),TRUE)</f>
        <v>1</v>
      </c>
    </row>
    <row r="2009" hidden="1">
      <c r="A2009" s="78" t="str">
        <f>IFERROR(__xludf.DUMMYFUNCTION("""COMPUTED_VALUE"""),"Rebellion Rising")</f>
        <v>Rebellion Rising</v>
      </c>
      <c r="B2009" s="78" t="str">
        <f>IFERROR(__xludf.DUMMYFUNCTION("""COMPUTED_VALUE"""),"Corrupting Influence")</f>
        <v>Corrupting Influence</v>
      </c>
      <c r="C2009" s="79">
        <f>IFERROR(__xludf.DUMMYFUNCTION("""COMPUTED_VALUE"""),0.0)</f>
        <v>0</v>
      </c>
      <c r="D2009" s="79">
        <f>IFERROR(__xludf.DUMMYFUNCTION("""COMPUTED_VALUE"""),1.0)</f>
        <v>1</v>
      </c>
      <c r="E2009" s="69" t="b">
        <f>IFERROR(__xludf.DUMMYFUNCTION("""COMPUTED_VALUE"""),FALSE)</f>
        <v>0</v>
      </c>
    </row>
    <row r="2010" hidden="1">
      <c r="A2010" s="78" t="str">
        <f>IFERROR(__xludf.DUMMYFUNCTION("""COMPUTED_VALUE"""),"Rebellion Rising")</f>
        <v>Rebellion Rising</v>
      </c>
      <c r="B2010" s="78" t="str">
        <f>IFERROR(__xludf.DUMMYFUNCTION("""COMPUTED_VALUE"""),"Counter Blitz")</f>
        <v>Counter Blitz</v>
      </c>
      <c r="C2010" s="79">
        <f>IFERROR(__xludf.DUMMYFUNCTION("""COMPUTED_VALUE"""),0.0)</f>
        <v>0</v>
      </c>
      <c r="D2010" s="79">
        <f>IFERROR(__xludf.DUMMYFUNCTION("""COMPUTED_VALUE"""),0.0)</f>
        <v>0</v>
      </c>
      <c r="E2010" s="69" t="b">
        <f>IFERROR(__xludf.DUMMYFUNCTION("""COMPUTED_VALUE"""),TRUE)</f>
        <v>1</v>
      </c>
    </row>
    <row r="2011" hidden="1">
      <c r="A2011" s="78" t="str">
        <f>IFERROR(__xludf.DUMMYFUNCTION("""COMPUTED_VALUE"""),"Rebellion Rising")</f>
        <v>Rebellion Rising</v>
      </c>
      <c r="B2011" s="78" t="str">
        <f>IFERROR(__xludf.DUMMYFUNCTION("""COMPUTED_VALUE"""),"Counter Intelligence")</f>
        <v>Counter Intelligence</v>
      </c>
      <c r="C2011" s="79">
        <f>IFERROR(__xludf.DUMMYFUNCTION("""COMPUTED_VALUE"""),0.0)</f>
        <v>0</v>
      </c>
      <c r="D2011" s="79">
        <f>IFERROR(__xludf.DUMMYFUNCTION("""COMPUTED_VALUE"""),0.0)</f>
        <v>0</v>
      </c>
      <c r="E2011" s="69" t="b">
        <f>IFERROR(__xludf.DUMMYFUNCTION("""COMPUTED_VALUE"""),TRUE)</f>
        <v>1</v>
      </c>
    </row>
    <row r="2012" hidden="1">
      <c r="A2012" s="78" t="str">
        <f>IFERROR(__xludf.DUMMYFUNCTION("""COMPUTED_VALUE"""),"Rebellion Rising")</f>
        <v>Rebellion Rising</v>
      </c>
      <c r="B2012" s="78" t="str">
        <f>IFERROR(__xludf.DUMMYFUNCTION("""COMPUTED_VALUE"""),"Creative Energy")</f>
        <v>Creative Energy</v>
      </c>
      <c r="C2012" s="79">
        <f>IFERROR(__xludf.DUMMYFUNCTION("""COMPUTED_VALUE"""),0.0)</f>
        <v>0</v>
      </c>
      <c r="D2012" s="79">
        <f>IFERROR(__xludf.DUMMYFUNCTION("""COMPUTED_VALUE"""),0.0)</f>
        <v>0</v>
      </c>
      <c r="E2012" s="69" t="b">
        <f>IFERROR(__xludf.DUMMYFUNCTION("""COMPUTED_VALUE"""),TRUE)</f>
        <v>1</v>
      </c>
    </row>
    <row r="2013" hidden="1">
      <c r="A2013" s="78" t="str">
        <f>IFERROR(__xludf.DUMMYFUNCTION("""COMPUTED_VALUE"""),"Rebellion Rising")</f>
        <v>Rebellion Rising</v>
      </c>
      <c r="B2013" s="78" t="str">
        <f>IFERROR(__xludf.DUMMYFUNCTION("""COMPUTED_VALUE"""),"Dance of the Elements")</f>
        <v>Dance of the Elements</v>
      </c>
      <c r="C2013" s="79">
        <f>IFERROR(__xludf.DUMMYFUNCTION("""COMPUTED_VALUE"""),0.0)</f>
        <v>0</v>
      </c>
      <c r="D2013" s="79">
        <f>IFERROR(__xludf.DUMMYFUNCTION("""COMPUTED_VALUE"""),0.0)</f>
        <v>0</v>
      </c>
      <c r="E2013" s="69" t="b">
        <f>IFERROR(__xludf.DUMMYFUNCTION("""COMPUTED_VALUE"""),TRUE)</f>
        <v>1</v>
      </c>
    </row>
    <row r="2014" hidden="1">
      <c r="A2014" s="78" t="str">
        <f>IFERROR(__xludf.DUMMYFUNCTION("""COMPUTED_VALUE"""),"Rebellion Rising")</f>
        <v>Rebellion Rising</v>
      </c>
      <c r="B2014" s="78" t="str">
        <f>IFERROR(__xludf.DUMMYFUNCTION("""COMPUTED_VALUE"""),"Deep Clue Sea")</f>
        <v>Deep Clue Sea</v>
      </c>
      <c r="C2014" s="79">
        <f>IFERROR(__xludf.DUMMYFUNCTION("""COMPUTED_VALUE"""),0.0)</f>
        <v>0</v>
      </c>
      <c r="D2014" s="79">
        <f>IFERROR(__xludf.DUMMYFUNCTION("""COMPUTED_VALUE"""),0.0)</f>
        <v>0</v>
      </c>
      <c r="E2014" s="69" t="b">
        <f>IFERROR(__xludf.DUMMYFUNCTION("""COMPUTED_VALUE"""),TRUE)</f>
        <v>1</v>
      </c>
    </row>
    <row r="2015" hidden="1">
      <c r="A2015" s="78" t="str">
        <f>IFERROR(__xludf.DUMMYFUNCTION("""COMPUTED_VALUE"""),"Rebellion Rising")</f>
        <v>Rebellion Rising</v>
      </c>
      <c r="B2015" s="78" t="str">
        <f>IFERROR(__xludf.DUMMYFUNCTION("""COMPUTED_VALUE"""),"Doom Prevails")</f>
        <v>Doom Prevails</v>
      </c>
      <c r="C2015" s="79">
        <f>IFERROR(__xludf.DUMMYFUNCTION("""COMPUTED_VALUE"""),0.0)</f>
        <v>0</v>
      </c>
      <c r="D2015" s="79">
        <f>IFERROR(__xludf.DUMMYFUNCTION("""COMPUTED_VALUE"""),0.0)</f>
        <v>0</v>
      </c>
      <c r="E2015" s="69" t="b">
        <f>IFERROR(__xludf.DUMMYFUNCTION("""COMPUTED_VALUE"""),TRUE)</f>
        <v>1</v>
      </c>
    </row>
    <row r="2016" hidden="1">
      <c r="A2016" s="78" t="str">
        <f>IFERROR(__xludf.DUMMYFUNCTION("""COMPUTED_VALUE"""),"Rebellion Rising")</f>
        <v>Rebellion Rising</v>
      </c>
      <c r="B2016" s="78" t="str">
        <f>IFERROR(__xludf.DUMMYFUNCTION("""COMPUTED_VALUE"""),"Eldrazi Incursion")</f>
        <v>Eldrazi Incursion</v>
      </c>
      <c r="C2016" s="79">
        <f>IFERROR(__xludf.DUMMYFUNCTION("""COMPUTED_VALUE"""),0.0)</f>
        <v>0</v>
      </c>
      <c r="D2016" s="79">
        <f>IFERROR(__xludf.DUMMYFUNCTION("""COMPUTED_VALUE"""),0.0)</f>
        <v>0</v>
      </c>
      <c r="E2016" s="69" t="b">
        <f>IFERROR(__xludf.DUMMYFUNCTION("""COMPUTED_VALUE"""),TRUE)</f>
        <v>1</v>
      </c>
    </row>
    <row r="2017" hidden="1">
      <c r="A2017" s="78" t="str">
        <f>IFERROR(__xludf.DUMMYFUNCTION("""COMPUTED_VALUE"""),"Rebellion Rising")</f>
        <v>Rebellion Rising</v>
      </c>
      <c r="B2017" s="78" t="str">
        <f>IFERROR(__xludf.DUMMYFUNCTION("""COMPUTED_VALUE"""),"Eldrazi Unbound")</f>
        <v>Eldrazi Unbound</v>
      </c>
      <c r="C2017" s="79">
        <f>IFERROR(__xludf.DUMMYFUNCTION("""COMPUTED_VALUE"""),0.0)</f>
        <v>0</v>
      </c>
      <c r="D2017" s="79">
        <f>IFERROR(__xludf.DUMMYFUNCTION("""COMPUTED_VALUE"""),0.0)</f>
        <v>0</v>
      </c>
      <c r="E2017" s="69" t="b">
        <f>IFERROR(__xludf.DUMMYFUNCTION("""COMPUTED_VALUE"""),TRUE)</f>
        <v>1</v>
      </c>
    </row>
    <row r="2018" hidden="1">
      <c r="A2018" s="78" t="str">
        <f>IFERROR(__xludf.DUMMYFUNCTION("""COMPUTED_VALUE"""),"Rebellion Rising")</f>
        <v>Rebellion Rising</v>
      </c>
      <c r="B2018" s="78" t="str">
        <f>IFERROR(__xludf.DUMMYFUNCTION("""COMPUTED_VALUE"""),"Endless Punishment")</f>
        <v>Endless Punishment</v>
      </c>
      <c r="C2018" s="79">
        <f>IFERROR(__xludf.DUMMYFUNCTION("""COMPUTED_VALUE"""),0.0)</f>
        <v>0</v>
      </c>
      <c r="D2018" s="79">
        <f>IFERROR(__xludf.DUMMYFUNCTION("""COMPUTED_VALUE"""),0.0)</f>
        <v>0</v>
      </c>
      <c r="E2018" s="69" t="b">
        <f>IFERROR(__xludf.DUMMYFUNCTION("""COMPUTED_VALUE"""),TRUE)</f>
        <v>1</v>
      </c>
    </row>
    <row r="2019" hidden="1">
      <c r="A2019" s="78" t="str">
        <f>IFERROR(__xludf.DUMMYFUNCTION("""COMPUTED_VALUE"""),"Rebellion Rising")</f>
        <v>Rebellion Rising</v>
      </c>
      <c r="B2019" s="78" t="str">
        <f>IFERROR(__xludf.DUMMYFUNCTION("""COMPUTED_VALUE"""),"Enduring Enchantments")</f>
        <v>Enduring Enchantments</v>
      </c>
      <c r="C2019" s="79">
        <f>IFERROR(__xludf.DUMMYFUNCTION("""COMPUTED_VALUE"""),0.0)</f>
        <v>0</v>
      </c>
      <c r="D2019" s="79">
        <f>IFERROR(__xludf.DUMMYFUNCTION("""COMPUTED_VALUE"""),0.0)</f>
        <v>0</v>
      </c>
      <c r="E2019" s="69" t="b">
        <f>IFERROR(__xludf.DUMMYFUNCTION("""COMPUTED_VALUE"""),TRUE)</f>
        <v>1</v>
      </c>
    </row>
    <row r="2020" hidden="1">
      <c r="A2020" s="78" t="str">
        <f>IFERROR(__xludf.DUMMYFUNCTION("""COMPUTED_VALUE"""),"Rebellion Rising")</f>
        <v>Rebellion Rising</v>
      </c>
      <c r="B2020" s="78" t="str">
        <f>IFERROR(__xludf.DUMMYFUNCTION("""COMPUTED_VALUE"""),"Explorers of the Deep")</f>
        <v>Explorers of the Deep</v>
      </c>
      <c r="C2020" s="79">
        <f>IFERROR(__xludf.DUMMYFUNCTION("""COMPUTED_VALUE"""),0.0)</f>
        <v>0</v>
      </c>
      <c r="D2020" s="79">
        <f>IFERROR(__xludf.DUMMYFUNCTION("""COMPUTED_VALUE"""),0.0)</f>
        <v>0</v>
      </c>
      <c r="E2020" s="69" t="b">
        <f>IFERROR(__xludf.DUMMYFUNCTION("""COMPUTED_VALUE"""),TRUE)</f>
        <v>1</v>
      </c>
    </row>
    <row r="2021" hidden="1">
      <c r="A2021" s="78" t="str">
        <f>IFERROR(__xludf.DUMMYFUNCTION("""COMPUTED_VALUE"""),"Rebellion Rising")</f>
        <v>Rebellion Rising</v>
      </c>
      <c r="B2021" s="78" t="str">
        <f>IFERROR(__xludf.DUMMYFUNCTION("""COMPUTED_VALUE"""),"Family Matters")</f>
        <v>Family Matters</v>
      </c>
      <c r="C2021" s="79">
        <f>IFERROR(__xludf.DUMMYFUNCTION("""COMPUTED_VALUE"""),0.0)</f>
        <v>0</v>
      </c>
      <c r="D2021" s="79">
        <f>IFERROR(__xludf.DUMMYFUNCTION("""COMPUTED_VALUE"""),0.0)</f>
        <v>0</v>
      </c>
      <c r="E2021" s="69" t="b">
        <f>IFERROR(__xludf.DUMMYFUNCTION("""COMPUTED_VALUE"""),TRUE)</f>
        <v>1</v>
      </c>
    </row>
    <row r="2022" hidden="1">
      <c r="A2022" s="78" t="str">
        <f>IFERROR(__xludf.DUMMYFUNCTION("""COMPUTED_VALUE"""),"Rebellion Rising")</f>
        <v>Rebellion Rising</v>
      </c>
      <c r="B2022" s="78" t="str">
        <f>IFERROR(__xludf.DUMMYFUNCTION("""COMPUTED_VALUE"""),"Food and Fellowship")</f>
        <v>Food and Fellowship</v>
      </c>
      <c r="C2022" s="79">
        <f>IFERROR(__xludf.DUMMYFUNCTION("""COMPUTED_VALUE"""),0.0)</f>
        <v>0</v>
      </c>
      <c r="D2022" s="79">
        <f>IFERROR(__xludf.DUMMYFUNCTION("""COMPUTED_VALUE"""),0.0)</f>
        <v>0</v>
      </c>
      <c r="E2022" s="69" t="b">
        <f>IFERROR(__xludf.DUMMYFUNCTION("""COMPUTED_VALUE"""),TRUE)</f>
        <v>1</v>
      </c>
    </row>
    <row r="2023" hidden="1">
      <c r="A2023" s="78" t="str">
        <f>IFERROR(__xludf.DUMMYFUNCTION("""COMPUTED_VALUE"""),"Rebellion Rising")</f>
        <v>Rebellion Rising</v>
      </c>
      <c r="B2023" s="78" t="str">
        <f>IFERROR(__xludf.DUMMYFUNCTION("""COMPUTED_VALUE"""),"Jeskai Striker")</f>
        <v>Jeskai Striker</v>
      </c>
      <c r="C2023" s="79">
        <f>IFERROR(__xludf.DUMMYFUNCTION("""COMPUTED_VALUE"""),0.0)</f>
        <v>0</v>
      </c>
      <c r="D2023" s="79">
        <f>IFERROR(__xludf.DUMMYFUNCTION("""COMPUTED_VALUE"""),0.0)</f>
        <v>0</v>
      </c>
      <c r="E2023" s="69" t="b">
        <f>IFERROR(__xludf.DUMMYFUNCTION("""COMPUTED_VALUE"""),TRUE)</f>
        <v>1</v>
      </c>
    </row>
    <row r="2024" hidden="1">
      <c r="A2024" s="78" t="str">
        <f>IFERROR(__xludf.DUMMYFUNCTION("""COMPUTED_VALUE"""),"Rebellion Rising")</f>
        <v>Rebellion Rising</v>
      </c>
      <c r="B2024" s="78" t="str">
        <f>IFERROR(__xludf.DUMMYFUNCTION("""COMPUTED_VALUE"""),"Legends' Legacy")</f>
        <v>Legends' Legacy</v>
      </c>
      <c r="C2024" s="79">
        <f>IFERROR(__xludf.DUMMYFUNCTION("""COMPUTED_VALUE"""),1.0)</f>
        <v>1</v>
      </c>
      <c r="D2024" s="79">
        <f>IFERROR(__xludf.DUMMYFUNCTION("""COMPUTED_VALUE"""),0.0)</f>
        <v>0</v>
      </c>
      <c r="E2024" s="69" t="b">
        <f>IFERROR(__xludf.DUMMYFUNCTION("""COMPUTED_VALUE"""),FALSE)</f>
        <v>0</v>
      </c>
    </row>
    <row r="2025" hidden="1">
      <c r="A2025" s="78" t="str">
        <f>IFERROR(__xludf.DUMMYFUNCTION("""COMPUTED_VALUE"""),"Rebellion Rising")</f>
        <v>Rebellion Rising</v>
      </c>
      <c r="B2025" s="78" t="str">
        <f>IFERROR(__xludf.DUMMYFUNCTION("""COMPUTED_VALUE"""),"Limit Break")</f>
        <v>Limit Break</v>
      </c>
      <c r="C2025" s="79">
        <f>IFERROR(__xludf.DUMMYFUNCTION("""COMPUTED_VALUE"""),0.0)</f>
        <v>0</v>
      </c>
      <c r="D2025" s="79">
        <f>IFERROR(__xludf.DUMMYFUNCTION("""COMPUTED_VALUE"""),0.0)</f>
        <v>0</v>
      </c>
      <c r="E2025" s="69" t="b">
        <f>IFERROR(__xludf.DUMMYFUNCTION("""COMPUTED_VALUE"""),TRUE)</f>
        <v>1</v>
      </c>
    </row>
    <row r="2026" hidden="1">
      <c r="A2026" s="78" t="str">
        <f>IFERROR(__xludf.DUMMYFUNCTION("""COMPUTED_VALUE"""),"Rebellion Rising")</f>
        <v>Rebellion Rising</v>
      </c>
      <c r="B2026" s="78" t="str">
        <f>IFERROR(__xludf.DUMMYFUNCTION("""COMPUTED_VALUE"""),"Lorehold Spirit")</f>
        <v>Lorehold Spirit</v>
      </c>
      <c r="C2026" s="79">
        <f>IFERROR(__xludf.DUMMYFUNCTION("""COMPUTED_VALUE"""),0.0)</f>
        <v>0</v>
      </c>
      <c r="D2026" s="79">
        <f>IFERROR(__xludf.DUMMYFUNCTION("""COMPUTED_VALUE"""),0.0)</f>
        <v>0</v>
      </c>
      <c r="E2026" s="69" t="b">
        <f>IFERROR(__xludf.DUMMYFUNCTION("""COMPUTED_VALUE"""),TRUE)</f>
        <v>1</v>
      </c>
    </row>
    <row r="2027" hidden="1">
      <c r="A2027" s="78" t="str">
        <f>IFERROR(__xludf.DUMMYFUNCTION("""COMPUTED_VALUE"""),"Rebellion Rising")</f>
        <v>Rebellion Rising</v>
      </c>
      <c r="B2027" s="78" t="str">
        <f>IFERROR(__xludf.DUMMYFUNCTION("""COMPUTED_VALUE"""),"Mutant Menace")</f>
        <v>Mutant Menace</v>
      </c>
      <c r="C2027" s="79">
        <f>IFERROR(__xludf.DUMMYFUNCTION("""COMPUTED_VALUE"""),0.0)</f>
        <v>0</v>
      </c>
      <c r="D2027" s="79">
        <f>IFERROR(__xludf.DUMMYFUNCTION("""COMPUTED_VALUE"""),0.0)</f>
        <v>0</v>
      </c>
      <c r="E2027" s="69" t="b">
        <f>IFERROR(__xludf.DUMMYFUNCTION("""COMPUTED_VALUE"""),TRUE)</f>
        <v>1</v>
      </c>
    </row>
    <row r="2028" hidden="1">
      <c r="A2028" s="78" t="str">
        <f>IFERROR(__xludf.DUMMYFUNCTION("""COMPUTED_VALUE"""),"Rebellion Rising")</f>
        <v>Rebellion Rising</v>
      </c>
      <c r="B2028" s="78" t="str">
        <f>IFERROR(__xludf.DUMMYFUNCTION("""COMPUTED_VALUE"""),"Party Time")</f>
        <v>Party Time</v>
      </c>
      <c r="C2028" s="79">
        <f>IFERROR(__xludf.DUMMYFUNCTION("""COMPUTED_VALUE"""),0.0)</f>
        <v>0</v>
      </c>
      <c r="D2028" s="79">
        <f>IFERROR(__xludf.DUMMYFUNCTION("""COMPUTED_VALUE"""),0.0)</f>
        <v>0</v>
      </c>
      <c r="E2028" s="69" t="b">
        <f>IFERROR(__xludf.DUMMYFUNCTION("""COMPUTED_VALUE"""),TRUE)</f>
        <v>1</v>
      </c>
    </row>
    <row r="2029" hidden="1">
      <c r="A2029" s="78" t="str">
        <f>IFERROR(__xludf.DUMMYFUNCTION("""COMPUTED_VALUE"""),"Rebellion Rising")</f>
        <v>Rebellion Rising</v>
      </c>
      <c r="B2029" s="78" t="str">
        <f>IFERROR(__xludf.DUMMYFUNCTION("""COMPUTED_VALUE"""),"Peace Offering")</f>
        <v>Peace Offering</v>
      </c>
      <c r="C2029" s="79">
        <f>IFERROR(__xludf.DUMMYFUNCTION("""COMPUTED_VALUE"""),0.0)</f>
        <v>0</v>
      </c>
      <c r="D2029" s="79">
        <f>IFERROR(__xludf.DUMMYFUNCTION("""COMPUTED_VALUE"""),0.0)</f>
        <v>0</v>
      </c>
      <c r="E2029" s="69" t="b">
        <f>IFERROR(__xludf.DUMMYFUNCTION("""COMPUTED_VALUE"""),TRUE)</f>
        <v>1</v>
      </c>
    </row>
    <row r="2030" hidden="1">
      <c r="A2030" s="78" t="str">
        <f>IFERROR(__xludf.DUMMYFUNCTION("""COMPUTED_VALUE"""),"Rebellion Rising")</f>
        <v>Rebellion Rising</v>
      </c>
      <c r="B2030" s="78" t="str">
        <f>IFERROR(__xludf.DUMMYFUNCTION("""COMPUTED_VALUE"""),"Power Hungry")</f>
        <v>Power Hungry</v>
      </c>
      <c r="C2030" s="79">
        <f>IFERROR(__xludf.DUMMYFUNCTION("""COMPUTED_VALUE"""),0.0)</f>
        <v>0</v>
      </c>
      <c r="D2030" s="79">
        <f>IFERROR(__xludf.DUMMYFUNCTION("""COMPUTED_VALUE"""),0.0)</f>
        <v>0</v>
      </c>
      <c r="E2030" s="69" t="b">
        <f>IFERROR(__xludf.DUMMYFUNCTION("""COMPUTED_VALUE"""),TRUE)</f>
        <v>1</v>
      </c>
    </row>
    <row r="2031" hidden="1">
      <c r="A2031" s="78" t="str">
        <f>IFERROR(__xludf.DUMMYFUNCTION("""COMPUTED_VALUE"""),"Rebellion Rising")</f>
        <v>Rebellion Rising</v>
      </c>
      <c r="B2031" s="78" t="str">
        <f>IFERROR(__xludf.DUMMYFUNCTION("""COMPUTED_VALUE"""),"Primal Genesis")</f>
        <v>Primal Genesis</v>
      </c>
      <c r="C2031" s="79">
        <f>IFERROR(__xludf.DUMMYFUNCTION("""COMPUTED_VALUE"""),0.0)</f>
        <v>0</v>
      </c>
      <c r="D2031" s="79">
        <f>IFERROR(__xludf.DUMMYFUNCTION("""COMPUTED_VALUE"""),0.0)</f>
        <v>0</v>
      </c>
      <c r="E2031" s="69" t="b">
        <f>IFERROR(__xludf.DUMMYFUNCTION("""COMPUTED_VALUE"""),TRUE)</f>
        <v>1</v>
      </c>
    </row>
    <row r="2032">
      <c r="A2032" s="78" t="str">
        <f>IFERROR(__xludf.DUMMYFUNCTION("""COMPUTED_VALUE"""),"Rebellion Rising")</f>
        <v>Rebellion Rising</v>
      </c>
      <c r="B2032" s="78" t="str">
        <f>IFERROR(__xludf.DUMMYFUNCTION("""COMPUTED_VALUE"""),"Prismari Artistry")</f>
        <v>Prismari Artistry</v>
      </c>
      <c r="C2032" s="79">
        <f>IFERROR(__xludf.DUMMYFUNCTION("""COMPUTED_VALUE"""),0.0)</f>
        <v>0</v>
      </c>
      <c r="D2032" s="79">
        <f>IFERROR(__xludf.DUMMYFUNCTION("""COMPUTED_VALUE"""),0.0)</f>
        <v>0</v>
      </c>
      <c r="E2032" s="69" t="b">
        <f>IFERROR(__xludf.DUMMYFUNCTION("""COMPUTED_VALUE"""),TRUE)</f>
        <v>1</v>
      </c>
    </row>
    <row r="2033" hidden="1">
      <c r="A2033" s="78" t="str">
        <f>IFERROR(__xludf.DUMMYFUNCTION("""COMPUTED_VALUE"""),"Rebellion Rising")</f>
        <v>Rebellion Rising</v>
      </c>
      <c r="B2033" s="78" t="str">
        <f>IFERROR(__xludf.DUMMYFUNCTION("""COMPUTED_VALUE"""),"Prismari Performance")</f>
        <v>Prismari Performance</v>
      </c>
      <c r="C2033" s="79">
        <f>IFERROR(__xludf.DUMMYFUNCTION("""COMPUTED_VALUE"""),0.0)</f>
        <v>0</v>
      </c>
      <c r="D2033" s="79">
        <f>IFERROR(__xludf.DUMMYFUNCTION("""COMPUTED_VALUE"""),0.0)</f>
        <v>0</v>
      </c>
      <c r="E2033" s="69" t="b">
        <f>IFERROR(__xludf.DUMMYFUNCTION("""COMPUTED_VALUE"""),TRUE)</f>
        <v>1</v>
      </c>
    </row>
    <row r="2034" hidden="1">
      <c r="A2034" s="78" t="str">
        <f>IFERROR(__xludf.DUMMYFUNCTION("""COMPUTED_VALUE"""),"Rebellion Rising")</f>
        <v>Rebellion Rising</v>
      </c>
      <c r="B2034" s="78" t="str">
        <f>IFERROR(__xludf.DUMMYFUNCTION("""COMPUTED_VALUE"""),"Quandrix Unlimited")</f>
        <v>Quandrix Unlimited</v>
      </c>
      <c r="C2034" s="79">
        <f>IFERROR(__xludf.DUMMYFUNCTION("""COMPUTED_VALUE"""),0.0)</f>
        <v>0</v>
      </c>
      <c r="D2034" s="79">
        <f>IFERROR(__xludf.DUMMYFUNCTION("""COMPUTED_VALUE"""),0.0)</f>
        <v>0</v>
      </c>
      <c r="E2034" s="69" t="b">
        <f>IFERROR(__xludf.DUMMYFUNCTION("""COMPUTED_VALUE"""),TRUE)</f>
        <v>1</v>
      </c>
    </row>
    <row r="2035" hidden="1">
      <c r="A2035" s="78" t="str">
        <f>IFERROR(__xludf.DUMMYFUNCTION("""COMPUTED_VALUE"""),"Rebellion Rising")</f>
        <v>Rebellion Rising</v>
      </c>
      <c r="B2035" s="78" t="str">
        <f>IFERROR(__xludf.DUMMYFUNCTION("""COMPUTED_VALUE"""),"Quick Draw")</f>
        <v>Quick Draw</v>
      </c>
      <c r="C2035" s="79">
        <f>IFERROR(__xludf.DUMMYFUNCTION("""COMPUTED_VALUE"""),0.0)</f>
        <v>0</v>
      </c>
      <c r="D2035" s="79">
        <f>IFERROR(__xludf.DUMMYFUNCTION("""COMPUTED_VALUE"""),0.0)</f>
        <v>0</v>
      </c>
      <c r="E2035" s="69" t="b">
        <f>IFERROR(__xludf.DUMMYFUNCTION("""COMPUTED_VALUE"""),TRUE)</f>
        <v>1</v>
      </c>
    </row>
    <row r="2036" hidden="1">
      <c r="A2036" s="78" t="str">
        <f>IFERROR(__xludf.DUMMYFUNCTION("""COMPUTED_VALUE"""),"Rebellion Rising")</f>
        <v>Rebellion Rising</v>
      </c>
      <c r="B2036" s="78" t="str">
        <f>IFERROR(__xludf.DUMMYFUNCTION("""COMPUTED_VALUE"""),"Reap the Tides")</f>
        <v>Reap the Tides</v>
      </c>
      <c r="C2036" s="79">
        <f>IFERROR(__xludf.DUMMYFUNCTION("""COMPUTED_VALUE"""),0.0)</f>
        <v>0</v>
      </c>
      <c r="D2036" s="79">
        <f>IFERROR(__xludf.DUMMYFUNCTION("""COMPUTED_VALUE"""),0.0)</f>
        <v>0</v>
      </c>
      <c r="E2036" s="69" t="b">
        <f>IFERROR(__xludf.DUMMYFUNCTION("""COMPUTED_VALUE"""),TRUE)</f>
        <v>1</v>
      </c>
    </row>
    <row r="2037" hidden="1">
      <c r="A2037" s="78" t="str">
        <f>IFERROR(__xludf.DUMMYFUNCTION("""COMPUTED_VALUE"""),"Rebellion Rising")</f>
        <v>Rebellion Rising</v>
      </c>
      <c r="B2037" s="78" t="str">
        <f>IFERROR(__xludf.DUMMYFUNCTION("""COMPUTED_VALUE"""),"Rebellion Rising")</f>
        <v>Rebellion Rising</v>
      </c>
      <c r="C2037" s="79">
        <f>IFERROR(__xludf.DUMMYFUNCTION("""COMPUTED_VALUE"""),1.0)</f>
        <v>1</v>
      </c>
      <c r="D2037" s="79">
        <f>IFERROR(__xludf.DUMMYFUNCTION("""COMPUTED_VALUE"""),1.0)</f>
        <v>1</v>
      </c>
      <c r="E2037" s="69" t="b">
        <f>IFERROR(__xludf.DUMMYFUNCTION("""COMPUTED_VALUE"""),TRUE)</f>
        <v>1</v>
      </c>
    </row>
    <row r="2038" hidden="1">
      <c r="A2038" s="78" t="str">
        <f>IFERROR(__xludf.DUMMYFUNCTION("""COMPUTED_VALUE"""),"Rebellion Rising")</f>
        <v>Rebellion Rising</v>
      </c>
      <c r="B2038" s="78" t="str">
        <f>IFERROR(__xludf.DUMMYFUNCTION("""COMPUTED_VALUE"""),"Revival Trance")</f>
        <v>Revival Trance</v>
      </c>
      <c r="C2038" s="79">
        <f>IFERROR(__xludf.DUMMYFUNCTION("""COMPUTED_VALUE"""),0.0)</f>
        <v>0</v>
      </c>
      <c r="D2038" s="79">
        <f>IFERROR(__xludf.DUMMYFUNCTION("""COMPUTED_VALUE"""),0.0)</f>
        <v>0</v>
      </c>
      <c r="E2038" s="69" t="b">
        <f>IFERROR(__xludf.DUMMYFUNCTION("""COMPUTED_VALUE"""),TRUE)</f>
        <v>1</v>
      </c>
    </row>
    <row r="2039">
      <c r="A2039" s="78" t="str">
        <f>IFERROR(__xludf.DUMMYFUNCTION("""COMPUTED_VALUE"""),"Rebellion Rising")</f>
        <v>Rebellion Rising</v>
      </c>
      <c r="B2039" s="78" t="str">
        <f>IFERROR(__xludf.DUMMYFUNCTION("""COMPUTED_VALUE"""),"Riders of Rohan")</f>
        <v>Riders of Rohan</v>
      </c>
      <c r="C2039" s="79">
        <f>IFERROR(__xludf.DUMMYFUNCTION("""COMPUTED_VALUE"""),0.0)</f>
        <v>0</v>
      </c>
      <c r="D2039" s="79">
        <f>IFERROR(__xludf.DUMMYFUNCTION("""COMPUTED_VALUE"""),0.0)</f>
        <v>0</v>
      </c>
      <c r="E2039" s="69" t="b">
        <f>IFERROR(__xludf.DUMMYFUNCTION("""COMPUTED_VALUE"""),TRUE)</f>
        <v>1</v>
      </c>
    </row>
    <row r="2040" hidden="1">
      <c r="A2040" s="78" t="str">
        <f>IFERROR(__xludf.DUMMYFUNCTION("""COMPUTED_VALUE"""),"Rebellion Rising")</f>
        <v>Rebellion Rising</v>
      </c>
      <c r="B2040" s="78" t="str">
        <f>IFERROR(__xludf.DUMMYFUNCTION("""COMPUTED_VALUE"""),"Science!")</f>
        <v>Science!</v>
      </c>
      <c r="C2040" s="79">
        <f>IFERROR(__xludf.DUMMYFUNCTION("""COMPUTED_VALUE"""),0.0)</f>
        <v>0</v>
      </c>
      <c r="D2040" s="79">
        <f>IFERROR(__xludf.DUMMYFUNCTION("""COMPUTED_VALUE"""),0.0)</f>
        <v>0</v>
      </c>
      <c r="E2040" s="69" t="b">
        <f>IFERROR(__xludf.DUMMYFUNCTION("""COMPUTED_VALUE"""),TRUE)</f>
        <v>1</v>
      </c>
    </row>
    <row r="2041" hidden="1">
      <c r="A2041" s="78" t="str">
        <f>IFERROR(__xludf.DUMMYFUNCTION("""COMPUTED_VALUE"""),"Rebellion Rising")</f>
        <v>Rebellion Rising</v>
      </c>
      <c r="B2041" s="78" t="str">
        <f>IFERROR(__xludf.DUMMYFUNCTION("""COMPUTED_VALUE"""),"Scions &amp; Spellcraft")</f>
        <v>Scions &amp; Spellcraft</v>
      </c>
      <c r="C2041" s="79">
        <f>IFERROR(__xludf.DUMMYFUNCTION("""COMPUTED_VALUE"""),0.0)</f>
        <v>0</v>
      </c>
      <c r="D2041" s="79">
        <f>IFERROR(__xludf.DUMMYFUNCTION("""COMPUTED_VALUE"""),0.0)</f>
        <v>0</v>
      </c>
      <c r="E2041" s="69" t="b">
        <f>IFERROR(__xludf.DUMMYFUNCTION("""COMPUTED_VALUE"""),TRUE)</f>
        <v>1</v>
      </c>
    </row>
    <row r="2042" hidden="1">
      <c r="A2042" s="78" t="str">
        <f>IFERROR(__xludf.DUMMYFUNCTION("""COMPUTED_VALUE"""),"Rebellion Rising")</f>
        <v>Rebellion Rising</v>
      </c>
      <c r="B2042" s="78" t="str">
        <f>IFERROR(__xludf.DUMMYFUNCTION("""COMPUTED_VALUE"""),"Scrappy Survivors")</f>
        <v>Scrappy Survivors</v>
      </c>
      <c r="C2042" s="79">
        <f>IFERROR(__xludf.DUMMYFUNCTION("""COMPUTED_VALUE"""),0.0)</f>
        <v>0</v>
      </c>
      <c r="D2042" s="79">
        <f>IFERROR(__xludf.DUMMYFUNCTION("""COMPUTED_VALUE"""),0.0)</f>
        <v>0</v>
      </c>
      <c r="E2042" s="69" t="b">
        <f>IFERROR(__xludf.DUMMYFUNCTION("""COMPUTED_VALUE"""),TRUE)</f>
        <v>1</v>
      </c>
    </row>
    <row r="2043" hidden="1">
      <c r="A2043" s="78" t="str">
        <f>IFERROR(__xludf.DUMMYFUNCTION("""COMPUTED_VALUE"""),"Rebellion Rising")</f>
        <v>Rebellion Rising</v>
      </c>
      <c r="B2043" s="78" t="str">
        <f>IFERROR(__xludf.DUMMYFUNCTION("""COMPUTED_VALUE"""),"Silverquill Influence")</f>
        <v>Silverquill Influence</v>
      </c>
      <c r="C2043" s="79">
        <f>IFERROR(__xludf.DUMMYFUNCTION("""COMPUTED_VALUE"""),0.0)</f>
        <v>0</v>
      </c>
      <c r="D2043" s="79">
        <f>IFERROR(__xludf.DUMMYFUNCTION("""COMPUTED_VALUE"""),0.0)</f>
        <v>0</v>
      </c>
      <c r="E2043" s="69" t="b">
        <f>IFERROR(__xludf.DUMMYFUNCTION("""COMPUTED_VALUE"""),TRUE)</f>
        <v>1</v>
      </c>
    </row>
    <row r="2044" hidden="1">
      <c r="A2044" s="78" t="str">
        <f>IFERROR(__xludf.DUMMYFUNCTION("""COMPUTED_VALUE"""),"Rebellion Rising")</f>
        <v>Rebellion Rising</v>
      </c>
      <c r="B2044" s="78" t="str">
        <f>IFERROR(__xludf.DUMMYFUNCTION("""COMPUTED_VALUE"""),"Spirit Squadron")</f>
        <v>Spirit Squadron</v>
      </c>
      <c r="C2044" s="79">
        <f>IFERROR(__xludf.DUMMYFUNCTION("""COMPUTED_VALUE"""),0.0)</f>
        <v>0</v>
      </c>
      <c r="D2044" s="79">
        <f>IFERROR(__xludf.DUMMYFUNCTION("""COMPUTED_VALUE"""),0.0)</f>
        <v>0</v>
      </c>
      <c r="E2044" s="69" t="b">
        <f>IFERROR(__xludf.DUMMYFUNCTION("""COMPUTED_VALUE"""),TRUE)</f>
        <v>1</v>
      </c>
    </row>
    <row r="2045" hidden="1">
      <c r="A2045" s="78" t="str">
        <f>IFERROR(__xludf.DUMMYFUNCTION("""COMPUTED_VALUE"""),"Rebellion Rising")</f>
        <v>Rebellion Rising</v>
      </c>
      <c r="B2045" s="78" t="str">
        <f>IFERROR(__xludf.DUMMYFUNCTION("""COMPUTED_VALUE"""),"Squirreled Away")</f>
        <v>Squirreled Away</v>
      </c>
      <c r="C2045" s="79">
        <f>IFERROR(__xludf.DUMMYFUNCTION("""COMPUTED_VALUE"""),0.0)</f>
        <v>0</v>
      </c>
      <c r="D2045" s="79">
        <f>IFERROR(__xludf.DUMMYFUNCTION("""COMPUTED_VALUE"""),0.0)</f>
        <v>0</v>
      </c>
      <c r="E2045" s="69" t="b">
        <f>IFERROR(__xludf.DUMMYFUNCTION("""COMPUTED_VALUE"""),TRUE)</f>
        <v>1</v>
      </c>
    </row>
    <row r="2046" hidden="1">
      <c r="A2046" s="78" t="str">
        <f>IFERROR(__xludf.DUMMYFUNCTION("""COMPUTED_VALUE"""),"Rebellion Rising")</f>
        <v>Rebellion Rising</v>
      </c>
      <c r="B2046" s="78" t="str">
        <f>IFERROR(__xludf.DUMMYFUNCTION("""COMPUTED_VALUE"""),"Sultai Arisen")</f>
        <v>Sultai Arisen</v>
      </c>
      <c r="C2046" s="79">
        <f>IFERROR(__xludf.DUMMYFUNCTION("""COMPUTED_VALUE"""),0.0)</f>
        <v>0</v>
      </c>
      <c r="D2046" s="79">
        <f>IFERROR(__xludf.DUMMYFUNCTION("""COMPUTED_VALUE"""),0.0)</f>
        <v>0</v>
      </c>
      <c r="E2046" s="69" t="b">
        <f>IFERROR(__xludf.DUMMYFUNCTION("""COMPUTED_VALUE"""),TRUE)</f>
        <v>1</v>
      </c>
    </row>
    <row r="2047" hidden="1">
      <c r="A2047" s="78" t="str">
        <f>IFERROR(__xludf.DUMMYFUNCTION("""COMPUTED_VALUE"""),"Rebellion Rising")</f>
        <v>Rebellion Rising</v>
      </c>
      <c r="B2047" s="78" t="str">
        <f>IFERROR(__xludf.DUMMYFUNCTION("""COMPUTED_VALUE"""),"Temur Roar")</f>
        <v>Temur Roar</v>
      </c>
      <c r="C2047" s="79">
        <f>IFERROR(__xludf.DUMMYFUNCTION("""COMPUTED_VALUE"""),0.0)</f>
        <v>0</v>
      </c>
      <c r="D2047" s="79">
        <f>IFERROR(__xludf.DUMMYFUNCTION("""COMPUTED_VALUE"""),0.0)</f>
        <v>0</v>
      </c>
      <c r="E2047" s="69" t="b">
        <f>IFERROR(__xludf.DUMMYFUNCTION("""COMPUTED_VALUE"""),TRUE)</f>
        <v>1</v>
      </c>
    </row>
    <row r="2048" hidden="1">
      <c r="A2048" s="78" t="str">
        <f>IFERROR(__xludf.DUMMYFUNCTION("""COMPUTED_VALUE"""),"Rebellion Rising")</f>
        <v>Rebellion Rising</v>
      </c>
      <c r="B2048" s="78" t="str">
        <f>IFERROR(__xludf.DUMMYFUNCTION("""COMPUTED_VALUE"""),"The Hosts of Mordor")</f>
        <v>The Hosts of Mordor</v>
      </c>
      <c r="C2048" s="79">
        <f>IFERROR(__xludf.DUMMYFUNCTION("""COMPUTED_VALUE"""),0.0)</f>
        <v>0</v>
      </c>
      <c r="D2048" s="79">
        <f>IFERROR(__xludf.DUMMYFUNCTION("""COMPUTED_VALUE"""),0.0)</f>
        <v>0</v>
      </c>
      <c r="E2048" s="69" t="b">
        <f>IFERROR(__xludf.DUMMYFUNCTION("""COMPUTED_VALUE"""),TRUE)</f>
        <v>1</v>
      </c>
    </row>
    <row r="2049" hidden="1">
      <c r="A2049" s="78" t="str">
        <f>IFERROR(__xludf.DUMMYFUNCTION("""COMPUTED_VALUE"""),"Rebellion Rising")</f>
        <v>Rebellion Rising</v>
      </c>
      <c r="B2049" s="78" t="str">
        <f>IFERROR(__xludf.DUMMYFUNCTION("""COMPUTED_VALUE"""),"The Ruinous Powers")</f>
        <v>The Ruinous Powers</v>
      </c>
      <c r="C2049" s="79">
        <f>IFERROR(__xludf.DUMMYFUNCTION("""COMPUTED_VALUE"""),0.0)</f>
        <v>0</v>
      </c>
      <c r="D2049" s="79">
        <f>IFERROR(__xludf.DUMMYFUNCTION("""COMPUTED_VALUE"""),0.0)</f>
        <v>0</v>
      </c>
      <c r="E2049" s="69" t="b">
        <f>IFERROR(__xludf.DUMMYFUNCTION("""COMPUTED_VALUE"""),TRUE)</f>
        <v>1</v>
      </c>
    </row>
    <row r="2050" hidden="1">
      <c r="A2050" s="78" t="str">
        <f>IFERROR(__xludf.DUMMYFUNCTION("""COMPUTED_VALUE"""),"Rebellion Rising")</f>
        <v>Rebellion Rising</v>
      </c>
      <c r="B2050" s="78" t="str">
        <f>IFERROR(__xludf.DUMMYFUNCTION("""COMPUTED_VALUE"""),"Timey-Wimey")</f>
        <v>Timey-Wimey</v>
      </c>
      <c r="C2050" s="79">
        <f>IFERROR(__xludf.DUMMYFUNCTION("""COMPUTED_VALUE"""),0.0)</f>
        <v>0</v>
      </c>
      <c r="D2050" s="79">
        <f>IFERROR(__xludf.DUMMYFUNCTION("""COMPUTED_VALUE"""),0.0)</f>
        <v>0</v>
      </c>
      <c r="E2050" s="69" t="b">
        <f>IFERROR(__xludf.DUMMYFUNCTION("""COMPUTED_VALUE"""),TRUE)</f>
        <v>1</v>
      </c>
    </row>
    <row r="2051" hidden="1">
      <c r="A2051" s="78" t="str">
        <f>IFERROR(__xludf.DUMMYFUNCTION("""COMPUTED_VALUE"""),"Rebellion Rising")</f>
        <v>Rebellion Rising</v>
      </c>
      <c r="B2051" s="78" t="str">
        <f>IFERROR(__xludf.DUMMYFUNCTION("""COMPUTED_VALUE"""),"Tinker Time")</f>
        <v>Tinker Time</v>
      </c>
      <c r="C2051" s="79">
        <f>IFERROR(__xludf.DUMMYFUNCTION("""COMPUTED_VALUE"""),0.0)</f>
        <v>0</v>
      </c>
      <c r="D2051" s="79">
        <f>IFERROR(__xludf.DUMMYFUNCTION("""COMPUTED_VALUE"""),1.0)</f>
        <v>1</v>
      </c>
      <c r="E2051" s="69" t="b">
        <f>IFERROR(__xludf.DUMMYFUNCTION("""COMPUTED_VALUE"""),FALSE)</f>
        <v>0</v>
      </c>
    </row>
    <row r="2052" hidden="1">
      <c r="A2052" s="78" t="str">
        <f>IFERROR(__xludf.DUMMYFUNCTION("""COMPUTED_VALUE"""),"Rebellion Rising")</f>
        <v>Rebellion Rising</v>
      </c>
      <c r="B2052" s="78" t="str">
        <f>IFERROR(__xludf.DUMMYFUNCTION("""COMPUTED_VALUE"""),"Turtle Power!")</f>
        <v>Turtle Power!</v>
      </c>
      <c r="C2052" s="79">
        <f>IFERROR(__xludf.DUMMYFUNCTION("""COMPUTED_VALUE"""),0.0)</f>
        <v>0</v>
      </c>
      <c r="D2052" s="79">
        <f>IFERROR(__xludf.DUMMYFUNCTION("""COMPUTED_VALUE"""),0.0)</f>
        <v>0</v>
      </c>
      <c r="E2052" s="69" t="b">
        <f>IFERROR(__xludf.DUMMYFUNCTION("""COMPUTED_VALUE"""),TRUE)</f>
        <v>1</v>
      </c>
    </row>
    <row r="2053" hidden="1">
      <c r="A2053" s="78" t="str">
        <f>IFERROR(__xludf.DUMMYFUNCTION("""COMPUTED_VALUE"""),"Rebellion Rising")</f>
        <v>Rebellion Rising</v>
      </c>
      <c r="B2053" s="78" t="str">
        <f>IFERROR(__xludf.DUMMYFUNCTION("""COMPUTED_VALUE"""),"Veloci-ramp-tor")</f>
        <v>Veloci-ramp-tor</v>
      </c>
      <c r="C2053" s="79">
        <f>IFERROR(__xludf.DUMMYFUNCTION("""COMPUTED_VALUE"""),0.0)</f>
        <v>0</v>
      </c>
      <c r="D2053" s="79">
        <f>IFERROR(__xludf.DUMMYFUNCTION("""COMPUTED_VALUE"""),0.0)</f>
        <v>0</v>
      </c>
      <c r="E2053" s="69" t="b">
        <f>IFERROR(__xludf.DUMMYFUNCTION("""COMPUTED_VALUE"""),TRUE)</f>
        <v>1</v>
      </c>
    </row>
    <row r="2054" hidden="1">
      <c r="A2054" s="78" t="str">
        <f>IFERROR(__xludf.DUMMYFUNCTION("""COMPUTED_VALUE"""),"Revival Trance")</f>
        <v>Revival Trance</v>
      </c>
      <c r="B2054" s="78" t="str">
        <f>IFERROR(__xludf.DUMMYFUNCTION("""COMPUTED_VALUE"""),"Ahoy Mateys")</f>
        <v>Ahoy Mateys</v>
      </c>
      <c r="C2054" s="79">
        <f>IFERROR(__xludf.DUMMYFUNCTION("""COMPUTED_VALUE"""),0.0)</f>
        <v>0</v>
      </c>
      <c r="D2054" s="79">
        <f>IFERROR(__xludf.DUMMYFUNCTION("""COMPUTED_VALUE"""),0.0)</f>
        <v>0</v>
      </c>
      <c r="E2054" s="69" t="b">
        <f>IFERROR(__xludf.DUMMYFUNCTION("""COMPUTED_VALUE"""),TRUE)</f>
        <v>1</v>
      </c>
    </row>
    <row r="2055" hidden="1">
      <c r="A2055" s="78" t="str">
        <f>IFERROR(__xludf.DUMMYFUNCTION("""COMPUTED_VALUE"""),"Revival Trance")</f>
        <v>Revival Trance</v>
      </c>
      <c r="B2055" s="78" t="str">
        <f>IFERROR(__xludf.DUMMYFUNCTION("""COMPUTED_VALUE"""),"Animated Army")</f>
        <v>Animated Army</v>
      </c>
      <c r="C2055" s="79">
        <f>IFERROR(__xludf.DUMMYFUNCTION("""COMPUTED_VALUE"""),0.0)</f>
        <v>0</v>
      </c>
      <c r="D2055" s="79">
        <f>IFERROR(__xludf.DUMMYFUNCTION("""COMPUTED_VALUE"""),0.0)</f>
        <v>0</v>
      </c>
      <c r="E2055" s="69" t="b">
        <f>IFERROR(__xludf.DUMMYFUNCTION("""COMPUTED_VALUE"""),TRUE)</f>
        <v>1</v>
      </c>
    </row>
    <row r="2056">
      <c r="A2056" s="78" t="str">
        <f>IFERROR(__xludf.DUMMYFUNCTION("""COMPUTED_VALUE"""),"Revival Trance")</f>
        <v>Revival Trance</v>
      </c>
      <c r="B2056" s="78" t="str">
        <f>IFERROR(__xludf.DUMMYFUNCTION("""COMPUTED_VALUE"""),"Arcane Maelstrom")</f>
        <v>Arcane Maelstrom</v>
      </c>
      <c r="C2056" s="79">
        <f>IFERROR(__xludf.DUMMYFUNCTION("""COMPUTED_VALUE"""),0.0)</f>
        <v>0</v>
      </c>
      <c r="D2056" s="79">
        <f>IFERROR(__xludf.DUMMYFUNCTION("""COMPUTED_VALUE"""),0.0)</f>
        <v>0</v>
      </c>
      <c r="E2056" s="69" t="b">
        <f>IFERROR(__xludf.DUMMYFUNCTION("""COMPUTED_VALUE"""),TRUE)</f>
        <v>1</v>
      </c>
    </row>
    <row r="2057" hidden="1">
      <c r="A2057" s="78" t="str">
        <f>IFERROR(__xludf.DUMMYFUNCTION("""COMPUTED_VALUE"""),"Revival Trance")</f>
        <v>Revival Trance</v>
      </c>
      <c r="B2057" s="78" t="str">
        <f>IFERROR(__xludf.DUMMYFUNCTION("""COMPUTED_VALUE"""),"Blame Game")</f>
        <v>Blame Game</v>
      </c>
      <c r="C2057" s="79">
        <f>IFERROR(__xludf.DUMMYFUNCTION("""COMPUTED_VALUE"""),0.0)</f>
        <v>0</v>
      </c>
      <c r="D2057" s="79">
        <f>IFERROR(__xludf.DUMMYFUNCTION("""COMPUTED_VALUE"""),0.0)</f>
        <v>0</v>
      </c>
      <c r="E2057" s="69" t="b">
        <f>IFERROR(__xludf.DUMMYFUNCTION("""COMPUTED_VALUE"""),TRUE)</f>
        <v>1</v>
      </c>
    </row>
    <row r="2058" hidden="1">
      <c r="A2058" s="78" t="str">
        <f>IFERROR(__xludf.DUMMYFUNCTION("""COMPUTED_VALUE"""),"Revival Trance")</f>
        <v>Revival Trance</v>
      </c>
      <c r="B2058" s="78" t="str">
        <f>IFERROR(__xludf.DUMMYFUNCTION("""COMPUTED_VALUE"""),"Blight Curse")</f>
        <v>Blight Curse</v>
      </c>
      <c r="C2058" s="79">
        <f>IFERROR(__xludf.DUMMYFUNCTION("""COMPUTED_VALUE"""),1.0)</f>
        <v>1</v>
      </c>
      <c r="D2058" s="79">
        <f>IFERROR(__xludf.DUMMYFUNCTION("""COMPUTED_VALUE"""),0.0)</f>
        <v>0</v>
      </c>
      <c r="E2058" s="69" t="b">
        <f>IFERROR(__xludf.DUMMYFUNCTION("""COMPUTED_VALUE"""),FALSE)</f>
        <v>0</v>
      </c>
    </row>
    <row r="2059" hidden="1">
      <c r="A2059" s="78" t="str">
        <f>IFERROR(__xludf.DUMMYFUNCTION("""COMPUTED_VALUE"""),"Revival Trance")</f>
        <v>Revival Trance</v>
      </c>
      <c r="B2059" s="78" t="str">
        <f>IFERROR(__xludf.DUMMYFUNCTION("""COMPUTED_VALUE"""),"Blood Rites")</f>
        <v>Blood Rites</v>
      </c>
      <c r="C2059" s="79">
        <f>IFERROR(__xludf.DUMMYFUNCTION("""COMPUTED_VALUE"""),0.0)</f>
        <v>0</v>
      </c>
      <c r="D2059" s="79">
        <f>IFERROR(__xludf.DUMMYFUNCTION("""COMPUTED_VALUE"""),0.0)</f>
        <v>0</v>
      </c>
      <c r="E2059" s="69" t="b">
        <f>IFERROR(__xludf.DUMMYFUNCTION("""COMPUTED_VALUE"""),TRUE)</f>
        <v>1</v>
      </c>
    </row>
    <row r="2060" hidden="1">
      <c r="A2060" s="78" t="str">
        <f>IFERROR(__xludf.DUMMYFUNCTION("""COMPUTED_VALUE"""),"Revival Trance")</f>
        <v>Revival Trance</v>
      </c>
      <c r="B2060" s="78" t="str">
        <f>IFERROR(__xludf.DUMMYFUNCTION("""COMPUTED_VALUE"""),"Buckle Up")</f>
        <v>Buckle Up</v>
      </c>
      <c r="C2060" s="79">
        <f>IFERROR(__xludf.DUMMYFUNCTION("""COMPUTED_VALUE"""),0.0)</f>
        <v>0</v>
      </c>
      <c r="D2060" s="79">
        <f>IFERROR(__xludf.DUMMYFUNCTION("""COMPUTED_VALUE"""),0.0)</f>
        <v>0</v>
      </c>
      <c r="E2060" s="69" t="b">
        <f>IFERROR(__xludf.DUMMYFUNCTION("""COMPUTED_VALUE"""),TRUE)</f>
        <v>1</v>
      </c>
    </row>
    <row r="2061" hidden="1">
      <c r="A2061" s="78" t="str">
        <f>IFERROR(__xludf.DUMMYFUNCTION("""COMPUTED_VALUE"""),"Revival Trance")</f>
        <v>Revival Trance</v>
      </c>
      <c r="B2061" s="78" t="str">
        <f>IFERROR(__xludf.DUMMYFUNCTION("""COMPUTED_VALUE"""),"Cabaretti Cacophony")</f>
        <v>Cabaretti Cacophony</v>
      </c>
      <c r="C2061" s="79">
        <f>IFERROR(__xludf.DUMMYFUNCTION("""COMPUTED_VALUE"""),0.0)</f>
        <v>0</v>
      </c>
      <c r="D2061" s="79">
        <f>IFERROR(__xludf.DUMMYFUNCTION("""COMPUTED_VALUE"""),0.0)</f>
        <v>0</v>
      </c>
      <c r="E2061" s="69" t="b">
        <f>IFERROR(__xludf.DUMMYFUNCTION("""COMPUTED_VALUE"""),TRUE)</f>
        <v>1</v>
      </c>
    </row>
    <row r="2062" hidden="1">
      <c r="A2062" s="78" t="str">
        <f>IFERROR(__xludf.DUMMYFUNCTION("""COMPUTED_VALUE"""),"Revival Trance")</f>
        <v>Revival Trance</v>
      </c>
      <c r="B2062" s="78" t="str">
        <f>IFERROR(__xludf.DUMMYFUNCTION("""COMPUTED_VALUE"""),"Cavalry Charge")</f>
        <v>Cavalry Charge</v>
      </c>
      <c r="C2062" s="79">
        <f>IFERROR(__xludf.DUMMYFUNCTION("""COMPUTED_VALUE"""),0.0)</f>
        <v>0</v>
      </c>
      <c r="D2062" s="79">
        <f>IFERROR(__xludf.DUMMYFUNCTION("""COMPUTED_VALUE"""),0.0)</f>
        <v>0</v>
      </c>
      <c r="E2062" s="69" t="b">
        <f>IFERROR(__xludf.DUMMYFUNCTION("""COMPUTED_VALUE"""),TRUE)</f>
        <v>1</v>
      </c>
    </row>
    <row r="2063" hidden="1">
      <c r="A2063" s="78" t="str">
        <f>IFERROR(__xludf.DUMMYFUNCTION("""COMPUTED_VALUE"""),"Revival Trance")</f>
        <v>Revival Trance</v>
      </c>
      <c r="B2063" s="78" t="str">
        <f>IFERROR(__xludf.DUMMYFUNCTION("""COMPUTED_VALUE"""),"Corrupting Influence")</f>
        <v>Corrupting Influence</v>
      </c>
      <c r="C2063" s="79">
        <f>IFERROR(__xludf.DUMMYFUNCTION("""COMPUTED_VALUE"""),0.0)</f>
        <v>0</v>
      </c>
      <c r="D2063" s="79">
        <f>IFERROR(__xludf.DUMMYFUNCTION("""COMPUTED_VALUE"""),0.0)</f>
        <v>0</v>
      </c>
      <c r="E2063" s="69" t="b">
        <f>IFERROR(__xludf.DUMMYFUNCTION("""COMPUTED_VALUE"""),TRUE)</f>
        <v>1</v>
      </c>
    </row>
    <row r="2064">
      <c r="A2064" s="78" t="str">
        <f>IFERROR(__xludf.DUMMYFUNCTION("""COMPUTED_VALUE"""),"Revival Trance")</f>
        <v>Revival Trance</v>
      </c>
      <c r="B2064" s="78" t="str">
        <f>IFERROR(__xludf.DUMMYFUNCTION("""COMPUTED_VALUE"""),"Counter Blitz")</f>
        <v>Counter Blitz</v>
      </c>
      <c r="C2064" s="79">
        <f>IFERROR(__xludf.DUMMYFUNCTION("""COMPUTED_VALUE"""),0.0)</f>
        <v>0</v>
      </c>
      <c r="D2064" s="79">
        <f>IFERROR(__xludf.DUMMYFUNCTION("""COMPUTED_VALUE"""),0.0)</f>
        <v>0</v>
      </c>
      <c r="E2064" s="69" t="b">
        <f>IFERROR(__xludf.DUMMYFUNCTION("""COMPUTED_VALUE"""),TRUE)</f>
        <v>1</v>
      </c>
    </row>
    <row r="2065">
      <c r="A2065" s="78" t="str">
        <f>IFERROR(__xludf.DUMMYFUNCTION("""COMPUTED_VALUE"""),"Revival Trance")</f>
        <v>Revival Trance</v>
      </c>
      <c r="B2065" s="78" t="str">
        <f>IFERROR(__xludf.DUMMYFUNCTION("""COMPUTED_VALUE"""),"Counter Intelligence")</f>
        <v>Counter Intelligence</v>
      </c>
      <c r="C2065" s="79">
        <f>IFERROR(__xludf.DUMMYFUNCTION("""COMPUTED_VALUE"""),0.0)</f>
        <v>0</v>
      </c>
      <c r="D2065" s="79">
        <f>IFERROR(__xludf.DUMMYFUNCTION("""COMPUTED_VALUE"""),0.0)</f>
        <v>0</v>
      </c>
      <c r="E2065" s="69" t="b">
        <f>IFERROR(__xludf.DUMMYFUNCTION("""COMPUTED_VALUE"""),TRUE)</f>
        <v>1</v>
      </c>
    </row>
    <row r="2066" hidden="1">
      <c r="A2066" s="78" t="str">
        <f>IFERROR(__xludf.DUMMYFUNCTION("""COMPUTED_VALUE"""),"Revival Trance")</f>
        <v>Revival Trance</v>
      </c>
      <c r="B2066" s="78" t="str">
        <f>IFERROR(__xludf.DUMMYFUNCTION("""COMPUTED_VALUE"""),"Creative Energy")</f>
        <v>Creative Energy</v>
      </c>
      <c r="C2066" s="79">
        <f>IFERROR(__xludf.DUMMYFUNCTION("""COMPUTED_VALUE"""),1.0)</f>
        <v>1</v>
      </c>
      <c r="D2066" s="79">
        <f>IFERROR(__xludf.DUMMYFUNCTION("""COMPUTED_VALUE"""),0.0)</f>
        <v>0</v>
      </c>
      <c r="E2066" s="69" t="b">
        <f>IFERROR(__xludf.DUMMYFUNCTION("""COMPUTED_VALUE"""),FALSE)</f>
        <v>0</v>
      </c>
    </row>
    <row r="2067" hidden="1">
      <c r="A2067" s="78" t="str">
        <f>IFERROR(__xludf.DUMMYFUNCTION("""COMPUTED_VALUE"""),"Revival Trance")</f>
        <v>Revival Trance</v>
      </c>
      <c r="B2067" s="78" t="str">
        <f>IFERROR(__xludf.DUMMYFUNCTION("""COMPUTED_VALUE"""),"Dance of the Elements")</f>
        <v>Dance of the Elements</v>
      </c>
      <c r="C2067" s="79">
        <f>IFERROR(__xludf.DUMMYFUNCTION("""COMPUTED_VALUE"""),0.0)</f>
        <v>0</v>
      </c>
      <c r="D2067" s="79">
        <f>IFERROR(__xludf.DUMMYFUNCTION("""COMPUTED_VALUE"""),1.0)</f>
        <v>1</v>
      </c>
      <c r="E2067" s="69" t="b">
        <f>IFERROR(__xludf.DUMMYFUNCTION("""COMPUTED_VALUE"""),FALSE)</f>
        <v>0</v>
      </c>
    </row>
    <row r="2068" hidden="1">
      <c r="A2068" s="78" t="str">
        <f>IFERROR(__xludf.DUMMYFUNCTION("""COMPUTED_VALUE"""),"Revival Trance")</f>
        <v>Revival Trance</v>
      </c>
      <c r="B2068" s="78" t="str">
        <f>IFERROR(__xludf.DUMMYFUNCTION("""COMPUTED_VALUE"""),"Deep Clue Sea")</f>
        <v>Deep Clue Sea</v>
      </c>
      <c r="C2068" s="79">
        <f>IFERROR(__xludf.DUMMYFUNCTION("""COMPUTED_VALUE"""),0.0)</f>
        <v>0</v>
      </c>
      <c r="D2068" s="79">
        <f>IFERROR(__xludf.DUMMYFUNCTION("""COMPUTED_VALUE"""),0.0)</f>
        <v>0</v>
      </c>
      <c r="E2068" s="69" t="b">
        <f>IFERROR(__xludf.DUMMYFUNCTION("""COMPUTED_VALUE"""),TRUE)</f>
        <v>1</v>
      </c>
    </row>
    <row r="2069" hidden="1">
      <c r="A2069" s="78" t="str">
        <f>IFERROR(__xludf.DUMMYFUNCTION("""COMPUTED_VALUE"""),"Revival Trance")</f>
        <v>Revival Trance</v>
      </c>
      <c r="B2069" s="78" t="str">
        <f>IFERROR(__xludf.DUMMYFUNCTION("""COMPUTED_VALUE"""),"Doom Prevails")</f>
        <v>Doom Prevails</v>
      </c>
      <c r="C2069" s="79">
        <f>IFERROR(__xludf.DUMMYFUNCTION("""COMPUTED_VALUE"""),0.0)</f>
        <v>0</v>
      </c>
      <c r="D2069" s="79">
        <f>IFERROR(__xludf.DUMMYFUNCTION("""COMPUTED_VALUE"""),0.0)</f>
        <v>0</v>
      </c>
      <c r="E2069" s="69" t="b">
        <f>IFERROR(__xludf.DUMMYFUNCTION("""COMPUTED_VALUE"""),TRUE)</f>
        <v>1</v>
      </c>
    </row>
    <row r="2070">
      <c r="A2070" s="78" t="str">
        <f>IFERROR(__xludf.DUMMYFUNCTION("""COMPUTED_VALUE"""),"Revival Trance")</f>
        <v>Revival Trance</v>
      </c>
      <c r="B2070" s="78" t="str">
        <f>IFERROR(__xludf.DUMMYFUNCTION("""COMPUTED_VALUE"""),"Eldrazi Incursion")</f>
        <v>Eldrazi Incursion</v>
      </c>
      <c r="C2070" s="79">
        <f>IFERROR(__xludf.DUMMYFUNCTION("""COMPUTED_VALUE"""),0.0)</f>
        <v>0</v>
      </c>
      <c r="D2070" s="79">
        <f>IFERROR(__xludf.DUMMYFUNCTION("""COMPUTED_VALUE"""),0.0)</f>
        <v>0</v>
      </c>
      <c r="E2070" s="69" t="b">
        <f>IFERROR(__xludf.DUMMYFUNCTION("""COMPUTED_VALUE"""),TRUE)</f>
        <v>1</v>
      </c>
    </row>
    <row r="2071">
      <c r="A2071" s="78" t="str">
        <f>IFERROR(__xludf.DUMMYFUNCTION("""COMPUTED_VALUE"""),"Revival Trance")</f>
        <v>Revival Trance</v>
      </c>
      <c r="B2071" s="78" t="str">
        <f>IFERROR(__xludf.DUMMYFUNCTION("""COMPUTED_VALUE"""),"Eldrazi Unbound")</f>
        <v>Eldrazi Unbound</v>
      </c>
      <c r="C2071" s="79">
        <f>IFERROR(__xludf.DUMMYFUNCTION("""COMPUTED_VALUE"""),0.0)</f>
        <v>0</v>
      </c>
      <c r="D2071" s="79">
        <f>IFERROR(__xludf.DUMMYFUNCTION("""COMPUTED_VALUE"""),0.0)</f>
        <v>0</v>
      </c>
      <c r="E2071" s="69" t="b">
        <f>IFERROR(__xludf.DUMMYFUNCTION("""COMPUTED_VALUE"""),TRUE)</f>
        <v>1</v>
      </c>
    </row>
    <row r="2072" hidden="1">
      <c r="A2072" s="78" t="str">
        <f>IFERROR(__xludf.DUMMYFUNCTION("""COMPUTED_VALUE"""),"Revival Trance")</f>
        <v>Revival Trance</v>
      </c>
      <c r="B2072" s="78" t="str">
        <f>IFERROR(__xludf.DUMMYFUNCTION("""COMPUTED_VALUE"""),"Endless Punishment")</f>
        <v>Endless Punishment</v>
      </c>
      <c r="C2072" s="79">
        <f>IFERROR(__xludf.DUMMYFUNCTION("""COMPUTED_VALUE"""),0.0)</f>
        <v>0</v>
      </c>
      <c r="D2072" s="79">
        <f>IFERROR(__xludf.DUMMYFUNCTION("""COMPUTED_VALUE"""),1.0)</f>
        <v>1</v>
      </c>
      <c r="E2072" s="69" t="b">
        <f>IFERROR(__xludf.DUMMYFUNCTION("""COMPUTED_VALUE"""),FALSE)</f>
        <v>0</v>
      </c>
    </row>
    <row r="2073" hidden="1">
      <c r="A2073" s="78" t="str">
        <f>IFERROR(__xludf.DUMMYFUNCTION("""COMPUTED_VALUE"""),"Revival Trance")</f>
        <v>Revival Trance</v>
      </c>
      <c r="B2073" s="78" t="str">
        <f>IFERROR(__xludf.DUMMYFUNCTION("""COMPUTED_VALUE"""),"Enduring Enchantments")</f>
        <v>Enduring Enchantments</v>
      </c>
      <c r="C2073" s="79">
        <f>IFERROR(__xludf.DUMMYFUNCTION("""COMPUTED_VALUE"""),0.0)</f>
        <v>0</v>
      </c>
      <c r="D2073" s="79">
        <f>IFERROR(__xludf.DUMMYFUNCTION("""COMPUTED_VALUE"""),0.0)</f>
        <v>0</v>
      </c>
      <c r="E2073" s="69" t="b">
        <f>IFERROR(__xludf.DUMMYFUNCTION("""COMPUTED_VALUE"""),TRUE)</f>
        <v>1</v>
      </c>
    </row>
    <row r="2074" hidden="1">
      <c r="A2074" s="78" t="str">
        <f>IFERROR(__xludf.DUMMYFUNCTION("""COMPUTED_VALUE"""),"Revival Trance")</f>
        <v>Revival Trance</v>
      </c>
      <c r="B2074" s="78" t="str">
        <f>IFERROR(__xludf.DUMMYFUNCTION("""COMPUTED_VALUE"""),"Explorers of the Deep")</f>
        <v>Explorers of the Deep</v>
      </c>
      <c r="C2074" s="79">
        <f>IFERROR(__xludf.DUMMYFUNCTION("""COMPUTED_VALUE"""),0.0)</f>
        <v>0</v>
      </c>
      <c r="D2074" s="79">
        <f>IFERROR(__xludf.DUMMYFUNCTION("""COMPUTED_VALUE"""),0.0)</f>
        <v>0</v>
      </c>
      <c r="E2074" s="69" t="b">
        <f>IFERROR(__xludf.DUMMYFUNCTION("""COMPUTED_VALUE"""),TRUE)</f>
        <v>1</v>
      </c>
    </row>
    <row r="2075" hidden="1">
      <c r="A2075" s="78" t="str">
        <f>IFERROR(__xludf.DUMMYFUNCTION("""COMPUTED_VALUE"""),"Revival Trance")</f>
        <v>Revival Trance</v>
      </c>
      <c r="B2075" s="78" t="str">
        <f>IFERROR(__xludf.DUMMYFUNCTION("""COMPUTED_VALUE"""),"Family Matters")</f>
        <v>Family Matters</v>
      </c>
      <c r="C2075" s="79">
        <f>IFERROR(__xludf.DUMMYFUNCTION("""COMPUTED_VALUE"""),0.0)</f>
        <v>0</v>
      </c>
      <c r="D2075" s="79">
        <f>IFERROR(__xludf.DUMMYFUNCTION("""COMPUTED_VALUE"""),0.0)</f>
        <v>0</v>
      </c>
      <c r="E2075" s="69" t="b">
        <f>IFERROR(__xludf.DUMMYFUNCTION("""COMPUTED_VALUE"""),TRUE)</f>
        <v>1</v>
      </c>
    </row>
    <row r="2076" hidden="1">
      <c r="A2076" s="78" t="str">
        <f>IFERROR(__xludf.DUMMYFUNCTION("""COMPUTED_VALUE"""),"Revival Trance")</f>
        <v>Revival Trance</v>
      </c>
      <c r="B2076" s="78" t="str">
        <f>IFERROR(__xludf.DUMMYFUNCTION("""COMPUTED_VALUE"""),"Food and Fellowship")</f>
        <v>Food and Fellowship</v>
      </c>
      <c r="C2076" s="79">
        <f>IFERROR(__xludf.DUMMYFUNCTION("""COMPUTED_VALUE"""),0.0)</f>
        <v>0</v>
      </c>
      <c r="D2076" s="79">
        <f>IFERROR(__xludf.DUMMYFUNCTION("""COMPUTED_VALUE"""),0.0)</f>
        <v>0</v>
      </c>
      <c r="E2076" s="69" t="b">
        <f>IFERROR(__xludf.DUMMYFUNCTION("""COMPUTED_VALUE"""),TRUE)</f>
        <v>1</v>
      </c>
    </row>
    <row r="2077">
      <c r="A2077" s="78" t="str">
        <f>IFERROR(__xludf.DUMMYFUNCTION("""COMPUTED_VALUE"""),"Revival Trance")</f>
        <v>Revival Trance</v>
      </c>
      <c r="B2077" s="78" t="str">
        <f>IFERROR(__xludf.DUMMYFUNCTION("""COMPUTED_VALUE"""),"Jeskai Striker")</f>
        <v>Jeskai Striker</v>
      </c>
      <c r="C2077" s="79">
        <f>IFERROR(__xludf.DUMMYFUNCTION("""COMPUTED_VALUE"""),0.0)</f>
        <v>0</v>
      </c>
      <c r="D2077" s="79">
        <f>IFERROR(__xludf.DUMMYFUNCTION("""COMPUTED_VALUE"""),0.0)</f>
        <v>0</v>
      </c>
      <c r="E2077" s="69" t="b">
        <f>IFERROR(__xludf.DUMMYFUNCTION("""COMPUTED_VALUE"""),TRUE)</f>
        <v>1</v>
      </c>
    </row>
    <row r="2078" hidden="1">
      <c r="A2078" s="78" t="str">
        <f>IFERROR(__xludf.DUMMYFUNCTION("""COMPUTED_VALUE"""),"Revival Trance")</f>
        <v>Revival Trance</v>
      </c>
      <c r="B2078" s="78" t="str">
        <f>IFERROR(__xludf.DUMMYFUNCTION("""COMPUTED_VALUE"""),"Legends' Legacy")</f>
        <v>Legends' Legacy</v>
      </c>
      <c r="C2078" s="79">
        <f>IFERROR(__xludf.DUMMYFUNCTION("""COMPUTED_VALUE"""),0.0)</f>
        <v>0</v>
      </c>
      <c r="D2078" s="79">
        <f>IFERROR(__xludf.DUMMYFUNCTION("""COMPUTED_VALUE"""),0.0)</f>
        <v>0</v>
      </c>
      <c r="E2078" s="69" t="b">
        <f>IFERROR(__xludf.DUMMYFUNCTION("""COMPUTED_VALUE"""),TRUE)</f>
        <v>1</v>
      </c>
    </row>
    <row r="2079">
      <c r="A2079" s="78" t="str">
        <f>IFERROR(__xludf.DUMMYFUNCTION("""COMPUTED_VALUE"""),"Revival Trance")</f>
        <v>Revival Trance</v>
      </c>
      <c r="B2079" s="78" t="str">
        <f>IFERROR(__xludf.DUMMYFUNCTION("""COMPUTED_VALUE"""),"Limit Break")</f>
        <v>Limit Break</v>
      </c>
      <c r="C2079" s="79">
        <f>IFERROR(__xludf.DUMMYFUNCTION("""COMPUTED_VALUE"""),0.0)</f>
        <v>0</v>
      </c>
      <c r="D2079" s="79">
        <f>IFERROR(__xludf.DUMMYFUNCTION("""COMPUTED_VALUE"""),0.0)</f>
        <v>0</v>
      </c>
      <c r="E2079" s="69" t="b">
        <f>IFERROR(__xludf.DUMMYFUNCTION("""COMPUTED_VALUE"""),TRUE)</f>
        <v>1</v>
      </c>
    </row>
    <row r="2080" hidden="1">
      <c r="A2080" s="78" t="str">
        <f>IFERROR(__xludf.DUMMYFUNCTION("""COMPUTED_VALUE"""),"Revival Trance")</f>
        <v>Revival Trance</v>
      </c>
      <c r="B2080" s="78" t="str">
        <f>IFERROR(__xludf.DUMMYFUNCTION("""COMPUTED_VALUE"""),"Lorehold Spirit")</f>
        <v>Lorehold Spirit</v>
      </c>
      <c r="C2080" s="79">
        <f>IFERROR(__xludf.DUMMYFUNCTION("""COMPUTED_VALUE"""),0.0)</f>
        <v>0</v>
      </c>
      <c r="D2080" s="79">
        <f>IFERROR(__xludf.DUMMYFUNCTION("""COMPUTED_VALUE"""),0.0)</f>
        <v>0</v>
      </c>
      <c r="E2080" s="69" t="b">
        <f>IFERROR(__xludf.DUMMYFUNCTION("""COMPUTED_VALUE"""),TRUE)</f>
        <v>1</v>
      </c>
    </row>
    <row r="2081" hidden="1">
      <c r="A2081" s="78" t="str">
        <f>IFERROR(__xludf.DUMMYFUNCTION("""COMPUTED_VALUE"""),"Revival Trance")</f>
        <v>Revival Trance</v>
      </c>
      <c r="B2081" s="78" t="str">
        <f>IFERROR(__xludf.DUMMYFUNCTION("""COMPUTED_VALUE"""),"Mutant Menace")</f>
        <v>Mutant Menace</v>
      </c>
      <c r="C2081" s="79">
        <f>IFERROR(__xludf.DUMMYFUNCTION("""COMPUTED_VALUE"""),0.0)</f>
        <v>0</v>
      </c>
      <c r="D2081" s="79">
        <f>IFERROR(__xludf.DUMMYFUNCTION("""COMPUTED_VALUE"""),0.0)</f>
        <v>0</v>
      </c>
      <c r="E2081" s="69" t="b">
        <f>IFERROR(__xludf.DUMMYFUNCTION("""COMPUTED_VALUE"""),TRUE)</f>
        <v>1</v>
      </c>
    </row>
    <row r="2082">
      <c r="A2082" s="78" t="str">
        <f>IFERROR(__xludf.DUMMYFUNCTION("""COMPUTED_VALUE"""),"Revival Trance")</f>
        <v>Revival Trance</v>
      </c>
      <c r="B2082" s="78" t="str">
        <f>IFERROR(__xludf.DUMMYFUNCTION("""COMPUTED_VALUE"""),"Party Time")</f>
        <v>Party Time</v>
      </c>
      <c r="C2082" s="79">
        <f>IFERROR(__xludf.DUMMYFUNCTION("""COMPUTED_VALUE"""),0.0)</f>
        <v>0</v>
      </c>
      <c r="D2082" s="79">
        <f>IFERROR(__xludf.DUMMYFUNCTION("""COMPUTED_VALUE"""),0.0)</f>
        <v>0</v>
      </c>
      <c r="E2082" s="69" t="b">
        <f>IFERROR(__xludf.DUMMYFUNCTION("""COMPUTED_VALUE"""),TRUE)</f>
        <v>1</v>
      </c>
    </row>
    <row r="2083" hidden="1">
      <c r="A2083" s="78" t="str">
        <f>IFERROR(__xludf.DUMMYFUNCTION("""COMPUTED_VALUE"""),"Revival Trance")</f>
        <v>Revival Trance</v>
      </c>
      <c r="B2083" s="78" t="str">
        <f>IFERROR(__xludf.DUMMYFUNCTION("""COMPUTED_VALUE"""),"Peace Offering")</f>
        <v>Peace Offering</v>
      </c>
      <c r="C2083" s="79">
        <f>IFERROR(__xludf.DUMMYFUNCTION("""COMPUTED_VALUE"""),0.0)</f>
        <v>0</v>
      </c>
      <c r="D2083" s="79">
        <f>IFERROR(__xludf.DUMMYFUNCTION("""COMPUTED_VALUE"""),0.0)</f>
        <v>0</v>
      </c>
      <c r="E2083" s="69" t="b">
        <f>IFERROR(__xludf.DUMMYFUNCTION("""COMPUTED_VALUE"""),TRUE)</f>
        <v>1</v>
      </c>
    </row>
    <row r="2084" hidden="1">
      <c r="A2084" s="78" t="str">
        <f>IFERROR(__xludf.DUMMYFUNCTION("""COMPUTED_VALUE"""),"Revival Trance")</f>
        <v>Revival Trance</v>
      </c>
      <c r="B2084" s="78" t="str">
        <f>IFERROR(__xludf.DUMMYFUNCTION("""COMPUTED_VALUE"""),"Power Hungry")</f>
        <v>Power Hungry</v>
      </c>
      <c r="C2084" s="79">
        <f>IFERROR(__xludf.DUMMYFUNCTION("""COMPUTED_VALUE"""),0.0)</f>
        <v>0</v>
      </c>
      <c r="D2084" s="79">
        <f>IFERROR(__xludf.DUMMYFUNCTION("""COMPUTED_VALUE"""),0.0)</f>
        <v>0</v>
      </c>
      <c r="E2084" s="69" t="b">
        <f>IFERROR(__xludf.DUMMYFUNCTION("""COMPUTED_VALUE"""),TRUE)</f>
        <v>1</v>
      </c>
    </row>
    <row r="2085" hidden="1">
      <c r="A2085" s="78" t="str">
        <f>IFERROR(__xludf.DUMMYFUNCTION("""COMPUTED_VALUE"""),"Revival Trance")</f>
        <v>Revival Trance</v>
      </c>
      <c r="B2085" s="78" t="str">
        <f>IFERROR(__xludf.DUMMYFUNCTION("""COMPUTED_VALUE"""),"Primal Genesis")</f>
        <v>Primal Genesis</v>
      </c>
      <c r="C2085" s="79">
        <f>IFERROR(__xludf.DUMMYFUNCTION("""COMPUTED_VALUE"""),1.0)</f>
        <v>1</v>
      </c>
      <c r="D2085" s="79">
        <f>IFERROR(__xludf.DUMMYFUNCTION("""COMPUTED_VALUE"""),0.0)</f>
        <v>0</v>
      </c>
      <c r="E2085" s="69" t="b">
        <f>IFERROR(__xludf.DUMMYFUNCTION("""COMPUTED_VALUE"""),FALSE)</f>
        <v>0</v>
      </c>
    </row>
    <row r="2086">
      <c r="A2086" s="78" t="str">
        <f>IFERROR(__xludf.DUMMYFUNCTION("""COMPUTED_VALUE"""),"Revival Trance")</f>
        <v>Revival Trance</v>
      </c>
      <c r="B2086" s="78" t="str">
        <f>IFERROR(__xludf.DUMMYFUNCTION("""COMPUTED_VALUE"""),"Prismari Artistry")</f>
        <v>Prismari Artistry</v>
      </c>
      <c r="C2086" s="79">
        <f>IFERROR(__xludf.DUMMYFUNCTION("""COMPUTED_VALUE"""),0.0)</f>
        <v>0</v>
      </c>
      <c r="D2086" s="79">
        <f>IFERROR(__xludf.DUMMYFUNCTION("""COMPUTED_VALUE"""),0.0)</f>
        <v>0</v>
      </c>
      <c r="E2086" s="69" t="b">
        <f>IFERROR(__xludf.DUMMYFUNCTION("""COMPUTED_VALUE"""),TRUE)</f>
        <v>1</v>
      </c>
    </row>
    <row r="2087" hidden="1">
      <c r="A2087" s="78" t="str">
        <f>IFERROR(__xludf.DUMMYFUNCTION("""COMPUTED_VALUE"""),"Revival Trance")</f>
        <v>Revival Trance</v>
      </c>
      <c r="B2087" s="78" t="str">
        <f>IFERROR(__xludf.DUMMYFUNCTION("""COMPUTED_VALUE"""),"Prismari Performance")</f>
        <v>Prismari Performance</v>
      </c>
      <c r="C2087" s="79">
        <f>IFERROR(__xludf.DUMMYFUNCTION("""COMPUTED_VALUE"""),0.0)</f>
        <v>0</v>
      </c>
      <c r="D2087" s="79">
        <f>IFERROR(__xludf.DUMMYFUNCTION("""COMPUTED_VALUE"""),0.0)</f>
        <v>0</v>
      </c>
      <c r="E2087" s="69" t="b">
        <f>IFERROR(__xludf.DUMMYFUNCTION("""COMPUTED_VALUE"""),TRUE)</f>
        <v>1</v>
      </c>
    </row>
    <row r="2088" hidden="1">
      <c r="A2088" s="78" t="str">
        <f>IFERROR(__xludf.DUMMYFUNCTION("""COMPUTED_VALUE"""),"Revival Trance")</f>
        <v>Revival Trance</v>
      </c>
      <c r="B2088" s="78" t="str">
        <f>IFERROR(__xludf.DUMMYFUNCTION("""COMPUTED_VALUE"""),"Quandrix Unlimited")</f>
        <v>Quandrix Unlimited</v>
      </c>
      <c r="C2088" s="79">
        <f>IFERROR(__xludf.DUMMYFUNCTION("""COMPUTED_VALUE"""),0.0)</f>
        <v>0</v>
      </c>
      <c r="D2088" s="79">
        <f>IFERROR(__xludf.DUMMYFUNCTION("""COMPUTED_VALUE"""),0.0)</f>
        <v>0</v>
      </c>
      <c r="E2088" s="69" t="b">
        <f>IFERROR(__xludf.DUMMYFUNCTION("""COMPUTED_VALUE"""),TRUE)</f>
        <v>1</v>
      </c>
    </row>
    <row r="2089" hidden="1">
      <c r="A2089" s="78" t="str">
        <f>IFERROR(__xludf.DUMMYFUNCTION("""COMPUTED_VALUE"""),"Revival Trance")</f>
        <v>Revival Trance</v>
      </c>
      <c r="B2089" s="78" t="str">
        <f>IFERROR(__xludf.DUMMYFUNCTION("""COMPUTED_VALUE"""),"Quick Draw")</f>
        <v>Quick Draw</v>
      </c>
      <c r="C2089" s="79">
        <f>IFERROR(__xludf.DUMMYFUNCTION("""COMPUTED_VALUE"""),0.0)</f>
        <v>0</v>
      </c>
      <c r="D2089" s="79">
        <f>IFERROR(__xludf.DUMMYFUNCTION("""COMPUTED_VALUE"""),0.0)</f>
        <v>0</v>
      </c>
      <c r="E2089" s="69" t="b">
        <f>IFERROR(__xludf.DUMMYFUNCTION("""COMPUTED_VALUE"""),TRUE)</f>
        <v>1</v>
      </c>
    </row>
    <row r="2090" hidden="1">
      <c r="A2090" s="78" t="str">
        <f>IFERROR(__xludf.DUMMYFUNCTION("""COMPUTED_VALUE"""),"Revival Trance")</f>
        <v>Revival Trance</v>
      </c>
      <c r="B2090" s="78" t="str">
        <f>IFERROR(__xludf.DUMMYFUNCTION("""COMPUTED_VALUE"""),"Reap the Tides")</f>
        <v>Reap the Tides</v>
      </c>
      <c r="C2090" s="79">
        <f>IFERROR(__xludf.DUMMYFUNCTION("""COMPUTED_VALUE"""),0.0)</f>
        <v>0</v>
      </c>
      <c r="D2090" s="79">
        <f>IFERROR(__xludf.DUMMYFUNCTION("""COMPUTED_VALUE"""),0.0)</f>
        <v>0</v>
      </c>
      <c r="E2090" s="69" t="b">
        <f>IFERROR(__xludf.DUMMYFUNCTION("""COMPUTED_VALUE"""),TRUE)</f>
        <v>1</v>
      </c>
    </row>
    <row r="2091" hidden="1">
      <c r="A2091" s="78" t="str">
        <f>IFERROR(__xludf.DUMMYFUNCTION("""COMPUTED_VALUE"""),"Revival Trance")</f>
        <v>Revival Trance</v>
      </c>
      <c r="B2091" s="78" t="str">
        <f>IFERROR(__xludf.DUMMYFUNCTION("""COMPUTED_VALUE"""),"Rebellion Rising")</f>
        <v>Rebellion Rising</v>
      </c>
      <c r="C2091" s="79">
        <f>IFERROR(__xludf.DUMMYFUNCTION("""COMPUTED_VALUE"""),0.0)</f>
        <v>0</v>
      </c>
      <c r="D2091" s="79">
        <f>IFERROR(__xludf.DUMMYFUNCTION("""COMPUTED_VALUE"""),0.0)</f>
        <v>0</v>
      </c>
      <c r="E2091" s="69" t="b">
        <f>IFERROR(__xludf.DUMMYFUNCTION("""COMPUTED_VALUE"""),TRUE)</f>
        <v>1</v>
      </c>
    </row>
    <row r="2092" hidden="1">
      <c r="A2092" s="78" t="str">
        <f>IFERROR(__xludf.DUMMYFUNCTION("""COMPUTED_VALUE"""),"Revival Trance")</f>
        <v>Revival Trance</v>
      </c>
      <c r="B2092" s="78" t="str">
        <f>IFERROR(__xludf.DUMMYFUNCTION("""COMPUTED_VALUE"""),"Revival Trance")</f>
        <v>Revival Trance</v>
      </c>
      <c r="C2092" s="79">
        <f>IFERROR(__xludf.DUMMYFUNCTION("""COMPUTED_VALUE"""),1.0)</f>
        <v>1</v>
      </c>
      <c r="D2092" s="79">
        <f>IFERROR(__xludf.DUMMYFUNCTION("""COMPUTED_VALUE"""),1.0)</f>
        <v>1</v>
      </c>
      <c r="E2092" s="69" t="b">
        <f>IFERROR(__xludf.DUMMYFUNCTION("""COMPUTED_VALUE"""),TRUE)</f>
        <v>1</v>
      </c>
    </row>
    <row r="2093" hidden="1">
      <c r="A2093" s="78" t="str">
        <f>IFERROR(__xludf.DUMMYFUNCTION("""COMPUTED_VALUE"""),"Revival Trance")</f>
        <v>Revival Trance</v>
      </c>
      <c r="B2093" s="78" t="str">
        <f>IFERROR(__xludf.DUMMYFUNCTION("""COMPUTED_VALUE"""),"Riders of Rohan")</f>
        <v>Riders of Rohan</v>
      </c>
      <c r="C2093" s="79">
        <f>IFERROR(__xludf.DUMMYFUNCTION("""COMPUTED_VALUE"""),0.0)</f>
        <v>0</v>
      </c>
      <c r="D2093" s="79">
        <f>IFERROR(__xludf.DUMMYFUNCTION("""COMPUTED_VALUE"""),0.0)</f>
        <v>0</v>
      </c>
      <c r="E2093" s="69" t="b">
        <f>IFERROR(__xludf.DUMMYFUNCTION("""COMPUTED_VALUE"""),TRUE)</f>
        <v>1</v>
      </c>
    </row>
    <row r="2094">
      <c r="A2094" s="78" t="str">
        <f>IFERROR(__xludf.DUMMYFUNCTION("""COMPUTED_VALUE"""),"Revival Trance")</f>
        <v>Revival Trance</v>
      </c>
      <c r="B2094" s="78" t="str">
        <f>IFERROR(__xludf.DUMMYFUNCTION("""COMPUTED_VALUE"""),"Science!")</f>
        <v>Science!</v>
      </c>
      <c r="C2094" s="79">
        <f>IFERROR(__xludf.DUMMYFUNCTION("""COMPUTED_VALUE"""),0.0)</f>
        <v>0</v>
      </c>
      <c r="D2094" s="79">
        <f>IFERROR(__xludf.DUMMYFUNCTION("""COMPUTED_VALUE"""),0.0)</f>
        <v>0</v>
      </c>
      <c r="E2094" s="69" t="b">
        <f>IFERROR(__xludf.DUMMYFUNCTION("""COMPUTED_VALUE"""),TRUE)</f>
        <v>1</v>
      </c>
    </row>
    <row r="2095" hidden="1">
      <c r="A2095" s="78" t="str">
        <f>IFERROR(__xludf.DUMMYFUNCTION("""COMPUTED_VALUE"""),"Revival Trance")</f>
        <v>Revival Trance</v>
      </c>
      <c r="B2095" s="78" t="str">
        <f>IFERROR(__xludf.DUMMYFUNCTION("""COMPUTED_VALUE"""),"Scions &amp; Spellcraft")</f>
        <v>Scions &amp; Spellcraft</v>
      </c>
      <c r="C2095" s="79">
        <f>IFERROR(__xludf.DUMMYFUNCTION("""COMPUTED_VALUE"""),0.0)</f>
        <v>0</v>
      </c>
      <c r="D2095" s="79">
        <f>IFERROR(__xludf.DUMMYFUNCTION("""COMPUTED_VALUE"""),0.0)</f>
        <v>0</v>
      </c>
      <c r="E2095" s="69" t="b">
        <f>IFERROR(__xludf.DUMMYFUNCTION("""COMPUTED_VALUE"""),TRUE)</f>
        <v>1</v>
      </c>
    </row>
    <row r="2096" hidden="1">
      <c r="A2096" s="78" t="str">
        <f>IFERROR(__xludf.DUMMYFUNCTION("""COMPUTED_VALUE"""),"Revival Trance")</f>
        <v>Revival Trance</v>
      </c>
      <c r="B2096" s="78" t="str">
        <f>IFERROR(__xludf.DUMMYFUNCTION("""COMPUTED_VALUE"""),"Scrappy Survivors")</f>
        <v>Scrappy Survivors</v>
      </c>
      <c r="C2096" s="79">
        <f>IFERROR(__xludf.DUMMYFUNCTION("""COMPUTED_VALUE"""),0.0)</f>
        <v>0</v>
      </c>
      <c r="D2096" s="79">
        <f>IFERROR(__xludf.DUMMYFUNCTION("""COMPUTED_VALUE"""),0.0)</f>
        <v>0</v>
      </c>
      <c r="E2096" s="69" t="b">
        <f>IFERROR(__xludf.DUMMYFUNCTION("""COMPUTED_VALUE"""),TRUE)</f>
        <v>1</v>
      </c>
    </row>
    <row r="2097" hidden="1">
      <c r="A2097" s="78" t="str">
        <f>IFERROR(__xludf.DUMMYFUNCTION("""COMPUTED_VALUE"""),"Revival Trance")</f>
        <v>Revival Trance</v>
      </c>
      <c r="B2097" s="78" t="str">
        <f>IFERROR(__xludf.DUMMYFUNCTION("""COMPUTED_VALUE"""),"Silverquill Influence")</f>
        <v>Silverquill Influence</v>
      </c>
      <c r="C2097" s="79">
        <f>IFERROR(__xludf.DUMMYFUNCTION("""COMPUTED_VALUE"""),0.0)</f>
        <v>0</v>
      </c>
      <c r="D2097" s="79">
        <f>IFERROR(__xludf.DUMMYFUNCTION("""COMPUTED_VALUE"""),0.0)</f>
        <v>0</v>
      </c>
      <c r="E2097" s="69" t="b">
        <f>IFERROR(__xludf.DUMMYFUNCTION("""COMPUTED_VALUE"""),TRUE)</f>
        <v>1</v>
      </c>
    </row>
    <row r="2098" hidden="1">
      <c r="A2098" s="78" t="str">
        <f>IFERROR(__xludf.DUMMYFUNCTION("""COMPUTED_VALUE"""),"Revival Trance")</f>
        <v>Revival Trance</v>
      </c>
      <c r="B2098" s="78" t="str">
        <f>IFERROR(__xludf.DUMMYFUNCTION("""COMPUTED_VALUE"""),"Spirit Squadron")</f>
        <v>Spirit Squadron</v>
      </c>
      <c r="C2098" s="79">
        <f>IFERROR(__xludf.DUMMYFUNCTION("""COMPUTED_VALUE"""),0.0)</f>
        <v>0</v>
      </c>
      <c r="D2098" s="79">
        <f>IFERROR(__xludf.DUMMYFUNCTION("""COMPUTED_VALUE"""),0.0)</f>
        <v>0</v>
      </c>
      <c r="E2098" s="69" t="b">
        <f>IFERROR(__xludf.DUMMYFUNCTION("""COMPUTED_VALUE"""),TRUE)</f>
        <v>1</v>
      </c>
    </row>
    <row r="2099" hidden="1">
      <c r="A2099" s="78" t="str">
        <f>IFERROR(__xludf.DUMMYFUNCTION("""COMPUTED_VALUE"""),"Revival Trance")</f>
        <v>Revival Trance</v>
      </c>
      <c r="B2099" s="78" t="str">
        <f>IFERROR(__xludf.DUMMYFUNCTION("""COMPUTED_VALUE"""),"Squirreled Away")</f>
        <v>Squirreled Away</v>
      </c>
      <c r="C2099" s="79">
        <f>IFERROR(__xludf.DUMMYFUNCTION("""COMPUTED_VALUE"""),0.0)</f>
        <v>0</v>
      </c>
      <c r="D2099" s="79">
        <f>IFERROR(__xludf.DUMMYFUNCTION("""COMPUTED_VALUE"""),0.0)</f>
        <v>0</v>
      </c>
      <c r="E2099" s="69" t="b">
        <f>IFERROR(__xludf.DUMMYFUNCTION("""COMPUTED_VALUE"""),TRUE)</f>
        <v>1</v>
      </c>
    </row>
    <row r="2100" hidden="1">
      <c r="A2100" s="78" t="str">
        <f>IFERROR(__xludf.DUMMYFUNCTION("""COMPUTED_VALUE"""),"Revival Trance")</f>
        <v>Revival Trance</v>
      </c>
      <c r="B2100" s="78" t="str">
        <f>IFERROR(__xludf.DUMMYFUNCTION("""COMPUTED_VALUE"""),"Sultai Arisen")</f>
        <v>Sultai Arisen</v>
      </c>
      <c r="C2100" s="79">
        <f>IFERROR(__xludf.DUMMYFUNCTION("""COMPUTED_VALUE"""),0.0)</f>
        <v>0</v>
      </c>
      <c r="D2100" s="79">
        <f>IFERROR(__xludf.DUMMYFUNCTION("""COMPUTED_VALUE"""),0.0)</f>
        <v>0</v>
      </c>
      <c r="E2100" s="69" t="b">
        <f>IFERROR(__xludf.DUMMYFUNCTION("""COMPUTED_VALUE"""),TRUE)</f>
        <v>1</v>
      </c>
    </row>
    <row r="2101" hidden="1">
      <c r="A2101" s="78" t="str">
        <f>IFERROR(__xludf.DUMMYFUNCTION("""COMPUTED_VALUE"""),"Revival Trance")</f>
        <v>Revival Trance</v>
      </c>
      <c r="B2101" s="78" t="str">
        <f>IFERROR(__xludf.DUMMYFUNCTION("""COMPUTED_VALUE"""),"Temur Roar")</f>
        <v>Temur Roar</v>
      </c>
      <c r="C2101" s="79">
        <f>IFERROR(__xludf.DUMMYFUNCTION("""COMPUTED_VALUE"""),0.0)</f>
        <v>0</v>
      </c>
      <c r="D2101" s="79">
        <f>IFERROR(__xludf.DUMMYFUNCTION("""COMPUTED_VALUE"""),0.0)</f>
        <v>0</v>
      </c>
      <c r="E2101" s="69" t="b">
        <f>IFERROR(__xludf.DUMMYFUNCTION("""COMPUTED_VALUE"""),TRUE)</f>
        <v>1</v>
      </c>
    </row>
    <row r="2102">
      <c r="A2102" s="78" t="str">
        <f>IFERROR(__xludf.DUMMYFUNCTION("""COMPUTED_VALUE"""),"Revival Trance")</f>
        <v>Revival Trance</v>
      </c>
      <c r="B2102" s="78" t="str">
        <f>IFERROR(__xludf.DUMMYFUNCTION("""COMPUTED_VALUE"""),"The Hosts of Mordor")</f>
        <v>The Hosts of Mordor</v>
      </c>
      <c r="C2102" s="79">
        <f>IFERROR(__xludf.DUMMYFUNCTION("""COMPUTED_VALUE"""),0.0)</f>
        <v>0</v>
      </c>
      <c r="D2102" s="79">
        <f>IFERROR(__xludf.DUMMYFUNCTION("""COMPUTED_VALUE"""),0.0)</f>
        <v>0</v>
      </c>
      <c r="E2102" s="69" t="b">
        <f>IFERROR(__xludf.DUMMYFUNCTION("""COMPUTED_VALUE"""),TRUE)</f>
        <v>1</v>
      </c>
    </row>
    <row r="2103" hidden="1">
      <c r="A2103" s="78" t="str">
        <f>IFERROR(__xludf.DUMMYFUNCTION("""COMPUTED_VALUE"""),"Revival Trance")</f>
        <v>Revival Trance</v>
      </c>
      <c r="B2103" s="78" t="str">
        <f>IFERROR(__xludf.DUMMYFUNCTION("""COMPUTED_VALUE"""),"The Ruinous Powers")</f>
        <v>The Ruinous Powers</v>
      </c>
      <c r="C2103" s="79">
        <f>IFERROR(__xludf.DUMMYFUNCTION("""COMPUTED_VALUE"""),0.0)</f>
        <v>0</v>
      </c>
      <c r="D2103" s="79">
        <f>IFERROR(__xludf.DUMMYFUNCTION("""COMPUTED_VALUE"""),0.0)</f>
        <v>0</v>
      </c>
      <c r="E2103" s="69" t="b">
        <f>IFERROR(__xludf.DUMMYFUNCTION("""COMPUTED_VALUE"""),TRUE)</f>
        <v>1</v>
      </c>
    </row>
    <row r="2104">
      <c r="A2104" s="78" t="str">
        <f>IFERROR(__xludf.DUMMYFUNCTION("""COMPUTED_VALUE"""),"Revival Trance")</f>
        <v>Revival Trance</v>
      </c>
      <c r="B2104" s="78" t="str">
        <f>IFERROR(__xludf.DUMMYFUNCTION("""COMPUTED_VALUE"""),"Timey-Wimey")</f>
        <v>Timey-Wimey</v>
      </c>
      <c r="C2104" s="79">
        <f>IFERROR(__xludf.DUMMYFUNCTION("""COMPUTED_VALUE"""),0.0)</f>
        <v>0</v>
      </c>
      <c r="D2104" s="79">
        <f>IFERROR(__xludf.DUMMYFUNCTION("""COMPUTED_VALUE"""),0.0)</f>
        <v>0</v>
      </c>
      <c r="E2104" s="69" t="b">
        <f>IFERROR(__xludf.DUMMYFUNCTION("""COMPUTED_VALUE"""),TRUE)</f>
        <v>1</v>
      </c>
    </row>
    <row r="2105" hidden="1">
      <c r="A2105" s="78" t="str">
        <f>IFERROR(__xludf.DUMMYFUNCTION("""COMPUTED_VALUE"""),"Revival Trance")</f>
        <v>Revival Trance</v>
      </c>
      <c r="B2105" s="78" t="str">
        <f>IFERROR(__xludf.DUMMYFUNCTION("""COMPUTED_VALUE"""),"Tinker Time")</f>
        <v>Tinker Time</v>
      </c>
      <c r="C2105" s="79">
        <f>IFERROR(__xludf.DUMMYFUNCTION("""COMPUTED_VALUE"""),0.0)</f>
        <v>0</v>
      </c>
      <c r="D2105" s="79">
        <f>IFERROR(__xludf.DUMMYFUNCTION("""COMPUTED_VALUE"""),1.0)</f>
        <v>1</v>
      </c>
      <c r="E2105" s="69" t="b">
        <f>IFERROR(__xludf.DUMMYFUNCTION("""COMPUTED_VALUE"""),FALSE)</f>
        <v>0</v>
      </c>
    </row>
    <row r="2106" hidden="1">
      <c r="A2106" s="78" t="str">
        <f>IFERROR(__xludf.DUMMYFUNCTION("""COMPUTED_VALUE"""),"Revival Trance")</f>
        <v>Revival Trance</v>
      </c>
      <c r="B2106" s="78" t="str">
        <f>IFERROR(__xludf.DUMMYFUNCTION("""COMPUTED_VALUE"""),"Turtle Power!")</f>
        <v>Turtle Power!</v>
      </c>
      <c r="C2106" s="79">
        <f>IFERROR(__xludf.DUMMYFUNCTION("""COMPUTED_VALUE"""),0.0)</f>
        <v>0</v>
      </c>
      <c r="D2106" s="79">
        <f>IFERROR(__xludf.DUMMYFUNCTION("""COMPUTED_VALUE"""),0.0)</f>
        <v>0</v>
      </c>
      <c r="E2106" s="69" t="b">
        <f>IFERROR(__xludf.DUMMYFUNCTION("""COMPUTED_VALUE"""),TRUE)</f>
        <v>1</v>
      </c>
    </row>
    <row r="2107" hidden="1">
      <c r="A2107" s="78" t="str">
        <f>IFERROR(__xludf.DUMMYFUNCTION("""COMPUTED_VALUE"""),"Revival Trance")</f>
        <v>Revival Trance</v>
      </c>
      <c r="B2107" s="78" t="str">
        <f>IFERROR(__xludf.DUMMYFUNCTION("""COMPUTED_VALUE"""),"Veloci-ramp-tor")</f>
        <v>Veloci-ramp-tor</v>
      </c>
      <c r="C2107" s="79">
        <f>IFERROR(__xludf.DUMMYFUNCTION("""COMPUTED_VALUE"""),0.0)</f>
        <v>0</v>
      </c>
      <c r="D2107" s="79">
        <f>IFERROR(__xludf.DUMMYFUNCTION("""COMPUTED_VALUE"""),0.0)</f>
        <v>0</v>
      </c>
      <c r="E2107" s="69" t="b">
        <f>IFERROR(__xludf.DUMMYFUNCTION("""COMPUTED_VALUE"""),TRUE)</f>
        <v>1</v>
      </c>
    </row>
    <row r="2108">
      <c r="A2108" s="78" t="str">
        <f>IFERROR(__xludf.DUMMYFUNCTION("""COMPUTED_VALUE"""),"Riders of Rohan")</f>
        <v>Riders of Rohan</v>
      </c>
      <c r="B2108" s="78" t="str">
        <f>IFERROR(__xludf.DUMMYFUNCTION("""COMPUTED_VALUE"""),"Ahoy Mateys")</f>
        <v>Ahoy Mateys</v>
      </c>
      <c r="C2108" s="79">
        <f>IFERROR(__xludf.DUMMYFUNCTION("""COMPUTED_VALUE"""),0.0)</f>
        <v>0</v>
      </c>
      <c r="D2108" s="79">
        <f>IFERROR(__xludf.DUMMYFUNCTION("""COMPUTED_VALUE"""),0.0)</f>
        <v>0</v>
      </c>
      <c r="E2108" s="69" t="b">
        <f>IFERROR(__xludf.DUMMYFUNCTION("""COMPUTED_VALUE"""),TRUE)</f>
        <v>1</v>
      </c>
    </row>
    <row r="2109" hidden="1">
      <c r="A2109" s="78" t="str">
        <f>IFERROR(__xludf.DUMMYFUNCTION("""COMPUTED_VALUE"""),"Riders of Rohan")</f>
        <v>Riders of Rohan</v>
      </c>
      <c r="B2109" s="78" t="str">
        <f>IFERROR(__xludf.DUMMYFUNCTION("""COMPUTED_VALUE"""),"Animated Army")</f>
        <v>Animated Army</v>
      </c>
      <c r="C2109" s="79">
        <f>IFERROR(__xludf.DUMMYFUNCTION("""COMPUTED_VALUE"""),0.0)</f>
        <v>0</v>
      </c>
      <c r="D2109" s="79">
        <f>IFERROR(__xludf.DUMMYFUNCTION("""COMPUTED_VALUE"""),0.0)</f>
        <v>0</v>
      </c>
      <c r="E2109" s="69" t="b">
        <f>IFERROR(__xludf.DUMMYFUNCTION("""COMPUTED_VALUE"""),TRUE)</f>
        <v>1</v>
      </c>
    </row>
    <row r="2110" hidden="1">
      <c r="A2110" s="78" t="str">
        <f>IFERROR(__xludf.DUMMYFUNCTION("""COMPUTED_VALUE"""),"Riders of Rohan")</f>
        <v>Riders of Rohan</v>
      </c>
      <c r="B2110" s="78" t="str">
        <f>IFERROR(__xludf.DUMMYFUNCTION("""COMPUTED_VALUE"""),"Arcane Maelstrom")</f>
        <v>Arcane Maelstrom</v>
      </c>
      <c r="C2110" s="79">
        <f>IFERROR(__xludf.DUMMYFUNCTION("""COMPUTED_VALUE"""),0.0)</f>
        <v>0</v>
      </c>
      <c r="D2110" s="79">
        <f>IFERROR(__xludf.DUMMYFUNCTION("""COMPUTED_VALUE"""),0.0)</f>
        <v>0</v>
      </c>
      <c r="E2110" s="69" t="b">
        <f>IFERROR(__xludf.DUMMYFUNCTION("""COMPUTED_VALUE"""),TRUE)</f>
        <v>1</v>
      </c>
    </row>
    <row r="2111" hidden="1">
      <c r="A2111" s="78" t="str">
        <f>IFERROR(__xludf.DUMMYFUNCTION("""COMPUTED_VALUE"""),"Riders of Rohan")</f>
        <v>Riders of Rohan</v>
      </c>
      <c r="B2111" s="78" t="str">
        <f>IFERROR(__xludf.DUMMYFUNCTION("""COMPUTED_VALUE"""),"Blame Game")</f>
        <v>Blame Game</v>
      </c>
      <c r="C2111" s="79">
        <f>IFERROR(__xludf.DUMMYFUNCTION("""COMPUTED_VALUE"""),0.0)</f>
        <v>0</v>
      </c>
      <c r="D2111" s="79">
        <f>IFERROR(__xludf.DUMMYFUNCTION("""COMPUTED_VALUE"""),0.0)</f>
        <v>0</v>
      </c>
      <c r="E2111" s="69" t="b">
        <f>IFERROR(__xludf.DUMMYFUNCTION("""COMPUTED_VALUE"""),TRUE)</f>
        <v>1</v>
      </c>
    </row>
    <row r="2112" hidden="1">
      <c r="A2112" s="78" t="str">
        <f>IFERROR(__xludf.DUMMYFUNCTION("""COMPUTED_VALUE"""),"Riders of Rohan")</f>
        <v>Riders of Rohan</v>
      </c>
      <c r="B2112" s="78" t="str">
        <f>IFERROR(__xludf.DUMMYFUNCTION("""COMPUTED_VALUE"""),"Blight Curse")</f>
        <v>Blight Curse</v>
      </c>
      <c r="C2112" s="79">
        <f>IFERROR(__xludf.DUMMYFUNCTION("""COMPUTED_VALUE"""),0.0)</f>
        <v>0</v>
      </c>
      <c r="D2112" s="79">
        <f>IFERROR(__xludf.DUMMYFUNCTION("""COMPUTED_VALUE"""),0.0)</f>
        <v>0</v>
      </c>
      <c r="E2112" s="69" t="b">
        <f>IFERROR(__xludf.DUMMYFUNCTION("""COMPUTED_VALUE"""),TRUE)</f>
        <v>1</v>
      </c>
    </row>
    <row r="2113" hidden="1">
      <c r="A2113" s="78" t="str">
        <f>IFERROR(__xludf.DUMMYFUNCTION("""COMPUTED_VALUE"""),"Riders of Rohan")</f>
        <v>Riders of Rohan</v>
      </c>
      <c r="B2113" s="78" t="str">
        <f>IFERROR(__xludf.DUMMYFUNCTION("""COMPUTED_VALUE"""),"Blood Rites")</f>
        <v>Blood Rites</v>
      </c>
      <c r="C2113" s="79">
        <f>IFERROR(__xludf.DUMMYFUNCTION("""COMPUTED_VALUE"""),0.0)</f>
        <v>0</v>
      </c>
      <c r="D2113" s="79">
        <f>IFERROR(__xludf.DUMMYFUNCTION("""COMPUTED_VALUE"""),0.0)</f>
        <v>0</v>
      </c>
      <c r="E2113" s="69" t="b">
        <f>IFERROR(__xludf.DUMMYFUNCTION("""COMPUTED_VALUE"""),TRUE)</f>
        <v>1</v>
      </c>
    </row>
    <row r="2114" hidden="1">
      <c r="A2114" s="78" t="str">
        <f>IFERROR(__xludf.DUMMYFUNCTION("""COMPUTED_VALUE"""),"Riders of Rohan")</f>
        <v>Riders of Rohan</v>
      </c>
      <c r="B2114" s="78" t="str">
        <f>IFERROR(__xludf.DUMMYFUNCTION("""COMPUTED_VALUE"""),"Buckle Up")</f>
        <v>Buckle Up</v>
      </c>
      <c r="C2114" s="79">
        <f>IFERROR(__xludf.DUMMYFUNCTION("""COMPUTED_VALUE"""),0.0)</f>
        <v>0</v>
      </c>
      <c r="D2114" s="79">
        <f>IFERROR(__xludf.DUMMYFUNCTION("""COMPUTED_VALUE"""),0.0)</f>
        <v>0</v>
      </c>
      <c r="E2114" s="69" t="b">
        <f>IFERROR(__xludf.DUMMYFUNCTION("""COMPUTED_VALUE"""),TRUE)</f>
        <v>1</v>
      </c>
    </row>
    <row r="2115" hidden="1">
      <c r="A2115" s="78" t="str">
        <f>IFERROR(__xludf.DUMMYFUNCTION("""COMPUTED_VALUE"""),"Riders of Rohan")</f>
        <v>Riders of Rohan</v>
      </c>
      <c r="B2115" s="78" t="str">
        <f>IFERROR(__xludf.DUMMYFUNCTION("""COMPUTED_VALUE"""),"Cabaretti Cacophony")</f>
        <v>Cabaretti Cacophony</v>
      </c>
      <c r="C2115" s="79">
        <f>IFERROR(__xludf.DUMMYFUNCTION("""COMPUTED_VALUE"""),2.0)</f>
        <v>2</v>
      </c>
      <c r="D2115" s="79">
        <f>IFERROR(__xludf.DUMMYFUNCTION("""COMPUTED_VALUE"""),0.0)</f>
        <v>0</v>
      </c>
      <c r="E2115" s="69" t="b">
        <f>IFERROR(__xludf.DUMMYFUNCTION("""COMPUTED_VALUE"""),FALSE)</f>
        <v>0</v>
      </c>
    </row>
    <row r="2116">
      <c r="A2116" s="78" t="str">
        <f>IFERROR(__xludf.DUMMYFUNCTION("""COMPUTED_VALUE"""),"Riders of Rohan")</f>
        <v>Riders of Rohan</v>
      </c>
      <c r="B2116" s="78" t="str">
        <f>IFERROR(__xludf.DUMMYFUNCTION("""COMPUTED_VALUE"""),"Cavalry Charge")</f>
        <v>Cavalry Charge</v>
      </c>
      <c r="C2116" s="79">
        <f>IFERROR(__xludf.DUMMYFUNCTION("""COMPUTED_VALUE"""),0.0)</f>
        <v>0</v>
      </c>
      <c r="D2116" s="79">
        <f>IFERROR(__xludf.DUMMYFUNCTION("""COMPUTED_VALUE"""),0.0)</f>
        <v>0</v>
      </c>
      <c r="E2116" s="69" t="b">
        <f>IFERROR(__xludf.DUMMYFUNCTION("""COMPUTED_VALUE"""),TRUE)</f>
        <v>1</v>
      </c>
    </row>
    <row r="2117" hidden="1">
      <c r="A2117" s="78" t="str">
        <f>IFERROR(__xludf.DUMMYFUNCTION("""COMPUTED_VALUE"""),"Riders of Rohan")</f>
        <v>Riders of Rohan</v>
      </c>
      <c r="B2117" s="78" t="str">
        <f>IFERROR(__xludf.DUMMYFUNCTION("""COMPUTED_VALUE"""),"Corrupting Influence")</f>
        <v>Corrupting Influence</v>
      </c>
      <c r="C2117" s="79">
        <f>IFERROR(__xludf.DUMMYFUNCTION("""COMPUTED_VALUE"""),0.0)</f>
        <v>0</v>
      </c>
      <c r="D2117" s="79">
        <f>IFERROR(__xludf.DUMMYFUNCTION("""COMPUTED_VALUE"""),0.0)</f>
        <v>0</v>
      </c>
      <c r="E2117" s="69" t="b">
        <f>IFERROR(__xludf.DUMMYFUNCTION("""COMPUTED_VALUE"""),TRUE)</f>
        <v>1</v>
      </c>
    </row>
    <row r="2118" hidden="1">
      <c r="A2118" s="78" t="str">
        <f>IFERROR(__xludf.DUMMYFUNCTION("""COMPUTED_VALUE"""),"Riders of Rohan")</f>
        <v>Riders of Rohan</v>
      </c>
      <c r="B2118" s="78" t="str">
        <f>IFERROR(__xludf.DUMMYFUNCTION("""COMPUTED_VALUE"""),"Counter Blitz")</f>
        <v>Counter Blitz</v>
      </c>
      <c r="C2118" s="79">
        <f>IFERROR(__xludf.DUMMYFUNCTION("""COMPUTED_VALUE"""),0.0)</f>
        <v>0</v>
      </c>
      <c r="D2118" s="79">
        <f>IFERROR(__xludf.DUMMYFUNCTION("""COMPUTED_VALUE"""),0.0)</f>
        <v>0</v>
      </c>
      <c r="E2118" s="69" t="b">
        <f>IFERROR(__xludf.DUMMYFUNCTION("""COMPUTED_VALUE"""),TRUE)</f>
        <v>1</v>
      </c>
    </row>
    <row r="2119" hidden="1">
      <c r="A2119" s="78" t="str">
        <f>IFERROR(__xludf.DUMMYFUNCTION("""COMPUTED_VALUE"""),"Riders of Rohan")</f>
        <v>Riders of Rohan</v>
      </c>
      <c r="B2119" s="78" t="str">
        <f>IFERROR(__xludf.DUMMYFUNCTION("""COMPUTED_VALUE"""),"Counter Intelligence")</f>
        <v>Counter Intelligence</v>
      </c>
      <c r="C2119" s="79">
        <f>IFERROR(__xludf.DUMMYFUNCTION("""COMPUTED_VALUE"""),1.0)</f>
        <v>1</v>
      </c>
      <c r="D2119" s="79">
        <f>IFERROR(__xludf.DUMMYFUNCTION("""COMPUTED_VALUE"""),0.0)</f>
        <v>0</v>
      </c>
      <c r="E2119" s="69" t="b">
        <f>IFERROR(__xludf.DUMMYFUNCTION("""COMPUTED_VALUE"""),FALSE)</f>
        <v>0</v>
      </c>
    </row>
    <row r="2120" hidden="1">
      <c r="A2120" s="78" t="str">
        <f>IFERROR(__xludf.DUMMYFUNCTION("""COMPUTED_VALUE"""),"Riders of Rohan")</f>
        <v>Riders of Rohan</v>
      </c>
      <c r="B2120" s="78" t="str">
        <f>IFERROR(__xludf.DUMMYFUNCTION("""COMPUTED_VALUE"""),"Creative Energy")</f>
        <v>Creative Energy</v>
      </c>
      <c r="C2120" s="79">
        <f>IFERROR(__xludf.DUMMYFUNCTION("""COMPUTED_VALUE"""),0.0)</f>
        <v>0</v>
      </c>
      <c r="D2120" s="79">
        <f>IFERROR(__xludf.DUMMYFUNCTION("""COMPUTED_VALUE"""),0.0)</f>
        <v>0</v>
      </c>
      <c r="E2120" s="69" t="b">
        <f>IFERROR(__xludf.DUMMYFUNCTION("""COMPUTED_VALUE"""),TRUE)</f>
        <v>1</v>
      </c>
    </row>
    <row r="2121" hidden="1">
      <c r="A2121" s="78" t="str">
        <f>IFERROR(__xludf.DUMMYFUNCTION("""COMPUTED_VALUE"""),"Riders of Rohan")</f>
        <v>Riders of Rohan</v>
      </c>
      <c r="B2121" s="78" t="str">
        <f>IFERROR(__xludf.DUMMYFUNCTION("""COMPUTED_VALUE"""),"Dance of the Elements")</f>
        <v>Dance of the Elements</v>
      </c>
      <c r="C2121" s="79">
        <f>IFERROR(__xludf.DUMMYFUNCTION("""COMPUTED_VALUE"""),0.0)</f>
        <v>0</v>
      </c>
      <c r="D2121" s="79">
        <f>IFERROR(__xludf.DUMMYFUNCTION("""COMPUTED_VALUE"""),0.0)</f>
        <v>0</v>
      </c>
      <c r="E2121" s="69" t="b">
        <f>IFERROR(__xludf.DUMMYFUNCTION("""COMPUTED_VALUE"""),TRUE)</f>
        <v>1</v>
      </c>
    </row>
    <row r="2122" hidden="1">
      <c r="A2122" s="78" t="str">
        <f>IFERROR(__xludf.DUMMYFUNCTION("""COMPUTED_VALUE"""),"Riders of Rohan")</f>
        <v>Riders of Rohan</v>
      </c>
      <c r="B2122" s="78" t="str">
        <f>IFERROR(__xludf.DUMMYFUNCTION("""COMPUTED_VALUE"""),"Deep Clue Sea")</f>
        <v>Deep Clue Sea</v>
      </c>
      <c r="C2122" s="79">
        <f>IFERROR(__xludf.DUMMYFUNCTION("""COMPUTED_VALUE"""),0.0)</f>
        <v>0</v>
      </c>
      <c r="D2122" s="79">
        <f>IFERROR(__xludf.DUMMYFUNCTION("""COMPUTED_VALUE"""),0.0)</f>
        <v>0</v>
      </c>
      <c r="E2122" s="69" t="b">
        <f>IFERROR(__xludf.DUMMYFUNCTION("""COMPUTED_VALUE"""),TRUE)</f>
        <v>1</v>
      </c>
    </row>
    <row r="2123" hidden="1">
      <c r="A2123" s="78" t="str">
        <f>IFERROR(__xludf.DUMMYFUNCTION("""COMPUTED_VALUE"""),"Riders of Rohan")</f>
        <v>Riders of Rohan</v>
      </c>
      <c r="B2123" s="78" t="str">
        <f>IFERROR(__xludf.DUMMYFUNCTION("""COMPUTED_VALUE"""),"Doom Prevails")</f>
        <v>Doom Prevails</v>
      </c>
      <c r="C2123" s="79">
        <f>IFERROR(__xludf.DUMMYFUNCTION("""COMPUTED_VALUE"""),0.0)</f>
        <v>0</v>
      </c>
      <c r="D2123" s="79">
        <f>IFERROR(__xludf.DUMMYFUNCTION("""COMPUTED_VALUE"""),0.0)</f>
        <v>0</v>
      </c>
      <c r="E2123" s="69" t="b">
        <f>IFERROR(__xludf.DUMMYFUNCTION("""COMPUTED_VALUE"""),TRUE)</f>
        <v>1</v>
      </c>
    </row>
    <row r="2124" hidden="1">
      <c r="A2124" s="78" t="str">
        <f>IFERROR(__xludf.DUMMYFUNCTION("""COMPUTED_VALUE"""),"Riders of Rohan")</f>
        <v>Riders of Rohan</v>
      </c>
      <c r="B2124" s="78" t="str">
        <f>IFERROR(__xludf.DUMMYFUNCTION("""COMPUTED_VALUE"""),"Eldrazi Incursion")</f>
        <v>Eldrazi Incursion</v>
      </c>
      <c r="C2124" s="79">
        <f>IFERROR(__xludf.DUMMYFUNCTION("""COMPUTED_VALUE"""),0.0)</f>
        <v>0</v>
      </c>
      <c r="D2124" s="79">
        <f>IFERROR(__xludf.DUMMYFUNCTION("""COMPUTED_VALUE"""),0.0)</f>
        <v>0</v>
      </c>
      <c r="E2124" s="69" t="b">
        <f>IFERROR(__xludf.DUMMYFUNCTION("""COMPUTED_VALUE"""),TRUE)</f>
        <v>1</v>
      </c>
    </row>
    <row r="2125" hidden="1">
      <c r="A2125" s="78" t="str">
        <f>IFERROR(__xludf.DUMMYFUNCTION("""COMPUTED_VALUE"""),"Riders of Rohan")</f>
        <v>Riders of Rohan</v>
      </c>
      <c r="B2125" s="78" t="str">
        <f>IFERROR(__xludf.DUMMYFUNCTION("""COMPUTED_VALUE"""),"Eldrazi Unbound")</f>
        <v>Eldrazi Unbound</v>
      </c>
      <c r="C2125" s="79">
        <f>IFERROR(__xludf.DUMMYFUNCTION("""COMPUTED_VALUE"""),0.0)</f>
        <v>0</v>
      </c>
      <c r="D2125" s="79">
        <f>IFERROR(__xludf.DUMMYFUNCTION("""COMPUTED_VALUE"""),0.0)</f>
        <v>0</v>
      </c>
      <c r="E2125" s="69" t="b">
        <f>IFERROR(__xludf.DUMMYFUNCTION("""COMPUTED_VALUE"""),TRUE)</f>
        <v>1</v>
      </c>
    </row>
    <row r="2126" hidden="1">
      <c r="A2126" s="78" t="str">
        <f>IFERROR(__xludf.DUMMYFUNCTION("""COMPUTED_VALUE"""),"Riders of Rohan")</f>
        <v>Riders of Rohan</v>
      </c>
      <c r="B2126" s="78" t="str">
        <f>IFERROR(__xludf.DUMMYFUNCTION("""COMPUTED_VALUE"""),"Endless Punishment")</f>
        <v>Endless Punishment</v>
      </c>
      <c r="C2126" s="79">
        <f>IFERROR(__xludf.DUMMYFUNCTION("""COMPUTED_VALUE"""),0.0)</f>
        <v>0</v>
      </c>
      <c r="D2126" s="79">
        <f>IFERROR(__xludf.DUMMYFUNCTION("""COMPUTED_VALUE"""),0.0)</f>
        <v>0</v>
      </c>
      <c r="E2126" s="69" t="b">
        <f>IFERROR(__xludf.DUMMYFUNCTION("""COMPUTED_VALUE"""),TRUE)</f>
        <v>1</v>
      </c>
    </row>
    <row r="2127" hidden="1">
      <c r="A2127" s="78" t="str">
        <f>IFERROR(__xludf.DUMMYFUNCTION("""COMPUTED_VALUE"""),"Riders of Rohan")</f>
        <v>Riders of Rohan</v>
      </c>
      <c r="B2127" s="78" t="str">
        <f>IFERROR(__xludf.DUMMYFUNCTION("""COMPUTED_VALUE"""),"Enduring Enchantments")</f>
        <v>Enduring Enchantments</v>
      </c>
      <c r="C2127" s="79">
        <f>IFERROR(__xludf.DUMMYFUNCTION("""COMPUTED_VALUE"""),0.0)</f>
        <v>0</v>
      </c>
      <c r="D2127" s="79">
        <f>IFERROR(__xludf.DUMMYFUNCTION("""COMPUTED_VALUE"""),0.0)</f>
        <v>0</v>
      </c>
      <c r="E2127" s="69" t="b">
        <f>IFERROR(__xludf.DUMMYFUNCTION("""COMPUTED_VALUE"""),TRUE)</f>
        <v>1</v>
      </c>
    </row>
    <row r="2128" hidden="1">
      <c r="A2128" s="78" t="str">
        <f>IFERROR(__xludf.DUMMYFUNCTION("""COMPUTED_VALUE"""),"Riders of Rohan")</f>
        <v>Riders of Rohan</v>
      </c>
      <c r="B2128" s="78" t="str">
        <f>IFERROR(__xludf.DUMMYFUNCTION("""COMPUTED_VALUE"""),"Explorers of the Deep")</f>
        <v>Explorers of the Deep</v>
      </c>
      <c r="C2128" s="79">
        <f>IFERROR(__xludf.DUMMYFUNCTION("""COMPUTED_VALUE"""),0.0)</f>
        <v>0</v>
      </c>
      <c r="D2128" s="79">
        <f>IFERROR(__xludf.DUMMYFUNCTION("""COMPUTED_VALUE"""),0.0)</f>
        <v>0</v>
      </c>
      <c r="E2128" s="69" t="b">
        <f>IFERROR(__xludf.DUMMYFUNCTION("""COMPUTED_VALUE"""),TRUE)</f>
        <v>1</v>
      </c>
    </row>
    <row r="2129" hidden="1">
      <c r="A2129" s="78" t="str">
        <f>IFERROR(__xludf.DUMMYFUNCTION("""COMPUTED_VALUE"""),"Riders of Rohan")</f>
        <v>Riders of Rohan</v>
      </c>
      <c r="B2129" s="78" t="str">
        <f>IFERROR(__xludf.DUMMYFUNCTION("""COMPUTED_VALUE"""),"Family Matters")</f>
        <v>Family Matters</v>
      </c>
      <c r="C2129" s="79">
        <f>IFERROR(__xludf.DUMMYFUNCTION("""COMPUTED_VALUE"""),0.0)</f>
        <v>0</v>
      </c>
      <c r="D2129" s="79">
        <f>IFERROR(__xludf.DUMMYFUNCTION("""COMPUTED_VALUE"""),0.0)</f>
        <v>0</v>
      </c>
      <c r="E2129" s="69" t="b">
        <f>IFERROR(__xludf.DUMMYFUNCTION("""COMPUTED_VALUE"""),TRUE)</f>
        <v>1</v>
      </c>
    </row>
    <row r="2130" hidden="1">
      <c r="A2130" s="78" t="str">
        <f>IFERROR(__xludf.DUMMYFUNCTION("""COMPUTED_VALUE"""),"Riders of Rohan")</f>
        <v>Riders of Rohan</v>
      </c>
      <c r="B2130" s="78" t="str">
        <f>IFERROR(__xludf.DUMMYFUNCTION("""COMPUTED_VALUE"""),"Food and Fellowship")</f>
        <v>Food and Fellowship</v>
      </c>
      <c r="C2130" s="79">
        <f>IFERROR(__xludf.DUMMYFUNCTION("""COMPUTED_VALUE"""),0.0)</f>
        <v>0</v>
      </c>
      <c r="D2130" s="79">
        <f>IFERROR(__xludf.DUMMYFUNCTION("""COMPUTED_VALUE"""),0.0)</f>
        <v>0</v>
      </c>
      <c r="E2130" s="69" t="b">
        <f>IFERROR(__xludf.DUMMYFUNCTION("""COMPUTED_VALUE"""),TRUE)</f>
        <v>1</v>
      </c>
    </row>
    <row r="2131" hidden="1">
      <c r="A2131" s="78" t="str">
        <f>IFERROR(__xludf.DUMMYFUNCTION("""COMPUTED_VALUE"""),"Riders of Rohan")</f>
        <v>Riders of Rohan</v>
      </c>
      <c r="B2131" s="78" t="str">
        <f>IFERROR(__xludf.DUMMYFUNCTION("""COMPUTED_VALUE"""),"Jeskai Striker")</f>
        <v>Jeskai Striker</v>
      </c>
      <c r="C2131" s="79">
        <f>IFERROR(__xludf.DUMMYFUNCTION("""COMPUTED_VALUE"""),0.0)</f>
        <v>0</v>
      </c>
      <c r="D2131" s="79">
        <f>IFERROR(__xludf.DUMMYFUNCTION("""COMPUTED_VALUE"""),1.0)</f>
        <v>1</v>
      </c>
      <c r="E2131" s="69" t="b">
        <f>IFERROR(__xludf.DUMMYFUNCTION("""COMPUTED_VALUE"""),FALSE)</f>
        <v>0</v>
      </c>
    </row>
    <row r="2132" hidden="1">
      <c r="A2132" s="78" t="str">
        <f>IFERROR(__xludf.DUMMYFUNCTION("""COMPUTED_VALUE"""),"Riders of Rohan")</f>
        <v>Riders of Rohan</v>
      </c>
      <c r="B2132" s="78" t="str">
        <f>IFERROR(__xludf.DUMMYFUNCTION("""COMPUTED_VALUE"""),"Legends' Legacy")</f>
        <v>Legends' Legacy</v>
      </c>
      <c r="C2132" s="79">
        <f>IFERROR(__xludf.DUMMYFUNCTION("""COMPUTED_VALUE"""),0.0)</f>
        <v>0</v>
      </c>
      <c r="D2132" s="79">
        <f>IFERROR(__xludf.DUMMYFUNCTION("""COMPUTED_VALUE"""),0.0)</f>
        <v>0</v>
      </c>
      <c r="E2132" s="69" t="b">
        <f>IFERROR(__xludf.DUMMYFUNCTION("""COMPUTED_VALUE"""),TRUE)</f>
        <v>1</v>
      </c>
    </row>
    <row r="2133" hidden="1">
      <c r="A2133" s="78" t="str">
        <f>IFERROR(__xludf.DUMMYFUNCTION("""COMPUTED_VALUE"""),"Riders of Rohan")</f>
        <v>Riders of Rohan</v>
      </c>
      <c r="B2133" s="78" t="str">
        <f>IFERROR(__xludf.DUMMYFUNCTION("""COMPUTED_VALUE"""),"Limit Break")</f>
        <v>Limit Break</v>
      </c>
      <c r="C2133" s="79">
        <f>IFERROR(__xludf.DUMMYFUNCTION("""COMPUTED_VALUE"""),0.0)</f>
        <v>0</v>
      </c>
      <c r="D2133" s="79">
        <f>IFERROR(__xludf.DUMMYFUNCTION("""COMPUTED_VALUE"""),0.0)</f>
        <v>0</v>
      </c>
      <c r="E2133" s="69" t="b">
        <f>IFERROR(__xludf.DUMMYFUNCTION("""COMPUTED_VALUE"""),TRUE)</f>
        <v>1</v>
      </c>
    </row>
    <row r="2134" hidden="1">
      <c r="A2134" s="78" t="str">
        <f>IFERROR(__xludf.DUMMYFUNCTION("""COMPUTED_VALUE"""),"Riders of Rohan")</f>
        <v>Riders of Rohan</v>
      </c>
      <c r="B2134" s="78" t="str">
        <f>IFERROR(__xludf.DUMMYFUNCTION("""COMPUTED_VALUE"""),"Lorehold Spirit")</f>
        <v>Lorehold Spirit</v>
      </c>
      <c r="C2134" s="79">
        <f>IFERROR(__xludf.DUMMYFUNCTION("""COMPUTED_VALUE"""),0.0)</f>
        <v>0</v>
      </c>
      <c r="D2134" s="79">
        <f>IFERROR(__xludf.DUMMYFUNCTION("""COMPUTED_VALUE"""),0.0)</f>
        <v>0</v>
      </c>
      <c r="E2134" s="69" t="b">
        <f>IFERROR(__xludf.DUMMYFUNCTION("""COMPUTED_VALUE"""),TRUE)</f>
        <v>1</v>
      </c>
    </row>
    <row r="2135" hidden="1">
      <c r="A2135" s="78" t="str">
        <f>IFERROR(__xludf.DUMMYFUNCTION("""COMPUTED_VALUE"""),"Riders of Rohan")</f>
        <v>Riders of Rohan</v>
      </c>
      <c r="B2135" s="78" t="str">
        <f>IFERROR(__xludf.DUMMYFUNCTION("""COMPUTED_VALUE"""),"Mutant Menace")</f>
        <v>Mutant Menace</v>
      </c>
      <c r="C2135" s="79">
        <f>IFERROR(__xludf.DUMMYFUNCTION("""COMPUTED_VALUE"""),0.0)</f>
        <v>0</v>
      </c>
      <c r="D2135" s="79">
        <f>IFERROR(__xludf.DUMMYFUNCTION("""COMPUTED_VALUE"""),0.0)</f>
        <v>0</v>
      </c>
      <c r="E2135" s="69" t="b">
        <f>IFERROR(__xludf.DUMMYFUNCTION("""COMPUTED_VALUE"""),TRUE)</f>
        <v>1</v>
      </c>
    </row>
    <row r="2136" hidden="1">
      <c r="A2136" s="78" t="str">
        <f>IFERROR(__xludf.DUMMYFUNCTION("""COMPUTED_VALUE"""),"Riders of Rohan")</f>
        <v>Riders of Rohan</v>
      </c>
      <c r="B2136" s="78" t="str">
        <f>IFERROR(__xludf.DUMMYFUNCTION("""COMPUTED_VALUE"""),"Party Time")</f>
        <v>Party Time</v>
      </c>
      <c r="C2136" s="79">
        <f>IFERROR(__xludf.DUMMYFUNCTION("""COMPUTED_VALUE"""),0.0)</f>
        <v>0</v>
      </c>
      <c r="D2136" s="79">
        <f>IFERROR(__xludf.DUMMYFUNCTION("""COMPUTED_VALUE"""),0.0)</f>
        <v>0</v>
      </c>
      <c r="E2136" s="69" t="b">
        <f>IFERROR(__xludf.DUMMYFUNCTION("""COMPUTED_VALUE"""),TRUE)</f>
        <v>1</v>
      </c>
    </row>
    <row r="2137" hidden="1">
      <c r="A2137" s="78" t="str">
        <f>IFERROR(__xludf.DUMMYFUNCTION("""COMPUTED_VALUE"""),"Riders of Rohan")</f>
        <v>Riders of Rohan</v>
      </c>
      <c r="B2137" s="78" t="str">
        <f>IFERROR(__xludf.DUMMYFUNCTION("""COMPUTED_VALUE"""),"Peace Offering")</f>
        <v>Peace Offering</v>
      </c>
      <c r="C2137" s="79">
        <f>IFERROR(__xludf.DUMMYFUNCTION("""COMPUTED_VALUE"""),0.0)</f>
        <v>0</v>
      </c>
      <c r="D2137" s="79">
        <f>IFERROR(__xludf.DUMMYFUNCTION("""COMPUTED_VALUE"""),0.0)</f>
        <v>0</v>
      </c>
      <c r="E2137" s="69" t="b">
        <f>IFERROR(__xludf.DUMMYFUNCTION("""COMPUTED_VALUE"""),TRUE)</f>
        <v>1</v>
      </c>
    </row>
    <row r="2138" hidden="1">
      <c r="A2138" s="78" t="str">
        <f>IFERROR(__xludf.DUMMYFUNCTION("""COMPUTED_VALUE"""),"Riders of Rohan")</f>
        <v>Riders of Rohan</v>
      </c>
      <c r="B2138" s="78" t="str">
        <f>IFERROR(__xludf.DUMMYFUNCTION("""COMPUTED_VALUE"""),"Power Hungry")</f>
        <v>Power Hungry</v>
      </c>
      <c r="C2138" s="79">
        <f>IFERROR(__xludf.DUMMYFUNCTION("""COMPUTED_VALUE"""),0.0)</f>
        <v>0</v>
      </c>
      <c r="D2138" s="79">
        <f>IFERROR(__xludf.DUMMYFUNCTION("""COMPUTED_VALUE"""),0.0)</f>
        <v>0</v>
      </c>
      <c r="E2138" s="69" t="b">
        <f>IFERROR(__xludf.DUMMYFUNCTION("""COMPUTED_VALUE"""),TRUE)</f>
        <v>1</v>
      </c>
    </row>
    <row r="2139" hidden="1">
      <c r="A2139" s="78" t="str">
        <f>IFERROR(__xludf.DUMMYFUNCTION("""COMPUTED_VALUE"""),"Riders of Rohan")</f>
        <v>Riders of Rohan</v>
      </c>
      <c r="B2139" s="78" t="str">
        <f>IFERROR(__xludf.DUMMYFUNCTION("""COMPUTED_VALUE"""),"Primal Genesis")</f>
        <v>Primal Genesis</v>
      </c>
      <c r="C2139" s="79">
        <f>IFERROR(__xludf.DUMMYFUNCTION("""COMPUTED_VALUE"""),0.0)</f>
        <v>0</v>
      </c>
      <c r="D2139" s="79">
        <f>IFERROR(__xludf.DUMMYFUNCTION("""COMPUTED_VALUE"""),0.0)</f>
        <v>0</v>
      </c>
      <c r="E2139" s="69" t="b">
        <f>IFERROR(__xludf.DUMMYFUNCTION("""COMPUTED_VALUE"""),TRUE)</f>
        <v>1</v>
      </c>
    </row>
    <row r="2140">
      <c r="A2140" s="78" t="str">
        <f>IFERROR(__xludf.DUMMYFUNCTION("""COMPUTED_VALUE"""),"Riders of Rohan")</f>
        <v>Riders of Rohan</v>
      </c>
      <c r="B2140" s="78" t="str">
        <f>IFERROR(__xludf.DUMMYFUNCTION("""COMPUTED_VALUE"""),"Prismari Artistry")</f>
        <v>Prismari Artistry</v>
      </c>
      <c r="C2140" s="79">
        <f>IFERROR(__xludf.DUMMYFUNCTION("""COMPUTED_VALUE"""),0.0)</f>
        <v>0</v>
      </c>
      <c r="D2140" s="79">
        <f>IFERROR(__xludf.DUMMYFUNCTION("""COMPUTED_VALUE"""),0.0)</f>
        <v>0</v>
      </c>
      <c r="E2140" s="69" t="b">
        <f>IFERROR(__xludf.DUMMYFUNCTION("""COMPUTED_VALUE"""),TRUE)</f>
        <v>1</v>
      </c>
    </row>
    <row r="2141" hidden="1">
      <c r="A2141" s="78" t="str">
        <f>IFERROR(__xludf.DUMMYFUNCTION("""COMPUTED_VALUE"""),"Riders of Rohan")</f>
        <v>Riders of Rohan</v>
      </c>
      <c r="B2141" s="78" t="str">
        <f>IFERROR(__xludf.DUMMYFUNCTION("""COMPUTED_VALUE"""),"Prismari Performance")</f>
        <v>Prismari Performance</v>
      </c>
      <c r="C2141" s="79">
        <f>IFERROR(__xludf.DUMMYFUNCTION("""COMPUTED_VALUE"""),0.0)</f>
        <v>0</v>
      </c>
      <c r="D2141" s="79">
        <f>IFERROR(__xludf.DUMMYFUNCTION("""COMPUTED_VALUE"""),0.0)</f>
        <v>0</v>
      </c>
      <c r="E2141" s="69" t="b">
        <f>IFERROR(__xludf.DUMMYFUNCTION("""COMPUTED_VALUE"""),TRUE)</f>
        <v>1</v>
      </c>
    </row>
    <row r="2142" hidden="1">
      <c r="A2142" s="78" t="str">
        <f>IFERROR(__xludf.DUMMYFUNCTION("""COMPUTED_VALUE"""),"Riders of Rohan")</f>
        <v>Riders of Rohan</v>
      </c>
      <c r="B2142" s="78" t="str">
        <f>IFERROR(__xludf.DUMMYFUNCTION("""COMPUTED_VALUE"""),"Quandrix Unlimited")</f>
        <v>Quandrix Unlimited</v>
      </c>
      <c r="C2142" s="79">
        <f>IFERROR(__xludf.DUMMYFUNCTION("""COMPUTED_VALUE"""),1.0)</f>
        <v>1</v>
      </c>
      <c r="D2142" s="79">
        <f>IFERROR(__xludf.DUMMYFUNCTION("""COMPUTED_VALUE"""),1.0)</f>
        <v>1</v>
      </c>
      <c r="E2142" s="69" t="b">
        <f>IFERROR(__xludf.DUMMYFUNCTION("""COMPUTED_VALUE"""),FALSE)</f>
        <v>0</v>
      </c>
    </row>
    <row r="2143" hidden="1">
      <c r="A2143" s="78" t="str">
        <f>IFERROR(__xludf.DUMMYFUNCTION("""COMPUTED_VALUE"""),"Riders of Rohan")</f>
        <v>Riders of Rohan</v>
      </c>
      <c r="B2143" s="78" t="str">
        <f>IFERROR(__xludf.DUMMYFUNCTION("""COMPUTED_VALUE"""),"Quick Draw")</f>
        <v>Quick Draw</v>
      </c>
      <c r="C2143" s="79">
        <f>IFERROR(__xludf.DUMMYFUNCTION("""COMPUTED_VALUE"""),0.0)</f>
        <v>0</v>
      </c>
      <c r="D2143" s="79">
        <f>IFERROR(__xludf.DUMMYFUNCTION("""COMPUTED_VALUE"""),1.0)</f>
        <v>1</v>
      </c>
      <c r="E2143" s="69" t="b">
        <f>IFERROR(__xludf.DUMMYFUNCTION("""COMPUTED_VALUE"""),FALSE)</f>
        <v>0</v>
      </c>
    </row>
    <row r="2144" hidden="1">
      <c r="A2144" s="78" t="str">
        <f>IFERROR(__xludf.DUMMYFUNCTION("""COMPUTED_VALUE"""),"Riders of Rohan")</f>
        <v>Riders of Rohan</v>
      </c>
      <c r="B2144" s="78" t="str">
        <f>IFERROR(__xludf.DUMMYFUNCTION("""COMPUTED_VALUE"""),"Reap the Tides")</f>
        <v>Reap the Tides</v>
      </c>
      <c r="C2144" s="79">
        <f>IFERROR(__xludf.DUMMYFUNCTION("""COMPUTED_VALUE"""),0.0)</f>
        <v>0</v>
      </c>
      <c r="D2144" s="79">
        <f>IFERROR(__xludf.DUMMYFUNCTION("""COMPUTED_VALUE"""),0.0)</f>
        <v>0</v>
      </c>
      <c r="E2144" s="69" t="b">
        <f>IFERROR(__xludf.DUMMYFUNCTION("""COMPUTED_VALUE"""),TRUE)</f>
        <v>1</v>
      </c>
    </row>
    <row r="2145">
      <c r="A2145" s="78" t="str">
        <f>IFERROR(__xludf.DUMMYFUNCTION("""COMPUTED_VALUE"""),"Riders of Rohan")</f>
        <v>Riders of Rohan</v>
      </c>
      <c r="B2145" s="78" t="str">
        <f>IFERROR(__xludf.DUMMYFUNCTION("""COMPUTED_VALUE"""),"Rebellion Rising")</f>
        <v>Rebellion Rising</v>
      </c>
      <c r="C2145" s="79">
        <f>IFERROR(__xludf.DUMMYFUNCTION("""COMPUTED_VALUE"""),0.0)</f>
        <v>0</v>
      </c>
      <c r="D2145" s="79">
        <f>IFERROR(__xludf.DUMMYFUNCTION("""COMPUTED_VALUE"""),0.0)</f>
        <v>0</v>
      </c>
      <c r="E2145" s="69" t="b">
        <f>IFERROR(__xludf.DUMMYFUNCTION("""COMPUTED_VALUE"""),TRUE)</f>
        <v>1</v>
      </c>
    </row>
    <row r="2146" hidden="1">
      <c r="A2146" s="78" t="str">
        <f>IFERROR(__xludf.DUMMYFUNCTION("""COMPUTED_VALUE"""),"Riders of Rohan")</f>
        <v>Riders of Rohan</v>
      </c>
      <c r="B2146" s="78" t="str">
        <f>IFERROR(__xludf.DUMMYFUNCTION("""COMPUTED_VALUE"""),"Revival Trance")</f>
        <v>Revival Trance</v>
      </c>
      <c r="C2146" s="79">
        <f>IFERROR(__xludf.DUMMYFUNCTION("""COMPUTED_VALUE"""),0.0)</f>
        <v>0</v>
      </c>
      <c r="D2146" s="79">
        <f>IFERROR(__xludf.DUMMYFUNCTION("""COMPUTED_VALUE"""),0.0)</f>
        <v>0</v>
      </c>
      <c r="E2146" s="69" t="b">
        <f>IFERROR(__xludf.DUMMYFUNCTION("""COMPUTED_VALUE"""),TRUE)</f>
        <v>1</v>
      </c>
    </row>
    <row r="2147" hidden="1">
      <c r="A2147" s="78" t="str">
        <f>IFERROR(__xludf.DUMMYFUNCTION("""COMPUTED_VALUE"""),"Riders of Rohan")</f>
        <v>Riders of Rohan</v>
      </c>
      <c r="B2147" s="78" t="str">
        <f>IFERROR(__xludf.DUMMYFUNCTION("""COMPUTED_VALUE"""),"Riders of Rohan")</f>
        <v>Riders of Rohan</v>
      </c>
      <c r="C2147" s="79">
        <f>IFERROR(__xludf.DUMMYFUNCTION("""COMPUTED_VALUE"""),2.0)</f>
        <v>2</v>
      </c>
      <c r="D2147" s="79">
        <f>IFERROR(__xludf.DUMMYFUNCTION("""COMPUTED_VALUE"""),2.0)</f>
        <v>2</v>
      </c>
      <c r="E2147" s="69" t="b">
        <f>IFERROR(__xludf.DUMMYFUNCTION("""COMPUTED_VALUE"""),TRUE)</f>
        <v>1</v>
      </c>
    </row>
    <row r="2148" hidden="1">
      <c r="A2148" s="78" t="str">
        <f>IFERROR(__xludf.DUMMYFUNCTION("""COMPUTED_VALUE"""),"Riders of Rohan")</f>
        <v>Riders of Rohan</v>
      </c>
      <c r="B2148" s="78" t="str">
        <f>IFERROR(__xludf.DUMMYFUNCTION("""COMPUTED_VALUE"""),"Science!")</f>
        <v>Science!</v>
      </c>
      <c r="C2148" s="79">
        <f>IFERROR(__xludf.DUMMYFUNCTION("""COMPUTED_VALUE"""),0.0)</f>
        <v>0</v>
      </c>
      <c r="D2148" s="79">
        <f>IFERROR(__xludf.DUMMYFUNCTION("""COMPUTED_VALUE"""),0.0)</f>
        <v>0</v>
      </c>
      <c r="E2148" s="69" t="b">
        <f>IFERROR(__xludf.DUMMYFUNCTION("""COMPUTED_VALUE"""),TRUE)</f>
        <v>1</v>
      </c>
    </row>
    <row r="2149" hidden="1">
      <c r="A2149" s="78" t="str">
        <f>IFERROR(__xludf.DUMMYFUNCTION("""COMPUTED_VALUE"""),"Riders of Rohan")</f>
        <v>Riders of Rohan</v>
      </c>
      <c r="B2149" s="78" t="str">
        <f>IFERROR(__xludf.DUMMYFUNCTION("""COMPUTED_VALUE"""),"Scions &amp; Spellcraft")</f>
        <v>Scions &amp; Spellcraft</v>
      </c>
      <c r="C2149" s="79">
        <f>IFERROR(__xludf.DUMMYFUNCTION("""COMPUTED_VALUE"""),0.0)</f>
        <v>0</v>
      </c>
      <c r="D2149" s="79">
        <f>IFERROR(__xludf.DUMMYFUNCTION("""COMPUTED_VALUE"""),0.0)</f>
        <v>0</v>
      </c>
      <c r="E2149" s="69" t="b">
        <f>IFERROR(__xludf.DUMMYFUNCTION("""COMPUTED_VALUE"""),TRUE)</f>
        <v>1</v>
      </c>
    </row>
    <row r="2150" hidden="1">
      <c r="A2150" s="78" t="str">
        <f>IFERROR(__xludf.DUMMYFUNCTION("""COMPUTED_VALUE"""),"Riders of Rohan")</f>
        <v>Riders of Rohan</v>
      </c>
      <c r="B2150" s="78" t="str">
        <f>IFERROR(__xludf.DUMMYFUNCTION("""COMPUTED_VALUE"""),"Scrappy Survivors")</f>
        <v>Scrappy Survivors</v>
      </c>
      <c r="C2150" s="79">
        <f>IFERROR(__xludf.DUMMYFUNCTION("""COMPUTED_VALUE"""),0.0)</f>
        <v>0</v>
      </c>
      <c r="D2150" s="79">
        <f>IFERROR(__xludf.DUMMYFUNCTION("""COMPUTED_VALUE"""),0.0)</f>
        <v>0</v>
      </c>
      <c r="E2150" s="69" t="b">
        <f>IFERROR(__xludf.DUMMYFUNCTION("""COMPUTED_VALUE"""),TRUE)</f>
        <v>1</v>
      </c>
    </row>
    <row r="2151" hidden="1">
      <c r="A2151" s="78" t="str">
        <f>IFERROR(__xludf.DUMMYFUNCTION("""COMPUTED_VALUE"""),"Riders of Rohan")</f>
        <v>Riders of Rohan</v>
      </c>
      <c r="B2151" s="78" t="str">
        <f>IFERROR(__xludf.DUMMYFUNCTION("""COMPUTED_VALUE"""),"Silverquill Influence")</f>
        <v>Silverquill Influence</v>
      </c>
      <c r="C2151" s="79">
        <f>IFERROR(__xludf.DUMMYFUNCTION("""COMPUTED_VALUE"""),1.0)</f>
        <v>1</v>
      </c>
      <c r="D2151" s="79">
        <f>IFERROR(__xludf.DUMMYFUNCTION("""COMPUTED_VALUE"""),0.0)</f>
        <v>0</v>
      </c>
      <c r="E2151" s="69" t="b">
        <f>IFERROR(__xludf.DUMMYFUNCTION("""COMPUTED_VALUE"""),FALSE)</f>
        <v>0</v>
      </c>
    </row>
    <row r="2152">
      <c r="A2152" s="78" t="str">
        <f>IFERROR(__xludf.DUMMYFUNCTION("""COMPUTED_VALUE"""),"Riders of Rohan")</f>
        <v>Riders of Rohan</v>
      </c>
      <c r="B2152" s="78" t="str">
        <f>IFERROR(__xludf.DUMMYFUNCTION("""COMPUTED_VALUE"""),"Spirit Squadron")</f>
        <v>Spirit Squadron</v>
      </c>
      <c r="C2152" s="79">
        <f>IFERROR(__xludf.DUMMYFUNCTION("""COMPUTED_VALUE"""),0.0)</f>
        <v>0</v>
      </c>
      <c r="D2152" s="79">
        <f>IFERROR(__xludf.DUMMYFUNCTION("""COMPUTED_VALUE"""),0.0)</f>
        <v>0</v>
      </c>
      <c r="E2152" s="69" t="b">
        <f>IFERROR(__xludf.DUMMYFUNCTION("""COMPUTED_VALUE"""),TRUE)</f>
        <v>1</v>
      </c>
    </row>
    <row r="2153" hidden="1">
      <c r="A2153" s="78" t="str">
        <f>IFERROR(__xludf.DUMMYFUNCTION("""COMPUTED_VALUE"""),"Riders of Rohan")</f>
        <v>Riders of Rohan</v>
      </c>
      <c r="B2153" s="78" t="str">
        <f>IFERROR(__xludf.DUMMYFUNCTION("""COMPUTED_VALUE"""),"Squirreled Away")</f>
        <v>Squirreled Away</v>
      </c>
      <c r="C2153" s="79">
        <f>IFERROR(__xludf.DUMMYFUNCTION("""COMPUTED_VALUE"""),0.0)</f>
        <v>0</v>
      </c>
      <c r="D2153" s="79">
        <f>IFERROR(__xludf.DUMMYFUNCTION("""COMPUTED_VALUE"""),0.0)</f>
        <v>0</v>
      </c>
      <c r="E2153" s="69" t="b">
        <f>IFERROR(__xludf.DUMMYFUNCTION("""COMPUTED_VALUE"""),TRUE)</f>
        <v>1</v>
      </c>
    </row>
    <row r="2154" hidden="1">
      <c r="A2154" s="78" t="str">
        <f>IFERROR(__xludf.DUMMYFUNCTION("""COMPUTED_VALUE"""),"Riders of Rohan")</f>
        <v>Riders of Rohan</v>
      </c>
      <c r="B2154" s="78" t="str">
        <f>IFERROR(__xludf.DUMMYFUNCTION("""COMPUTED_VALUE"""),"Sultai Arisen")</f>
        <v>Sultai Arisen</v>
      </c>
      <c r="C2154" s="79">
        <f>IFERROR(__xludf.DUMMYFUNCTION("""COMPUTED_VALUE"""),0.0)</f>
        <v>0</v>
      </c>
      <c r="D2154" s="79">
        <f>IFERROR(__xludf.DUMMYFUNCTION("""COMPUTED_VALUE"""),0.0)</f>
        <v>0</v>
      </c>
      <c r="E2154" s="69" t="b">
        <f>IFERROR(__xludf.DUMMYFUNCTION("""COMPUTED_VALUE"""),TRUE)</f>
        <v>1</v>
      </c>
    </row>
    <row r="2155" hidden="1">
      <c r="A2155" s="78" t="str">
        <f>IFERROR(__xludf.DUMMYFUNCTION("""COMPUTED_VALUE"""),"Riders of Rohan")</f>
        <v>Riders of Rohan</v>
      </c>
      <c r="B2155" s="78" t="str">
        <f>IFERROR(__xludf.DUMMYFUNCTION("""COMPUTED_VALUE"""),"Temur Roar")</f>
        <v>Temur Roar</v>
      </c>
      <c r="C2155" s="79">
        <f>IFERROR(__xludf.DUMMYFUNCTION("""COMPUTED_VALUE"""),0.0)</f>
        <v>0</v>
      </c>
      <c r="D2155" s="79">
        <f>IFERROR(__xludf.DUMMYFUNCTION("""COMPUTED_VALUE"""),0.0)</f>
        <v>0</v>
      </c>
      <c r="E2155" s="69" t="b">
        <f>IFERROR(__xludf.DUMMYFUNCTION("""COMPUTED_VALUE"""),TRUE)</f>
        <v>1</v>
      </c>
    </row>
    <row r="2156" hidden="1">
      <c r="A2156" s="78" t="str">
        <f>IFERROR(__xludf.DUMMYFUNCTION("""COMPUTED_VALUE"""),"Riders of Rohan")</f>
        <v>Riders of Rohan</v>
      </c>
      <c r="B2156" s="78" t="str">
        <f>IFERROR(__xludf.DUMMYFUNCTION("""COMPUTED_VALUE"""),"The Hosts of Mordor")</f>
        <v>The Hosts of Mordor</v>
      </c>
      <c r="C2156" s="79">
        <f>IFERROR(__xludf.DUMMYFUNCTION("""COMPUTED_VALUE"""),0.0)</f>
        <v>0</v>
      </c>
      <c r="D2156" s="79">
        <f>IFERROR(__xludf.DUMMYFUNCTION("""COMPUTED_VALUE"""),0.0)</f>
        <v>0</v>
      </c>
      <c r="E2156" s="69" t="b">
        <f>IFERROR(__xludf.DUMMYFUNCTION("""COMPUTED_VALUE"""),TRUE)</f>
        <v>1</v>
      </c>
    </row>
    <row r="2157" hidden="1">
      <c r="A2157" s="78" t="str">
        <f>IFERROR(__xludf.DUMMYFUNCTION("""COMPUTED_VALUE"""),"Riders of Rohan")</f>
        <v>Riders of Rohan</v>
      </c>
      <c r="B2157" s="78" t="str">
        <f>IFERROR(__xludf.DUMMYFUNCTION("""COMPUTED_VALUE"""),"The Ruinous Powers")</f>
        <v>The Ruinous Powers</v>
      </c>
      <c r="C2157" s="79">
        <f>IFERROR(__xludf.DUMMYFUNCTION("""COMPUTED_VALUE"""),0.0)</f>
        <v>0</v>
      </c>
      <c r="D2157" s="79">
        <f>IFERROR(__xludf.DUMMYFUNCTION("""COMPUTED_VALUE"""),0.0)</f>
        <v>0</v>
      </c>
      <c r="E2157" s="69" t="b">
        <f>IFERROR(__xludf.DUMMYFUNCTION("""COMPUTED_VALUE"""),TRUE)</f>
        <v>1</v>
      </c>
    </row>
    <row r="2158" hidden="1">
      <c r="A2158" s="78" t="str">
        <f>IFERROR(__xludf.DUMMYFUNCTION("""COMPUTED_VALUE"""),"Riders of Rohan")</f>
        <v>Riders of Rohan</v>
      </c>
      <c r="B2158" s="78" t="str">
        <f>IFERROR(__xludf.DUMMYFUNCTION("""COMPUTED_VALUE"""),"Timey-Wimey")</f>
        <v>Timey-Wimey</v>
      </c>
      <c r="C2158" s="79">
        <f>IFERROR(__xludf.DUMMYFUNCTION("""COMPUTED_VALUE"""),0.0)</f>
        <v>0</v>
      </c>
      <c r="D2158" s="79">
        <f>IFERROR(__xludf.DUMMYFUNCTION("""COMPUTED_VALUE"""),0.0)</f>
        <v>0</v>
      </c>
      <c r="E2158" s="69" t="b">
        <f>IFERROR(__xludf.DUMMYFUNCTION("""COMPUTED_VALUE"""),TRUE)</f>
        <v>1</v>
      </c>
    </row>
    <row r="2159" hidden="1">
      <c r="A2159" s="78" t="str">
        <f>IFERROR(__xludf.DUMMYFUNCTION("""COMPUTED_VALUE"""),"Riders of Rohan")</f>
        <v>Riders of Rohan</v>
      </c>
      <c r="B2159" s="78" t="str">
        <f>IFERROR(__xludf.DUMMYFUNCTION("""COMPUTED_VALUE"""),"Tinker Time")</f>
        <v>Tinker Time</v>
      </c>
      <c r="C2159" s="79">
        <f>IFERROR(__xludf.DUMMYFUNCTION("""COMPUTED_VALUE"""),0.0)</f>
        <v>0</v>
      </c>
      <c r="D2159" s="79">
        <f>IFERROR(__xludf.DUMMYFUNCTION("""COMPUTED_VALUE"""),0.0)</f>
        <v>0</v>
      </c>
      <c r="E2159" s="69" t="b">
        <f>IFERROR(__xludf.DUMMYFUNCTION("""COMPUTED_VALUE"""),TRUE)</f>
        <v>1</v>
      </c>
    </row>
    <row r="2160" hidden="1">
      <c r="A2160" s="78" t="str">
        <f>IFERROR(__xludf.DUMMYFUNCTION("""COMPUTED_VALUE"""),"Riders of Rohan")</f>
        <v>Riders of Rohan</v>
      </c>
      <c r="B2160" s="78" t="str">
        <f>IFERROR(__xludf.DUMMYFUNCTION("""COMPUTED_VALUE"""),"Turtle Power!")</f>
        <v>Turtle Power!</v>
      </c>
      <c r="C2160" s="79">
        <f>IFERROR(__xludf.DUMMYFUNCTION("""COMPUTED_VALUE"""),0.0)</f>
        <v>0</v>
      </c>
      <c r="D2160" s="79">
        <f>IFERROR(__xludf.DUMMYFUNCTION("""COMPUTED_VALUE"""),0.0)</f>
        <v>0</v>
      </c>
      <c r="E2160" s="69" t="b">
        <f>IFERROR(__xludf.DUMMYFUNCTION("""COMPUTED_VALUE"""),TRUE)</f>
        <v>1</v>
      </c>
    </row>
    <row r="2161" hidden="1">
      <c r="A2161" s="78" t="str">
        <f>IFERROR(__xludf.DUMMYFUNCTION("""COMPUTED_VALUE"""),"Riders of Rohan")</f>
        <v>Riders of Rohan</v>
      </c>
      <c r="B2161" s="78" t="str">
        <f>IFERROR(__xludf.DUMMYFUNCTION("""COMPUTED_VALUE"""),"Veloci-ramp-tor")</f>
        <v>Veloci-ramp-tor</v>
      </c>
      <c r="C2161" s="79">
        <f>IFERROR(__xludf.DUMMYFUNCTION("""COMPUTED_VALUE"""),0.0)</f>
        <v>0</v>
      </c>
      <c r="D2161" s="79">
        <f>IFERROR(__xludf.DUMMYFUNCTION("""COMPUTED_VALUE"""),0.0)</f>
        <v>0</v>
      </c>
      <c r="E2161" s="69" t="b">
        <f>IFERROR(__xludf.DUMMYFUNCTION("""COMPUTED_VALUE"""),TRUE)</f>
        <v>1</v>
      </c>
    </row>
    <row r="2162" hidden="1">
      <c r="A2162" s="78" t="str">
        <f>IFERROR(__xludf.DUMMYFUNCTION("""COMPUTED_VALUE"""),"Science!")</f>
        <v>Science!</v>
      </c>
      <c r="B2162" s="78" t="str">
        <f>IFERROR(__xludf.DUMMYFUNCTION("""COMPUTED_VALUE"""),"Ahoy Mateys")</f>
        <v>Ahoy Mateys</v>
      </c>
      <c r="C2162" s="79">
        <f>IFERROR(__xludf.DUMMYFUNCTION("""COMPUTED_VALUE"""),0.0)</f>
        <v>0</v>
      </c>
      <c r="D2162" s="79">
        <f>IFERROR(__xludf.DUMMYFUNCTION("""COMPUTED_VALUE"""),0.0)</f>
        <v>0</v>
      </c>
      <c r="E2162" s="69" t="b">
        <f>IFERROR(__xludf.DUMMYFUNCTION("""COMPUTED_VALUE"""),TRUE)</f>
        <v>1</v>
      </c>
    </row>
    <row r="2163" hidden="1">
      <c r="A2163" s="78" t="str">
        <f>IFERROR(__xludf.DUMMYFUNCTION("""COMPUTED_VALUE"""),"Science!")</f>
        <v>Science!</v>
      </c>
      <c r="B2163" s="78" t="str">
        <f>IFERROR(__xludf.DUMMYFUNCTION("""COMPUTED_VALUE"""),"Animated Army")</f>
        <v>Animated Army</v>
      </c>
      <c r="C2163" s="79">
        <f>IFERROR(__xludf.DUMMYFUNCTION("""COMPUTED_VALUE"""),0.0)</f>
        <v>0</v>
      </c>
      <c r="D2163" s="79">
        <f>IFERROR(__xludf.DUMMYFUNCTION("""COMPUTED_VALUE"""),0.0)</f>
        <v>0</v>
      </c>
      <c r="E2163" s="69" t="b">
        <f>IFERROR(__xludf.DUMMYFUNCTION("""COMPUTED_VALUE"""),TRUE)</f>
        <v>1</v>
      </c>
    </row>
    <row r="2164" hidden="1">
      <c r="A2164" s="78" t="str">
        <f>IFERROR(__xludf.DUMMYFUNCTION("""COMPUTED_VALUE"""),"Science!")</f>
        <v>Science!</v>
      </c>
      <c r="B2164" s="78" t="str">
        <f>IFERROR(__xludf.DUMMYFUNCTION("""COMPUTED_VALUE"""),"Arcane Maelstrom")</f>
        <v>Arcane Maelstrom</v>
      </c>
      <c r="C2164" s="79">
        <f>IFERROR(__xludf.DUMMYFUNCTION("""COMPUTED_VALUE"""),0.0)</f>
        <v>0</v>
      </c>
      <c r="D2164" s="79">
        <f>IFERROR(__xludf.DUMMYFUNCTION("""COMPUTED_VALUE"""),0.0)</f>
        <v>0</v>
      </c>
      <c r="E2164" s="69" t="b">
        <f>IFERROR(__xludf.DUMMYFUNCTION("""COMPUTED_VALUE"""),TRUE)</f>
        <v>1</v>
      </c>
    </row>
    <row r="2165" hidden="1">
      <c r="A2165" s="78" t="str">
        <f>IFERROR(__xludf.DUMMYFUNCTION("""COMPUTED_VALUE"""),"Science!")</f>
        <v>Science!</v>
      </c>
      <c r="B2165" s="78" t="str">
        <f>IFERROR(__xludf.DUMMYFUNCTION("""COMPUTED_VALUE"""),"Blame Game")</f>
        <v>Blame Game</v>
      </c>
      <c r="C2165" s="79">
        <f>IFERROR(__xludf.DUMMYFUNCTION("""COMPUTED_VALUE"""),0.0)</f>
        <v>0</v>
      </c>
      <c r="D2165" s="79">
        <f>IFERROR(__xludf.DUMMYFUNCTION("""COMPUTED_VALUE"""),0.0)</f>
        <v>0</v>
      </c>
      <c r="E2165" s="69" t="b">
        <f>IFERROR(__xludf.DUMMYFUNCTION("""COMPUTED_VALUE"""),TRUE)</f>
        <v>1</v>
      </c>
    </row>
    <row r="2166" hidden="1">
      <c r="A2166" s="78" t="str">
        <f>IFERROR(__xludf.DUMMYFUNCTION("""COMPUTED_VALUE"""),"Science!")</f>
        <v>Science!</v>
      </c>
      <c r="B2166" s="78" t="str">
        <f>IFERROR(__xludf.DUMMYFUNCTION("""COMPUTED_VALUE"""),"Blight Curse")</f>
        <v>Blight Curse</v>
      </c>
      <c r="C2166" s="79">
        <f>IFERROR(__xludf.DUMMYFUNCTION("""COMPUTED_VALUE"""),0.0)</f>
        <v>0</v>
      </c>
      <c r="D2166" s="79">
        <f>IFERROR(__xludf.DUMMYFUNCTION("""COMPUTED_VALUE"""),0.0)</f>
        <v>0</v>
      </c>
      <c r="E2166" s="69" t="b">
        <f>IFERROR(__xludf.DUMMYFUNCTION("""COMPUTED_VALUE"""),TRUE)</f>
        <v>1</v>
      </c>
    </row>
    <row r="2167" hidden="1">
      <c r="A2167" s="78" t="str">
        <f>IFERROR(__xludf.DUMMYFUNCTION("""COMPUTED_VALUE"""),"Science!")</f>
        <v>Science!</v>
      </c>
      <c r="B2167" s="78" t="str">
        <f>IFERROR(__xludf.DUMMYFUNCTION("""COMPUTED_VALUE"""),"Blood Rites")</f>
        <v>Blood Rites</v>
      </c>
      <c r="C2167" s="79">
        <f>IFERROR(__xludf.DUMMYFUNCTION("""COMPUTED_VALUE"""),0.0)</f>
        <v>0</v>
      </c>
      <c r="D2167" s="79">
        <f>IFERROR(__xludf.DUMMYFUNCTION("""COMPUTED_VALUE"""),0.0)</f>
        <v>0</v>
      </c>
      <c r="E2167" s="69" t="b">
        <f>IFERROR(__xludf.DUMMYFUNCTION("""COMPUTED_VALUE"""),TRUE)</f>
        <v>1</v>
      </c>
    </row>
    <row r="2168" hidden="1">
      <c r="A2168" s="78" t="str">
        <f>IFERROR(__xludf.DUMMYFUNCTION("""COMPUTED_VALUE"""),"Science!")</f>
        <v>Science!</v>
      </c>
      <c r="B2168" s="78" t="str">
        <f>IFERROR(__xludf.DUMMYFUNCTION("""COMPUTED_VALUE"""),"Buckle Up")</f>
        <v>Buckle Up</v>
      </c>
      <c r="C2168" s="79">
        <f>IFERROR(__xludf.DUMMYFUNCTION("""COMPUTED_VALUE"""),0.0)</f>
        <v>0</v>
      </c>
      <c r="D2168" s="79">
        <f>IFERROR(__xludf.DUMMYFUNCTION("""COMPUTED_VALUE"""),0.0)</f>
        <v>0</v>
      </c>
      <c r="E2168" s="69" t="b">
        <f>IFERROR(__xludf.DUMMYFUNCTION("""COMPUTED_VALUE"""),TRUE)</f>
        <v>1</v>
      </c>
    </row>
    <row r="2169" hidden="1">
      <c r="A2169" s="78" t="str">
        <f>IFERROR(__xludf.DUMMYFUNCTION("""COMPUTED_VALUE"""),"Science!")</f>
        <v>Science!</v>
      </c>
      <c r="B2169" s="78" t="str">
        <f>IFERROR(__xludf.DUMMYFUNCTION("""COMPUTED_VALUE"""),"Cabaretti Cacophony")</f>
        <v>Cabaretti Cacophony</v>
      </c>
      <c r="C2169" s="79">
        <f>IFERROR(__xludf.DUMMYFUNCTION("""COMPUTED_VALUE"""),0.0)</f>
        <v>0</v>
      </c>
      <c r="D2169" s="79">
        <f>IFERROR(__xludf.DUMMYFUNCTION("""COMPUTED_VALUE"""),0.0)</f>
        <v>0</v>
      </c>
      <c r="E2169" s="69" t="b">
        <f>IFERROR(__xludf.DUMMYFUNCTION("""COMPUTED_VALUE"""),TRUE)</f>
        <v>1</v>
      </c>
    </row>
    <row r="2170">
      <c r="A2170" s="78" t="str">
        <f>IFERROR(__xludf.DUMMYFUNCTION("""COMPUTED_VALUE"""),"Science!")</f>
        <v>Science!</v>
      </c>
      <c r="B2170" s="78" t="str">
        <f>IFERROR(__xludf.DUMMYFUNCTION("""COMPUTED_VALUE"""),"Cavalry Charge")</f>
        <v>Cavalry Charge</v>
      </c>
      <c r="C2170" s="79">
        <f>IFERROR(__xludf.DUMMYFUNCTION("""COMPUTED_VALUE"""),0.0)</f>
        <v>0</v>
      </c>
      <c r="D2170" s="79">
        <f>IFERROR(__xludf.DUMMYFUNCTION("""COMPUTED_VALUE"""),1.0)</f>
        <v>1</v>
      </c>
      <c r="E2170" s="69" t="b">
        <f>IFERROR(__xludf.DUMMYFUNCTION("""COMPUTED_VALUE"""),FALSE)</f>
        <v>0</v>
      </c>
    </row>
    <row r="2171" hidden="1">
      <c r="A2171" s="78" t="str">
        <f>IFERROR(__xludf.DUMMYFUNCTION("""COMPUTED_VALUE"""),"Science!")</f>
        <v>Science!</v>
      </c>
      <c r="B2171" s="78" t="str">
        <f>IFERROR(__xludf.DUMMYFUNCTION("""COMPUTED_VALUE"""),"Corrupting Influence")</f>
        <v>Corrupting Influence</v>
      </c>
      <c r="C2171" s="79">
        <f>IFERROR(__xludf.DUMMYFUNCTION("""COMPUTED_VALUE"""),0.0)</f>
        <v>0</v>
      </c>
      <c r="D2171" s="79">
        <f>IFERROR(__xludf.DUMMYFUNCTION("""COMPUTED_VALUE"""),0.0)</f>
        <v>0</v>
      </c>
      <c r="E2171" s="69" t="b">
        <f>IFERROR(__xludf.DUMMYFUNCTION("""COMPUTED_VALUE"""),TRUE)</f>
        <v>1</v>
      </c>
    </row>
    <row r="2172" hidden="1">
      <c r="A2172" s="78" t="str">
        <f>IFERROR(__xludf.DUMMYFUNCTION("""COMPUTED_VALUE"""),"Science!")</f>
        <v>Science!</v>
      </c>
      <c r="B2172" s="78" t="str">
        <f>IFERROR(__xludf.DUMMYFUNCTION("""COMPUTED_VALUE"""),"Counter Blitz")</f>
        <v>Counter Blitz</v>
      </c>
      <c r="C2172" s="79">
        <f>IFERROR(__xludf.DUMMYFUNCTION("""COMPUTED_VALUE"""),0.0)</f>
        <v>0</v>
      </c>
      <c r="D2172" s="79">
        <f>IFERROR(__xludf.DUMMYFUNCTION("""COMPUTED_VALUE"""),0.0)</f>
        <v>0</v>
      </c>
      <c r="E2172" s="69" t="b">
        <f>IFERROR(__xludf.DUMMYFUNCTION("""COMPUTED_VALUE"""),TRUE)</f>
        <v>1</v>
      </c>
    </row>
    <row r="2173" hidden="1">
      <c r="A2173" s="78" t="str">
        <f>IFERROR(__xludf.DUMMYFUNCTION("""COMPUTED_VALUE"""),"Science!")</f>
        <v>Science!</v>
      </c>
      <c r="B2173" s="78" t="str">
        <f>IFERROR(__xludf.DUMMYFUNCTION("""COMPUTED_VALUE"""),"Counter Intelligence")</f>
        <v>Counter Intelligence</v>
      </c>
      <c r="C2173" s="79">
        <f>IFERROR(__xludf.DUMMYFUNCTION("""COMPUTED_VALUE"""),0.0)</f>
        <v>0</v>
      </c>
      <c r="D2173" s="79">
        <f>IFERROR(__xludf.DUMMYFUNCTION("""COMPUTED_VALUE"""),0.0)</f>
        <v>0</v>
      </c>
      <c r="E2173" s="69" t="b">
        <f>IFERROR(__xludf.DUMMYFUNCTION("""COMPUTED_VALUE"""),TRUE)</f>
        <v>1</v>
      </c>
    </row>
    <row r="2174" hidden="1">
      <c r="A2174" s="78" t="str">
        <f>IFERROR(__xludf.DUMMYFUNCTION("""COMPUTED_VALUE"""),"Science!")</f>
        <v>Science!</v>
      </c>
      <c r="B2174" s="78" t="str">
        <f>IFERROR(__xludf.DUMMYFUNCTION("""COMPUTED_VALUE"""),"Creative Energy")</f>
        <v>Creative Energy</v>
      </c>
      <c r="C2174" s="79">
        <f>IFERROR(__xludf.DUMMYFUNCTION("""COMPUTED_VALUE"""),0.0)</f>
        <v>0</v>
      </c>
      <c r="D2174" s="79">
        <f>IFERROR(__xludf.DUMMYFUNCTION("""COMPUTED_VALUE"""),0.0)</f>
        <v>0</v>
      </c>
      <c r="E2174" s="69" t="b">
        <f>IFERROR(__xludf.DUMMYFUNCTION("""COMPUTED_VALUE"""),TRUE)</f>
        <v>1</v>
      </c>
    </row>
    <row r="2175" hidden="1">
      <c r="A2175" s="78" t="str">
        <f>IFERROR(__xludf.DUMMYFUNCTION("""COMPUTED_VALUE"""),"Science!")</f>
        <v>Science!</v>
      </c>
      <c r="B2175" s="78" t="str">
        <f>IFERROR(__xludf.DUMMYFUNCTION("""COMPUTED_VALUE"""),"Dance of the Elements")</f>
        <v>Dance of the Elements</v>
      </c>
      <c r="C2175" s="79">
        <f>IFERROR(__xludf.DUMMYFUNCTION("""COMPUTED_VALUE"""),0.0)</f>
        <v>0</v>
      </c>
      <c r="D2175" s="79">
        <f>IFERROR(__xludf.DUMMYFUNCTION("""COMPUTED_VALUE"""),0.0)</f>
        <v>0</v>
      </c>
      <c r="E2175" s="69" t="b">
        <f>IFERROR(__xludf.DUMMYFUNCTION("""COMPUTED_VALUE"""),TRUE)</f>
        <v>1</v>
      </c>
    </row>
    <row r="2176" hidden="1">
      <c r="A2176" s="78" t="str">
        <f>IFERROR(__xludf.DUMMYFUNCTION("""COMPUTED_VALUE"""),"Science!")</f>
        <v>Science!</v>
      </c>
      <c r="B2176" s="78" t="str">
        <f>IFERROR(__xludf.DUMMYFUNCTION("""COMPUTED_VALUE"""),"Deep Clue Sea")</f>
        <v>Deep Clue Sea</v>
      </c>
      <c r="C2176" s="79">
        <f>IFERROR(__xludf.DUMMYFUNCTION("""COMPUTED_VALUE"""),0.0)</f>
        <v>0</v>
      </c>
      <c r="D2176" s="79">
        <f>IFERROR(__xludf.DUMMYFUNCTION("""COMPUTED_VALUE"""),0.0)</f>
        <v>0</v>
      </c>
      <c r="E2176" s="69" t="b">
        <f>IFERROR(__xludf.DUMMYFUNCTION("""COMPUTED_VALUE"""),TRUE)</f>
        <v>1</v>
      </c>
    </row>
    <row r="2177" hidden="1">
      <c r="A2177" s="78" t="str">
        <f>IFERROR(__xludf.DUMMYFUNCTION("""COMPUTED_VALUE"""),"Science!")</f>
        <v>Science!</v>
      </c>
      <c r="B2177" s="78" t="str">
        <f>IFERROR(__xludf.DUMMYFUNCTION("""COMPUTED_VALUE"""),"Doom Prevails")</f>
        <v>Doom Prevails</v>
      </c>
      <c r="C2177" s="79">
        <f>IFERROR(__xludf.DUMMYFUNCTION("""COMPUTED_VALUE"""),0.0)</f>
        <v>0</v>
      </c>
      <c r="D2177" s="79">
        <f>IFERROR(__xludf.DUMMYFUNCTION("""COMPUTED_VALUE"""),0.0)</f>
        <v>0</v>
      </c>
      <c r="E2177" s="69" t="b">
        <f>IFERROR(__xludf.DUMMYFUNCTION("""COMPUTED_VALUE"""),TRUE)</f>
        <v>1</v>
      </c>
    </row>
    <row r="2178" hidden="1">
      <c r="A2178" s="78" t="str">
        <f>IFERROR(__xludf.DUMMYFUNCTION("""COMPUTED_VALUE"""),"Science!")</f>
        <v>Science!</v>
      </c>
      <c r="B2178" s="78" t="str">
        <f>IFERROR(__xludf.DUMMYFUNCTION("""COMPUTED_VALUE"""),"Eldrazi Incursion")</f>
        <v>Eldrazi Incursion</v>
      </c>
      <c r="C2178" s="79">
        <f>IFERROR(__xludf.DUMMYFUNCTION("""COMPUTED_VALUE"""),0.0)</f>
        <v>0</v>
      </c>
      <c r="D2178" s="79">
        <f>IFERROR(__xludf.DUMMYFUNCTION("""COMPUTED_VALUE"""),0.0)</f>
        <v>0</v>
      </c>
      <c r="E2178" s="69" t="b">
        <f>IFERROR(__xludf.DUMMYFUNCTION("""COMPUTED_VALUE"""),TRUE)</f>
        <v>1</v>
      </c>
    </row>
    <row r="2179" hidden="1">
      <c r="A2179" s="78" t="str">
        <f>IFERROR(__xludf.DUMMYFUNCTION("""COMPUTED_VALUE"""),"Science!")</f>
        <v>Science!</v>
      </c>
      <c r="B2179" s="78" t="str">
        <f>IFERROR(__xludf.DUMMYFUNCTION("""COMPUTED_VALUE"""),"Eldrazi Unbound")</f>
        <v>Eldrazi Unbound</v>
      </c>
      <c r="C2179" s="79">
        <f>IFERROR(__xludf.DUMMYFUNCTION("""COMPUTED_VALUE"""),0.0)</f>
        <v>0</v>
      </c>
      <c r="D2179" s="79">
        <f>IFERROR(__xludf.DUMMYFUNCTION("""COMPUTED_VALUE"""),0.0)</f>
        <v>0</v>
      </c>
      <c r="E2179" s="69" t="b">
        <f>IFERROR(__xludf.DUMMYFUNCTION("""COMPUTED_VALUE"""),TRUE)</f>
        <v>1</v>
      </c>
    </row>
    <row r="2180" hidden="1">
      <c r="A2180" s="78" t="str">
        <f>IFERROR(__xludf.DUMMYFUNCTION("""COMPUTED_VALUE"""),"Science!")</f>
        <v>Science!</v>
      </c>
      <c r="B2180" s="78" t="str">
        <f>IFERROR(__xludf.DUMMYFUNCTION("""COMPUTED_VALUE"""),"Endless Punishment")</f>
        <v>Endless Punishment</v>
      </c>
      <c r="C2180" s="79">
        <f>IFERROR(__xludf.DUMMYFUNCTION("""COMPUTED_VALUE"""),0.0)</f>
        <v>0</v>
      </c>
      <c r="D2180" s="79">
        <f>IFERROR(__xludf.DUMMYFUNCTION("""COMPUTED_VALUE"""),0.0)</f>
        <v>0</v>
      </c>
      <c r="E2180" s="69" t="b">
        <f>IFERROR(__xludf.DUMMYFUNCTION("""COMPUTED_VALUE"""),TRUE)</f>
        <v>1</v>
      </c>
    </row>
    <row r="2181" hidden="1">
      <c r="A2181" s="78" t="str">
        <f>IFERROR(__xludf.DUMMYFUNCTION("""COMPUTED_VALUE"""),"Science!")</f>
        <v>Science!</v>
      </c>
      <c r="B2181" s="78" t="str">
        <f>IFERROR(__xludf.DUMMYFUNCTION("""COMPUTED_VALUE"""),"Enduring Enchantments")</f>
        <v>Enduring Enchantments</v>
      </c>
      <c r="C2181" s="79">
        <f>IFERROR(__xludf.DUMMYFUNCTION("""COMPUTED_VALUE"""),0.0)</f>
        <v>0</v>
      </c>
      <c r="D2181" s="79">
        <f>IFERROR(__xludf.DUMMYFUNCTION("""COMPUTED_VALUE"""),0.0)</f>
        <v>0</v>
      </c>
      <c r="E2181" s="69" t="b">
        <f>IFERROR(__xludf.DUMMYFUNCTION("""COMPUTED_VALUE"""),TRUE)</f>
        <v>1</v>
      </c>
    </row>
    <row r="2182" hidden="1">
      <c r="A2182" s="78" t="str">
        <f>IFERROR(__xludf.DUMMYFUNCTION("""COMPUTED_VALUE"""),"Science!")</f>
        <v>Science!</v>
      </c>
      <c r="B2182" s="78" t="str">
        <f>IFERROR(__xludf.DUMMYFUNCTION("""COMPUTED_VALUE"""),"Explorers of the Deep")</f>
        <v>Explorers of the Deep</v>
      </c>
      <c r="C2182" s="79">
        <f>IFERROR(__xludf.DUMMYFUNCTION("""COMPUTED_VALUE"""),0.0)</f>
        <v>0</v>
      </c>
      <c r="D2182" s="79">
        <f>IFERROR(__xludf.DUMMYFUNCTION("""COMPUTED_VALUE"""),0.0)</f>
        <v>0</v>
      </c>
      <c r="E2182" s="69" t="b">
        <f>IFERROR(__xludf.DUMMYFUNCTION("""COMPUTED_VALUE"""),TRUE)</f>
        <v>1</v>
      </c>
    </row>
    <row r="2183" hidden="1">
      <c r="A2183" s="78" t="str">
        <f>IFERROR(__xludf.DUMMYFUNCTION("""COMPUTED_VALUE"""),"Science!")</f>
        <v>Science!</v>
      </c>
      <c r="B2183" s="78" t="str">
        <f>IFERROR(__xludf.DUMMYFUNCTION("""COMPUTED_VALUE"""),"Family Matters")</f>
        <v>Family Matters</v>
      </c>
      <c r="C2183" s="79">
        <f>IFERROR(__xludf.DUMMYFUNCTION("""COMPUTED_VALUE"""),0.0)</f>
        <v>0</v>
      </c>
      <c r="D2183" s="79">
        <f>IFERROR(__xludf.DUMMYFUNCTION("""COMPUTED_VALUE"""),0.0)</f>
        <v>0</v>
      </c>
      <c r="E2183" s="69" t="b">
        <f>IFERROR(__xludf.DUMMYFUNCTION("""COMPUTED_VALUE"""),TRUE)</f>
        <v>1</v>
      </c>
    </row>
    <row r="2184" hidden="1">
      <c r="A2184" s="78" t="str">
        <f>IFERROR(__xludf.DUMMYFUNCTION("""COMPUTED_VALUE"""),"Science!")</f>
        <v>Science!</v>
      </c>
      <c r="B2184" s="78" t="str">
        <f>IFERROR(__xludf.DUMMYFUNCTION("""COMPUTED_VALUE"""),"Food and Fellowship")</f>
        <v>Food and Fellowship</v>
      </c>
      <c r="C2184" s="79">
        <f>IFERROR(__xludf.DUMMYFUNCTION("""COMPUTED_VALUE"""),0.0)</f>
        <v>0</v>
      </c>
      <c r="D2184" s="79">
        <f>IFERROR(__xludf.DUMMYFUNCTION("""COMPUTED_VALUE"""),0.0)</f>
        <v>0</v>
      </c>
      <c r="E2184" s="69" t="b">
        <f>IFERROR(__xludf.DUMMYFUNCTION("""COMPUTED_VALUE"""),TRUE)</f>
        <v>1</v>
      </c>
    </row>
    <row r="2185">
      <c r="A2185" s="78" t="str">
        <f>IFERROR(__xludf.DUMMYFUNCTION("""COMPUTED_VALUE"""),"Science!")</f>
        <v>Science!</v>
      </c>
      <c r="B2185" s="78" t="str">
        <f>IFERROR(__xludf.DUMMYFUNCTION("""COMPUTED_VALUE"""),"Jeskai Striker")</f>
        <v>Jeskai Striker</v>
      </c>
      <c r="C2185" s="79">
        <f>IFERROR(__xludf.DUMMYFUNCTION("""COMPUTED_VALUE"""),0.0)</f>
        <v>0</v>
      </c>
      <c r="D2185" s="79">
        <f>IFERROR(__xludf.DUMMYFUNCTION("""COMPUTED_VALUE"""),0.0)</f>
        <v>0</v>
      </c>
      <c r="E2185" s="69" t="b">
        <f>IFERROR(__xludf.DUMMYFUNCTION("""COMPUTED_VALUE"""),TRUE)</f>
        <v>1</v>
      </c>
    </row>
    <row r="2186" hidden="1">
      <c r="A2186" s="78" t="str">
        <f>IFERROR(__xludf.DUMMYFUNCTION("""COMPUTED_VALUE"""),"Science!")</f>
        <v>Science!</v>
      </c>
      <c r="B2186" s="78" t="str">
        <f>IFERROR(__xludf.DUMMYFUNCTION("""COMPUTED_VALUE"""),"Legends' Legacy")</f>
        <v>Legends' Legacy</v>
      </c>
      <c r="C2186" s="79">
        <f>IFERROR(__xludf.DUMMYFUNCTION("""COMPUTED_VALUE"""),0.0)</f>
        <v>0</v>
      </c>
      <c r="D2186" s="79">
        <f>IFERROR(__xludf.DUMMYFUNCTION("""COMPUTED_VALUE"""),0.0)</f>
        <v>0</v>
      </c>
      <c r="E2186" s="69" t="b">
        <f>IFERROR(__xludf.DUMMYFUNCTION("""COMPUTED_VALUE"""),TRUE)</f>
        <v>1</v>
      </c>
    </row>
    <row r="2187" hidden="1">
      <c r="A2187" s="78" t="str">
        <f>IFERROR(__xludf.DUMMYFUNCTION("""COMPUTED_VALUE"""),"Science!")</f>
        <v>Science!</v>
      </c>
      <c r="B2187" s="78" t="str">
        <f>IFERROR(__xludf.DUMMYFUNCTION("""COMPUTED_VALUE"""),"Limit Break")</f>
        <v>Limit Break</v>
      </c>
      <c r="C2187" s="79">
        <f>IFERROR(__xludf.DUMMYFUNCTION("""COMPUTED_VALUE"""),0.0)</f>
        <v>0</v>
      </c>
      <c r="D2187" s="79">
        <f>IFERROR(__xludf.DUMMYFUNCTION("""COMPUTED_VALUE"""),0.0)</f>
        <v>0</v>
      </c>
      <c r="E2187" s="69" t="b">
        <f>IFERROR(__xludf.DUMMYFUNCTION("""COMPUTED_VALUE"""),TRUE)</f>
        <v>1</v>
      </c>
    </row>
    <row r="2188" hidden="1">
      <c r="A2188" s="78" t="str">
        <f>IFERROR(__xludf.DUMMYFUNCTION("""COMPUTED_VALUE"""),"Science!")</f>
        <v>Science!</v>
      </c>
      <c r="B2188" s="78" t="str">
        <f>IFERROR(__xludf.DUMMYFUNCTION("""COMPUTED_VALUE"""),"Lorehold Spirit")</f>
        <v>Lorehold Spirit</v>
      </c>
      <c r="C2188" s="79">
        <f>IFERROR(__xludf.DUMMYFUNCTION("""COMPUTED_VALUE"""),0.0)</f>
        <v>0</v>
      </c>
      <c r="D2188" s="79">
        <f>IFERROR(__xludf.DUMMYFUNCTION("""COMPUTED_VALUE"""),0.0)</f>
        <v>0</v>
      </c>
      <c r="E2188" s="69" t="b">
        <f>IFERROR(__xludf.DUMMYFUNCTION("""COMPUTED_VALUE"""),TRUE)</f>
        <v>1</v>
      </c>
    </row>
    <row r="2189" hidden="1">
      <c r="A2189" s="78" t="str">
        <f>IFERROR(__xludf.DUMMYFUNCTION("""COMPUTED_VALUE"""),"Science!")</f>
        <v>Science!</v>
      </c>
      <c r="B2189" s="78" t="str">
        <f>IFERROR(__xludf.DUMMYFUNCTION("""COMPUTED_VALUE"""),"Mutant Menace")</f>
        <v>Mutant Menace</v>
      </c>
      <c r="C2189" s="79">
        <f>IFERROR(__xludf.DUMMYFUNCTION("""COMPUTED_VALUE"""),0.0)</f>
        <v>0</v>
      </c>
      <c r="D2189" s="79">
        <f>IFERROR(__xludf.DUMMYFUNCTION("""COMPUTED_VALUE"""),0.0)</f>
        <v>0</v>
      </c>
      <c r="E2189" s="69" t="b">
        <f>IFERROR(__xludf.DUMMYFUNCTION("""COMPUTED_VALUE"""),TRUE)</f>
        <v>1</v>
      </c>
    </row>
    <row r="2190" hidden="1">
      <c r="A2190" s="78" t="str">
        <f>IFERROR(__xludf.DUMMYFUNCTION("""COMPUTED_VALUE"""),"Science!")</f>
        <v>Science!</v>
      </c>
      <c r="B2190" s="78" t="str">
        <f>IFERROR(__xludf.DUMMYFUNCTION("""COMPUTED_VALUE"""),"Party Time")</f>
        <v>Party Time</v>
      </c>
      <c r="C2190" s="79">
        <f>IFERROR(__xludf.DUMMYFUNCTION("""COMPUTED_VALUE"""),0.0)</f>
        <v>0</v>
      </c>
      <c r="D2190" s="79">
        <f>IFERROR(__xludf.DUMMYFUNCTION("""COMPUTED_VALUE"""),0.0)</f>
        <v>0</v>
      </c>
      <c r="E2190" s="69" t="b">
        <f>IFERROR(__xludf.DUMMYFUNCTION("""COMPUTED_VALUE"""),TRUE)</f>
        <v>1</v>
      </c>
    </row>
    <row r="2191" hidden="1">
      <c r="A2191" s="78" t="str">
        <f>IFERROR(__xludf.DUMMYFUNCTION("""COMPUTED_VALUE"""),"Science!")</f>
        <v>Science!</v>
      </c>
      <c r="B2191" s="78" t="str">
        <f>IFERROR(__xludf.DUMMYFUNCTION("""COMPUTED_VALUE"""),"Peace Offering")</f>
        <v>Peace Offering</v>
      </c>
      <c r="C2191" s="79">
        <f>IFERROR(__xludf.DUMMYFUNCTION("""COMPUTED_VALUE"""),0.0)</f>
        <v>0</v>
      </c>
      <c r="D2191" s="79">
        <f>IFERROR(__xludf.DUMMYFUNCTION("""COMPUTED_VALUE"""),0.0)</f>
        <v>0</v>
      </c>
      <c r="E2191" s="69" t="b">
        <f>IFERROR(__xludf.DUMMYFUNCTION("""COMPUTED_VALUE"""),TRUE)</f>
        <v>1</v>
      </c>
    </row>
    <row r="2192" hidden="1">
      <c r="A2192" s="78" t="str">
        <f>IFERROR(__xludf.DUMMYFUNCTION("""COMPUTED_VALUE"""),"Science!")</f>
        <v>Science!</v>
      </c>
      <c r="B2192" s="78" t="str">
        <f>IFERROR(__xludf.DUMMYFUNCTION("""COMPUTED_VALUE"""),"Power Hungry")</f>
        <v>Power Hungry</v>
      </c>
      <c r="C2192" s="79">
        <f>IFERROR(__xludf.DUMMYFUNCTION("""COMPUTED_VALUE"""),0.0)</f>
        <v>0</v>
      </c>
      <c r="D2192" s="79">
        <f>IFERROR(__xludf.DUMMYFUNCTION("""COMPUTED_VALUE"""),0.0)</f>
        <v>0</v>
      </c>
      <c r="E2192" s="69" t="b">
        <f>IFERROR(__xludf.DUMMYFUNCTION("""COMPUTED_VALUE"""),TRUE)</f>
        <v>1</v>
      </c>
    </row>
    <row r="2193" hidden="1">
      <c r="A2193" s="78" t="str">
        <f>IFERROR(__xludf.DUMMYFUNCTION("""COMPUTED_VALUE"""),"Science!")</f>
        <v>Science!</v>
      </c>
      <c r="B2193" s="78" t="str">
        <f>IFERROR(__xludf.DUMMYFUNCTION("""COMPUTED_VALUE"""),"Primal Genesis")</f>
        <v>Primal Genesis</v>
      </c>
      <c r="C2193" s="79">
        <f>IFERROR(__xludf.DUMMYFUNCTION("""COMPUTED_VALUE"""),0.0)</f>
        <v>0</v>
      </c>
      <c r="D2193" s="79">
        <f>IFERROR(__xludf.DUMMYFUNCTION("""COMPUTED_VALUE"""),0.0)</f>
        <v>0</v>
      </c>
      <c r="E2193" s="69" t="b">
        <f>IFERROR(__xludf.DUMMYFUNCTION("""COMPUTED_VALUE"""),TRUE)</f>
        <v>1</v>
      </c>
    </row>
    <row r="2194" hidden="1">
      <c r="A2194" s="78" t="str">
        <f>IFERROR(__xludf.DUMMYFUNCTION("""COMPUTED_VALUE"""),"Science!")</f>
        <v>Science!</v>
      </c>
      <c r="B2194" s="78" t="str">
        <f>IFERROR(__xludf.DUMMYFUNCTION("""COMPUTED_VALUE"""),"Prismari Artistry")</f>
        <v>Prismari Artistry</v>
      </c>
      <c r="C2194" s="79">
        <f>IFERROR(__xludf.DUMMYFUNCTION("""COMPUTED_VALUE"""),0.0)</f>
        <v>0</v>
      </c>
      <c r="D2194" s="79">
        <f>IFERROR(__xludf.DUMMYFUNCTION("""COMPUTED_VALUE"""),0.0)</f>
        <v>0</v>
      </c>
      <c r="E2194" s="69" t="b">
        <f>IFERROR(__xludf.DUMMYFUNCTION("""COMPUTED_VALUE"""),TRUE)</f>
        <v>1</v>
      </c>
    </row>
    <row r="2195" hidden="1">
      <c r="A2195" s="78" t="str">
        <f>IFERROR(__xludf.DUMMYFUNCTION("""COMPUTED_VALUE"""),"Science!")</f>
        <v>Science!</v>
      </c>
      <c r="B2195" s="78" t="str">
        <f>IFERROR(__xludf.DUMMYFUNCTION("""COMPUTED_VALUE"""),"Prismari Performance")</f>
        <v>Prismari Performance</v>
      </c>
      <c r="C2195" s="79">
        <f>IFERROR(__xludf.DUMMYFUNCTION("""COMPUTED_VALUE"""),0.0)</f>
        <v>0</v>
      </c>
      <c r="D2195" s="79">
        <f>IFERROR(__xludf.DUMMYFUNCTION("""COMPUTED_VALUE"""),0.0)</f>
        <v>0</v>
      </c>
      <c r="E2195" s="69" t="b">
        <f>IFERROR(__xludf.DUMMYFUNCTION("""COMPUTED_VALUE"""),TRUE)</f>
        <v>1</v>
      </c>
    </row>
    <row r="2196" hidden="1">
      <c r="A2196" s="78" t="str">
        <f>IFERROR(__xludf.DUMMYFUNCTION("""COMPUTED_VALUE"""),"Science!")</f>
        <v>Science!</v>
      </c>
      <c r="B2196" s="78" t="str">
        <f>IFERROR(__xludf.DUMMYFUNCTION("""COMPUTED_VALUE"""),"Quandrix Unlimited")</f>
        <v>Quandrix Unlimited</v>
      </c>
      <c r="C2196" s="79">
        <f>IFERROR(__xludf.DUMMYFUNCTION("""COMPUTED_VALUE"""),0.0)</f>
        <v>0</v>
      </c>
      <c r="D2196" s="79">
        <f>IFERROR(__xludf.DUMMYFUNCTION("""COMPUTED_VALUE"""),0.0)</f>
        <v>0</v>
      </c>
      <c r="E2196" s="69" t="b">
        <f>IFERROR(__xludf.DUMMYFUNCTION("""COMPUTED_VALUE"""),TRUE)</f>
        <v>1</v>
      </c>
    </row>
    <row r="2197" hidden="1">
      <c r="A2197" s="78" t="str">
        <f>IFERROR(__xludf.DUMMYFUNCTION("""COMPUTED_VALUE"""),"Science!")</f>
        <v>Science!</v>
      </c>
      <c r="B2197" s="78" t="str">
        <f>IFERROR(__xludf.DUMMYFUNCTION("""COMPUTED_VALUE"""),"Quick Draw")</f>
        <v>Quick Draw</v>
      </c>
      <c r="C2197" s="79">
        <f>IFERROR(__xludf.DUMMYFUNCTION("""COMPUTED_VALUE"""),0.0)</f>
        <v>0</v>
      </c>
      <c r="D2197" s="79">
        <f>IFERROR(__xludf.DUMMYFUNCTION("""COMPUTED_VALUE"""),1.0)</f>
        <v>1</v>
      </c>
      <c r="E2197" s="69" t="b">
        <f>IFERROR(__xludf.DUMMYFUNCTION("""COMPUTED_VALUE"""),FALSE)</f>
        <v>0</v>
      </c>
    </row>
    <row r="2198">
      <c r="A2198" s="78" t="str">
        <f>IFERROR(__xludf.DUMMYFUNCTION("""COMPUTED_VALUE"""),"Science!")</f>
        <v>Science!</v>
      </c>
      <c r="B2198" s="78" t="str">
        <f>IFERROR(__xludf.DUMMYFUNCTION("""COMPUTED_VALUE"""),"Reap the Tides")</f>
        <v>Reap the Tides</v>
      </c>
      <c r="C2198" s="79">
        <f>IFERROR(__xludf.DUMMYFUNCTION("""COMPUTED_VALUE"""),0.0)</f>
        <v>0</v>
      </c>
      <c r="D2198" s="79">
        <f>IFERROR(__xludf.DUMMYFUNCTION("""COMPUTED_VALUE"""),0.0)</f>
        <v>0</v>
      </c>
      <c r="E2198" s="69" t="b">
        <f>IFERROR(__xludf.DUMMYFUNCTION("""COMPUTED_VALUE"""),TRUE)</f>
        <v>1</v>
      </c>
    </row>
    <row r="2199" hidden="1">
      <c r="A2199" s="78" t="str">
        <f>IFERROR(__xludf.DUMMYFUNCTION("""COMPUTED_VALUE"""),"Science!")</f>
        <v>Science!</v>
      </c>
      <c r="B2199" s="78" t="str">
        <f>IFERROR(__xludf.DUMMYFUNCTION("""COMPUTED_VALUE"""),"Rebellion Rising")</f>
        <v>Rebellion Rising</v>
      </c>
      <c r="C2199" s="79">
        <f>IFERROR(__xludf.DUMMYFUNCTION("""COMPUTED_VALUE"""),0.0)</f>
        <v>0</v>
      </c>
      <c r="D2199" s="79">
        <f>IFERROR(__xludf.DUMMYFUNCTION("""COMPUTED_VALUE"""),0.0)</f>
        <v>0</v>
      </c>
      <c r="E2199" s="69" t="b">
        <f>IFERROR(__xludf.DUMMYFUNCTION("""COMPUTED_VALUE"""),TRUE)</f>
        <v>1</v>
      </c>
    </row>
    <row r="2200">
      <c r="A2200" s="78" t="str">
        <f>IFERROR(__xludf.DUMMYFUNCTION("""COMPUTED_VALUE"""),"Science!")</f>
        <v>Science!</v>
      </c>
      <c r="B2200" s="78" t="str">
        <f>IFERROR(__xludf.DUMMYFUNCTION("""COMPUTED_VALUE"""),"Revival Trance")</f>
        <v>Revival Trance</v>
      </c>
      <c r="C2200" s="79">
        <f>IFERROR(__xludf.DUMMYFUNCTION("""COMPUTED_VALUE"""),0.0)</f>
        <v>0</v>
      </c>
      <c r="D2200" s="79">
        <f>IFERROR(__xludf.DUMMYFUNCTION("""COMPUTED_VALUE"""),0.0)</f>
        <v>0</v>
      </c>
      <c r="E2200" s="69" t="b">
        <f>IFERROR(__xludf.DUMMYFUNCTION("""COMPUTED_VALUE"""),TRUE)</f>
        <v>1</v>
      </c>
    </row>
    <row r="2201" hidden="1">
      <c r="A2201" s="78" t="str">
        <f>IFERROR(__xludf.DUMMYFUNCTION("""COMPUTED_VALUE"""),"Science!")</f>
        <v>Science!</v>
      </c>
      <c r="B2201" s="78" t="str">
        <f>IFERROR(__xludf.DUMMYFUNCTION("""COMPUTED_VALUE"""),"Riders of Rohan")</f>
        <v>Riders of Rohan</v>
      </c>
      <c r="C2201" s="79">
        <f>IFERROR(__xludf.DUMMYFUNCTION("""COMPUTED_VALUE"""),0.0)</f>
        <v>0</v>
      </c>
      <c r="D2201" s="79">
        <f>IFERROR(__xludf.DUMMYFUNCTION("""COMPUTED_VALUE"""),0.0)</f>
        <v>0</v>
      </c>
      <c r="E2201" s="69" t="b">
        <f>IFERROR(__xludf.DUMMYFUNCTION("""COMPUTED_VALUE"""),TRUE)</f>
        <v>1</v>
      </c>
    </row>
    <row r="2202" hidden="1">
      <c r="A2202" s="78" t="str">
        <f>IFERROR(__xludf.DUMMYFUNCTION("""COMPUTED_VALUE"""),"Science!")</f>
        <v>Science!</v>
      </c>
      <c r="B2202" s="78" t="str">
        <f>IFERROR(__xludf.DUMMYFUNCTION("""COMPUTED_VALUE"""),"Science!")</f>
        <v>Science!</v>
      </c>
      <c r="C2202" s="79">
        <f>IFERROR(__xludf.DUMMYFUNCTION("""COMPUTED_VALUE"""),0.0)</f>
        <v>0</v>
      </c>
      <c r="D2202" s="79">
        <f>IFERROR(__xludf.DUMMYFUNCTION("""COMPUTED_VALUE"""),0.0)</f>
        <v>0</v>
      </c>
      <c r="E2202" s="69" t="b">
        <f>IFERROR(__xludf.DUMMYFUNCTION("""COMPUTED_VALUE"""),TRUE)</f>
        <v>1</v>
      </c>
    </row>
    <row r="2203" hidden="1">
      <c r="A2203" s="78" t="str">
        <f>IFERROR(__xludf.DUMMYFUNCTION("""COMPUTED_VALUE"""),"Science!")</f>
        <v>Science!</v>
      </c>
      <c r="B2203" s="78" t="str">
        <f>IFERROR(__xludf.DUMMYFUNCTION("""COMPUTED_VALUE"""),"Scions &amp; Spellcraft")</f>
        <v>Scions &amp; Spellcraft</v>
      </c>
      <c r="C2203" s="79">
        <f>IFERROR(__xludf.DUMMYFUNCTION("""COMPUTED_VALUE"""),0.0)</f>
        <v>0</v>
      </c>
      <c r="D2203" s="79">
        <f>IFERROR(__xludf.DUMMYFUNCTION("""COMPUTED_VALUE"""),0.0)</f>
        <v>0</v>
      </c>
      <c r="E2203" s="69" t="b">
        <f>IFERROR(__xludf.DUMMYFUNCTION("""COMPUTED_VALUE"""),TRUE)</f>
        <v>1</v>
      </c>
    </row>
    <row r="2204" hidden="1">
      <c r="A2204" s="78" t="str">
        <f>IFERROR(__xludf.DUMMYFUNCTION("""COMPUTED_VALUE"""),"Science!")</f>
        <v>Science!</v>
      </c>
      <c r="B2204" s="78" t="str">
        <f>IFERROR(__xludf.DUMMYFUNCTION("""COMPUTED_VALUE"""),"Scrappy Survivors")</f>
        <v>Scrappy Survivors</v>
      </c>
      <c r="C2204" s="79">
        <f>IFERROR(__xludf.DUMMYFUNCTION("""COMPUTED_VALUE"""),0.0)</f>
        <v>0</v>
      </c>
      <c r="D2204" s="79">
        <f>IFERROR(__xludf.DUMMYFUNCTION("""COMPUTED_VALUE"""),1.0)</f>
        <v>1</v>
      </c>
      <c r="E2204" s="69" t="b">
        <f>IFERROR(__xludf.DUMMYFUNCTION("""COMPUTED_VALUE"""),FALSE)</f>
        <v>0</v>
      </c>
    </row>
    <row r="2205" hidden="1">
      <c r="A2205" s="78" t="str">
        <f>IFERROR(__xludf.DUMMYFUNCTION("""COMPUTED_VALUE"""),"Science!")</f>
        <v>Science!</v>
      </c>
      <c r="B2205" s="78" t="str">
        <f>IFERROR(__xludf.DUMMYFUNCTION("""COMPUTED_VALUE"""),"Silverquill Influence")</f>
        <v>Silverquill Influence</v>
      </c>
      <c r="C2205" s="79">
        <f>IFERROR(__xludf.DUMMYFUNCTION("""COMPUTED_VALUE"""),0.0)</f>
        <v>0</v>
      </c>
      <c r="D2205" s="79">
        <f>IFERROR(__xludf.DUMMYFUNCTION("""COMPUTED_VALUE"""),0.0)</f>
        <v>0</v>
      </c>
      <c r="E2205" s="69" t="b">
        <f>IFERROR(__xludf.DUMMYFUNCTION("""COMPUTED_VALUE"""),TRUE)</f>
        <v>1</v>
      </c>
    </row>
    <row r="2206">
      <c r="A2206" s="78" t="str">
        <f>IFERROR(__xludf.DUMMYFUNCTION("""COMPUTED_VALUE"""),"Science!")</f>
        <v>Science!</v>
      </c>
      <c r="B2206" s="78" t="str">
        <f>IFERROR(__xludf.DUMMYFUNCTION("""COMPUTED_VALUE"""),"Spirit Squadron")</f>
        <v>Spirit Squadron</v>
      </c>
      <c r="C2206" s="79">
        <f>IFERROR(__xludf.DUMMYFUNCTION("""COMPUTED_VALUE"""),0.0)</f>
        <v>0</v>
      </c>
      <c r="D2206" s="79">
        <f>IFERROR(__xludf.DUMMYFUNCTION("""COMPUTED_VALUE"""),0.0)</f>
        <v>0</v>
      </c>
      <c r="E2206" s="69" t="b">
        <f>IFERROR(__xludf.DUMMYFUNCTION("""COMPUTED_VALUE"""),TRUE)</f>
        <v>1</v>
      </c>
    </row>
    <row r="2207" hidden="1">
      <c r="A2207" s="78" t="str">
        <f>IFERROR(__xludf.DUMMYFUNCTION("""COMPUTED_VALUE"""),"Science!")</f>
        <v>Science!</v>
      </c>
      <c r="B2207" s="78" t="str">
        <f>IFERROR(__xludf.DUMMYFUNCTION("""COMPUTED_VALUE"""),"Squirreled Away")</f>
        <v>Squirreled Away</v>
      </c>
      <c r="C2207" s="79">
        <f>IFERROR(__xludf.DUMMYFUNCTION("""COMPUTED_VALUE"""),0.0)</f>
        <v>0</v>
      </c>
      <c r="D2207" s="79">
        <f>IFERROR(__xludf.DUMMYFUNCTION("""COMPUTED_VALUE"""),0.0)</f>
        <v>0</v>
      </c>
      <c r="E2207" s="69" t="b">
        <f>IFERROR(__xludf.DUMMYFUNCTION("""COMPUTED_VALUE"""),TRUE)</f>
        <v>1</v>
      </c>
    </row>
    <row r="2208" hidden="1">
      <c r="A2208" s="78" t="str">
        <f>IFERROR(__xludf.DUMMYFUNCTION("""COMPUTED_VALUE"""),"Science!")</f>
        <v>Science!</v>
      </c>
      <c r="B2208" s="78" t="str">
        <f>IFERROR(__xludf.DUMMYFUNCTION("""COMPUTED_VALUE"""),"Sultai Arisen")</f>
        <v>Sultai Arisen</v>
      </c>
      <c r="C2208" s="79">
        <f>IFERROR(__xludf.DUMMYFUNCTION("""COMPUTED_VALUE"""),0.0)</f>
        <v>0</v>
      </c>
      <c r="D2208" s="79">
        <f>IFERROR(__xludf.DUMMYFUNCTION("""COMPUTED_VALUE"""),0.0)</f>
        <v>0</v>
      </c>
      <c r="E2208" s="69" t="b">
        <f>IFERROR(__xludf.DUMMYFUNCTION("""COMPUTED_VALUE"""),TRUE)</f>
        <v>1</v>
      </c>
    </row>
    <row r="2209" hidden="1">
      <c r="A2209" s="78" t="str">
        <f>IFERROR(__xludf.DUMMYFUNCTION("""COMPUTED_VALUE"""),"Science!")</f>
        <v>Science!</v>
      </c>
      <c r="B2209" s="78" t="str">
        <f>IFERROR(__xludf.DUMMYFUNCTION("""COMPUTED_VALUE"""),"Temur Roar")</f>
        <v>Temur Roar</v>
      </c>
      <c r="C2209" s="79">
        <f>IFERROR(__xludf.DUMMYFUNCTION("""COMPUTED_VALUE"""),0.0)</f>
        <v>0</v>
      </c>
      <c r="D2209" s="79">
        <f>IFERROR(__xludf.DUMMYFUNCTION("""COMPUTED_VALUE"""),0.0)</f>
        <v>0</v>
      </c>
      <c r="E2209" s="69" t="b">
        <f>IFERROR(__xludf.DUMMYFUNCTION("""COMPUTED_VALUE"""),TRUE)</f>
        <v>1</v>
      </c>
    </row>
    <row r="2210" hidden="1">
      <c r="A2210" s="78" t="str">
        <f>IFERROR(__xludf.DUMMYFUNCTION("""COMPUTED_VALUE"""),"Science!")</f>
        <v>Science!</v>
      </c>
      <c r="B2210" s="78" t="str">
        <f>IFERROR(__xludf.DUMMYFUNCTION("""COMPUTED_VALUE"""),"The Hosts of Mordor")</f>
        <v>The Hosts of Mordor</v>
      </c>
      <c r="C2210" s="79">
        <f>IFERROR(__xludf.DUMMYFUNCTION("""COMPUTED_VALUE"""),0.0)</f>
        <v>0</v>
      </c>
      <c r="D2210" s="79">
        <f>IFERROR(__xludf.DUMMYFUNCTION("""COMPUTED_VALUE"""),0.0)</f>
        <v>0</v>
      </c>
      <c r="E2210" s="69" t="b">
        <f>IFERROR(__xludf.DUMMYFUNCTION("""COMPUTED_VALUE"""),TRUE)</f>
        <v>1</v>
      </c>
    </row>
    <row r="2211" hidden="1">
      <c r="A2211" s="78" t="str">
        <f>IFERROR(__xludf.DUMMYFUNCTION("""COMPUTED_VALUE"""),"Science!")</f>
        <v>Science!</v>
      </c>
      <c r="B2211" s="78" t="str">
        <f>IFERROR(__xludf.DUMMYFUNCTION("""COMPUTED_VALUE"""),"The Ruinous Powers")</f>
        <v>The Ruinous Powers</v>
      </c>
      <c r="C2211" s="79">
        <f>IFERROR(__xludf.DUMMYFUNCTION("""COMPUTED_VALUE"""),0.0)</f>
        <v>0</v>
      </c>
      <c r="D2211" s="79">
        <f>IFERROR(__xludf.DUMMYFUNCTION("""COMPUTED_VALUE"""),0.0)</f>
        <v>0</v>
      </c>
      <c r="E2211" s="69" t="b">
        <f>IFERROR(__xludf.DUMMYFUNCTION("""COMPUTED_VALUE"""),TRUE)</f>
        <v>1</v>
      </c>
    </row>
    <row r="2212" hidden="1">
      <c r="A2212" s="78" t="str">
        <f>IFERROR(__xludf.DUMMYFUNCTION("""COMPUTED_VALUE"""),"Science!")</f>
        <v>Science!</v>
      </c>
      <c r="B2212" s="78" t="str">
        <f>IFERROR(__xludf.DUMMYFUNCTION("""COMPUTED_VALUE"""),"Timey-Wimey")</f>
        <v>Timey-Wimey</v>
      </c>
      <c r="C2212" s="79">
        <f>IFERROR(__xludf.DUMMYFUNCTION("""COMPUTED_VALUE"""),0.0)</f>
        <v>0</v>
      </c>
      <c r="D2212" s="79">
        <f>IFERROR(__xludf.DUMMYFUNCTION("""COMPUTED_VALUE"""),0.0)</f>
        <v>0</v>
      </c>
      <c r="E2212" s="69" t="b">
        <f>IFERROR(__xludf.DUMMYFUNCTION("""COMPUTED_VALUE"""),TRUE)</f>
        <v>1</v>
      </c>
    </row>
    <row r="2213" hidden="1">
      <c r="A2213" s="78" t="str">
        <f>IFERROR(__xludf.DUMMYFUNCTION("""COMPUTED_VALUE"""),"Science!")</f>
        <v>Science!</v>
      </c>
      <c r="B2213" s="78" t="str">
        <f>IFERROR(__xludf.DUMMYFUNCTION("""COMPUTED_VALUE"""),"Tinker Time")</f>
        <v>Tinker Time</v>
      </c>
      <c r="C2213" s="79">
        <f>IFERROR(__xludf.DUMMYFUNCTION("""COMPUTED_VALUE"""),0.0)</f>
        <v>0</v>
      </c>
      <c r="D2213" s="79">
        <f>IFERROR(__xludf.DUMMYFUNCTION("""COMPUTED_VALUE"""),0.0)</f>
        <v>0</v>
      </c>
      <c r="E2213" s="69" t="b">
        <f>IFERROR(__xludf.DUMMYFUNCTION("""COMPUTED_VALUE"""),TRUE)</f>
        <v>1</v>
      </c>
    </row>
    <row r="2214" hidden="1">
      <c r="A2214" s="78" t="str">
        <f>IFERROR(__xludf.DUMMYFUNCTION("""COMPUTED_VALUE"""),"Science!")</f>
        <v>Science!</v>
      </c>
      <c r="B2214" s="78" t="str">
        <f>IFERROR(__xludf.DUMMYFUNCTION("""COMPUTED_VALUE"""),"Turtle Power!")</f>
        <v>Turtle Power!</v>
      </c>
      <c r="C2214" s="79">
        <f>IFERROR(__xludf.DUMMYFUNCTION("""COMPUTED_VALUE"""),0.0)</f>
        <v>0</v>
      </c>
      <c r="D2214" s="79">
        <f>IFERROR(__xludf.DUMMYFUNCTION("""COMPUTED_VALUE"""),0.0)</f>
        <v>0</v>
      </c>
      <c r="E2214" s="69" t="b">
        <f>IFERROR(__xludf.DUMMYFUNCTION("""COMPUTED_VALUE"""),TRUE)</f>
        <v>1</v>
      </c>
    </row>
    <row r="2215" hidden="1">
      <c r="A2215" s="78" t="str">
        <f>IFERROR(__xludf.DUMMYFUNCTION("""COMPUTED_VALUE"""),"Science!")</f>
        <v>Science!</v>
      </c>
      <c r="B2215" s="78" t="str">
        <f>IFERROR(__xludf.DUMMYFUNCTION("""COMPUTED_VALUE"""),"Veloci-ramp-tor")</f>
        <v>Veloci-ramp-tor</v>
      </c>
      <c r="C2215" s="79">
        <f>IFERROR(__xludf.DUMMYFUNCTION("""COMPUTED_VALUE"""),0.0)</f>
        <v>0</v>
      </c>
      <c r="D2215" s="79">
        <f>IFERROR(__xludf.DUMMYFUNCTION("""COMPUTED_VALUE"""),0.0)</f>
        <v>0</v>
      </c>
      <c r="E2215" s="69" t="b">
        <f>IFERROR(__xludf.DUMMYFUNCTION("""COMPUTED_VALUE"""),TRUE)</f>
        <v>1</v>
      </c>
    </row>
    <row r="2216" hidden="1">
      <c r="A2216" s="78" t="str">
        <f>IFERROR(__xludf.DUMMYFUNCTION("""COMPUTED_VALUE"""),"Scions &amp; Spellcraft")</f>
        <v>Scions &amp; Spellcraft</v>
      </c>
      <c r="B2216" s="78" t="str">
        <f>IFERROR(__xludf.DUMMYFUNCTION("""COMPUTED_VALUE"""),"Ahoy Mateys")</f>
        <v>Ahoy Mateys</v>
      </c>
      <c r="C2216" s="79">
        <f>IFERROR(__xludf.DUMMYFUNCTION("""COMPUTED_VALUE"""),0.0)</f>
        <v>0</v>
      </c>
      <c r="D2216" s="79">
        <f>IFERROR(__xludf.DUMMYFUNCTION("""COMPUTED_VALUE"""),0.0)</f>
        <v>0</v>
      </c>
      <c r="E2216" s="69" t="b">
        <f>IFERROR(__xludf.DUMMYFUNCTION("""COMPUTED_VALUE"""),TRUE)</f>
        <v>1</v>
      </c>
    </row>
    <row r="2217" hidden="1">
      <c r="A2217" s="78" t="str">
        <f>IFERROR(__xludf.DUMMYFUNCTION("""COMPUTED_VALUE"""),"Scions &amp; Spellcraft")</f>
        <v>Scions &amp; Spellcraft</v>
      </c>
      <c r="B2217" s="78" t="str">
        <f>IFERROR(__xludf.DUMMYFUNCTION("""COMPUTED_VALUE"""),"Animated Army")</f>
        <v>Animated Army</v>
      </c>
      <c r="C2217" s="79">
        <f>IFERROR(__xludf.DUMMYFUNCTION("""COMPUTED_VALUE"""),0.0)</f>
        <v>0</v>
      </c>
      <c r="D2217" s="79">
        <f>IFERROR(__xludf.DUMMYFUNCTION("""COMPUTED_VALUE"""),0.0)</f>
        <v>0</v>
      </c>
      <c r="E2217" s="69" t="b">
        <f>IFERROR(__xludf.DUMMYFUNCTION("""COMPUTED_VALUE"""),TRUE)</f>
        <v>1</v>
      </c>
    </row>
    <row r="2218" hidden="1">
      <c r="A2218" s="78" t="str">
        <f>IFERROR(__xludf.DUMMYFUNCTION("""COMPUTED_VALUE"""),"Scions &amp; Spellcraft")</f>
        <v>Scions &amp; Spellcraft</v>
      </c>
      <c r="B2218" s="78" t="str">
        <f>IFERROR(__xludf.DUMMYFUNCTION("""COMPUTED_VALUE"""),"Arcane Maelstrom")</f>
        <v>Arcane Maelstrom</v>
      </c>
      <c r="C2218" s="79">
        <f>IFERROR(__xludf.DUMMYFUNCTION("""COMPUTED_VALUE"""),0.0)</f>
        <v>0</v>
      </c>
      <c r="D2218" s="79">
        <f>IFERROR(__xludf.DUMMYFUNCTION("""COMPUTED_VALUE"""),0.0)</f>
        <v>0</v>
      </c>
      <c r="E2218" s="69" t="b">
        <f>IFERROR(__xludf.DUMMYFUNCTION("""COMPUTED_VALUE"""),TRUE)</f>
        <v>1</v>
      </c>
    </row>
    <row r="2219" hidden="1">
      <c r="A2219" s="78" t="str">
        <f>IFERROR(__xludf.DUMMYFUNCTION("""COMPUTED_VALUE"""),"Scions &amp; Spellcraft")</f>
        <v>Scions &amp; Spellcraft</v>
      </c>
      <c r="B2219" s="78" t="str">
        <f>IFERROR(__xludf.DUMMYFUNCTION("""COMPUTED_VALUE"""),"Blame Game")</f>
        <v>Blame Game</v>
      </c>
      <c r="C2219" s="79">
        <f>IFERROR(__xludf.DUMMYFUNCTION("""COMPUTED_VALUE"""),0.0)</f>
        <v>0</v>
      </c>
      <c r="D2219" s="79">
        <f>IFERROR(__xludf.DUMMYFUNCTION("""COMPUTED_VALUE"""),0.0)</f>
        <v>0</v>
      </c>
      <c r="E2219" s="69" t="b">
        <f>IFERROR(__xludf.DUMMYFUNCTION("""COMPUTED_VALUE"""),TRUE)</f>
        <v>1</v>
      </c>
    </row>
    <row r="2220" hidden="1">
      <c r="A2220" s="78" t="str">
        <f>IFERROR(__xludf.DUMMYFUNCTION("""COMPUTED_VALUE"""),"Scions &amp; Spellcraft")</f>
        <v>Scions &amp; Spellcraft</v>
      </c>
      <c r="B2220" s="78" t="str">
        <f>IFERROR(__xludf.DUMMYFUNCTION("""COMPUTED_VALUE"""),"Blight Curse")</f>
        <v>Blight Curse</v>
      </c>
      <c r="C2220" s="79">
        <f>IFERROR(__xludf.DUMMYFUNCTION("""COMPUTED_VALUE"""),0.0)</f>
        <v>0</v>
      </c>
      <c r="D2220" s="79">
        <f>IFERROR(__xludf.DUMMYFUNCTION("""COMPUTED_VALUE"""),1.0)</f>
        <v>1</v>
      </c>
      <c r="E2220" s="69" t="b">
        <f>IFERROR(__xludf.DUMMYFUNCTION("""COMPUTED_VALUE"""),FALSE)</f>
        <v>0</v>
      </c>
    </row>
    <row r="2221" hidden="1">
      <c r="A2221" s="78" t="str">
        <f>IFERROR(__xludf.DUMMYFUNCTION("""COMPUTED_VALUE"""),"Scions &amp; Spellcraft")</f>
        <v>Scions &amp; Spellcraft</v>
      </c>
      <c r="B2221" s="78" t="str">
        <f>IFERROR(__xludf.DUMMYFUNCTION("""COMPUTED_VALUE"""),"Blood Rites")</f>
        <v>Blood Rites</v>
      </c>
      <c r="C2221" s="79">
        <f>IFERROR(__xludf.DUMMYFUNCTION("""COMPUTED_VALUE"""),0.0)</f>
        <v>0</v>
      </c>
      <c r="D2221" s="79">
        <f>IFERROR(__xludf.DUMMYFUNCTION("""COMPUTED_VALUE"""),0.0)</f>
        <v>0</v>
      </c>
      <c r="E2221" s="69" t="b">
        <f>IFERROR(__xludf.DUMMYFUNCTION("""COMPUTED_VALUE"""),TRUE)</f>
        <v>1</v>
      </c>
    </row>
    <row r="2222" hidden="1">
      <c r="A2222" s="78" t="str">
        <f>IFERROR(__xludf.DUMMYFUNCTION("""COMPUTED_VALUE"""),"Scions &amp; Spellcraft")</f>
        <v>Scions &amp; Spellcraft</v>
      </c>
      <c r="B2222" s="78" t="str">
        <f>IFERROR(__xludf.DUMMYFUNCTION("""COMPUTED_VALUE"""),"Buckle Up")</f>
        <v>Buckle Up</v>
      </c>
      <c r="C2222" s="79">
        <f>IFERROR(__xludf.DUMMYFUNCTION("""COMPUTED_VALUE"""),0.0)</f>
        <v>0</v>
      </c>
      <c r="D2222" s="79">
        <f>IFERROR(__xludf.DUMMYFUNCTION("""COMPUTED_VALUE"""),0.0)</f>
        <v>0</v>
      </c>
      <c r="E2222" s="69" t="b">
        <f>IFERROR(__xludf.DUMMYFUNCTION("""COMPUTED_VALUE"""),TRUE)</f>
        <v>1</v>
      </c>
    </row>
    <row r="2223" hidden="1">
      <c r="A2223" s="78" t="str">
        <f>IFERROR(__xludf.DUMMYFUNCTION("""COMPUTED_VALUE"""),"Scions &amp; Spellcraft")</f>
        <v>Scions &amp; Spellcraft</v>
      </c>
      <c r="B2223" s="78" t="str">
        <f>IFERROR(__xludf.DUMMYFUNCTION("""COMPUTED_VALUE"""),"Cabaretti Cacophony")</f>
        <v>Cabaretti Cacophony</v>
      </c>
      <c r="C2223" s="79">
        <f>IFERROR(__xludf.DUMMYFUNCTION("""COMPUTED_VALUE"""),0.0)</f>
        <v>0</v>
      </c>
      <c r="D2223" s="79">
        <f>IFERROR(__xludf.DUMMYFUNCTION("""COMPUTED_VALUE"""),0.0)</f>
        <v>0</v>
      </c>
      <c r="E2223" s="69" t="b">
        <f>IFERROR(__xludf.DUMMYFUNCTION("""COMPUTED_VALUE"""),TRUE)</f>
        <v>1</v>
      </c>
    </row>
    <row r="2224" hidden="1">
      <c r="A2224" s="78" t="str">
        <f>IFERROR(__xludf.DUMMYFUNCTION("""COMPUTED_VALUE"""),"Scions &amp; Spellcraft")</f>
        <v>Scions &amp; Spellcraft</v>
      </c>
      <c r="B2224" s="78" t="str">
        <f>IFERROR(__xludf.DUMMYFUNCTION("""COMPUTED_VALUE"""),"Cavalry Charge")</f>
        <v>Cavalry Charge</v>
      </c>
      <c r="C2224" s="79">
        <f>IFERROR(__xludf.DUMMYFUNCTION("""COMPUTED_VALUE"""),0.0)</f>
        <v>0</v>
      </c>
      <c r="D2224" s="79">
        <f>IFERROR(__xludf.DUMMYFUNCTION("""COMPUTED_VALUE"""),0.0)</f>
        <v>0</v>
      </c>
      <c r="E2224" s="69" t="b">
        <f>IFERROR(__xludf.DUMMYFUNCTION("""COMPUTED_VALUE"""),TRUE)</f>
        <v>1</v>
      </c>
    </row>
    <row r="2225" hidden="1">
      <c r="A2225" s="78" t="str">
        <f>IFERROR(__xludf.DUMMYFUNCTION("""COMPUTED_VALUE"""),"Scions &amp; Spellcraft")</f>
        <v>Scions &amp; Spellcraft</v>
      </c>
      <c r="B2225" s="78" t="str">
        <f>IFERROR(__xludf.DUMMYFUNCTION("""COMPUTED_VALUE"""),"Corrupting Influence")</f>
        <v>Corrupting Influence</v>
      </c>
      <c r="C2225" s="79">
        <f>IFERROR(__xludf.DUMMYFUNCTION("""COMPUTED_VALUE"""),0.0)</f>
        <v>0</v>
      </c>
      <c r="D2225" s="79">
        <f>IFERROR(__xludf.DUMMYFUNCTION("""COMPUTED_VALUE"""),0.0)</f>
        <v>0</v>
      </c>
      <c r="E2225" s="69" t="b">
        <f>IFERROR(__xludf.DUMMYFUNCTION("""COMPUTED_VALUE"""),TRUE)</f>
        <v>1</v>
      </c>
    </row>
    <row r="2226" hidden="1">
      <c r="A2226" s="78" t="str">
        <f>IFERROR(__xludf.DUMMYFUNCTION("""COMPUTED_VALUE"""),"Scions &amp; Spellcraft")</f>
        <v>Scions &amp; Spellcraft</v>
      </c>
      <c r="B2226" s="78" t="str">
        <f>IFERROR(__xludf.DUMMYFUNCTION("""COMPUTED_VALUE"""),"Counter Blitz")</f>
        <v>Counter Blitz</v>
      </c>
      <c r="C2226" s="79">
        <f>IFERROR(__xludf.DUMMYFUNCTION("""COMPUTED_VALUE"""),0.0)</f>
        <v>0</v>
      </c>
      <c r="D2226" s="79">
        <f>IFERROR(__xludf.DUMMYFUNCTION("""COMPUTED_VALUE"""),0.0)</f>
        <v>0</v>
      </c>
      <c r="E2226" s="69" t="b">
        <f>IFERROR(__xludf.DUMMYFUNCTION("""COMPUTED_VALUE"""),TRUE)</f>
        <v>1</v>
      </c>
    </row>
    <row r="2227" hidden="1">
      <c r="A2227" s="78" t="str">
        <f>IFERROR(__xludf.DUMMYFUNCTION("""COMPUTED_VALUE"""),"Scions &amp; Spellcraft")</f>
        <v>Scions &amp; Spellcraft</v>
      </c>
      <c r="B2227" s="78" t="str">
        <f>IFERROR(__xludf.DUMMYFUNCTION("""COMPUTED_VALUE"""),"Counter Intelligence")</f>
        <v>Counter Intelligence</v>
      </c>
      <c r="C2227" s="79">
        <f>IFERROR(__xludf.DUMMYFUNCTION("""COMPUTED_VALUE"""),0.0)</f>
        <v>0</v>
      </c>
      <c r="D2227" s="79">
        <f>IFERROR(__xludf.DUMMYFUNCTION("""COMPUTED_VALUE"""),0.0)</f>
        <v>0</v>
      </c>
      <c r="E2227" s="69" t="b">
        <f>IFERROR(__xludf.DUMMYFUNCTION("""COMPUTED_VALUE"""),TRUE)</f>
        <v>1</v>
      </c>
    </row>
    <row r="2228">
      <c r="A2228" s="78" t="str">
        <f>IFERROR(__xludf.DUMMYFUNCTION("""COMPUTED_VALUE"""),"Scions &amp; Spellcraft")</f>
        <v>Scions &amp; Spellcraft</v>
      </c>
      <c r="B2228" s="78" t="str">
        <f>IFERROR(__xludf.DUMMYFUNCTION("""COMPUTED_VALUE"""),"Creative Energy")</f>
        <v>Creative Energy</v>
      </c>
      <c r="C2228" s="79">
        <f>IFERROR(__xludf.DUMMYFUNCTION("""COMPUTED_VALUE"""),0.0)</f>
        <v>0</v>
      </c>
      <c r="D2228" s="79">
        <f>IFERROR(__xludf.DUMMYFUNCTION("""COMPUTED_VALUE"""),1.0)</f>
        <v>1</v>
      </c>
      <c r="E2228" s="69" t="b">
        <f>IFERROR(__xludf.DUMMYFUNCTION("""COMPUTED_VALUE"""),FALSE)</f>
        <v>0</v>
      </c>
    </row>
    <row r="2229" hidden="1">
      <c r="A2229" s="78" t="str">
        <f>IFERROR(__xludf.DUMMYFUNCTION("""COMPUTED_VALUE"""),"Scions &amp; Spellcraft")</f>
        <v>Scions &amp; Spellcraft</v>
      </c>
      <c r="B2229" s="78" t="str">
        <f>IFERROR(__xludf.DUMMYFUNCTION("""COMPUTED_VALUE"""),"Dance of the Elements")</f>
        <v>Dance of the Elements</v>
      </c>
      <c r="C2229" s="79">
        <f>IFERROR(__xludf.DUMMYFUNCTION("""COMPUTED_VALUE"""),0.0)</f>
        <v>0</v>
      </c>
      <c r="D2229" s="79">
        <f>IFERROR(__xludf.DUMMYFUNCTION("""COMPUTED_VALUE"""),1.0)</f>
        <v>1</v>
      </c>
      <c r="E2229" s="69" t="b">
        <f>IFERROR(__xludf.DUMMYFUNCTION("""COMPUTED_VALUE"""),FALSE)</f>
        <v>0</v>
      </c>
    </row>
    <row r="2230" hidden="1">
      <c r="A2230" s="78" t="str">
        <f>IFERROR(__xludf.DUMMYFUNCTION("""COMPUTED_VALUE"""),"Scions &amp; Spellcraft")</f>
        <v>Scions &amp; Spellcraft</v>
      </c>
      <c r="B2230" s="78" t="str">
        <f>IFERROR(__xludf.DUMMYFUNCTION("""COMPUTED_VALUE"""),"Deep Clue Sea")</f>
        <v>Deep Clue Sea</v>
      </c>
      <c r="C2230" s="79">
        <f>IFERROR(__xludf.DUMMYFUNCTION("""COMPUTED_VALUE"""),0.0)</f>
        <v>0</v>
      </c>
      <c r="D2230" s="79">
        <f>IFERROR(__xludf.DUMMYFUNCTION("""COMPUTED_VALUE"""),0.0)</f>
        <v>0</v>
      </c>
      <c r="E2230" s="69" t="b">
        <f>IFERROR(__xludf.DUMMYFUNCTION("""COMPUTED_VALUE"""),TRUE)</f>
        <v>1</v>
      </c>
    </row>
    <row r="2231" hidden="1">
      <c r="A2231" s="78" t="str">
        <f>IFERROR(__xludf.DUMMYFUNCTION("""COMPUTED_VALUE"""),"Scions &amp; Spellcraft")</f>
        <v>Scions &amp; Spellcraft</v>
      </c>
      <c r="B2231" s="78" t="str">
        <f>IFERROR(__xludf.DUMMYFUNCTION("""COMPUTED_VALUE"""),"Doom Prevails")</f>
        <v>Doom Prevails</v>
      </c>
      <c r="C2231" s="79">
        <f>IFERROR(__xludf.DUMMYFUNCTION("""COMPUTED_VALUE"""),0.0)</f>
        <v>0</v>
      </c>
      <c r="D2231" s="79">
        <f>IFERROR(__xludf.DUMMYFUNCTION("""COMPUTED_VALUE"""),0.0)</f>
        <v>0</v>
      </c>
      <c r="E2231" s="69" t="b">
        <f>IFERROR(__xludf.DUMMYFUNCTION("""COMPUTED_VALUE"""),TRUE)</f>
        <v>1</v>
      </c>
    </row>
    <row r="2232" hidden="1">
      <c r="A2232" s="78" t="str">
        <f>IFERROR(__xludf.DUMMYFUNCTION("""COMPUTED_VALUE"""),"Scions &amp; Spellcraft")</f>
        <v>Scions &amp; Spellcraft</v>
      </c>
      <c r="B2232" s="78" t="str">
        <f>IFERROR(__xludf.DUMMYFUNCTION("""COMPUTED_VALUE"""),"Eldrazi Incursion")</f>
        <v>Eldrazi Incursion</v>
      </c>
      <c r="C2232" s="79">
        <f>IFERROR(__xludf.DUMMYFUNCTION("""COMPUTED_VALUE"""),0.0)</f>
        <v>0</v>
      </c>
      <c r="D2232" s="79">
        <f>IFERROR(__xludf.DUMMYFUNCTION("""COMPUTED_VALUE"""),0.0)</f>
        <v>0</v>
      </c>
      <c r="E2232" s="69" t="b">
        <f>IFERROR(__xludf.DUMMYFUNCTION("""COMPUTED_VALUE"""),TRUE)</f>
        <v>1</v>
      </c>
    </row>
    <row r="2233" hidden="1">
      <c r="A2233" s="78" t="str">
        <f>IFERROR(__xludf.DUMMYFUNCTION("""COMPUTED_VALUE"""),"Scions &amp; Spellcraft")</f>
        <v>Scions &amp; Spellcraft</v>
      </c>
      <c r="B2233" s="78" t="str">
        <f>IFERROR(__xludf.DUMMYFUNCTION("""COMPUTED_VALUE"""),"Eldrazi Unbound")</f>
        <v>Eldrazi Unbound</v>
      </c>
      <c r="C2233" s="79">
        <f>IFERROR(__xludf.DUMMYFUNCTION("""COMPUTED_VALUE"""),0.0)</f>
        <v>0</v>
      </c>
      <c r="D2233" s="79">
        <f>IFERROR(__xludf.DUMMYFUNCTION("""COMPUTED_VALUE"""),0.0)</f>
        <v>0</v>
      </c>
      <c r="E2233" s="69" t="b">
        <f>IFERROR(__xludf.DUMMYFUNCTION("""COMPUTED_VALUE"""),TRUE)</f>
        <v>1</v>
      </c>
    </row>
    <row r="2234" hidden="1">
      <c r="A2234" s="78" t="str">
        <f>IFERROR(__xludf.DUMMYFUNCTION("""COMPUTED_VALUE"""),"Scions &amp; Spellcraft")</f>
        <v>Scions &amp; Spellcraft</v>
      </c>
      <c r="B2234" s="78" t="str">
        <f>IFERROR(__xludf.DUMMYFUNCTION("""COMPUTED_VALUE"""),"Endless Punishment")</f>
        <v>Endless Punishment</v>
      </c>
      <c r="C2234" s="79">
        <f>IFERROR(__xludf.DUMMYFUNCTION("""COMPUTED_VALUE"""),0.0)</f>
        <v>0</v>
      </c>
      <c r="D2234" s="79">
        <f>IFERROR(__xludf.DUMMYFUNCTION("""COMPUTED_VALUE"""),1.0)</f>
        <v>1</v>
      </c>
      <c r="E2234" s="69" t="b">
        <f>IFERROR(__xludf.DUMMYFUNCTION("""COMPUTED_VALUE"""),FALSE)</f>
        <v>0</v>
      </c>
    </row>
    <row r="2235" hidden="1">
      <c r="A2235" s="78" t="str">
        <f>IFERROR(__xludf.DUMMYFUNCTION("""COMPUTED_VALUE"""),"Scions &amp; Spellcraft")</f>
        <v>Scions &amp; Spellcraft</v>
      </c>
      <c r="B2235" s="78" t="str">
        <f>IFERROR(__xludf.DUMMYFUNCTION("""COMPUTED_VALUE"""),"Enduring Enchantments")</f>
        <v>Enduring Enchantments</v>
      </c>
      <c r="C2235" s="79">
        <f>IFERROR(__xludf.DUMMYFUNCTION("""COMPUTED_VALUE"""),0.0)</f>
        <v>0</v>
      </c>
      <c r="D2235" s="79">
        <f>IFERROR(__xludf.DUMMYFUNCTION("""COMPUTED_VALUE"""),0.0)</f>
        <v>0</v>
      </c>
      <c r="E2235" s="69" t="b">
        <f>IFERROR(__xludf.DUMMYFUNCTION("""COMPUTED_VALUE"""),TRUE)</f>
        <v>1</v>
      </c>
    </row>
    <row r="2236" hidden="1">
      <c r="A2236" s="78" t="str">
        <f>IFERROR(__xludf.DUMMYFUNCTION("""COMPUTED_VALUE"""),"Scions &amp; Spellcraft")</f>
        <v>Scions &amp; Spellcraft</v>
      </c>
      <c r="B2236" s="78" t="str">
        <f>IFERROR(__xludf.DUMMYFUNCTION("""COMPUTED_VALUE"""),"Explorers of the Deep")</f>
        <v>Explorers of the Deep</v>
      </c>
      <c r="C2236" s="79">
        <f>IFERROR(__xludf.DUMMYFUNCTION("""COMPUTED_VALUE"""),1.0)</f>
        <v>1</v>
      </c>
      <c r="D2236" s="79">
        <f>IFERROR(__xludf.DUMMYFUNCTION("""COMPUTED_VALUE"""),0.0)</f>
        <v>0</v>
      </c>
      <c r="E2236" s="69" t="b">
        <f>IFERROR(__xludf.DUMMYFUNCTION("""COMPUTED_VALUE"""),FALSE)</f>
        <v>0</v>
      </c>
    </row>
    <row r="2237" hidden="1">
      <c r="A2237" s="78" t="str">
        <f>IFERROR(__xludf.DUMMYFUNCTION("""COMPUTED_VALUE"""),"Scions &amp; Spellcraft")</f>
        <v>Scions &amp; Spellcraft</v>
      </c>
      <c r="B2237" s="78" t="str">
        <f>IFERROR(__xludf.DUMMYFUNCTION("""COMPUTED_VALUE"""),"Family Matters")</f>
        <v>Family Matters</v>
      </c>
      <c r="C2237" s="79">
        <f>IFERROR(__xludf.DUMMYFUNCTION("""COMPUTED_VALUE"""),0.0)</f>
        <v>0</v>
      </c>
      <c r="D2237" s="79">
        <f>IFERROR(__xludf.DUMMYFUNCTION("""COMPUTED_VALUE"""),0.0)</f>
        <v>0</v>
      </c>
      <c r="E2237" s="69" t="b">
        <f>IFERROR(__xludf.DUMMYFUNCTION("""COMPUTED_VALUE"""),TRUE)</f>
        <v>1</v>
      </c>
    </row>
    <row r="2238" hidden="1">
      <c r="A2238" s="78" t="str">
        <f>IFERROR(__xludf.DUMMYFUNCTION("""COMPUTED_VALUE"""),"Scions &amp; Spellcraft")</f>
        <v>Scions &amp; Spellcraft</v>
      </c>
      <c r="B2238" s="78" t="str">
        <f>IFERROR(__xludf.DUMMYFUNCTION("""COMPUTED_VALUE"""),"Food and Fellowship")</f>
        <v>Food and Fellowship</v>
      </c>
      <c r="C2238" s="79">
        <f>IFERROR(__xludf.DUMMYFUNCTION("""COMPUTED_VALUE"""),0.0)</f>
        <v>0</v>
      </c>
      <c r="D2238" s="79">
        <f>IFERROR(__xludf.DUMMYFUNCTION("""COMPUTED_VALUE"""),0.0)</f>
        <v>0</v>
      </c>
      <c r="E2238" s="69" t="b">
        <f>IFERROR(__xludf.DUMMYFUNCTION("""COMPUTED_VALUE"""),TRUE)</f>
        <v>1</v>
      </c>
    </row>
    <row r="2239" hidden="1">
      <c r="A2239" s="78" t="str">
        <f>IFERROR(__xludf.DUMMYFUNCTION("""COMPUTED_VALUE"""),"Scions &amp; Spellcraft")</f>
        <v>Scions &amp; Spellcraft</v>
      </c>
      <c r="B2239" s="78" t="str">
        <f>IFERROR(__xludf.DUMMYFUNCTION("""COMPUTED_VALUE"""),"Jeskai Striker")</f>
        <v>Jeskai Striker</v>
      </c>
      <c r="C2239" s="79">
        <f>IFERROR(__xludf.DUMMYFUNCTION("""COMPUTED_VALUE"""),0.0)</f>
        <v>0</v>
      </c>
      <c r="D2239" s="79">
        <f>IFERROR(__xludf.DUMMYFUNCTION("""COMPUTED_VALUE"""),0.0)</f>
        <v>0</v>
      </c>
      <c r="E2239" s="69" t="b">
        <f>IFERROR(__xludf.DUMMYFUNCTION("""COMPUTED_VALUE"""),TRUE)</f>
        <v>1</v>
      </c>
    </row>
    <row r="2240" hidden="1">
      <c r="A2240" s="78" t="str">
        <f>IFERROR(__xludf.DUMMYFUNCTION("""COMPUTED_VALUE"""),"Scions &amp; Spellcraft")</f>
        <v>Scions &amp; Spellcraft</v>
      </c>
      <c r="B2240" s="78" t="str">
        <f>IFERROR(__xludf.DUMMYFUNCTION("""COMPUTED_VALUE"""),"Legends' Legacy")</f>
        <v>Legends' Legacy</v>
      </c>
      <c r="C2240" s="79">
        <f>IFERROR(__xludf.DUMMYFUNCTION("""COMPUTED_VALUE"""),0.0)</f>
        <v>0</v>
      </c>
      <c r="D2240" s="79">
        <f>IFERROR(__xludf.DUMMYFUNCTION("""COMPUTED_VALUE"""),0.0)</f>
        <v>0</v>
      </c>
      <c r="E2240" s="69" t="b">
        <f>IFERROR(__xludf.DUMMYFUNCTION("""COMPUTED_VALUE"""),TRUE)</f>
        <v>1</v>
      </c>
    </row>
    <row r="2241" hidden="1">
      <c r="A2241" s="78" t="str">
        <f>IFERROR(__xludf.DUMMYFUNCTION("""COMPUTED_VALUE"""),"Scions &amp; Spellcraft")</f>
        <v>Scions &amp; Spellcraft</v>
      </c>
      <c r="B2241" s="78" t="str">
        <f>IFERROR(__xludf.DUMMYFUNCTION("""COMPUTED_VALUE"""),"Limit Break")</f>
        <v>Limit Break</v>
      </c>
      <c r="C2241" s="79">
        <f>IFERROR(__xludf.DUMMYFUNCTION("""COMPUTED_VALUE"""),0.0)</f>
        <v>0</v>
      </c>
      <c r="D2241" s="79">
        <f>IFERROR(__xludf.DUMMYFUNCTION("""COMPUTED_VALUE"""),0.0)</f>
        <v>0</v>
      </c>
      <c r="E2241" s="69" t="b">
        <f>IFERROR(__xludf.DUMMYFUNCTION("""COMPUTED_VALUE"""),TRUE)</f>
        <v>1</v>
      </c>
    </row>
    <row r="2242" hidden="1">
      <c r="A2242" s="78" t="str">
        <f>IFERROR(__xludf.DUMMYFUNCTION("""COMPUTED_VALUE"""),"Scions &amp; Spellcraft")</f>
        <v>Scions &amp; Spellcraft</v>
      </c>
      <c r="B2242" s="78" t="str">
        <f>IFERROR(__xludf.DUMMYFUNCTION("""COMPUTED_VALUE"""),"Lorehold Spirit")</f>
        <v>Lorehold Spirit</v>
      </c>
      <c r="C2242" s="79">
        <f>IFERROR(__xludf.DUMMYFUNCTION("""COMPUTED_VALUE"""),0.0)</f>
        <v>0</v>
      </c>
      <c r="D2242" s="79">
        <f>IFERROR(__xludf.DUMMYFUNCTION("""COMPUTED_VALUE"""),1.0)</f>
        <v>1</v>
      </c>
      <c r="E2242" s="69" t="b">
        <f>IFERROR(__xludf.DUMMYFUNCTION("""COMPUTED_VALUE"""),FALSE)</f>
        <v>0</v>
      </c>
    </row>
    <row r="2243" hidden="1">
      <c r="A2243" s="78" t="str">
        <f>IFERROR(__xludf.DUMMYFUNCTION("""COMPUTED_VALUE"""),"Scions &amp; Spellcraft")</f>
        <v>Scions &amp; Spellcraft</v>
      </c>
      <c r="B2243" s="78" t="str">
        <f>IFERROR(__xludf.DUMMYFUNCTION("""COMPUTED_VALUE"""),"Mutant Menace")</f>
        <v>Mutant Menace</v>
      </c>
      <c r="C2243" s="79">
        <f>IFERROR(__xludf.DUMMYFUNCTION("""COMPUTED_VALUE"""),0.0)</f>
        <v>0</v>
      </c>
      <c r="D2243" s="79">
        <f>IFERROR(__xludf.DUMMYFUNCTION("""COMPUTED_VALUE"""),0.0)</f>
        <v>0</v>
      </c>
      <c r="E2243" s="69" t="b">
        <f>IFERROR(__xludf.DUMMYFUNCTION("""COMPUTED_VALUE"""),TRUE)</f>
        <v>1</v>
      </c>
    </row>
    <row r="2244" hidden="1">
      <c r="A2244" s="78" t="str">
        <f>IFERROR(__xludf.DUMMYFUNCTION("""COMPUTED_VALUE"""),"Scions &amp; Spellcraft")</f>
        <v>Scions &amp; Spellcraft</v>
      </c>
      <c r="B2244" s="78" t="str">
        <f>IFERROR(__xludf.DUMMYFUNCTION("""COMPUTED_VALUE"""),"Party Time")</f>
        <v>Party Time</v>
      </c>
      <c r="C2244" s="79">
        <f>IFERROR(__xludf.DUMMYFUNCTION("""COMPUTED_VALUE"""),0.0)</f>
        <v>0</v>
      </c>
      <c r="D2244" s="79">
        <f>IFERROR(__xludf.DUMMYFUNCTION("""COMPUTED_VALUE"""),1.0)</f>
        <v>1</v>
      </c>
      <c r="E2244" s="69" t="b">
        <f>IFERROR(__xludf.DUMMYFUNCTION("""COMPUTED_VALUE"""),FALSE)</f>
        <v>0</v>
      </c>
    </row>
    <row r="2245" hidden="1">
      <c r="A2245" s="78" t="str">
        <f>IFERROR(__xludf.DUMMYFUNCTION("""COMPUTED_VALUE"""),"Scions &amp; Spellcraft")</f>
        <v>Scions &amp; Spellcraft</v>
      </c>
      <c r="B2245" s="78" t="str">
        <f>IFERROR(__xludf.DUMMYFUNCTION("""COMPUTED_VALUE"""),"Peace Offering")</f>
        <v>Peace Offering</v>
      </c>
      <c r="C2245" s="79">
        <f>IFERROR(__xludf.DUMMYFUNCTION("""COMPUTED_VALUE"""),0.0)</f>
        <v>0</v>
      </c>
      <c r="D2245" s="79">
        <f>IFERROR(__xludf.DUMMYFUNCTION("""COMPUTED_VALUE"""),0.0)</f>
        <v>0</v>
      </c>
      <c r="E2245" s="69" t="b">
        <f>IFERROR(__xludf.DUMMYFUNCTION("""COMPUTED_VALUE"""),TRUE)</f>
        <v>1</v>
      </c>
    </row>
    <row r="2246" hidden="1">
      <c r="A2246" s="78" t="str">
        <f>IFERROR(__xludf.DUMMYFUNCTION("""COMPUTED_VALUE"""),"Scions &amp; Spellcraft")</f>
        <v>Scions &amp; Spellcraft</v>
      </c>
      <c r="B2246" s="78" t="str">
        <f>IFERROR(__xludf.DUMMYFUNCTION("""COMPUTED_VALUE"""),"Power Hungry")</f>
        <v>Power Hungry</v>
      </c>
      <c r="C2246" s="79">
        <f>IFERROR(__xludf.DUMMYFUNCTION("""COMPUTED_VALUE"""),0.0)</f>
        <v>0</v>
      </c>
      <c r="D2246" s="79">
        <f>IFERROR(__xludf.DUMMYFUNCTION("""COMPUTED_VALUE"""),0.0)</f>
        <v>0</v>
      </c>
      <c r="E2246" s="69" t="b">
        <f>IFERROR(__xludf.DUMMYFUNCTION("""COMPUTED_VALUE"""),TRUE)</f>
        <v>1</v>
      </c>
    </row>
    <row r="2247" hidden="1">
      <c r="A2247" s="78" t="str">
        <f>IFERROR(__xludf.DUMMYFUNCTION("""COMPUTED_VALUE"""),"Scions &amp; Spellcraft")</f>
        <v>Scions &amp; Spellcraft</v>
      </c>
      <c r="B2247" s="78" t="str">
        <f>IFERROR(__xludf.DUMMYFUNCTION("""COMPUTED_VALUE"""),"Primal Genesis")</f>
        <v>Primal Genesis</v>
      </c>
      <c r="C2247" s="79">
        <f>IFERROR(__xludf.DUMMYFUNCTION("""COMPUTED_VALUE"""),1.0)</f>
        <v>1</v>
      </c>
      <c r="D2247" s="79">
        <f>IFERROR(__xludf.DUMMYFUNCTION("""COMPUTED_VALUE"""),0.0)</f>
        <v>0</v>
      </c>
      <c r="E2247" s="69" t="b">
        <f>IFERROR(__xludf.DUMMYFUNCTION("""COMPUTED_VALUE"""),FALSE)</f>
        <v>0</v>
      </c>
    </row>
    <row r="2248" hidden="1">
      <c r="A2248" s="78" t="str">
        <f>IFERROR(__xludf.DUMMYFUNCTION("""COMPUTED_VALUE"""),"Scions &amp; Spellcraft")</f>
        <v>Scions &amp; Spellcraft</v>
      </c>
      <c r="B2248" s="78" t="str">
        <f>IFERROR(__xludf.DUMMYFUNCTION("""COMPUTED_VALUE"""),"Prismari Artistry")</f>
        <v>Prismari Artistry</v>
      </c>
      <c r="C2248" s="79">
        <f>IFERROR(__xludf.DUMMYFUNCTION("""COMPUTED_VALUE"""),0.0)</f>
        <v>0</v>
      </c>
      <c r="D2248" s="79">
        <f>IFERROR(__xludf.DUMMYFUNCTION("""COMPUTED_VALUE"""),0.0)</f>
        <v>0</v>
      </c>
      <c r="E2248" s="69" t="b">
        <f>IFERROR(__xludf.DUMMYFUNCTION("""COMPUTED_VALUE"""),TRUE)</f>
        <v>1</v>
      </c>
    </row>
    <row r="2249" hidden="1">
      <c r="A2249" s="78" t="str">
        <f>IFERROR(__xludf.DUMMYFUNCTION("""COMPUTED_VALUE"""),"Scions &amp; Spellcraft")</f>
        <v>Scions &amp; Spellcraft</v>
      </c>
      <c r="B2249" s="78" t="str">
        <f>IFERROR(__xludf.DUMMYFUNCTION("""COMPUTED_VALUE"""),"Prismari Performance")</f>
        <v>Prismari Performance</v>
      </c>
      <c r="C2249" s="79">
        <f>IFERROR(__xludf.DUMMYFUNCTION("""COMPUTED_VALUE"""),0.0)</f>
        <v>0</v>
      </c>
      <c r="D2249" s="79">
        <f>IFERROR(__xludf.DUMMYFUNCTION("""COMPUTED_VALUE"""),0.0)</f>
        <v>0</v>
      </c>
      <c r="E2249" s="69" t="b">
        <f>IFERROR(__xludf.DUMMYFUNCTION("""COMPUTED_VALUE"""),TRUE)</f>
        <v>1</v>
      </c>
    </row>
    <row r="2250" hidden="1">
      <c r="A2250" s="78" t="str">
        <f>IFERROR(__xludf.DUMMYFUNCTION("""COMPUTED_VALUE"""),"Scions &amp; Spellcraft")</f>
        <v>Scions &amp; Spellcraft</v>
      </c>
      <c r="B2250" s="78" t="str">
        <f>IFERROR(__xludf.DUMMYFUNCTION("""COMPUTED_VALUE"""),"Quandrix Unlimited")</f>
        <v>Quandrix Unlimited</v>
      </c>
      <c r="C2250" s="79">
        <f>IFERROR(__xludf.DUMMYFUNCTION("""COMPUTED_VALUE"""),0.0)</f>
        <v>0</v>
      </c>
      <c r="D2250" s="79">
        <f>IFERROR(__xludf.DUMMYFUNCTION("""COMPUTED_VALUE"""),0.0)</f>
        <v>0</v>
      </c>
      <c r="E2250" s="69" t="b">
        <f>IFERROR(__xludf.DUMMYFUNCTION("""COMPUTED_VALUE"""),TRUE)</f>
        <v>1</v>
      </c>
    </row>
    <row r="2251" hidden="1">
      <c r="A2251" s="78" t="str">
        <f>IFERROR(__xludf.DUMMYFUNCTION("""COMPUTED_VALUE"""),"Scions &amp; Spellcraft")</f>
        <v>Scions &amp; Spellcraft</v>
      </c>
      <c r="B2251" s="78" t="str">
        <f>IFERROR(__xludf.DUMMYFUNCTION("""COMPUTED_VALUE"""),"Quick Draw")</f>
        <v>Quick Draw</v>
      </c>
      <c r="C2251" s="79">
        <f>IFERROR(__xludf.DUMMYFUNCTION("""COMPUTED_VALUE"""),0.0)</f>
        <v>0</v>
      </c>
      <c r="D2251" s="79">
        <f>IFERROR(__xludf.DUMMYFUNCTION("""COMPUTED_VALUE"""),2.0)</f>
        <v>2</v>
      </c>
      <c r="E2251" s="69" t="b">
        <f>IFERROR(__xludf.DUMMYFUNCTION("""COMPUTED_VALUE"""),FALSE)</f>
        <v>0</v>
      </c>
    </row>
    <row r="2252" hidden="1">
      <c r="A2252" s="78" t="str">
        <f>IFERROR(__xludf.DUMMYFUNCTION("""COMPUTED_VALUE"""),"Scions &amp; Spellcraft")</f>
        <v>Scions &amp; Spellcraft</v>
      </c>
      <c r="B2252" s="78" t="str">
        <f>IFERROR(__xludf.DUMMYFUNCTION("""COMPUTED_VALUE"""),"Reap the Tides")</f>
        <v>Reap the Tides</v>
      </c>
      <c r="C2252" s="79">
        <f>IFERROR(__xludf.DUMMYFUNCTION("""COMPUTED_VALUE"""),0.0)</f>
        <v>0</v>
      </c>
      <c r="D2252" s="79">
        <f>IFERROR(__xludf.DUMMYFUNCTION("""COMPUTED_VALUE"""),0.0)</f>
        <v>0</v>
      </c>
      <c r="E2252" s="69" t="b">
        <f>IFERROR(__xludf.DUMMYFUNCTION("""COMPUTED_VALUE"""),TRUE)</f>
        <v>1</v>
      </c>
    </row>
    <row r="2253" hidden="1">
      <c r="A2253" s="78" t="str">
        <f>IFERROR(__xludf.DUMMYFUNCTION("""COMPUTED_VALUE"""),"Scions &amp; Spellcraft")</f>
        <v>Scions &amp; Spellcraft</v>
      </c>
      <c r="B2253" s="78" t="str">
        <f>IFERROR(__xludf.DUMMYFUNCTION("""COMPUTED_VALUE"""),"Rebellion Rising")</f>
        <v>Rebellion Rising</v>
      </c>
      <c r="C2253" s="79">
        <f>IFERROR(__xludf.DUMMYFUNCTION("""COMPUTED_VALUE"""),0.0)</f>
        <v>0</v>
      </c>
      <c r="D2253" s="79">
        <f>IFERROR(__xludf.DUMMYFUNCTION("""COMPUTED_VALUE"""),0.0)</f>
        <v>0</v>
      </c>
      <c r="E2253" s="69" t="b">
        <f>IFERROR(__xludf.DUMMYFUNCTION("""COMPUTED_VALUE"""),TRUE)</f>
        <v>1</v>
      </c>
    </row>
    <row r="2254" hidden="1">
      <c r="A2254" s="78" t="str">
        <f>IFERROR(__xludf.DUMMYFUNCTION("""COMPUTED_VALUE"""),"Scions &amp; Spellcraft")</f>
        <v>Scions &amp; Spellcraft</v>
      </c>
      <c r="B2254" s="78" t="str">
        <f>IFERROR(__xludf.DUMMYFUNCTION("""COMPUTED_VALUE"""),"Revival Trance")</f>
        <v>Revival Trance</v>
      </c>
      <c r="C2254" s="79">
        <f>IFERROR(__xludf.DUMMYFUNCTION("""COMPUTED_VALUE"""),0.0)</f>
        <v>0</v>
      </c>
      <c r="D2254" s="79">
        <f>IFERROR(__xludf.DUMMYFUNCTION("""COMPUTED_VALUE"""),0.0)</f>
        <v>0</v>
      </c>
      <c r="E2254" s="69" t="b">
        <f>IFERROR(__xludf.DUMMYFUNCTION("""COMPUTED_VALUE"""),TRUE)</f>
        <v>1</v>
      </c>
    </row>
    <row r="2255" hidden="1">
      <c r="A2255" s="78" t="str">
        <f>IFERROR(__xludf.DUMMYFUNCTION("""COMPUTED_VALUE"""),"Scions &amp; Spellcraft")</f>
        <v>Scions &amp; Spellcraft</v>
      </c>
      <c r="B2255" s="78" t="str">
        <f>IFERROR(__xludf.DUMMYFUNCTION("""COMPUTED_VALUE"""),"Riders of Rohan")</f>
        <v>Riders of Rohan</v>
      </c>
      <c r="C2255" s="79">
        <f>IFERROR(__xludf.DUMMYFUNCTION("""COMPUTED_VALUE"""),0.0)</f>
        <v>0</v>
      </c>
      <c r="D2255" s="79">
        <f>IFERROR(__xludf.DUMMYFUNCTION("""COMPUTED_VALUE"""),0.0)</f>
        <v>0</v>
      </c>
      <c r="E2255" s="69" t="b">
        <f>IFERROR(__xludf.DUMMYFUNCTION("""COMPUTED_VALUE"""),TRUE)</f>
        <v>1</v>
      </c>
    </row>
    <row r="2256" hidden="1">
      <c r="A2256" s="78" t="str">
        <f>IFERROR(__xludf.DUMMYFUNCTION("""COMPUTED_VALUE"""),"Scions &amp; Spellcraft")</f>
        <v>Scions &amp; Spellcraft</v>
      </c>
      <c r="B2256" s="78" t="str">
        <f>IFERROR(__xludf.DUMMYFUNCTION("""COMPUTED_VALUE"""),"Science!")</f>
        <v>Science!</v>
      </c>
      <c r="C2256" s="79">
        <f>IFERROR(__xludf.DUMMYFUNCTION("""COMPUTED_VALUE"""),0.0)</f>
        <v>0</v>
      </c>
      <c r="D2256" s="79">
        <f>IFERROR(__xludf.DUMMYFUNCTION("""COMPUTED_VALUE"""),0.0)</f>
        <v>0</v>
      </c>
      <c r="E2256" s="69" t="b">
        <f>IFERROR(__xludf.DUMMYFUNCTION("""COMPUTED_VALUE"""),TRUE)</f>
        <v>1</v>
      </c>
    </row>
    <row r="2257" hidden="1">
      <c r="A2257" s="78" t="str">
        <f>IFERROR(__xludf.DUMMYFUNCTION("""COMPUTED_VALUE"""),"Scions &amp; Spellcraft")</f>
        <v>Scions &amp; Spellcraft</v>
      </c>
      <c r="B2257" s="78" t="str">
        <f>IFERROR(__xludf.DUMMYFUNCTION("""COMPUTED_VALUE"""),"Scions &amp; Spellcraft")</f>
        <v>Scions &amp; Spellcraft</v>
      </c>
      <c r="C2257" s="79">
        <f>IFERROR(__xludf.DUMMYFUNCTION("""COMPUTED_VALUE"""),1.0)</f>
        <v>1</v>
      </c>
      <c r="D2257" s="79">
        <f>IFERROR(__xludf.DUMMYFUNCTION("""COMPUTED_VALUE"""),1.0)</f>
        <v>1</v>
      </c>
      <c r="E2257" s="69" t="b">
        <f>IFERROR(__xludf.DUMMYFUNCTION("""COMPUTED_VALUE"""),TRUE)</f>
        <v>1</v>
      </c>
    </row>
    <row r="2258">
      <c r="A2258" s="78" t="str">
        <f>IFERROR(__xludf.DUMMYFUNCTION("""COMPUTED_VALUE"""),"Scions &amp; Spellcraft")</f>
        <v>Scions &amp; Spellcraft</v>
      </c>
      <c r="B2258" s="78" t="str">
        <f>IFERROR(__xludf.DUMMYFUNCTION("""COMPUTED_VALUE"""),"Scrappy Survivors")</f>
        <v>Scrappy Survivors</v>
      </c>
      <c r="C2258" s="79">
        <f>IFERROR(__xludf.DUMMYFUNCTION("""COMPUTED_VALUE"""),0.0)</f>
        <v>0</v>
      </c>
      <c r="D2258" s="79">
        <f>IFERROR(__xludf.DUMMYFUNCTION("""COMPUTED_VALUE"""),0.0)</f>
        <v>0</v>
      </c>
      <c r="E2258" s="69" t="b">
        <f>IFERROR(__xludf.DUMMYFUNCTION("""COMPUTED_VALUE"""),TRUE)</f>
        <v>1</v>
      </c>
    </row>
    <row r="2259" hidden="1">
      <c r="A2259" s="78" t="str">
        <f>IFERROR(__xludf.DUMMYFUNCTION("""COMPUTED_VALUE"""),"Scions &amp; Spellcraft")</f>
        <v>Scions &amp; Spellcraft</v>
      </c>
      <c r="B2259" s="78" t="str">
        <f>IFERROR(__xludf.DUMMYFUNCTION("""COMPUTED_VALUE"""),"Silverquill Influence")</f>
        <v>Silverquill Influence</v>
      </c>
      <c r="C2259" s="79">
        <f>IFERROR(__xludf.DUMMYFUNCTION("""COMPUTED_VALUE"""),0.0)</f>
        <v>0</v>
      </c>
      <c r="D2259" s="79">
        <f>IFERROR(__xludf.DUMMYFUNCTION("""COMPUTED_VALUE"""),1.0)</f>
        <v>1</v>
      </c>
      <c r="E2259" s="69" t="b">
        <f>IFERROR(__xludf.DUMMYFUNCTION("""COMPUTED_VALUE"""),FALSE)</f>
        <v>0</v>
      </c>
    </row>
    <row r="2260" hidden="1">
      <c r="A2260" s="78" t="str">
        <f>IFERROR(__xludf.DUMMYFUNCTION("""COMPUTED_VALUE"""),"Scions &amp; Spellcraft")</f>
        <v>Scions &amp; Spellcraft</v>
      </c>
      <c r="B2260" s="78" t="str">
        <f>IFERROR(__xludf.DUMMYFUNCTION("""COMPUTED_VALUE"""),"Spirit Squadron")</f>
        <v>Spirit Squadron</v>
      </c>
      <c r="C2260" s="79">
        <f>IFERROR(__xludf.DUMMYFUNCTION("""COMPUTED_VALUE"""),0.0)</f>
        <v>0</v>
      </c>
      <c r="D2260" s="79">
        <f>IFERROR(__xludf.DUMMYFUNCTION("""COMPUTED_VALUE"""),0.0)</f>
        <v>0</v>
      </c>
      <c r="E2260" s="69" t="b">
        <f>IFERROR(__xludf.DUMMYFUNCTION("""COMPUTED_VALUE"""),TRUE)</f>
        <v>1</v>
      </c>
    </row>
    <row r="2261" hidden="1">
      <c r="A2261" s="78" t="str">
        <f>IFERROR(__xludf.DUMMYFUNCTION("""COMPUTED_VALUE"""),"Scions &amp; Spellcraft")</f>
        <v>Scions &amp; Spellcraft</v>
      </c>
      <c r="B2261" s="78" t="str">
        <f>IFERROR(__xludf.DUMMYFUNCTION("""COMPUTED_VALUE"""),"Squirreled Away")</f>
        <v>Squirreled Away</v>
      </c>
      <c r="C2261" s="79">
        <f>IFERROR(__xludf.DUMMYFUNCTION("""COMPUTED_VALUE"""),0.0)</f>
        <v>0</v>
      </c>
      <c r="D2261" s="79">
        <f>IFERROR(__xludf.DUMMYFUNCTION("""COMPUTED_VALUE"""),0.0)</f>
        <v>0</v>
      </c>
      <c r="E2261" s="69" t="b">
        <f>IFERROR(__xludf.DUMMYFUNCTION("""COMPUTED_VALUE"""),TRUE)</f>
        <v>1</v>
      </c>
    </row>
    <row r="2262" hidden="1">
      <c r="A2262" s="78" t="str">
        <f>IFERROR(__xludf.DUMMYFUNCTION("""COMPUTED_VALUE"""),"Scions &amp; Spellcraft")</f>
        <v>Scions &amp; Spellcraft</v>
      </c>
      <c r="B2262" s="78" t="str">
        <f>IFERROR(__xludf.DUMMYFUNCTION("""COMPUTED_VALUE"""),"Sultai Arisen")</f>
        <v>Sultai Arisen</v>
      </c>
      <c r="C2262" s="79">
        <f>IFERROR(__xludf.DUMMYFUNCTION("""COMPUTED_VALUE"""),0.0)</f>
        <v>0</v>
      </c>
      <c r="D2262" s="79">
        <f>IFERROR(__xludf.DUMMYFUNCTION("""COMPUTED_VALUE"""),0.0)</f>
        <v>0</v>
      </c>
      <c r="E2262" s="69" t="b">
        <f>IFERROR(__xludf.DUMMYFUNCTION("""COMPUTED_VALUE"""),TRUE)</f>
        <v>1</v>
      </c>
    </row>
    <row r="2263" hidden="1">
      <c r="A2263" s="78" t="str">
        <f>IFERROR(__xludf.DUMMYFUNCTION("""COMPUTED_VALUE"""),"Scions &amp; Spellcraft")</f>
        <v>Scions &amp; Spellcraft</v>
      </c>
      <c r="B2263" s="78" t="str">
        <f>IFERROR(__xludf.DUMMYFUNCTION("""COMPUTED_VALUE"""),"Temur Roar")</f>
        <v>Temur Roar</v>
      </c>
      <c r="C2263" s="79">
        <f>IFERROR(__xludf.DUMMYFUNCTION("""COMPUTED_VALUE"""),0.0)</f>
        <v>0</v>
      </c>
      <c r="D2263" s="79">
        <f>IFERROR(__xludf.DUMMYFUNCTION("""COMPUTED_VALUE"""),0.0)</f>
        <v>0</v>
      </c>
      <c r="E2263" s="69" t="b">
        <f>IFERROR(__xludf.DUMMYFUNCTION("""COMPUTED_VALUE"""),TRUE)</f>
        <v>1</v>
      </c>
    </row>
    <row r="2264" hidden="1">
      <c r="A2264" s="78" t="str">
        <f>IFERROR(__xludf.DUMMYFUNCTION("""COMPUTED_VALUE"""),"Scions &amp; Spellcraft")</f>
        <v>Scions &amp; Spellcraft</v>
      </c>
      <c r="B2264" s="78" t="str">
        <f>IFERROR(__xludf.DUMMYFUNCTION("""COMPUTED_VALUE"""),"The Hosts of Mordor")</f>
        <v>The Hosts of Mordor</v>
      </c>
      <c r="C2264" s="79">
        <f>IFERROR(__xludf.DUMMYFUNCTION("""COMPUTED_VALUE"""),0.0)</f>
        <v>0</v>
      </c>
      <c r="D2264" s="79">
        <f>IFERROR(__xludf.DUMMYFUNCTION("""COMPUTED_VALUE"""),0.0)</f>
        <v>0</v>
      </c>
      <c r="E2264" s="69" t="b">
        <f>IFERROR(__xludf.DUMMYFUNCTION("""COMPUTED_VALUE"""),TRUE)</f>
        <v>1</v>
      </c>
    </row>
    <row r="2265" hidden="1">
      <c r="A2265" s="78" t="str">
        <f>IFERROR(__xludf.DUMMYFUNCTION("""COMPUTED_VALUE"""),"Scions &amp; Spellcraft")</f>
        <v>Scions &amp; Spellcraft</v>
      </c>
      <c r="B2265" s="78" t="str">
        <f>IFERROR(__xludf.DUMMYFUNCTION("""COMPUTED_VALUE"""),"The Ruinous Powers")</f>
        <v>The Ruinous Powers</v>
      </c>
      <c r="C2265" s="79">
        <f>IFERROR(__xludf.DUMMYFUNCTION("""COMPUTED_VALUE"""),0.0)</f>
        <v>0</v>
      </c>
      <c r="D2265" s="79">
        <f>IFERROR(__xludf.DUMMYFUNCTION("""COMPUTED_VALUE"""),0.0)</f>
        <v>0</v>
      </c>
      <c r="E2265" s="69" t="b">
        <f>IFERROR(__xludf.DUMMYFUNCTION("""COMPUTED_VALUE"""),TRUE)</f>
        <v>1</v>
      </c>
    </row>
    <row r="2266" hidden="1">
      <c r="A2266" s="78" t="str">
        <f>IFERROR(__xludf.DUMMYFUNCTION("""COMPUTED_VALUE"""),"Scions &amp; Spellcraft")</f>
        <v>Scions &amp; Spellcraft</v>
      </c>
      <c r="B2266" s="78" t="str">
        <f>IFERROR(__xludf.DUMMYFUNCTION("""COMPUTED_VALUE"""),"Timey-Wimey")</f>
        <v>Timey-Wimey</v>
      </c>
      <c r="C2266" s="79">
        <f>IFERROR(__xludf.DUMMYFUNCTION("""COMPUTED_VALUE"""),0.0)</f>
        <v>0</v>
      </c>
      <c r="D2266" s="79">
        <f>IFERROR(__xludf.DUMMYFUNCTION("""COMPUTED_VALUE"""),0.0)</f>
        <v>0</v>
      </c>
      <c r="E2266" s="69" t="b">
        <f>IFERROR(__xludf.DUMMYFUNCTION("""COMPUTED_VALUE"""),TRUE)</f>
        <v>1</v>
      </c>
    </row>
    <row r="2267" hidden="1">
      <c r="A2267" s="78" t="str">
        <f>IFERROR(__xludf.DUMMYFUNCTION("""COMPUTED_VALUE"""),"Scions &amp; Spellcraft")</f>
        <v>Scions &amp; Spellcraft</v>
      </c>
      <c r="B2267" s="78" t="str">
        <f>IFERROR(__xludf.DUMMYFUNCTION("""COMPUTED_VALUE"""),"Tinker Time")</f>
        <v>Tinker Time</v>
      </c>
      <c r="C2267" s="79">
        <f>IFERROR(__xludf.DUMMYFUNCTION("""COMPUTED_VALUE"""),0.0)</f>
        <v>0</v>
      </c>
      <c r="D2267" s="79">
        <f>IFERROR(__xludf.DUMMYFUNCTION("""COMPUTED_VALUE"""),1.0)</f>
        <v>1</v>
      </c>
      <c r="E2267" s="69" t="b">
        <f>IFERROR(__xludf.DUMMYFUNCTION("""COMPUTED_VALUE"""),FALSE)</f>
        <v>0</v>
      </c>
    </row>
    <row r="2268" hidden="1">
      <c r="A2268" s="78" t="str">
        <f>IFERROR(__xludf.DUMMYFUNCTION("""COMPUTED_VALUE"""),"Scions &amp; Spellcraft")</f>
        <v>Scions &amp; Spellcraft</v>
      </c>
      <c r="B2268" s="78" t="str">
        <f>IFERROR(__xludf.DUMMYFUNCTION("""COMPUTED_VALUE"""),"Turtle Power!")</f>
        <v>Turtle Power!</v>
      </c>
      <c r="C2268" s="79">
        <f>IFERROR(__xludf.DUMMYFUNCTION("""COMPUTED_VALUE"""),0.0)</f>
        <v>0</v>
      </c>
      <c r="D2268" s="79">
        <f>IFERROR(__xludf.DUMMYFUNCTION("""COMPUTED_VALUE"""),0.0)</f>
        <v>0</v>
      </c>
      <c r="E2268" s="69" t="b">
        <f>IFERROR(__xludf.DUMMYFUNCTION("""COMPUTED_VALUE"""),TRUE)</f>
        <v>1</v>
      </c>
    </row>
    <row r="2269" hidden="1">
      <c r="A2269" s="78" t="str">
        <f>IFERROR(__xludf.DUMMYFUNCTION("""COMPUTED_VALUE"""),"Scions &amp; Spellcraft")</f>
        <v>Scions &amp; Spellcraft</v>
      </c>
      <c r="B2269" s="78" t="str">
        <f>IFERROR(__xludf.DUMMYFUNCTION("""COMPUTED_VALUE"""),"Veloci-ramp-tor")</f>
        <v>Veloci-ramp-tor</v>
      </c>
      <c r="C2269" s="79">
        <f>IFERROR(__xludf.DUMMYFUNCTION("""COMPUTED_VALUE"""),1.0)</f>
        <v>1</v>
      </c>
      <c r="D2269" s="79">
        <f>IFERROR(__xludf.DUMMYFUNCTION("""COMPUTED_VALUE"""),0.0)</f>
        <v>0</v>
      </c>
      <c r="E2269" s="69" t="b">
        <f>IFERROR(__xludf.DUMMYFUNCTION("""COMPUTED_VALUE"""),FALSE)</f>
        <v>0</v>
      </c>
    </row>
    <row r="2270">
      <c r="A2270" s="78" t="str">
        <f>IFERROR(__xludf.DUMMYFUNCTION("""COMPUTED_VALUE"""),"Scrappy Survivors")</f>
        <v>Scrappy Survivors</v>
      </c>
      <c r="B2270" s="78" t="str">
        <f>IFERROR(__xludf.DUMMYFUNCTION("""COMPUTED_VALUE"""),"Ahoy Mateys")</f>
        <v>Ahoy Mateys</v>
      </c>
      <c r="C2270" s="79">
        <f>IFERROR(__xludf.DUMMYFUNCTION("""COMPUTED_VALUE"""),0.0)</f>
        <v>0</v>
      </c>
      <c r="D2270" s="79">
        <f>IFERROR(__xludf.DUMMYFUNCTION("""COMPUTED_VALUE"""),0.0)</f>
        <v>0</v>
      </c>
      <c r="E2270" s="69" t="b">
        <f>IFERROR(__xludf.DUMMYFUNCTION("""COMPUTED_VALUE"""),TRUE)</f>
        <v>1</v>
      </c>
    </row>
    <row r="2271" hidden="1">
      <c r="A2271" s="78" t="str">
        <f>IFERROR(__xludf.DUMMYFUNCTION("""COMPUTED_VALUE"""),"Scrappy Survivors")</f>
        <v>Scrappy Survivors</v>
      </c>
      <c r="B2271" s="78" t="str">
        <f>IFERROR(__xludf.DUMMYFUNCTION("""COMPUTED_VALUE"""),"Animated Army")</f>
        <v>Animated Army</v>
      </c>
      <c r="C2271" s="79">
        <f>IFERROR(__xludf.DUMMYFUNCTION("""COMPUTED_VALUE"""),0.0)</f>
        <v>0</v>
      </c>
      <c r="D2271" s="79">
        <f>IFERROR(__xludf.DUMMYFUNCTION("""COMPUTED_VALUE"""),0.0)</f>
        <v>0</v>
      </c>
      <c r="E2271" s="69" t="b">
        <f>IFERROR(__xludf.DUMMYFUNCTION("""COMPUTED_VALUE"""),TRUE)</f>
        <v>1</v>
      </c>
    </row>
    <row r="2272" hidden="1">
      <c r="A2272" s="78" t="str">
        <f>IFERROR(__xludf.DUMMYFUNCTION("""COMPUTED_VALUE"""),"Scrappy Survivors")</f>
        <v>Scrappy Survivors</v>
      </c>
      <c r="B2272" s="78" t="str">
        <f>IFERROR(__xludf.DUMMYFUNCTION("""COMPUTED_VALUE"""),"Arcane Maelstrom")</f>
        <v>Arcane Maelstrom</v>
      </c>
      <c r="C2272" s="79">
        <f>IFERROR(__xludf.DUMMYFUNCTION("""COMPUTED_VALUE"""),1.0)</f>
        <v>1</v>
      </c>
      <c r="D2272" s="79">
        <f>IFERROR(__xludf.DUMMYFUNCTION("""COMPUTED_VALUE"""),0.0)</f>
        <v>0</v>
      </c>
      <c r="E2272" s="69" t="b">
        <f>IFERROR(__xludf.DUMMYFUNCTION("""COMPUTED_VALUE"""),FALSE)</f>
        <v>0</v>
      </c>
    </row>
    <row r="2273" hidden="1">
      <c r="A2273" s="78" t="str">
        <f>IFERROR(__xludf.DUMMYFUNCTION("""COMPUTED_VALUE"""),"Scrappy Survivors")</f>
        <v>Scrappy Survivors</v>
      </c>
      <c r="B2273" s="78" t="str">
        <f>IFERROR(__xludf.DUMMYFUNCTION("""COMPUTED_VALUE"""),"Blame Game")</f>
        <v>Blame Game</v>
      </c>
      <c r="C2273" s="79">
        <f>IFERROR(__xludf.DUMMYFUNCTION("""COMPUTED_VALUE"""),0.0)</f>
        <v>0</v>
      </c>
      <c r="D2273" s="79">
        <f>IFERROR(__xludf.DUMMYFUNCTION("""COMPUTED_VALUE"""),0.0)</f>
        <v>0</v>
      </c>
      <c r="E2273" s="69" t="b">
        <f>IFERROR(__xludf.DUMMYFUNCTION("""COMPUTED_VALUE"""),TRUE)</f>
        <v>1</v>
      </c>
    </row>
    <row r="2274" hidden="1">
      <c r="A2274" s="78" t="str">
        <f>IFERROR(__xludf.DUMMYFUNCTION("""COMPUTED_VALUE"""),"Scrappy Survivors")</f>
        <v>Scrappy Survivors</v>
      </c>
      <c r="B2274" s="78" t="str">
        <f>IFERROR(__xludf.DUMMYFUNCTION("""COMPUTED_VALUE"""),"Blight Curse")</f>
        <v>Blight Curse</v>
      </c>
      <c r="C2274" s="79">
        <f>IFERROR(__xludf.DUMMYFUNCTION("""COMPUTED_VALUE"""),0.0)</f>
        <v>0</v>
      </c>
      <c r="D2274" s="79">
        <f>IFERROR(__xludf.DUMMYFUNCTION("""COMPUTED_VALUE"""),0.0)</f>
        <v>0</v>
      </c>
      <c r="E2274" s="69" t="b">
        <f>IFERROR(__xludf.DUMMYFUNCTION("""COMPUTED_VALUE"""),TRUE)</f>
        <v>1</v>
      </c>
    </row>
    <row r="2275" hidden="1">
      <c r="A2275" s="78" t="str">
        <f>IFERROR(__xludf.DUMMYFUNCTION("""COMPUTED_VALUE"""),"Scrappy Survivors")</f>
        <v>Scrappy Survivors</v>
      </c>
      <c r="B2275" s="78" t="str">
        <f>IFERROR(__xludf.DUMMYFUNCTION("""COMPUTED_VALUE"""),"Blood Rites")</f>
        <v>Blood Rites</v>
      </c>
      <c r="C2275" s="79">
        <f>IFERROR(__xludf.DUMMYFUNCTION("""COMPUTED_VALUE"""),0.0)</f>
        <v>0</v>
      </c>
      <c r="D2275" s="79">
        <f>IFERROR(__xludf.DUMMYFUNCTION("""COMPUTED_VALUE"""),0.0)</f>
        <v>0</v>
      </c>
      <c r="E2275" s="69" t="b">
        <f>IFERROR(__xludf.DUMMYFUNCTION("""COMPUTED_VALUE"""),TRUE)</f>
        <v>1</v>
      </c>
    </row>
    <row r="2276">
      <c r="A2276" s="78" t="str">
        <f>IFERROR(__xludf.DUMMYFUNCTION("""COMPUTED_VALUE"""),"Scrappy Survivors")</f>
        <v>Scrappy Survivors</v>
      </c>
      <c r="B2276" s="78" t="str">
        <f>IFERROR(__xludf.DUMMYFUNCTION("""COMPUTED_VALUE"""),"Buckle Up")</f>
        <v>Buckle Up</v>
      </c>
      <c r="C2276" s="79">
        <f>IFERROR(__xludf.DUMMYFUNCTION("""COMPUTED_VALUE"""),0.0)</f>
        <v>0</v>
      </c>
      <c r="D2276" s="79">
        <f>IFERROR(__xludf.DUMMYFUNCTION("""COMPUTED_VALUE"""),0.0)</f>
        <v>0</v>
      </c>
      <c r="E2276" s="69" t="b">
        <f>IFERROR(__xludf.DUMMYFUNCTION("""COMPUTED_VALUE"""),TRUE)</f>
        <v>1</v>
      </c>
    </row>
    <row r="2277" hidden="1">
      <c r="A2277" s="78" t="str">
        <f>IFERROR(__xludf.DUMMYFUNCTION("""COMPUTED_VALUE"""),"Scrappy Survivors")</f>
        <v>Scrappy Survivors</v>
      </c>
      <c r="B2277" s="78" t="str">
        <f>IFERROR(__xludf.DUMMYFUNCTION("""COMPUTED_VALUE"""),"Cabaretti Cacophony")</f>
        <v>Cabaretti Cacophony</v>
      </c>
      <c r="C2277" s="79">
        <f>IFERROR(__xludf.DUMMYFUNCTION("""COMPUTED_VALUE"""),0.0)</f>
        <v>0</v>
      </c>
      <c r="D2277" s="79">
        <f>IFERROR(__xludf.DUMMYFUNCTION("""COMPUTED_VALUE"""),0.0)</f>
        <v>0</v>
      </c>
      <c r="E2277" s="69" t="b">
        <f>IFERROR(__xludf.DUMMYFUNCTION("""COMPUTED_VALUE"""),TRUE)</f>
        <v>1</v>
      </c>
    </row>
    <row r="2278" hidden="1">
      <c r="A2278" s="78" t="str">
        <f>IFERROR(__xludf.DUMMYFUNCTION("""COMPUTED_VALUE"""),"Scrappy Survivors")</f>
        <v>Scrappy Survivors</v>
      </c>
      <c r="B2278" s="78" t="str">
        <f>IFERROR(__xludf.DUMMYFUNCTION("""COMPUTED_VALUE"""),"Cavalry Charge")</f>
        <v>Cavalry Charge</v>
      </c>
      <c r="C2278" s="79">
        <f>IFERROR(__xludf.DUMMYFUNCTION("""COMPUTED_VALUE"""),0.0)</f>
        <v>0</v>
      </c>
      <c r="D2278" s="79">
        <f>IFERROR(__xludf.DUMMYFUNCTION("""COMPUTED_VALUE"""),0.0)</f>
        <v>0</v>
      </c>
      <c r="E2278" s="69" t="b">
        <f>IFERROR(__xludf.DUMMYFUNCTION("""COMPUTED_VALUE"""),TRUE)</f>
        <v>1</v>
      </c>
    </row>
    <row r="2279" hidden="1">
      <c r="A2279" s="78" t="str">
        <f>IFERROR(__xludf.DUMMYFUNCTION("""COMPUTED_VALUE"""),"Scrappy Survivors")</f>
        <v>Scrappy Survivors</v>
      </c>
      <c r="B2279" s="78" t="str">
        <f>IFERROR(__xludf.DUMMYFUNCTION("""COMPUTED_VALUE"""),"Corrupting Influence")</f>
        <v>Corrupting Influence</v>
      </c>
      <c r="C2279" s="79">
        <f>IFERROR(__xludf.DUMMYFUNCTION("""COMPUTED_VALUE"""),0.0)</f>
        <v>0</v>
      </c>
      <c r="D2279" s="79">
        <f>IFERROR(__xludf.DUMMYFUNCTION("""COMPUTED_VALUE"""),0.0)</f>
        <v>0</v>
      </c>
      <c r="E2279" s="69" t="b">
        <f>IFERROR(__xludf.DUMMYFUNCTION("""COMPUTED_VALUE"""),TRUE)</f>
        <v>1</v>
      </c>
    </row>
    <row r="2280" hidden="1">
      <c r="A2280" s="78" t="str">
        <f>IFERROR(__xludf.DUMMYFUNCTION("""COMPUTED_VALUE"""),"Scrappy Survivors")</f>
        <v>Scrappy Survivors</v>
      </c>
      <c r="B2280" s="78" t="str">
        <f>IFERROR(__xludf.DUMMYFUNCTION("""COMPUTED_VALUE"""),"Counter Blitz")</f>
        <v>Counter Blitz</v>
      </c>
      <c r="C2280" s="79">
        <f>IFERROR(__xludf.DUMMYFUNCTION("""COMPUTED_VALUE"""),1.0)</f>
        <v>1</v>
      </c>
      <c r="D2280" s="79">
        <f>IFERROR(__xludf.DUMMYFUNCTION("""COMPUTED_VALUE"""),0.0)</f>
        <v>0</v>
      </c>
      <c r="E2280" s="69" t="b">
        <f>IFERROR(__xludf.DUMMYFUNCTION("""COMPUTED_VALUE"""),FALSE)</f>
        <v>0</v>
      </c>
    </row>
    <row r="2281">
      <c r="A2281" s="78" t="str">
        <f>IFERROR(__xludf.DUMMYFUNCTION("""COMPUTED_VALUE"""),"Scrappy Survivors")</f>
        <v>Scrappy Survivors</v>
      </c>
      <c r="B2281" s="78" t="str">
        <f>IFERROR(__xludf.DUMMYFUNCTION("""COMPUTED_VALUE"""),"Counter Intelligence")</f>
        <v>Counter Intelligence</v>
      </c>
      <c r="C2281" s="79">
        <f>IFERROR(__xludf.DUMMYFUNCTION("""COMPUTED_VALUE"""),0.0)</f>
        <v>0</v>
      </c>
      <c r="D2281" s="79">
        <f>IFERROR(__xludf.DUMMYFUNCTION("""COMPUTED_VALUE"""),0.0)</f>
        <v>0</v>
      </c>
      <c r="E2281" s="69" t="b">
        <f>IFERROR(__xludf.DUMMYFUNCTION("""COMPUTED_VALUE"""),TRUE)</f>
        <v>1</v>
      </c>
    </row>
    <row r="2282" hidden="1">
      <c r="A2282" s="78" t="str">
        <f>IFERROR(__xludf.DUMMYFUNCTION("""COMPUTED_VALUE"""),"Scrappy Survivors")</f>
        <v>Scrappy Survivors</v>
      </c>
      <c r="B2282" s="78" t="str">
        <f>IFERROR(__xludf.DUMMYFUNCTION("""COMPUTED_VALUE"""),"Creative Energy")</f>
        <v>Creative Energy</v>
      </c>
      <c r="C2282" s="79">
        <f>IFERROR(__xludf.DUMMYFUNCTION("""COMPUTED_VALUE"""),0.0)</f>
        <v>0</v>
      </c>
      <c r="D2282" s="79">
        <f>IFERROR(__xludf.DUMMYFUNCTION("""COMPUTED_VALUE"""),0.0)</f>
        <v>0</v>
      </c>
      <c r="E2282" s="69" t="b">
        <f>IFERROR(__xludf.DUMMYFUNCTION("""COMPUTED_VALUE"""),TRUE)</f>
        <v>1</v>
      </c>
    </row>
    <row r="2283" hidden="1">
      <c r="A2283" s="78" t="str">
        <f>IFERROR(__xludf.DUMMYFUNCTION("""COMPUTED_VALUE"""),"Scrappy Survivors")</f>
        <v>Scrappy Survivors</v>
      </c>
      <c r="B2283" s="78" t="str">
        <f>IFERROR(__xludf.DUMMYFUNCTION("""COMPUTED_VALUE"""),"Dance of the Elements")</f>
        <v>Dance of the Elements</v>
      </c>
      <c r="C2283" s="79">
        <f>IFERROR(__xludf.DUMMYFUNCTION("""COMPUTED_VALUE"""),0.0)</f>
        <v>0</v>
      </c>
      <c r="D2283" s="79">
        <f>IFERROR(__xludf.DUMMYFUNCTION("""COMPUTED_VALUE"""),0.0)</f>
        <v>0</v>
      </c>
      <c r="E2283" s="69" t="b">
        <f>IFERROR(__xludf.DUMMYFUNCTION("""COMPUTED_VALUE"""),TRUE)</f>
        <v>1</v>
      </c>
    </row>
    <row r="2284" hidden="1">
      <c r="A2284" s="78" t="str">
        <f>IFERROR(__xludf.DUMMYFUNCTION("""COMPUTED_VALUE"""),"Scrappy Survivors")</f>
        <v>Scrappy Survivors</v>
      </c>
      <c r="B2284" s="78" t="str">
        <f>IFERROR(__xludf.DUMMYFUNCTION("""COMPUTED_VALUE"""),"Deep Clue Sea")</f>
        <v>Deep Clue Sea</v>
      </c>
      <c r="C2284" s="79">
        <f>IFERROR(__xludf.DUMMYFUNCTION("""COMPUTED_VALUE"""),0.0)</f>
        <v>0</v>
      </c>
      <c r="D2284" s="79">
        <f>IFERROR(__xludf.DUMMYFUNCTION("""COMPUTED_VALUE"""),0.0)</f>
        <v>0</v>
      </c>
      <c r="E2284" s="69" t="b">
        <f>IFERROR(__xludf.DUMMYFUNCTION("""COMPUTED_VALUE"""),TRUE)</f>
        <v>1</v>
      </c>
    </row>
    <row r="2285" hidden="1">
      <c r="A2285" s="78" t="str">
        <f>IFERROR(__xludf.DUMMYFUNCTION("""COMPUTED_VALUE"""),"Scrappy Survivors")</f>
        <v>Scrappy Survivors</v>
      </c>
      <c r="B2285" s="78" t="str">
        <f>IFERROR(__xludf.DUMMYFUNCTION("""COMPUTED_VALUE"""),"Doom Prevails")</f>
        <v>Doom Prevails</v>
      </c>
      <c r="C2285" s="79">
        <f>IFERROR(__xludf.DUMMYFUNCTION("""COMPUTED_VALUE"""),0.0)</f>
        <v>0</v>
      </c>
      <c r="D2285" s="79">
        <f>IFERROR(__xludf.DUMMYFUNCTION("""COMPUTED_VALUE"""),0.0)</f>
        <v>0</v>
      </c>
      <c r="E2285" s="69" t="b">
        <f>IFERROR(__xludf.DUMMYFUNCTION("""COMPUTED_VALUE"""),TRUE)</f>
        <v>1</v>
      </c>
    </row>
    <row r="2286">
      <c r="A2286" s="78" t="str">
        <f>IFERROR(__xludf.DUMMYFUNCTION("""COMPUTED_VALUE"""),"Scrappy Survivors")</f>
        <v>Scrappy Survivors</v>
      </c>
      <c r="B2286" s="78" t="str">
        <f>IFERROR(__xludf.DUMMYFUNCTION("""COMPUTED_VALUE"""),"Eldrazi Incursion")</f>
        <v>Eldrazi Incursion</v>
      </c>
      <c r="C2286" s="79">
        <f>IFERROR(__xludf.DUMMYFUNCTION("""COMPUTED_VALUE"""),0.0)</f>
        <v>0</v>
      </c>
      <c r="D2286" s="79">
        <f>IFERROR(__xludf.DUMMYFUNCTION("""COMPUTED_VALUE"""),0.0)</f>
        <v>0</v>
      </c>
      <c r="E2286" s="69" t="b">
        <f>IFERROR(__xludf.DUMMYFUNCTION("""COMPUTED_VALUE"""),TRUE)</f>
        <v>1</v>
      </c>
    </row>
    <row r="2287">
      <c r="A2287" s="78" t="str">
        <f>IFERROR(__xludf.DUMMYFUNCTION("""COMPUTED_VALUE"""),"Scrappy Survivors")</f>
        <v>Scrappy Survivors</v>
      </c>
      <c r="B2287" s="78" t="str">
        <f>IFERROR(__xludf.DUMMYFUNCTION("""COMPUTED_VALUE"""),"Eldrazi Unbound")</f>
        <v>Eldrazi Unbound</v>
      </c>
      <c r="C2287" s="79">
        <f>IFERROR(__xludf.DUMMYFUNCTION("""COMPUTED_VALUE"""),0.0)</f>
        <v>0</v>
      </c>
      <c r="D2287" s="79">
        <f>IFERROR(__xludf.DUMMYFUNCTION("""COMPUTED_VALUE"""),0.0)</f>
        <v>0</v>
      </c>
      <c r="E2287" s="69" t="b">
        <f>IFERROR(__xludf.DUMMYFUNCTION("""COMPUTED_VALUE"""),TRUE)</f>
        <v>1</v>
      </c>
    </row>
    <row r="2288" hidden="1">
      <c r="A2288" s="78" t="str">
        <f>IFERROR(__xludf.DUMMYFUNCTION("""COMPUTED_VALUE"""),"Scrappy Survivors")</f>
        <v>Scrappy Survivors</v>
      </c>
      <c r="B2288" s="78" t="str">
        <f>IFERROR(__xludf.DUMMYFUNCTION("""COMPUTED_VALUE"""),"Endless Punishment")</f>
        <v>Endless Punishment</v>
      </c>
      <c r="C2288" s="79">
        <f>IFERROR(__xludf.DUMMYFUNCTION("""COMPUTED_VALUE"""),0.0)</f>
        <v>0</v>
      </c>
      <c r="D2288" s="79">
        <f>IFERROR(__xludf.DUMMYFUNCTION("""COMPUTED_VALUE"""),0.0)</f>
        <v>0</v>
      </c>
      <c r="E2288" s="69" t="b">
        <f>IFERROR(__xludf.DUMMYFUNCTION("""COMPUTED_VALUE"""),TRUE)</f>
        <v>1</v>
      </c>
    </row>
    <row r="2289" hidden="1">
      <c r="A2289" s="78" t="str">
        <f>IFERROR(__xludf.DUMMYFUNCTION("""COMPUTED_VALUE"""),"Scrappy Survivors")</f>
        <v>Scrappy Survivors</v>
      </c>
      <c r="B2289" s="78" t="str">
        <f>IFERROR(__xludf.DUMMYFUNCTION("""COMPUTED_VALUE"""),"Enduring Enchantments")</f>
        <v>Enduring Enchantments</v>
      </c>
      <c r="C2289" s="79">
        <f>IFERROR(__xludf.DUMMYFUNCTION("""COMPUTED_VALUE"""),0.0)</f>
        <v>0</v>
      </c>
      <c r="D2289" s="79">
        <f>IFERROR(__xludf.DUMMYFUNCTION("""COMPUTED_VALUE"""),0.0)</f>
        <v>0</v>
      </c>
      <c r="E2289" s="69" t="b">
        <f>IFERROR(__xludf.DUMMYFUNCTION("""COMPUTED_VALUE"""),TRUE)</f>
        <v>1</v>
      </c>
    </row>
    <row r="2290" hidden="1">
      <c r="A2290" s="78" t="str">
        <f>IFERROR(__xludf.DUMMYFUNCTION("""COMPUTED_VALUE"""),"Scrappy Survivors")</f>
        <v>Scrappy Survivors</v>
      </c>
      <c r="B2290" s="78" t="str">
        <f>IFERROR(__xludf.DUMMYFUNCTION("""COMPUTED_VALUE"""),"Explorers of the Deep")</f>
        <v>Explorers of the Deep</v>
      </c>
      <c r="C2290" s="79">
        <f>IFERROR(__xludf.DUMMYFUNCTION("""COMPUTED_VALUE"""),0.0)</f>
        <v>0</v>
      </c>
      <c r="D2290" s="79">
        <f>IFERROR(__xludf.DUMMYFUNCTION("""COMPUTED_VALUE"""),0.0)</f>
        <v>0</v>
      </c>
      <c r="E2290" s="69" t="b">
        <f>IFERROR(__xludf.DUMMYFUNCTION("""COMPUTED_VALUE"""),TRUE)</f>
        <v>1</v>
      </c>
    </row>
    <row r="2291" hidden="1">
      <c r="A2291" s="78" t="str">
        <f>IFERROR(__xludf.DUMMYFUNCTION("""COMPUTED_VALUE"""),"Scrappy Survivors")</f>
        <v>Scrappy Survivors</v>
      </c>
      <c r="B2291" s="78" t="str">
        <f>IFERROR(__xludf.DUMMYFUNCTION("""COMPUTED_VALUE"""),"Family Matters")</f>
        <v>Family Matters</v>
      </c>
      <c r="C2291" s="79">
        <f>IFERROR(__xludf.DUMMYFUNCTION("""COMPUTED_VALUE"""),0.0)</f>
        <v>0</v>
      </c>
      <c r="D2291" s="79">
        <f>IFERROR(__xludf.DUMMYFUNCTION("""COMPUTED_VALUE"""),0.0)</f>
        <v>0</v>
      </c>
      <c r="E2291" s="69" t="b">
        <f>IFERROR(__xludf.DUMMYFUNCTION("""COMPUTED_VALUE"""),TRUE)</f>
        <v>1</v>
      </c>
    </row>
    <row r="2292" hidden="1">
      <c r="A2292" s="78" t="str">
        <f>IFERROR(__xludf.DUMMYFUNCTION("""COMPUTED_VALUE"""),"Scrappy Survivors")</f>
        <v>Scrappy Survivors</v>
      </c>
      <c r="B2292" s="78" t="str">
        <f>IFERROR(__xludf.DUMMYFUNCTION("""COMPUTED_VALUE"""),"Food and Fellowship")</f>
        <v>Food and Fellowship</v>
      </c>
      <c r="C2292" s="79">
        <f>IFERROR(__xludf.DUMMYFUNCTION("""COMPUTED_VALUE"""),0.0)</f>
        <v>0</v>
      </c>
      <c r="D2292" s="79">
        <f>IFERROR(__xludf.DUMMYFUNCTION("""COMPUTED_VALUE"""),0.0)</f>
        <v>0</v>
      </c>
      <c r="E2292" s="69" t="b">
        <f>IFERROR(__xludf.DUMMYFUNCTION("""COMPUTED_VALUE"""),TRUE)</f>
        <v>1</v>
      </c>
    </row>
    <row r="2293" hidden="1">
      <c r="A2293" s="78" t="str">
        <f>IFERROR(__xludf.DUMMYFUNCTION("""COMPUTED_VALUE"""),"Scrappy Survivors")</f>
        <v>Scrappy Survivors</v>
      </c>
      <c r="B2293" s="78" t="str">
        <f>IFERROR(__xludf.DUMMYFUNCTION("""COMPUTED_VALUE"""),"Jeskai Striker")</f>
        <v>Jeskai Striker</v>
      </c>
      <c r="C2293" s="79">
        <f>IFERROR(__xludf.DUMMYFUNCTION("""COMPUTED_VALUE"""),0.0)</f>
        <v>0</v>
      </c>
      <c r="D2293" s="79">
        <f>IFERROR(__xludf.DUMMYFUNCTION("""COMPUTED_VALUE"""),0.0)</f>
        <v>0</v>
      </c>
      <c r="E2293" s="69" t="b">
        <f>IFERROR(__xludf.DUMMYFUNCTION("""COMPUTED_VALUE"""),TRUE)</f>
        <v>1</v>
      </c>
    </row>
    <row r="2294" hidden="1">
      <c r="A2294" s="78" t="str">
        <f>IFERROR(__xludf.DUMMYFUNCTION("""COMPUTED_VALUE"""),"Scrappy Survivors")</f>
        <v>Scrappy Survivors</v>
      </c>
      <c r="B2294" s="78" t="str">
        <f>IFERROR(__xludf.DUMMYFUNCTION("""COMPUTED_VALUE"""),"Legends' Legacy")</f>
        <v>Legends' Legacy</v>
      </c>
      <c r="C2294" s="79">
        <f>IFERROR(__xludf.DUMMYFUNCTION("""COMPUTED_VALUE"""),0.0)</f>
        <v>0</v>
      </c>
      <c r="D2294" s="79">
        <f>IFERROR(__xludf.DUMMYFUNCTION("""COMPUTED_VALUE"""),0.0)</f>
        <v>0</v>
      </c>
      <c r="E2294" s="69" t="b">
        <f>IFERROR(__xludf.DUMMYFUNCTION("""COMPUTED_VALUE"""),TRUE)</f>
        <v>1</v>
      </c>
    </row>
    <row r="2295" hidden="1">
      <c r="A2295" s="78" t="str">
        <f>IFERROR(__xludf.DUMMYFUNCTION("""COMPUTED_VALUE"""),"Scrappy Survivors")</f>
        <v>Scrappy Survivors</v>
      </c>
      <c r="B2295" s="78" t="str">
        <f>IFERROR(__xludf.DUMMYFUNCTION("""COMPUTED_VALUE"""),"Limit Break")</f>
        <v>Limit Break</v>
      </c>
      <c r="C2295" s="79">
        <f>IFERROR(__xludf.DUMMYFUNCTION("""COMPUTED_VALUE"""),0.0)</f>
        <v>0</v>
      </c>
      <c r="D2295" s="79">
        <f>IFERROR(__xludf.DUMMYFUNCTION("""COMPUTED_VALUE"""),0.0)</f>
        <v>0</v>
      </c>
      <c r="E2295" s="69" t="b">
        <f>IFERROR(__xludf.DUMMYFUNCTION("""COMPUTED_VALUE"""),TRUE)</f>
        <v>1</v>
      </c>
    </row>
    <row r="2296" hidden="1">
      <c r="A2296" s="78" t="str">
        <f>IFERROR(__xludf.DUMMYFUNCTION("""COMPUTED_VALUE"""),"Scrappy Survivors")</f>
        <v>Scrappy Survivors</v>
      </c>
      <c r="B2296" s="78" t="str">
        <f>IFERROR(__xludf.DUMMYFUNCTION("""COMPUTED_VALUE"""),"Lorehold Spirit")</f>
        <v>Lorehold Spirit</v>
      </c>
      <c r="C2296" s="79">
        <f>IFERROR(__xludf.DUMMYFUNCTION("""COMPUTED_VALUE"""),0.0)</f>
        <v>0</v>
      </c>
      <c r="D2296" s="79">
        <f>IFERROR(__xludf.DUMMYFUNCTION("""COMPUTED_VALUE"""),0.0)</f>
        <v>0</v>
      </c>
      <c r="E2296" s="69" t="b">
        <f>IFERROR(__xludf.DUMMYFUNCTION("""COMPUTED_VALUE"""),TRUE)</f>
        <v>1</v>
      </c>
    </row>
    <row r="2297" hidden="1">
      <c r="A2297" s="78" t="str">
        <f>IFERROR(__xludf.DUMMYFUNCTION("""COMPUTED_VALUE"""),"Scrappy Survivors")</f>
        <v>Scrappy Survivors</v>
      </c>
      <c r="B2297" s="78" t="str">
        <f>IFERROR(__xludf.DUMMYFUNCTION("""COMPUTED_VALUE"""),"Mutant Menace")</f>
        <v>Mutant Menace</v>
      </c>
      <c r="C2297" s="79">
        <f>IFERROR(__xludf.DUMMYFUNCTION("""COMPUTED_VALUE"""),0.0)</f>
        <v>0</v>
      </c>
      <c r="D2297" s="79">
        <f>IFERROR(__xludf.DUMMYFUNCTION("""COMPUTED_VALUE"""),0.0)</f>
        <v>0</v>
      </c>
      <c r="E2297" s="69" t="b">
        <f>IFERROR(__xludf.DUMMYFUNCTION("""COMPUTED_VALUE"""),TRUE)</f>
        <v>1</v>
      </c>
    </row>
    <row r="2298" hidden="1">
      <c r="A2298" s="78" t="str">
        <f>IFERROR(__xludf.DUMMYFUNCTION("""COMPUTED_VALUE"""),"Scrappy Survivors")</f>
        <v>Scrappy Survivors</v>
      </c>
      <c r="B2298" s="78" t="str">
        <f>IFERROR(__xludf.DUMMYFUNCTION("""COMPUTED_VALUE"""),"Party Time")</f>
        <v>Party Time</v>
      </c>
      <c r="C2298" s="79">
        <f>IFERROR(__xludf.DUMMYFUNCTION("""COMPUTED_VALUE"""),0.0)</f>
        <v>0</v>
      </c>
      <c r="D2298" s="79">
        <f>IFERROR(__xludf.DUMMYFUNCTION("""COMPUTED_VALUE"""),0.0)</f>
        <v>0</v>
      </c>
      <c r="E2298" s="69" t="b">
        <f>IFERROR(__xludf.DUMMYFUNCTION("""COMPUTED_VALUE"""),TRUE)</f>
        <v>1</v>
      </c>
    </row>
    <row r="2299" hidden="1">
      <c r="A2299" s="78" t="str">
        <f>IFERROR(__xludf.DUMMYFUNCTION("""COMPUTED_VALUE"""),"Scrappy Survivors")</f>
        <v>Scrappy Survivors</v>
      </c>
      <c r="B2299" s="78" t="str">
        <f>IFERROR(__xludf.DUMMYFUNCTION("""COMPUTED_VALUE"""),"Peace Offering")</f>
        <v>Peace Offering</v>
      </c>
      <c r="C2299" s="79">
        <f>IFERROR(__xludf.DUMMYFUNCTION("""COMPUTED_VALUE"""),0.0)</f>
        <v>0</v>
      </c>
      <c r="D2299" s="79">
        <f>IFERROR(__xludf.DUMMYFUNCTION("""COMPUTED_VALUE"""),0.0)</f>
        <v>0</v>
      </c>
      <c r="E2299" s="69" t="b">
        <f>IFERROR(__xludf.DUMMYFUNCTION("""COMPUTED_VALUE"""),TRUE)</f>
        <v>1</v>
      </c>
    </row>
    <row r="2300" hidden="1">
      <c r="A2300" s="78" t="str">
        <f>IFERROR(__xludf.DUMMYFUNCTION("""COMPUTED_VALUE"""),"Scrappy Survivors")</f>
        <v>Scrappy Survivors</v>
      </c>
      <c r="B2300" s="78" t="str">
        <f>IFERROR(__xludf.DUMMYFUNCTION("""COMPUTED_VALUE"""),"Power Hungry")</f>
        <v>Power Hungry</v>
      </c>
      <c r="C2300" s="79">
        <f>IFERROR(__xludf.DUMMYFUNCTION("""COMPUTED_VALUE"""),0.0)</f>
        <v>0</v>
      </c>
      <c r="D2300" s="79">
        <f>IFERROR(__xludf.DUMMYFUNCTION("""COMPUTED_VALUE"""),0.0)</f>
        <v>0</v>
      </c>
      <c r="E2300" s="69" t="b">
        <f>IFERROR(__xludf.DUMMYFUNCTION("""COMPUTED_VALUE"""),TRUE)</f>
        <v>1</v>
      </c>
    </row>
    <row r="2301">
      <c r="A2301" s="78" t="str">
        <f>IFERROR(__xludf.DUMMYFUNCTION("""COMPUTED_VALUE"""),"Scrappy Survivors")</f>
        <v>Scrappy Survivors</v>
      </c>
      <c r="B2301" s="78" t="str">
        <f>IFERROR(__xludf.DUMMYFUNCTION("""COMPUTED_VALUE"""),"Primal Genesis")</f>
        <v>Primal Genesis</v>
      </c>
      <c r="C2301" s="79">
        <f>IFERROR(__xludf.DUMMYFUNCTION("""COMPUTED_VALUE"""),0.0)</f>
        <v>0</v>
      </c>
      <c r="D2301" s="79">
        <f>IFERROR(__xludf.DUMMYFUNCTION("""COMPUTED_VALUE"""),0.0)</f>
        <v>0</v>
      </c>
      <c r="E2301" s="69" t="b">
        <f>IFERROR(__xludf.DUMMYFUNCTION("""COMPUTED_VALUE"""),TRUE)</f>
        <v>1</v>
      </c>
    </row>
    <row r="2302">
      <c r="A2302" s="78" t="str">
        <f>IFERROR(__xludf.DUMMYFUNCTION("""COMPUTED_VALUE"""),"Scrappy Survivors")</f>
        <v>Scrappy Survivors</v>
      </c>
      <c r="B2302" s="78" t="str">
        <f>IFERROR(__xludf.DUMMYFUNCTION("""COMPUTED_VALUE"""),"Prismari Artistry")</f>
        <v>Prismari Artistry</v>
      </c>
      <c r="C2302" s="79">
        <f>IFERROR(__xludf.DUMMYFUNCTION("""COMPUTED_VALUE"""),0.0)</f>
        <v>0</v>
      </c>
      <c r="D2302" s="79">
        <f>IFERROR(__xludf.DUMMYFUNCTION("""COMPUTED_VALUE"""),0.0)</f>
        <v>0</v>
      </c>
      <c r="E2302" s="69" t="b">
        <f>IFERROR(__xludf.DUMMYFUNCTION("""COMPUTED_VALUE"""),TRUE)</f>
        <v>1</v>
      </c>
    </row>
    <row r="2303" hidden="1">
      <c r="A2303" s="78" t="str">
        <f>IFERROR(__xludf.DUMMYFUNCTION("""COMPUTED_VALUE"""),"Scrappy Survivors")</f>
        <v>Scrappy Survivors</v>
      </c>
      <c r="B2303" s="78" t="str">
        <f>IFERROR(__xludf.DUMMYFUNCTION("""COMPUTED_VALUE"""),"Prismari Performance")</f>
        <v>Prismari Performance</v>
      </c>
      <c r="C2303" s="79">
        <f>IFERROR(__xludf.DUMMYFUNCTION("""COMPUTED_VALUE"""),0.0)</f>
        <v>0</v>
      </c>
      <c r="D2303" s="79">
        <f>IFERROR(__xludf.DUMMYFUNCTION("""COMPUTED_VALUE"""),0.0)</f>
        <v>0</v>
      </c>
      <c r="E2303" s="69" t="b">
        <f>IFERROR(__xludf.DUMMYFUNCTION("""COMPUTED_VALUE"""),TRUE)</f>
        <v>1</v>
      </c>
    </row>
    <row r="2304" hidden="1">
      <c r="A2304" s="78" t="str">
        <f>IFERROR(__xludf.DUMMYFUNCTION("""COMPUTED_VALUE"""),"Scrappy Survivors")</f>
        <v>Scrappy Survivors</v>
      </c>
      <c r="B2304" s="78" t="str">
        <f>IFERROR(__xludf.DUMMYFUNCTION("""COMPUTED_VALUE"""),"Quandrix Unlimited")</f>
        <v>Quandrix Unlimited</v>
      </c>
      <c r="C2304" s="79">
        <f>IFERROR(__xludf.DUMMYFUNCTION("""COMPUTED_VALUE"""),0.0)</f>
        <v>0</v>
      </c>
      <c r="D2304" s="79">
        <f>IFERROR(__xludf.DUMMYFUNCTION("""COMPUTED_VALUE"""),0.0)</f>
        <v>0</v>
      </c>
      <c r="E2304" s="69" t="b">
        <f>IFERROR(__xludf.DUMMYFUNCTION("""COMPUTED_VALUE"""),TRUE)</f>
        <v>1</v>
      </c>
    </row>
    <row r="2305" hidden="1">
      <c r="A2305" s="78" t="str">
        <f>IFERROR(__xludf.DUMMYFUNCTION("""COMPUTED_VALUE"""),"Scrappy Survivors")</f>
        <v>Scrappy Survivors</v>
      </c>
      <c r="B2305" s="78" t="str">
        <f>IFERROR(__xludf.DUMMYFUNCTION("""COMPUTED_VALUE"""),"Quick Draw")</f>
        <v>Quick Draw</v>
      </c>
      <c r="C2305" s="79">
        <f>IFERROR(__xludf.DUMMYFUNCTION("""COMPUTED_VALUE"""),0.0)</f>
        <v>0</v>
      </c>
      <c r="D2305" s="79">
        <f>IFERROR(__xludf.DUMMYFUNCTION("""COMPUTED_VALUE"""),1.0)</f>
        <v>1</v>
      </c>
      <c r="E2305" s="69" t="b">
        <f>IFERROR(__xludf.DUMMYFUNCTION("""COMPUTED_VALUE"""),FALSE)</f>
        <v>0</v>
      </c>
    </row>
    <row r="2306" hidden="1">
      <c r="A2306" s="78" t="str">
        <f>IFERROR(__xludf.DUMMYFUNCTION("""COMPUTED_VALUE"""),"Scrappy Survivors")</f>
        <v>Scrappy Survivors</v>
      </c>
      <c r="B2306" s="78" t="str">
        <f>IFERROR(__xludf.DUMMYFUNCTION("""COMPUTED_VALUE"""),"Reap the Tides")</f>
        <v>Reap the Tides</v>
      </c>
      <c r="C2306" s="79">
        <f>IFERROR(__xludf.DUMMYFUNCTION("""COMPUTED_VALUE"""),0.0)</f>
        <v>0</v>
      </c>
      <c r="D2306" s="79">
        <f>IFERROR(__xludf.DUMMYFUNCTION("""COMPUTED_VALUE"""),0.0)</f>
        <v>0</v>
      </c>
      <c r="E2306" s="69" t="b">
        <f>IFERROR(__xludf.DUMMYFUNCTION("""COMPUTED_VALUE"""),TRUE)</f>
        <v>1</v>
      </c>
    </row>
    <row r="2307" hidden="1">
      <c r="A2307" s="78" t="str">
        <f>IFERROR(__xludf.DUMMYFUNCTION("""COMPUTED_VALUE"""),"Scrappy Survivors")</f>
        <v>Scrappy Survivors</v>
      </c>
      <c r="B2307" s="78" t="str">
        <f>IFERROR(__xludf.DUMMYFUNCTION("""COMPUTED_VALUE"""),"Rebellion Rising")</f>
        <v>Rebellion Rising</v>
      </c>
      <c r="C2307" s="79">
        <f>IFERROR(__xludf.DUMMYFUNCTION("""COMPUTED_VALUE"""),0.0)</f>
        <v>0</v>
      </c>
      <c r="D2307" s="79">
        <f>IFERROR(__xludf.DUMMYFUNCTION("""COMPUTED_VALUE"""),0.0)</f>
        <v>0</v>
      </c>
      <c r="E2307" s="69" t="b">
        <f>IFERROR(__xludf.DUMMYFUNCTION("""COMPUTED_VALUE"""),TRUE)</f>
        <v>1</v>
      </c>
    </row>
    <row r="2308" hidden="1">
      <c r="A2308" s="78" t="str">
        <f>IFERROR(__xludf.DUMMYFUNCTION("""COMPUTED_VALUE"""),"Scrappy Survivors")</f>
        <v>Scrappy Survivors</v>
      </c>
      <c r="B2308" s="78" t="str">
        <f>IFERROR(__xludf.DUMMYFUNCTION("""COMPUTED_VALUE"""),"Revival Trance")</f>
        <v>Revival Trance</v>
      </c>
      <c r="C2308" s="79">
        <f>IFERROR(__xludf.DUMMYFUNCTION("""COMPUTED_VALUE"""),0.0)</f>
        <v>0</v>
      </c>
      <c r="D2308" s="79">
        <f>IFERROR(__xludf.DUMMYFUNCTION("""COMPUTED_VALUE"""),0.0)</f>
        <v>0</v>
      </c>
      <c r="E2308" s="69" t="b">
        <f>IFERROR(__xludf.DUMMYFUNCTION("""COMPUTED_VALUE"""),TRUE)</f>
        <v>1</v>
      </c>
    </row>
    <row r="2309" hidden="1">
      <c r="A2309" s="78" t="str">
        <f>IFERROR(__xludf.DUMMYFUNCTION("""COMPUTED_VALUE"""),"Scrappy Survivors")</f>
        <v>Scrappy Survivors</v>
      </c>
      <c r="B2309" s="78" t="str">
        <f>IFERROR(__xludf.DUMMYFUNCTION("""COMPUTED_VALUE"""),"Riders of Rohan")</f>
        <v>Riders of Rohan</v>
      </c>
      <c r="C2309" s="79">
        <f>IFERROR(__xludf.DUMMYFUNCTION("""COMPUTED_VALUE"""),0.0)</f>
        <v>0</v>
      </c>
      <c r="D2309" s="79">
        <f>IFERROR(__xludf.DUMMYFUNCTION("""COMPUTED_VALUE"""),0.0)</f>
        <v>0</v>
      </c>
      <c r="E2309" s="69" t="b">
        <f>IFERROR(__xludf.DUMMYFUNCTION("""COMPUTED_VALUE"""),TRUE)</f>
        <v>1</v>
      </c>
    </row>
    <row r="2310" hidden="1">
      <c r="A2310" s="78" t="str">
        <f>IFERROR(__xludf.DUMMYFUNCTION("""COMPUTED_VALUE"""),"Scrappy Survivors")</f>
        <v>Scrappy Survivors</v>
      </c>
      <c r="B2310" s="78" t="str">
        <f>IFERROR(__xludf.DUMMYFUNCTION("""COMPUTED_VALUE"""),"Science!")</f>
        <v>Science!</v>
      </c>
      <c r="C2310" s="79">
        <f>IFERROR(__xludf.DUMMYFUNCTION("""COMPUTED_VALUE"""),1.0)</f>
        <v>1</v>
      </c>
      <c r="D2310" s="79">
        <f>IFERROR(__xludf.DUMMYFUNCTION("""COMPUTED_VALUE"""),0.0)</f>
        <v>0</v>
      </c>
      <c r="E2310" s="69" t="b">
        <f>IFERROR(__xludf.DUMMYFUNCTION("""COMPUTED_VALUE"""),FALSE)</f>
        <v>0</v>
      </c>
    </row>
    <row r="2311">
      <c r="A2311" s="78" t="str">
        <f>IFERROR(__xludf.DUMMYFUNCTION("""COMPUTED_VALUE"""),"Scrappy Survivors")</f>
        <v>Scrappy Survivors</v>
      </c>
      <c r="B2311" s="78" t="str">
        <f>IFERROR(__xludf.DUMMYFUNCTION("""COMPUTED_VALUE"""),"Scions &amp; Spellcraft")</f>
        <v>Scions &amp; Spellcraft</v>
      </c>
      <c r="C2311" s="79">
        <f>IFERROR(__xludf.DUMMYFUNCTION("""COMPUTED_VALUE"""),0.0)</f>
        <v>0</v>
      </c>
      <c r="D2311" s="79">
        <f>IFERROR(__xludf.DUMMYFUNCTION("""COMPUTED_VALUE"""),0.0)</f>
        <v>0</v>
      </c>
      <c r="E2311" s="69" t="b">
        <f>IFERROR(__xludf.DUMMYFUNCTION("""COMPUTED_VALUE"""),TRUE)</f>
        <v>1</v>
      </c>
    </row>
    <row r="2312" hidden="1">
      <c r="A2312" s="78" t="str">
        <f>IFERROR(__xludf.DUMMYFUNCTION("""COMPUTED_VALUE"""),"Scrappy Survivors")</f>
        <v>Scrappy Survivors</v>
      </c>
      <c r="B2312" s="78" t="str">
        <f>IFERROR(__xludf.DUMMYFUNCTION("""COMPUTED_VALUE"""),"Scrappy Survivors")</f>
        <v>Scrappy Survivors</v>
      </c>
      <c r="C2312" s="79">
        <f>IFERROR(__xludf.DUMMYFUNCTION("""COMPUTED_VALUE"""),1.0)</f>
        <v>1</v>
      </c>
      <c r="D2312" s="79">
        <f>IFERROR(__xludf.DUMMYFUNCTION("""COMPUTED_VALUE"""),1.0)</f>
        <v>1</v>
      </c>
      <c r="E2312" s="69" t="b">
        <f>IFERROR(__xludf.DUMMYFUNCTION("""COMPUTED_VALUE"""),TRUE)</f>
        <v>1</v>
      </c>
    </row>
    <row r="2313" hidden="1">
      <c r="A2313" s="78" t="str">
        <f>IFERROR(__xludf.DUMMYFUNCTION("""COMPUTED_VALUE"""),"Scrappy Survivors")</f>
        <v>Scrappy Survivors</v>
      </c>
      <c r="B2313" s="78" t="str">
        <f>IFERROR(__xludf.DUMMYFUNCTION("""COMPUTED_VALUE"""),"Silverquill Influence")</f>
        <v>Silverquill Influence</v>
      </c>
      <c r="C2313" s="79">
        <f>IFERROR(__xludf.DUMMYFUNCTION("""COMPUTED_VALUE"""),0.0)</f>
        <v>0</v>
      </c>
      <c r="D2313" s="79">
        <f>IFERROR(__xludf.DUMMYFUNCTION("""COMPUTED_VALUE"""),0.0)</f>
        <v>0</v>
      </c>
      <c r="E2313" s="69" t="b">
        <f>IFERROR(__xludf.DUMMYFUNCTION("""COMPUTED_VALUE"""),TRUE)</f>
        <v>1</v>
      </c>
    </row>
    <row r="2314">
      <c r="A2314" s="78" t="str">
        <f>IFERROR(__xludf.DUMMYFUNCTION("""COMPUTED_VALUE"""),"Scrappy Survivors")</f>
        <v>Scrappy Survivors</v>
      </c>
      <c r="B2314" s="78" t="str">
        <f>IFERROR(__xludf.DUMMYFUNCTION("""COMPUTED_VALUE"""),"Spirit Squadron")</f>
        <v>Spirit Squadron</v>
      </c>
      <c r="C2314" s="79">
        <f>IFERROR(__xludf.DUMMYFUNCTION("""COMPUTED_VALUE"""),0.0)</f>
        <v>0</v>
      </c>
      <c r="D2314" s="79">
        <f>IFERROR(__xludf.DUMMYFUNCTION("""COMPUTED_VALUE"""),0.0)</f>
        <v>0</v>
      </c>
      <c r="E2314" s="69" t="b">
        <f>IFERROR(__xludf.DUMMYFUNCTION("""COMPUTED_VALUE"""),TRUE)</f>
        <v>1</v>
      </c>
    </row>
    <row r="2315" hidden="1">
      <c r="A2315" s="78" t="str">
        <f>IFERROR(__xludf.DUMMYFUNCTION("""COMPUTED_VALUE"""),"Scrappy Survivors")</f>
        <v>Scrappy Survivors</v>
      </c>
      <c r="B2315" s="78" t="str">
        <f>IFERROR(__xludf.DUMMYFUNCTION("""COMPUTED_VALUE"""),"Squirreled Away")</f>
        <v>Squirreled Away</v>
      </c>
      <c r="C2315" s="79">
        <f>IFERROR(__xludf.DUMMYFUNCTION("""COMPUTED_VALUE"""),0.0)</f>
        <v>0</v>
      </c>
      <c r="D2315" s="79">
        <f>IFERROR(__xludf.DUMMYFUNCTION("""COMPUTED_VALUE"""),0.0)</f>
        <v>0</v>
      </c>
      <c r="E2315" s="69" t="b">
        <f>IFERROR(__xludf.DUMMYFUNCTION("""COMPUTED_VALUE"""),TRUE)</f>
        <v>1</v>
      </c>
    </row>
    <row r="2316" hidden="1">
      <c r="A2316" s="78" t="str">
        <f>IFERROR(__xludf.DUMMYFUNCTION("""COMPUTED_VALUE"""),"Scrappy Survivors")</f>
        <v>Scrappy Survivors</v>
      </c>
      <c r="B2316" s="78" t="str">
        <f>IFERROR(__xludf.DUMMYFUNCTION("""COMPUTED_VALUE"""),"Sultai Arisen")</f>
        <v>Sultai Arisen</v>
      </c>
      <c r="C2316" s="79">
        <f>IFERROR(__xludf.DUMMYFUNCTION("""COMPUTED_VALUE"""),0.0)</f>
        <v>0</v>
      </c>
      <c r="D2316" s="79">
        <f>IFERROR(__xludf.DUMMYFUNCTION("""COMPUTED_VALUE"""),0.0)</f>
        <v>0</v>
      </c>
      <c r="E2316" s="69" t="b">
        <f>IFERROR(__xludf.DUMMYFUNCTION("""COMPUTED_VALUE"""),TRUE)</f>
        <v>1</v>
      </c>
    </row>
    <row r="2317" hidden="1">
      <c r="A2317" s="78" t="str">
        <f>IFERROR(__xludf.DUMMYFUNCTION("""COMPUTED_VALUE"""),"Scrappy Survivors")</f>
        <v>Scrappy Survivors</v>
      </c>
      <c r="B2317" s="78" t="str">
        <f>IFERROR(__xludf.DUMMYFUNCTION("""COMPUTED_VALUE"""),"Temur Roar")</f>
        <v>Temur Roar</v>
      </c>
      <c r="C2317" s="79">
        <f>IFERROR(__xludf.DUMMYFUNCTION("""COMPUTED_VALUE"""),0.0)</f>
        <v>0</v>
      </c>
      <c r="D2317" s="79">
        <f>IFERROR(__xludf.DUMMYFUNCTION("""COMPUTED_VALUE"""),1.0)</f>
        <v>1</v>
      </c>
      <c r="E2317" s="69" t="b">
        <f>IFERROR(__xludf.DUMMYFUNCTION("""COMPUTED_VALUE"""),FALSE)</f>
        <v>0</v>
      </c>
    </row>
    <row r="2318" hidden="1">
      <c r="A2318" s="78" t="str">
        <f>IFERROR(__xludf.DUMMYFUNCTION("""COMPUTED_VALUE"""),"Scrappy Survivors")</f>
        <v>Scrappy Survivors</v>
      </c>
      <c r="B2318" s="78" t="str">
        <f>IFERROR(__xludf.DUMMYFUNCTION("""COMPUTED_VALUE"""),"The Hosts of Mordor")</f>
        <v>The Hosts of Mordor</v>
      </c>
      <c r="C2318" s="79">
        <f>IFERROR(__xludf.DUMMYFUNCTION("""COMPUTED_VALUE"""),0.0)</f>
        <v>0</v>
      </c>
      <c r="D2318" s="79">
        <f>IFERROR(__xludf.DUMMYFUNCTION("""COMPUTED_VALUE"""),0.0)</f>
        <v>0</v>
      </c>
      <c r="E2318" s="69" t="b">
        <f>IFERROR(__xludf.DUMMYFUNCTION("""COMPUTED_VALUE"""),TRUE)</f>
        <v>1</v>
      </c>
    </row>
    <row r="2319" hidden="1">
      <c r="A2319" s="78" t="str">
        <f>IFERROR(__xludf.DUMMYFUNCTION("""COMPUTED_VALUE"""),"Scrappy Survivors")</f>
        <v>Scrappy Survivors</v>
      </c>
      <c r="B2319" s="78" t="str">
        <f>IFERROR(__xludf.DUMMYFUNCTION("""COMPUTED_VALUE"""),"The Ruinous Powers")</f>
        <v>The Ruinous Powers</v>
      </c>
      <c r="C2319" s="79">
        <f>IFERROR(__xludf.DUMMYFUNCTION("""COMPUTED_VALUE"""),0.0)</f>
        <v>0</v>
      </c>
      <c r="D2319" s="79">
        <f>IFERROR(__xludf.DUMMYFUNCTION("""COMPUTED_VALUE"""),0.0)</f>
        <v>0</v>
      </c>
      <c r="E2319" s="69" t="b">
        <f>IFERROR(__xludf.DUMMYFUNCTION("""COMPUTED_VALUE"""),TRUE)</f>
        <v>1</v>
      </c>
    </row>
    <row r="2320" hidden="1">
      <c r="A2320" s="78" t="str">
        <f>IFERROR(__xludf.DUMMYFUNCTION("""COMPUTED_VALUE"""),"Scrappy Survivors")</f>
        <v>Scrappy Survivors</v>
      </c>
      <c r="B2320" s="78" t="str">
        <f>IFERROR(__xludf.DUMMYFUNCTION("""COMPUTED_VALUE"""),"Timey-Wimey")</f>
        <v>Timey-Wimey</v>
      </c>
      <c r="C2320" s="79">
        <f>IFERROR(__xludf.DUMMYFUNCTION("""COMPUTED_VALUE"""),0.0)</f>
        <v>0</v>
      </c>
      <c r="D2320" s="79">
        <f>IFERROR(__xludf.DUMMYFUNCTION("""COMPUTED_VALUE"""),0.0)</f>
        <v>0</v>
      </c>
      <c r="E2320" s="69" t="b">
        <f>IFERROR(__xludf.DUMMYFUNCTION("""COMPUTED_VALUE"""),TRUE)</f>
        <v>1</v>
      </c>
    </row>
    <row r="2321" hidden="1">
      <c r="A2321" s="78" t="str">
        <f>IFERROR(__xludf.DUMMYFUNCTION("""COMPUTED_VALUE"""),"Scrappy Survivors")</f>
        <v>Scrappy Survivors</v>
      </c>
      <c r="B2321" s="78" t="str">
        <f>IFERROR(__xludf.DUMMYFUNCTION("""COMPUTED_VALUE"""),"Tinker Time")</f>
        <v>Tinker Time</v>
      </c>
      <c r="C2321" s="79">
        <f>IFERROR(__xludf.DUMMYFUNCTION("""COMPUTED_VALUE"""),0.0)</f>
        <v>0</v>
      </c>
      <c r="D2321" s="79">
        <f>IFERROR(__xludf.DUMMYFUNCTION("""COMPUTED_VALUE"""),0.0)</f>
        <v>0</v>
      </c>
      <c r="E2321" s="69" t="b">
        <f>IFERROR(__xludf.DUMMYFUNCTION("""COMPUTED_VALUE"""),TRUE)</f>
        <v>1</v>
      </c>
    </row>
    <row r="2322">
      <c r="A2322" s="78" t="str">
        <f>IFERROR(__xludf.DUMMYFUNCTION("""COMPUTED_VALUE"""),"Scrappy Survivors")</f>
        <v>Scrappy Survivors</v>
      </c>
      <c r="B2322" s="78" t="str">
        <f>IFERROR(__xludf.DUMMYFUNCTION("""COMPUTED_VALUE"""),"Turtle Power!")</f>
        <v>Turtle Power!</v>
      </c>
      <c r="C2322" s="79">
        <f>IFERROR(__xludf.DUMMYFUNCTION("""COMPUTED_VALUE"""),0.0)</f>
        <v>0</v>
      </c>
      <c r="D2322" s="79">
        <f>IFERROR(__xludf.DUMMYFUNCTION("""COMPUTED_VALUE"""),0.0)</f>
        <v>0</v>
      </c>
      <c r="E2322" s="69" t="b">
        <f>IFERROR(__xludf.DUMMYFUNCTION("""COMPUTED_VALUE"""),TRUE)</f>
        <v>1</v>
      </c>
    </row>
    <row r="2323">
      <c r="A2323" s="78" t="str">
        <f>IFERROR(__xludf.DUMMYFUNCTION("""COMPUTED_VALUE"""),"Scrappy Survivors")</f>
        <v>Scrappy Survivors</v>
      </c>
      <c r="B2323" s="78" t="str">
        <f>IFERROR(__xludf.DUMMYFUNCTION("""COMPUTED_VALUE"""),"Veloci-ramp-tor")</f>
        <v>Veloci-ramp-tor</v>
      </c>
      <c r="C2323" s="79">
        <f>IFERROR(__xludf.DUMMYFUNCTION("""COMPUTED_VALUE"""),0.0)</f>
        <v>0</v>
      </c>
      <c r="D2323" s="79">
        <f>IFERROR(__xludf.DUMMYFUNCTION("""COMPUTED_VALUE"""),0.0)</f>
        <v>0</v>
      </c>
      <c r="E2323" s="69" t="b">
        <f>IFERROR(__xludf.DUMMYFUNCTION("""COMPUTED_VALUE"""),TRUE)</f>
        <v>1</v>
      </c>
    </row>
    <row r="2324" hidden="1">
      <c r="A2324" s="78" t="str">
        <f>IFERROR(__xludf.DUMMYFUNCTION("""COMPUTED_VALUE"""),"Silverquill Influence")</f>
        <v>Silverquill Influence</v>
      </c>
      <c r="B2324" s="78" t="str">
        <f>IFERROR(__xludf.DUMMYFUNCTION("""COMPUTED_VALUE"""),"Ahoy Mateys")</f>
        <v>Ahoy Mateys</v>
      </c>
      <c r="C2324" s="79">
        <f>IFERROR(__xludf.DUMMYFUNCTION("""COMPUTED_VALUE"""),0.0)</f>
        <v>0</v>
      </c>
      <c r="D2324" s="79">
        <f>IFERROR(__xludf.DUMMYFUNCTION("""COMPUTED_VALUE"""),0.0)</f>
        <v>0</v>
      </c>
      <c r="E2324" s="69" t="b">
        <f>IFERROR(__xludf.DUMMYFUNCTION("""COMPUTED_VALUE"""),TRUE)</f>
        <v>1</v>
      </c>
    </row>
    <row r="2325" hidden="1">
      <c r="A2325" s="78" t="str">
        <f>IFERROR(__xludf.DUMMYFUNCTION("""COMPUTED_VALUE"""),"Silverquill Influence")</f>
        <v>Silverquill Influence</v>
      </c>
      <c r="B2325" s="78" t="str">
        <f>IFERROR(__xludf.DUMMYFUNCTION("""COMPUTED_VALUE"""),"Animated Army")</f>
        <v>Animated Army</v>
      </c>
      <c r="C2325" s="79">
        <f>IFERROR(__xludf.DUMMYFUNCTION("""COMPUTED_VALUE"""),0.0)</f>
        <v>0</v>
      </c>
      <c r="D2325" s="79">
        <f>IFERROR(__xludf.DUMMYFUNCTION("""COMPUTED_VALUE"""),0.0)</f>
        <v>0</v>
      </c>
      <c r="E2325" s="69" t="b">
        <f>IFERROR(__xludf.DUMMYFUNCTION("""COMPUTED_VALUE"""),TRUE)</f>
        <v>1</v>
      </c>
    </row>
    <row r="2326" hidden="1">
      <c r="A2326" s="78" t="str">
        <f>IFERROR(__xludf.DUMMYFUNCTION("""COMPUTED_VALUE"""),"Silverquill Influence")</f>
        <v>Silverquill Influence</v>
      </c>
      <c r="B2326" s="78" t="str">
        <f>IFERROR(__xludf.DUMMYFUNCTION("""COMPUTED_VALUE"""),"Arcane Maelstrom")</f>
        <v>Arcane Maelstrom</v>
      </c>
      <c r="C2326" s="79">
        <f>IFERROR(__xludf.DUMMYFUNCTION("""COMPUTED_VALUE"""),0.0)</f>
        <v>0</v>
      </c>
      <c r="D2326" s="79">
        <f>IFERROR(__xludf.DUMMYFUNCTION("""COMPUTED_VALUE"""),0.0)</f>
        <v>0</v>
      </c>
      <c r="E2326" s="69" t="b">
        <f>IFERROR(__xludf.DUMMYFUNCTION("""COMPUTED_VALUE"""),TRUE)</f>
        <v>1</v>
      </c>
    </row>
    <row r="2327" hidden="1">
      <c r="A2327" s="78" t="str">
        <f>IFERROR(__xludf.DUMMYFUNCTION("""COMPUTED_VALUE"""),"Silverquill Influence")</f>
        <v>Silverquill Influence</v>
      </c>
      <c r="B2327" s="78" t="str">
        <f>IFERROR(__xludf.DUMMYFUNCTION("""COMPUTED_VALUE"""),"Blame Game")</f>
        <v>Blame Game</v>
      </c>
      <c r="C2327" s="79">
        <f>IFERROR(__xludf.DUMMYFUNCTION("""COMPUTED_VALUE"""),0.0)</f>
        <v>0</v>
      </c>
      <c r="D2327" s="79">
        <f>IFERROR(__xludf.DUMMYFUNCTION("""COMPUTED_VALUE"""),0.0)</f>
        <v>0</v>
      </c>
      <c r="E2327" s="69" t="b">
        <f>IFERROR(__xludf.DUMMYFUNCTION("""COMPUTED_VALUE"""),TRUE)</f>
        <v>1</v>
      </c>
    </row>
    <row r="2328" hidden="1">
      <c r="A2328" s="78" t="str">
        <f>IFERROR(__xludf.DUMMYFUNCTION("""COMPUTED_VALUE"""),"Silverquill Influence")</f>
        <v>Silverquill Influence</v>
      </c>
      <c r="B2328" s="78" t="str">
        <f>IFERROR(__xludf.DUMMYFUNCTION("""COMPUTED_VALUE"""),"Blight Curse")</f>
        <v>Blight Curse</v>
      </c>
      <c r="C2328" s="79">
        <f>IFERROR(__xludf.DUMMYFUNCTION("""COMPUTED_VALUE"""),0.0)</f>
        <v>0</v>
      </c>
      <c r="D2328" s="79">
        <f>IFERROR(__xludf.DUMMYFUNCTION("""COMPUTED_VALUE"""),0.0)</f>
        <v>0</v>
      </c>
      <c r="E2328" s="69" t="b">
        <f>IFERROR(__xludf.DUMMYFUNCTION("""COMPUTED_VALUE"""),TRUE)</f>
        <v>1</v>
      </c>
    </row>
    <row r="2329" hidden="1">
      <c r="A2329" s="78" t="str">
        <f>IFERROR(__xludf.DUMMYFUNCTION("""COMPUTED_VALUE"""),"Silverquill Influence")</f>
        <v>Silverquill Influence</v>
      </c>
      <c r="B2329" s="78" t="str">
        <f>IFERROR(__xludf.DUMMYFUNCTION("""COMPUTED_VALUE"""),"Blood Rites")</f>
        <v>Blood Rites</v>
      </c>
      <c r="C2329" s="79">
        <f>IFERROR(__xludf.DUMMYFUNCTION("""COMPUTED_VALUE"""),0.0)</f>
        <v>0</v>
      </c>
      <c r="D2329" s="79">
        <f>IFERROR(__xludf.DUMMYFUNCTION("""COMPUTED_VALUE"""),0.0)</f>
        <v>0</v>
      </c>
      <c r="E2329" s="69" t="b">
        <f>IFERROR(__xludf.DUMMYFUNCTION("""COMPUTED_VALUE"""),TRUE)</f>
        <v>1</v>
      </c>
    </row>
    <row r="2330" hidden="1">
      <c r="A2330" s="78" t="str">
        <f>IFERROR(__xludf.DUMMYFUNCTION("""COMPUTED_VALUE"""),"Silverquill Influence")</f>
        <v>Silverquill Influence</v>
      </c>
      <c r="B2330" s="78" t="str">
        <f>IFERROR(__xludf.DUMMYFUNCTION("""COMPUTED_VALUE"""),"Buckle Up")</f>
        <v>Buckle Up</v>
      </c>
      <c r="C2330" s="79">
        <f>IFERROR(__xludf.DUMMYFUNCTION("""COMPUTED_VALUE"""),0.0)</f>
        <v>0</v>
      </c>
      <c r="D2330" s="79">
        <f>IFERROR(__xludf.DUMMYFUNCTION("""COMPUTED_VALUE"""),0.0)</f>
        <v>0</v>
      </c>
      <c r="E2330" s="69" t="b">
        <f>IFERROR(__xludf.DUMMYFUNCTION("""COMPUTED_VALUE"""),TRUE)</f>
        <v>1</v>
      </c>
    </row>
    <row r="2331">
      <c r="A2331" s="78" t="str">
        <f>IFERROR(__xludf.DUMMYFUNCTION("""COMPUTED_VALUE"""),"Silverquill Influence")</f>
        <v>Silverquill Influence</v>
      </c>
      <c r="B2331" s="78" t="str">
        <f>IFERROR(__xludf.DUMMYFUNCTION("""COMPUTED_VALUE"""),"Cabaretti Cacophony")</f>
        <v>Cabaretti Cacophony</v>
      </c>
      <c r="C2331" s="79">
        <f>IFERROR(__xludf.DUMMYFUNCTION("""COMPUTED_VALUE"""),0.0)</f>
        <v>0</v>
      </c>
      <c r="D2331" s="79">
        <f>IFERROR(__xludf.DUMMYFUNCTION("""COMPUTED_VALUE"""),0.0)</f>
        <v>0</v>
      </c>
      <c r="E2331" s="69" t="b">
        <f>IFERROR(__xludf.DUMMYFUNCTION("""COMPUTED_VALUE"""),TRUE)</f>
        <v>1</v>
      </c>
    </row>
    <row r="2332" hidden="1">
      <c r="A2332" s="78" t="str">
        <f>IFERROR(__xludf.DUMMYFUNCTION("""COMPUTED_VALUE"""),"Silverquill Influence")</f>
        <v>Silverquill Influence</v>
      </c>
      <c r="B2332" s="78" t="str">
        <f>IFERROR(__xludf.DUMMYFUNCTION("""COMPUTED_VALUE"""),"Cavalry Charge")</f>
        <v>Cavalry Charge</v>
      </c>
      <c r="C2332" s="79">
        <f>IFERROR(__xludf.DUMMYFUNCTION("""COMPUTED_VALUE"""),0.0)</f>
        <v>0</v>
      </c>
      <c r="D2332" s="79">
        <f>IFERROR(__xludf.DUMMYFUNCTION("""COMPUTED_VALUE"""),0.0)</f>
        <v>0</v>
      </c>
      <c r="E2332" s="69" t="b">
        <f>IFERROR(__xludf.DUMMYFUNCTION("""COMPUTED_VALUE"""),TRUE)</f>
        <v>1</v>
      </c>
    </row>
    <row r="2333" hidden="1">
      <c r="A2333" s="78" t="str">
        <f>IFERROR(__xludf.DUMMYFUNCTION("""COMPUTED_VALUE"""),"Silverquill Influence")</f>
        <v>Silverquill Influence</v>
      </c>
      <c r="B2333" s="78" t="str">
        <f>IFERROR(__xludf.DUMMYFUNCTION("""COMPUTED_VALUE"""),"Corrupting Influence")</f>
        <v>Corrupting Influence</v>
      </c>
      <c r="C2333" s="79">
        <f>IFERROR(__xludf.DUMMYFUNCTION("""COMPUTED_VALUE"""),0.0)</f>
        <v>0</v>
      </c>
      <c r="D2333" s="79">
        <f>IFERROR(__xludf.DUMMYFUNCTION("""COMPUTED_VALUE"""),0.0)</f>
        <v>0</v>
      </c>
      <c r="E2333" s="69" t="b">
        <f>IFERROR(__xludf.DUMMYFUNCTION("""COMPUTED_VALUE"""),TRUE)</f>
        <v>1</v>
      </c>
    </row>
    <row r="2334">
      <c r="A2334" s="78" t="str">
        <f>IFERROR(__xludf.DUMMYFUNCTION("""COMPUTED_VALUE"""),"Silverquill Influence")</f>
        <v>Silverquill Influence</v>
      </c>
      <c r="B2334" s="78" t="str">
        <f>IFERROR(__xludf.DUMMYFUNCTION("""COMPUTED_VALUE"""),"Counter Blitz")</f>
        <v>Counter Blitz</v>
      </c>
      <c r="C2334" s="79">
        <f>IFERROR(__xludf.DUMMYFUNCTION("""COMPUTED_VALUE"""),1.0)</f>
        <v>1</v>
      </c>
      <c r="D2334" s="79">
        <f>IFERROR(__xludf.DUMMYFUNCTION("""COMPUTED_VALUE"""),0.0)</f>
        <v>0</v>
      </c>
      <c r="E2334" s="69" t="b">
        <f>IFERROR(__xludf.DUMMYFUNCTION("""COMPUTED_VALUE"""),FALSE)</f>
        <v>0</v>
      </c>
    </row>
    <row r="2335" hidden="1">
      <c r="A2335" s="78" t="str">
        <f>IFERROR(__xludf.DUMMYFUNCTION("""COMPUTED_VALUE"""),"Silverquill Influence")</f>
        <v>Silverquill Influence</v>
      </c>
      <c r="B2335" s="78" t="str">
        <f>IFERROR(__xludf.DUMMYFUNCTION("""COMPUTED_VALUE"""),"Counter Intelligence")</f>
        <v>Counter Intelligence</v>
      </c>
      <c r="C2335" s="79">
        <f>IFERROR(__xludf.DUMMYFUNCTION("""COMPUTED_VALUE"""),0.0)</f>
        <v>0</v>
      </c>
      <c r="D2335" s="79">
        <f>IFERROR(__xludf.DUMMYFUNCTION("""COMPUTED_VALUE"""),0.0)</f>
        <v>0</v>
      </c>
      <c r="E2335" s="69" t="b">
        <f>IFERROR(__xludf.DUMMYFUNCTION("""COMPUTED_VALUE"""),TRUE)</f>
        <v>1</v>
      </c>
    </row>
    <row r="2336" hidden="1">
      <c r="A2336" s="78" t="str">
        <f>IFERROR(__xludf.DUMMYFUNCTION("""COMPUTED_VALUE"""),"Silverquill Influence")</f>
        <v>Silverquill Influence</v>
      </c>
      <c r="B2336" s="78" t="str">
        <f>IFERROR(__xludf.DUMMYFUNCTION("""COMPUTED_VALUE"""),"Creative Energy")</f>
        <v>Creative Energy</v>
      </c>
      <c r="C2336" s="79">
        <f>IFERROR(__xludf.DUMMYFUNCTION("""COMPUTED_VALUE"""),0.0)</f>
        <v>0</v>
      </c>
      <c r="D2336" s="79">
        <f>IFERROR(__xludf.DUMMYFUNCTION("""COMPUTED_VALUE"""),0.0)</f>
        <v>0</v>
      </c>
      <c r="E2336" s="69" t="b">
        <f>IFERROR(__xludf.DUMMYFUNCTION("""COMPUTED_VALUE"""),TRUE)</f>
        <v>1</v>
      </c>
    </row>
    <row r="2337" hidden="1">
      <c r="A2337" s="78" t="str">
        <f>IFERROR(__xludf.DUMMYFUNCTION("""COMPUTED_VALUE"""),"Silverquill Influence")</f>
        <v>Silverquill Influence</v>
      </c>
      <c r="B2337" s="78" t="str">
        <f>IFERROR(__xludf.DUMMYFUNCTION("""COMPUTED_VALUE"""),"Dance of the Elements")</f>
        <v>Dance of the Elements</v>
      </c>
      <c r="C2337" s="79">
        <f>IFERROR(__xludf.DUMMYFUNCTION("""COMPUTED_VALUE"""),0.0)</f>
        <v>0</v>
      </c>
      <c r="D2337" s="79">
        <f>IFERROR(__xludf.DUMMYFUNCTION("""COMPUTED_VALUE"""),0.0)</f>
        <v>0</v>
      </c>
      <c r="E2337" s="69" t="b">
        <f>IFERROR(__xludf.DUMMYFUNCTION("""COMPUTED_VALUE"""),TRUE)</f>
        <v>1</v>
      </c>
    </row>
    <row r="2338" hidden="1">
      <c r="A2338" s="78" t="str">
        <f>IFERROR(__xludf.DUMMYFUNCTION("""COMPUTED_VALUE"""),"Silverquill Influence")</f>
        <v>Silverquill Influence</v>
      </c>
      <c r="B2338" s="78" t="str">
        <f>IFERROR(__xludf.DUMMYFUNCTION("""COMPUTED_VALUE"""),"Deep Clue Sea")</f>
        <v>Deep Clue Sea</v>
      </c>
      <c r="C2338" s="79">
        <f>IFERROR(__xludf.DUMMYFUNCTION("""COMPUTED_VALUE"""),0.0)</f>
        <v>0</v>
      </c>
      <c r="D2338" s="79">
        <f>IFERROR(__xludf.DUMMYFUNCTION("""COMPUTED_VALUE"""),0.0)</f>
        <v>0</v>
      </c>
      <c r="E2338" s="69" t="b">
        <f>IFERROR(__xludf.DUMMYFUNCTION("""COMPUTED_VALUE"""),TRUE)</f>
        <v>1</v>
      </c>
    </row>
    <row r="2339" hidden="1">
      <c r="A2339" s="78" t="str">
        <f>IFERROR(__xludf.DUMMYFUNCTION("""COMPUTED_VALUE"""),"Silverquill Influence")</f>
        <v>Silverquill Influence</v>
      </c>
      <c r="B2339" s="78" t="str">
        <f>IFERROR(__xludf.DUMMYFUNCTION("""COMPUTED_VALUE"""),"Doom Prevails")</f>
        <v>Doom Prevails</v>
      </c>
      <c r="C2339" s="79">
        <f>IFERROR(__xludf.DUMMYFUNCTION("""COMPUTED_VALUE"""),0.0)</f>
        <v>0</v>
      </c>
      <c r="D2339" s="79">
        <f>IFERROR(__xludf.DUMMYFUNCTION("""COMPUTED_VALUE"""),0.0)</f>
        <v>0</v>
      </c>
      <c r="E2339" s="69" t="b">
        <f>IFERROR(__xludf.DUMMYFUNCTION("""COMPUTED_VALUE"""),TRUE)</f>
        <v>1</v>
      </c>
    </row>
    <row r="2340" hidden="1">
      <c r="A2340" s="78" t="str">
        <f>IFERROR(__xludf.DUMMYFUNCTION("""COMPUTED_VALUE"""),"Silverquill Influence")</f>
        <v>Silverquill Influence</v>
      </c>
      <c r="B2340" s="78" t="str">
        <f>IFERROR(__xludf.DUMMYFUNCTION("""COMPUTED_VALUE"""),"Eldrazi Incursion")</f>
        <v>Eldrazi Incursion</v>
      </c>
      <c r="C2340" s="79">
        <f>IFERROR(__xludf.DUMMYFUNCTION("""COMPUTED_VALUE"""),0.0)</f>
        <v>0</v>
      </c>
      <c r="D2340" s="79">
        <f>IFERROR(__xludf.DUMMYFUNCTION("""COMPUTED_VALUE"""),0.0)</f>
        <v>0</v>
      </c>
      <c r="E2340" s="69" t="b">
        <f>IFERROR(__xludf.DUMMYFUNCTION("""COMPUTED_VALUE"""),TRUE)</f>
        <v>1</v>
      </c>
    </row>
    <row r="2341">
      <c r="A2341" s="78" t="str">
        <f>IFERROR(__xludf.DUMMYFUNCTION("""COMPUTED_VALUE"""),"Silverquill Influence")</f>
        <v>Silverquill Influence</v>
      </c>
      <c r="B2341" s="78" t="str">
        <f>IFERROR(__xludf.DUMMYFUNCTION("""COMPUTED_VALUE"""),"Eldrazi Unbound")</f>
        <v>Eldrazi Unbound</v>
      </c>
      <c r="C2341" s="79">
        <f>IFERROR(__xludf.DUMMYFUNCTION("""COMPUTED_VALUE"""),0.0)</f>
        <v>0</v>
      </c>
      <c r="D2341" s="79">
        <f>IFERROR(__xludf.DUMMYFUNCTION("""COMPUTED_VALUE"""),0.0)</f>
        <v>0</v>
      </c>
      <c r="E2341" s="69" t="b">
        <f>IFERROR(__xludf.DUMMYFUNCTION("""COMPUTED_VALUE"""),TRUE)</f>
        <v>1</v>
      </c>
    </row>
    <row r="2342" hidden="1">
      <c r="A2342" s="78" t="str">
        <f>IFERROR(__xludf.DUMMYFUNCTION("""COMPUTED_VALUE"""),"Silverquill Influence")</f>
        <v>Silverquill Influence</v>
      </c>
      <c r="B2342" s="78" t="str">
        <f>IFERROR(__xludf.DUMMYFUNCTION("""COMPUTED_VALUE"""),"Endless Punishment")</f>
        <v>Endless Punishment</v>
      </c>
      <c r="C2342" s="79">
        <f>IFERROR(__xludf.DUMMYFUNCTION("""COMPUTED_VALUE"""),0.0)</f>
        <v>0</v>
      </c>
      <c r="D2342" s="79">
        <f>IFERROR(__xludf.DUMMYFUNCTION("""COMPUTED_VALUE"""),0.0)</f>
        <v>0</v>
      </c>
      <c r="E2342" s="69" t="b">
        <f>IFERROR(__xludf.DUMMYFUNCTION("""COMPUTED_VALUE"""),TRUE)</f>
        <v>1</v>
      </c>
    </row>
    <row r="2343" hidden="1">
      <c r="A2343" s="78" t="str">
        <f>IFERROR(__xludf.DUMMYFUNCTION("""COMPUTED_VALUE"""),"Silverquill Influence")</f>
        <v>Silverquill Influence</v>
      </c>
      <c r="B2343" s="78" t="str">
        <f>IFERROR(__xludf.DUMMYFUNCTION("""COMPUTED_VALUE"""),"Enduring Enchantments")</f>
        <v>Enduring Enchantments</v>
      </c>
      <c r="C2343" s="79">
        <f>IFERROR(__xludf.DUMMYFUNCTION("""COMPUTED_VALUE"""),0.0)</f>
        <v>0</v>
      </c>
      <c r="D2343" s="79">
        <f>IFERROR(__xludf.DUMMYFUNCTION("""COMPUTED_VALUE"""),0.0)</f>
        <v>0</v>
      </c>
      <c r="E2343" s="69" t="b">
        <f>IFERROR(__xludf.DUMMYFUNCTION("""COMPUTED_VALUE"""),TRUE)</f>
        <v>1</v>
      </c>
    </row>
    <row r="2344" hidden="1">
      <c r="A2344" s="78" t="str">
        <f>IFERROR(__xludf.DUMMYFUNCTION("""COMPUTED_VALUE"""),"Silverquill Influence")</f>
        <v>Silverquill Influence</v>
      </c>
      <c r="B2344" s="78" t="str">
        <f>IFERROR(__xludf.DUMMYFUNCTION("""COMPUTED_VALUE"""),"Explorers of the Deep")</f>
        <v>Explorers of the Deep</v>
      </c>
      <c r="C2344" s="79">
        <f>IFERROR(__xludf.DUMMYFUNCTION("""COMPUTED_VALUE"""),0.0)</f>
        <v>0</v>
      </c>
      <c r="D2344" s="79">
        <f>IFERROR(__xludf.DUMMYFUNCTION("""COMPUTED_VALUE"""),0.0)</f>
        <v>0</v>
      </c>
      <c r="E2344" s="69" t="b">
        <f>IFERROR(__xludf.DUMMYFUNCTION("""COMPUTED_VALUE"""),TRUE)</f>
        <v>1</v>
      </c>
    </row>
    <row r="2345" hidden="1">
      <c r="A2345" s="78" t="str">
        <f>IFERROR(__xludf.DUMMYFUNCTION("""COMPUTED_VALUE"""),"Silverquill Influence")</f>
        <v>Silverquill Influence</v>
      </c>
      <c r="B2345" s="78" t="str">
        <f>IFERROR(__xludf.DUMMYFUNCTION("""COMPUTED_VALUE"""),"Family Matters")</f>
        <v>Family Matters</v>
      </c>
      <c r="C2345" s="79">
        <f>IFERROR(__xludf.DUMMYFUNCTION("""COMPUTED_VALUE"""),0.0)</f>
        <v>0</v>
      </c>
      <c r="D2345" s="79">
        <f>IFERROR(__xludf.DUMMYFUNCTION("""COMPUTED_VALUE"""),0.0)</f>
        <v>0</v>
      </c>
      <c r="E2345" s="69" t="b">
        <f>IFERROR(__xludf.DUMMYFUNCTION("""COMPUTED_VALUE"""),TRUE)</f>
        <v>1</v>
      </c>
    </row>
    <row r="2346" hidden="1">
      <c r="A2346" s="78" t="str">
        <f>IFERROR(__xludf.DUMMYFUNCTION("""COMPUTED_VALUE"""),"Silverquill Influence")</f>
        <v>Silverquill Influence</v>
      </c>
      <c r="B2346" s="78" t="str">
        <f>IFERROR(__xludf.DUMMYFUNCTION("""COMPUTED_VALUE"""),"Food and Fellowship")</f>
        <v>Food and Fellowship</v>
      </c>
      <c r="C2346" s="79">
        <f>IFERROR(__xludf.DUMMYFUNCTION("""COMPUTED_VALUE"""),0.0)</f>
        <v>0</v>
      </c>
      <c r="D2346" s="79">
        <f>IFERROR(__xludf.DUMMYFUNCTION("""COMPUTED_VALUE"""),0.0)</f>
        <v>0</v>
      </c>
      <c r="E2346" s="69" t="b">
        <f>IFERROR(__xludf.DUMMYFUNCTION("""COMPUTED_VALUE"""),TRUE)</f>
        <v>1</v>
      </c>
    </row>
    <row r="2347">
      <c r="A2347" s="78" t="str">
        <f>IFERROR(__xludf.DUMMYFUNCTION("""COMPUTED_VALUE"""),"Silverquill Influence")</f>
        <v>Silverquill Influence</v>
      </c>
      <c r="B2347" s="78" t="str">
        <f>IFERROR(__xludf.DUMMYFUNCTION("""COMPUTED_VALUE"""),"Jeskai Striker")</f>
        <v>Jeskai Striker</v>
      </c>
      <c r="C2347" s="79">
        <f>IFERROR(__xludf.DUMMYFUNCTION("""COMPUTED_VALUE"""),0.0)</f>
        <v>0</v>
      </c>
      <c r="D2347" s="79">
        <f>IFERROR(__xludf.DUMMYFUNCTION("""COMPUTED_VALUE"""),0.0)</f>
        <v>0</v>
      </c>
      <c r="E2347" s="69" t="b">
        <f>IFERROR(__xludf.DUMMYFUNCTION("""COMPUTED_VALUE"""),TRUE)</f>
        <v>1</v>
      </c>
    </row>
    <row r="2348" hidden="1">
      <c r="A2348" s="78" t="str">
        <f>IFERROR(__xludf.DUMMYFUNCTION("""COMPUTED_VALUE"""),"Silverquill Influence")</f>
        <v>Silverquill Influence</v>
      </c>
      <c r="B2348" s="78" t="str">
        <f>IFERROR(__xludf.DUMMYFUNCTION("""COMPUTED_VALUE"""),"Legends' Legacy")</f>
        <v>Legends' Legacy</v>
      </c>
      <c r="C2348" s="79">
        <f>IFERROR(__xludf.DUMMYFUNCTION("""COMPUTED_VALUE"""),0.0)</f>
        <v>0</v>
      </c>
      <c r="D2348" s="79">
        <f>IFERROR(__xludf.DUMMYFUNCTION("""COMPUTED_VALUE"""),0.0)</f>
        <v>0</v>
      </c>
      <c r="E2348" s="69" t="b">
        <f>IFERROR(__xludf.DUMMYFUNCTION("""COMPUTED_VALUE"""),TRUE)</f>
        <v>1</v>
      </c>
    </row>
    <row r="2349" hidden="1">
      <c r="A2349" s="78" t="str">
        <f>IFERROR(__xludf.DUMMYFUNCTION("""COMPUTED_VALUE"""),"Silverquill Influence")</f>
        <v>Silverquill Influence</v>
      </c>
      <c r="B2349" s="78" t="str">
        <f>IFERROR(__xludf.DUMMYFUNCTION("""COMPUTED_VALUE"""),"Limit Break")</f>
        <v>Limit Break</v>
      </c>
      <c r="C2349" s="79">
        <f>IFERROR(__xludf.DUMMYFUNCTION("""COMPUTED_VALUE"""),0.0)</f>
        <v>0</v>
      </c>
      <c r="D2349" s="79">
        <f>IFERROR(__xludf.DUMMYFUNCTION("""COMPUTED_VALUE"""),0.0)</f>
        <v>0</v>
      </c>
      <c r="E2349" s="69" t="b">
        <f>IFERROR(__xludf.DUMMYFUNCTION("""COMPUTED_VALUE"""),TRUE)</f>
        <v>1</v>
      </c>
    </row>
    <row r="2350" hidden="1">
      <c r="A2350" s="78" t="str">
        <f>IFERROR(__xludf.DUMMYFUNCTION("""COMPUTED_VALUE"""),"Silverquill Influence")</f>
        <v>Silverquill Influence</v>
      </c>
      <c r="B2350" s="78" t="str">
        <f>IFERROR(__xludf.DUMMYFUNCTION("""COMPUTED_VALUE"""),"Lorehold Spirit")</f>
        <v>Lorehold Spirit</v>
      </c>
      <c r="C2350" s="79">
        <f>IFERROR(__xludf.DUMMYFUNCTION("""COMPUTED_VALUE"""),0.0)</f>
        <v>0</v>
      </c>
      <c r="D2350" s="79">
        <f>IFERROR(__xludf.DUMMYFUNCTION("""COMPUTED_VALUE"""),1.0)</f>
        <v>1</v>
      </c>
      <c r="E2350" s="69" t="b">
        <f>IFERROR(__xludf.DUMMYFUNCTION("""COMPUTED_VALUE"""),FALSE)</f>
        <v>0</v>
      </c>
    </row>
    <row r="2351">
      <c r="A2351" s="78" t="str">
        <f>IFERROR(__xludf.DUMMYFUNCTION("""COMPUTED_VALUE"""),"Silverquill Influence")</f>
        <v>Silverquill Influence</v>
      </c>
      <c r="B2351" s="78" t="str">
        <f>IFERROR(__xludf.DUMMYFUNCTION("""COMPUTED_VALUE"""),"Mutant Menace")</f>
        <v>Mutant Menace</v>
      </c>
      <c r="C2351" s="79">
        <f>IFERROR(__xludf.DUMMYFUNCTION("""COMPUTED_VALUE"""),0.0)</f>
        <v>0</v>
      </c>
      <c r="D2351" s="79">
        <f>IFERROR(__xludf.DUMMYFUNCTION("""COMPUTED_VALUE"""),0.0)</f>
        <v>0</v>
      </c>
      <c r="E2351" s="69" t="b">
        <f>IFERROR(__xludf.DUMMYFUNCTION("""COMPUTED_VALUE"""),TRUE)</f>
        <v>1</v>
      </c>
    </row>
    <row r="2352" hidden="1">
      <c r="A2352" s="78" t="str">
        <f>IFERROR(__xludf.DUMMYFUNCTION("""COMPUTED_VALUE"""),"Silverquill Influence")</f>
        <v>Silverquill Influence</v>
      </c>
      <c r="B2352" s="78" t="str">
        <f>IFERROR(__xludf.DUMMYFUNCTION("""COMPUTED_VALUE"""),"Party Time")</f>
        <v>Party Time</v>
      </c>
      <c r="C2352" s="79">
        <f>IFERROR(__xludf.DUMMYFUNCTION("""COMPUTED_VALUE"""),0.0)</f>
        <v>0</v>
      </c>
      <c r="D2352" s="79">
        <f>IFERROR(__xludf.DUMMYFUNCTION("""COMPUTED_VALUE"""),0.0)</f>
        <v>0</v>
      </c>
      <c r="E2352" s="69" t="b">
        <f>IFERROR(__xludf.DUMMYFUNCTION("""COMPUTED_VALUE"""),TRUE)</f>
        <v>1</v>
      </c>
    </row>
    <row r="2353" hidden="1">
      <c r="A2353" s="78" t="str">
        <f>IFERROR(__xludf.DUMMYFUNCTION("""COMPUTED_VALUE"""),"Silverquill Influence")</f>
        <v>Silverquill Influence</v>
      </c>
      <c r="B2353" s="78" t="str">
        <f>IFERROR(__xludf.DUMMYFUNCTION("""COMPUTED_VALUE"""),"Peace Offering")</f>
        <v>Peace Offering</v>
      </c>
      <c r="C2353" s="79">
        <f>IFERROR(__xludf.DUMMYFUNCTION("""COMPUTED_VALUE"""),0.0)</f>
        <v>0</v>
      </c>
      <c r="D2353" s="79">
        <f>IFERROR(__xludf.DUMMYFUNCTION("""COMPUTED_VALUE"""),0.0)</f>
        <v>0</v>
      </c>
      <c r="E2353" s="69" t="b">
        <f>IFERROR(__xludf.DUMMYFUNCTION("""COMPUTED_VALUE"""),TRUE)</f>
        <v>1</v>
      </c>
    </row>
    <row r="2354" hidden="1">
      <c r="A2354" s="78" t="str">
        <f>IFERROR(__xludf.DUMMYFUNCTION("""COMPUTED_VALUE"""),"Silverquill Influence")</f>
        <v>Silverquill Influence</v>
      </c>
      <c r="B2354" s="78" t="str">
        <f>IFERROR(__xludf.DUMMYFUNCTION("""COMPUTED_VALUE"""),"Power Hungry")</f>
        <v>Power Hungry</v>
      </c>
      <c r="C2354" s="79">
        <f>IFERROR(__xludf.DUMMYFUNCTION("""COMPUTED_VALUE"""),0.0)</f>
        <v>0</v>
      </c>
      <c r="D2354" s="79">
        <f>IFERROR(__xludf.DUMMYFUNCTION("""COMPUTED_VALUE"""),0.0)</f>
        <v>0</v>
      </c>
      <c r="E2354" s="69" t="b">
        <f>IFERROR(__xludf.DUMMYFUNCTION("""COMPUTED_VALUE"""),TRUE)</f>
        <v>1</v>
      </c>
    </row>
    <row r="2355">
      <c r="A2355" s="78" t="str">
        <f>IFERROR(__xludf.DUMMYFUNCTION("""COMPUTED_VALUE"""),"Silverquill Influence")</f>
        <v>Silverquill Influence</v>
      </c>
      <c r="B2355" s="78" t="str">
        <f>IFERROR(__xludf.DUMMYFUNCTION("""COMPUTED_VALUE"""),"Primal Genesis")</f>
        <v>Primal Genesis</v>
      </c>
      <c r="C2355" s="79">
        <f>IFERROR(__xludf.DUMMYFUNCTION("""COMPUTED_VALUE"""),0.0)</f>
        <v>0</v>
      </c>
      <c r="D2355" s="79">
        <f>IFERROR(__xludf.DUMMYFUNCTION("""COMPUTED_VALUE"""),0.0)</f>
        <v>0</v>
      </c>
      <c r="E2355" s="69" t="b">
        <f>IFERROR(__xludf.DUMMYFUNCTION("""COMPUTED_VALUE"""),TRUE)</f>
        <v>1</v>
      </c>
    </row>
    <row r="2356">
      <c r="A2356" s="78" t="str">
        <f>IFERROR(__xludf.DUMMYFUNCTION("""COMPUTED_VALUE"""),"Silverquill Influence")</f>
        <v>Silverquill Influence</v>
      </c>
      <c r="B2356" s="78" t="str">
        <f>IFERROR(__xludf.DUMMYFUNCTION("""COMPUTED_VALUE"""),"Prismari Artistry")</f>
        <v>Prismari Artistry</v>
      </c>
      <c r="C2356" s="79">
        <f>IFERROR(__xludf.DUMMYFUNCTION("""COMPUTED_VALUE"""),0.0)</f>
        <v>0</v>
      </c>
      <c r="D2356" s="79">
        <f>IFERROR(__xludf.DUMMYFUNCTION("""COMPUTED_VALUE"""),0.0)</f>
        <v>0</v>
      </c>
      <c r="E2356" s="69" t="b">
        <f>IFERROR(__xludf.DUMMYFUNCTION("""COMPUTED_VALUE"""),TRUE)</f>
        <v>1</v>
      </c>
    </row>
    <row r="2357" hidden="1">
      <c r="A2357" s="78" t="str">
        <f>IFERROR(__xludf.DUMMYFUNCTION("""COMPUTED_VALUE"""),"Silverquill Influence")</f>
        <v>Silverquill Influence</v>
      </c>
      <c r="B2357" s="78" t="str">
        <f>IFERROR(__xludf.DUMMYFUNCTION("""COMPUTED_VALUE"""),"Prismari Performance")</f>
        <v>Prismari Performance</v>
      </c>
      <c r="C2357" s="79">
        <f>IFERROR(__xludf.DUMMYFUNCTION("""COMPUTED_VALUE"""),0.0)</f>
        <v>0</v>
      </c>
      <c r="D2357" s="79">
        <f>IFERROR(__xludf.DUMMYFUNCTION("""COMPUTED_VALUE"""),0.0)</f>
        <v>0</v>
      </c>
      <c r="E2357" s="69" t="b">
        <f>IFERROR(__xludf.DUMMYFUNCTION("""COMPUTED_VALUE"""),TRUE)</f>
        <v>1</v>
      </c>
    </row>
    <row r="2358" hidden="1">
      <c r="A2358" s="78" t="str">
        <f>IFERROR(__xludf.DUMMYFUNCTION("""COMPUTED_VALUE"""),"Silverquill Influence")</f>
        <v>Silverquill Influence</v>
      </c>
      <c r="B2358" s="78" t="str">
        <f>IFERROR(__xludf.DUMMYFUNCTION("""COMPUTED_VALUE"""),"Quandrix Unlimited")</f>
        <v>Quandrix Unlimited</v>
      </c>
      <c r="C2358" s="79">
        <f>IFERROR(__xludf.DUMMYFUNCTION("""COMPUTED_VALUE"""),0.0)</f>
        <v>0</v>
      </c>
      <c r="D2358" s="79">
        <f>IFERROR(__xludf.DUMMYFUNCTION("""COMPUTED_VALUE"""),0.0)</f>
        <v>0</v>
      </c>
      <c r="E2358" s="69" t="b">
        <f>IFERROR(__xludf.DUMMYFUNCTION("""COMPUTED_VALUE"""),TRUE)</f>
        <v>1</v>
      </c>
    </row>
    <row r="2359" hidden="1">
      <c r="A2359" s="78" t="str">
        <f>IFERROR(__xludf.DUMMYFUNCTION("""COMPUTED_VALUE"""),"Silverquill Influence")</f>
        <v>Silverquill Influence</v>
      </c>
      <c r="B2359" s="78" t="str">
        <f>IFERROR(__xludf.DUMMYFUNCTION("""COMPUTED_VALUE"""),"Quick Draw")</f>
        <v>Quick Draw</v>
      </c>
      <c r="C2359" s="79">
        <f>IFERROR(__xludf.DUMMYFUNCTION("""COMPUTED_VALUE"""),0.0)</f>
        <v>0</v>
      </c>
      <c r="D2359" s="79">
        <f>IFERROR(__xludf.DUMMYFUNCTION("""COMPUTED_VALUE"""),0.0)</f>
        <v>0</v>
      </c>
      <c r="E2359" s="69" t="b">
        <f>IFERROR(__xludf.DUMMYFUNCTION("""COMPUTED_VALUE"""),TRUE)</f>
        <v>1</v>
      </c>
    </row>
    <row r="2360" hidden="1">
      <c r="A2360" s="78" t="str">
        <f>IFERROR(__xludf.DUMMYFUNCTION("""COMPUTED_VALUE"""),"Silverquill Influence")</f>
        <v>Silverquill Influence</v>
      </c>
      <c r="B2360" s="78" t="str">
        <f>IFERROR(__xludf.DUMMYFUNCTION("""COMPUTED_VALUE"""),"Reap the Tides")</f>
        <v>Reap the Tides</v>
      </c>
      <c r="C2360" s="79">
        <f>IFERROR(__xludf.DUMMYFUNCTION("""COMPUTED_VALUE"""),0.0)</f>
        <v>0</v>
      </c>
      <c r="D2360" s="79">
        <f>IFERROR(__xludf.DUMMYFUNCTION("""COMPUTED_VALUE"""),0.0)</f>
        <v>0</v>
      </c>
      <c r="E2360" s="69" t="b">
        <f>IFERROR(__xludf.DUMMYFUNCTION("""COMPUTED_VALUE"""),TRUE)</f>
        <v>1</v>
      </c>
    </row>
    <row r="2361" hidden="1">
      <c r="A2361" s="78" t="str">
        <f>IFERROR(__xludf.DUMMYFUNCTION("""COMPUTED_VALUE"""),"Silverquill Influence")</f>
        <v>Silverquill Influence</v>
      </c>
      <c r="B2361" s="78" t="str">
        <f>IFERROR(__xludf.DUMMYFUNCTION("""COMPUTED_VALUE"""),"Rebellion Rising")</f>
        <v>Rebellion Rising</v>
      </c>
      <c r="C2361" s="79">
        <f>IFERROR(__xludf.DUMMYFUNCTION("""COMPUTED_VALUE"""),0.0)</f>
        <v>0</v>
      </c>
      <c r="D2361" s="79">
        <f>IFERROR(__xludf.DUMMYFUNCTION("""COMPUTED_VALUE"""),0.0)</f>
        <v>0</v>
      </c>
      <c r="E2361" s="69" t="b">
        <f>IFERROR(__xludf.DUMMYFUNCTION("""COMPUTED_VALUE"""),TRUE)</f>
        <v>1</v>
      </c>
    </row>
    <row r="2362" hidden="1">
      <c r="A2362" s="78" t="str">
        <f>IFERROR(__xludf.DUMMYFUNCTION("""COMPUTED_VALUE"""),"Silverquill Influence")</f>
        <v>Silverquill Influence</v>
      </c>
      <c r="B2362" s="78" t="str">
        <f>IFERROR(__xludf.DUMMYFUNCTION("""COMPUTED_VALUE"""),"Revival Trance")</f>
        <v>Revival Trance</v>
      </c>
      <c r="C2362" s="79">
        <f>IFERROR(__xludf.DUMMYFUNCTION("""COMPUTED_VALUE"""),0.0)</f>
        <v>0</v>
      </c>
      <c r="D2362" s="79">
        <f>IFERROR(__xludf.DUMMYFUNCTION("""COMPUTED_VALUE"""),0.0)</f>
        <v>0</v>
      </c>
      <c r="E2362" s="69" t="b">
        <f>IFERROR(__xludf.DUMMYFUNCTION("""COMPUTED_VALUE"""),TRUE)</f>
        <v>1</v>
      </c>
    </row>
    <row r="2363" hidden="1">
      <c r="A2363" s="78" t="str">
        <f>IFERROR(__xludf.DUMMYFUNCTION("""COMPUTED_VALUE"""),"Silverquill Influence")</f>
        <v>Silverquill Influence</v>
      </c>
      <c r="B2363" s="78" t="str">
        <f>IFERROR(__xludf.DUMMYFUNCTION("""COMPUTED_VALUE"""),"Riders of Rohan")</f>
        <v>Riders of Rohan</v>
      </c>
      <c r="C2363" s="79">
        <f>IFERROR(__xludf.DUMMYFUNCTION("""COMPUTED_VALUE"""),0.0)</f>
        <v>0</v>
      </c>
      <c r="D2363" s="79">
        <f>IFERROR(__xludf.DUMMYFUNCTION("""COMPUTED_VALUE"""),1.0)</f>
        <v>1</v>
      </c>
      <c r="E2363" s="69" t="b">
        <f>IFERROR(__xludf.DUMMYFUNCTION("""COMPUTED_VALUE"""),FALSE)</f>
        <v>0</v>
      </c>
    </row>
    <row r="2364" hidden="1">
      <c r="A2364" s="78" t="str">
        <f>IFERROR(__xludf.DUMMYFUNCTION("""COMPUTED_VALUE"""),"Silverquill Influence")</f>
        <v>Silverquill Influence</v>
      </c>
      <c r="B2364" s="78" t="str">
        <f>IFERROR(__xludf.DUMMYFUNCTION("""COMPUTED_VALUE"""),"Science!")</f>
        <v>Science!</v>
      </c>
      <c r="C2364" s="79">
        <f>IFERROR(__xludf.DUMMYFUNCTION("""COMPUTED_VALUE"""),0.0)</f>
        <v>0</v>
      </c>
      <c r="D2364" s="79">
        <f>IFERROR(__xludf.DUMMYFUNCTION("""COMPUTED_VALUE"""),0.0)</f>
        <v>0</v>
      </c>
      <c r="E2364" s="69" t="b">
        <f>IFERROR(__xludf.DUMMYFUNCTION("""COMPUTED_VALUE"""),TRUE)</f>
        <v>1</v>
      </c>
    </row>
    <row r="2365" hidden="1">
      <c r="A2365" s="78" t="str">
        <f>IFERROR(__xludf.DUMMYFUNCTION("""COMPUTED_VALUE"""),"Silverquill Influence")</f>
        <v>Silverquill Influence</v>
      </c>
      <c r="B2365" s="78" t="str">
        <f>IFERROR(__xludf.DUMMYFUNCTION("""COMPUTED_VALUE"""),"Scions &amp; Spellcraft")</f>
        <v>Scions &amp; Spellcraft</v>
      </c>
      <c r="C2365" s="79">
        <f>IFERROR(__xludf.DUMMYFUNCTION("""COMPUTED_VALUE"""),1.0)</f>
        <v>1</v>
      </c>
      <c r="D2365" s="79">
        <f>IFERROR(__xludf.DUMMYFUNCTION("""COMPUTED_VALUE"""),0.0)</f>
        <v>0</v>
      </c>
      <c r="E2365" s="69" t="b">
        <f>IFERROR(__xludf.DUMMYFUNCTION("""COMPUTED_VALUE"""),FALSE)</f>
        <v>0</v>
      </c>
    </row>
    <row r="2366" hidden="1">
      <c r="A2366" s="78" t="str">
        <f>IFERROR(__xludf.DUMMYFUNCTION("""COMPUTED_VALUE"""),"Silverquill Influence")</f>
        <v>Silverquill Influence</v>
      </c>
      <c r="B2366" s="78" t="str">
        <f>IFERROR(__xludf.DUMMYFUNCTION("""COMPUTED_VALUE"""),"Scrappy Survivors")</f>
        <v>Scrappy Survivors</v>
      </c>
      <c r="C2366" s="79">
        <f>IFERROR(__xludf.DUMMYFUNCTION("""COMPUTED_VALUE"""),0.0)</f>
        <v>0</v>
      </c>
      <c r="D2366" s="79">
        <f>IFERROR(__xludf.DUMMYFUNCTION("""COMPUTED_VALUE"""),0.0)</f>
        <v>0</v>
      </c>
      <c r="E2366" s="69" t="b">
        <f>IFERROR(__xludf.DUMMYFUNCTION("""COMPUTED_VALUE"""),TRUE)</f>
        <v>1</v>
      </c>
    </row>
    <row r="2367" hidden="1">
      <c r="A2367" s="78" t="str">
        <f>IFERROR(__xludf.DUMMYFUNCTION("""COMPUTED_VALUE"""),"Silverquill Influence")</f>
        <v>Silverquill Influence</v>
      </c>
      <c r="B2367" s="78" t="str">
        <f>IFERROR(__xludf.DUMMYFUNCTION("""COMPUTED_VALUE"""),"Silverquill Influence")</f>
        <v>Silverquill Influence</v>
      </c>
      <c r="C2367" s="79">
        <f>IFERROR(__xludf.DUMMYFUNCTION("""COMPUTED_VALUE"""),1.0)</f>
        <v>1</v>
      </c>
      <c r="D2367" s="79">
        <f>IFERROR(__xludf.DUMMYFUNCTION("""COMPUTED_VALUE"""),1.0)</f>
        <v>1</v>
      </c>
      <c r="E2367" s="69" t="b">
        <f>IFERROR(__xludf.DUMMYFUNCTION("""COMPUTED_VALUE"""),TRUE)</f>
        <v>1</v>
      </c>
    </row>
    <row r="2368" hidden="1">
      <c r="A2368" s="78" t="str">
        <f>IFERROR(__xludf.DUMMYFUNCTION("""COMPUTED_VALUE"""),"Silverquill Influence")</f>
        <v>Silverquill Influence</v>
      </c>
      <c r="B2368" s="78" t="str">
        <f>IFERROR(__xludf.DUMMYFUNCTION("""COMPUTED_VALUE"""),"Spirit Squadron")</f>
        <v>Spirit Squadron</v>
      </c>
      <c r="C2368" s="79">
        <f>IFERROR(__xludf.DUMMYFUNCTION("""COMPUTED_VALUE"""),0.0)</f>
        <v>0</v>
      </c>
      <c r="D2368" s="79">
        <f>IFERROR(__xludf.DUMMYFUNCTION("""COMPUTED_VALUE"""),0.0)</f>
        <v>0</v>
      </c>
      <c r="E2368" s="69" t="b">
        <f>IFERROR(__xludf.DUMMYFUNCTION("""COMPUTED_VALUE"""),TRUE)</f>
        <v>1</v>
      </c>
    </row>
    <row r="2369" hidden="1">
      <c r="A2369" s="78" t="str">
        <f>IFERROR(__xludf.DUMMYFUNCTION("""COMPUTED_VALUE"""),"Silverquill Influence")</f>
        <v>Silverquill Influence</v>
      </c>
      <c r="B2369" s="78" t="str">
        <f>IFERROR(__xludf.DUMMYFUNCTION("""COMPUTED_VALUE"""),"Squirreled Away")</f>
        <v>Squirreled Away</v>
      </c>
      <c r="C2369" s="79">
        <f>IFERROR(__xludf.DUMMYFUNCTION("""COMPUTED_VALUE"""),0.0)</f>
        <v>0</v>
      </c>
      <c r="D2369" s="79">
        <f>IFERROR(__xludf.DUMMYFUNCTION("""COMPUTED_VALUE"""),0.0)</f>
        <v>0</v>
      </c>
      <c r="E2369" s="69" t="b">
        <f>IFERROR(__xludf.DUMMYFUNCTION("""COMPUTED_VALUE"""),TRUE)</f>
        <v>1</v>
      </c>
    </row>
    <row r="2370" hidden="1">
      <c r="A2370" s="78" t="str">
        <f>IFERROR(__xludf.DUMMYFUNCTION("""COMPUTED_VALUE"""),"Silverquill Influence")</f>
        <v>Silverquill Influence</v>
      </c>
      <c r="B2370" s="78" t="str">
        <f>IFERROR(__xludf.DUMMYFUNCTION("""COMPUTED_VALUE"""),"Sultai Arisen")</f>
        <v>Sultai Arisen</v>
      </c>
      <c r="C2370" s="79">
        <f>IFERROR(__xludf.DUMMYFUNCTION("""COMPUTED_VALUE"""),0.0)</f>
        <v>0</v>
      </c>
      <c r="D2370" s="79">
        <f>IFERROR(__xludf.DUMMYFUNCTION("""COMPUTED_VALUE"""),0.0)</f>
        <v>0</v>
      </c>
      <c r="E2370" s="69" t="b">
        <f>IFERROR(__xludf.DUMMYFUNCTION("""COMPUTED_VALUE"""),TRUE)</f>
        <v>1</v>
      </c>
    </row>
    <row r="2371" hidden="1">
      <c r="A2371" s="78" t="str">
        <f>IFERROR(__xludf.DUMMYFUNCTION("""COMPUTED_VALUE"""),"Silverquill Influence")</f>
        <v>Silverquill Influence</v>
      </c>
      <c r="B2371" s="78" t="str">
        <f>IFERROR(__xludf.DUMMYFUNCTION("""COMPUTED_VALUE"""),"Temur Roar")</f>
        <v>Temur Roar</v>
      </c>
      <c r="C2371" s="79">
        <f>IFERROR(__xludf.DUMMYFUNCTION("""COMPUTED_VALUE"""),1.0)</f>
        <v>1</v>
      </c>
      <c r="D2371" s="79">
        <f>IFERROR(__xludf.DUMMYFUNCTION("""COMPUTED_VALUE"""),0.0)</f>
        <v>0</v>
      </c>
      <c r="E2371" s="69" t="b">
        <f>IFERROR(__xludf.DUMMYFUNCTION("""COMPUTED_VALUE"""),FALSE)</f>
        <v>0</v>
      </c>
    </row>
    <row r="2372" hidden="1">
      <c r="A2372" s="78" t="str">
        <f>IFERROR(__xludf.DUMMYFUNCTION("""COMPUTED_VALUE"""),"Silverquill Influence")</f>
        <v>Silverquill Influence</v>
      </c>
      <c r="B2372" s="78" t="str">
        <f>IFERROR(__xludf.DUMMYFUNCTION("""COMPUTED_VALUE"""),"The Hosts of Mordor")</f>
        <v>The Hosts of Mordor</v>
      </c>
      <c r="C2372" s="79">
        <f>IFERROR(__xludf.DUMMYFUNCTION("""COMPUTED_VALUE"""),0.0)</f>
        <v>0</v>
      </c>
      <c r="D2372" s="79">
        <f>IFERROR(__xludf.DUMMYFUNCTION("""COMPUTED_VALUE"""),0.0)</f>
        <v>0</v>
      </c>
      <c r="E2372" s="69" t="b">
        <f>IFERROR(__xludf.DUMMYFUNCTION("""COMPUTED_VALUE"""),TRUE)</f>
        <v>1</v>
      </c>
    </row>
    <row r="2373" hidden="1">
      <c r="A2373" s="78" t="str">
        <f>IFERROR(__xludf.DUMMYFUNCTION("""COMPUTED_VALUE"""),"Silverquill Influence")</f>
        <v>Silverquill Influence</v>
      </c>
      <c r="B2373" s="78" t="str">
        <f>IFERROR(__xludf.DUMMYFUNCTION("""COMPUTED_VALUE"""),"The Ruinous Powers")</f>
        <v>The Ruinous Powers</v>
      </c>
      <c r="C2373" s="79">
        <f>IFERROR(__xludf.DUMMYFUNCTION("""COMPUTED_VALUE"""),0.0)</f>
        <v>0</v>
      </c>
      <c r="D2373" s="79">
        <f>IFERROR(__xludf.DUMMYFUNCTION("""COMPUTED_VALUE"""),0.0)</f>
        <v>0</v>
      </c>
      <c r="E2373" s="69" t="b">
        <f>IFERROR(__xludf.DUMMYFUNCTION("""COMPUTED_VALUE"""),TRUE)</f>
        <v>1</v>
      </c>
    </row>
    <row r="2374" hidden="1">
      <c r="A2374" s="78" t="str">
        <f>IFERROR(__xludf.DUMMYFUNCTION("""COMPUTED_VALUE"""),"Silverquill Influence")</f>
        <v>Silverquill Influence</v>
      </c>
      <c r="B2374" s="78" t="str">
        <f>IFERROR(__xludf.DUMMYFUNCTION("""COMPUTED_VALUE"""),"Timey-Wimey")</f>
        <v>Timey-Wimey</v>
      </c>
      <c r="C2374" s="79">
        <f>IFERROR(__xludf.DUMMYFUNCTION("""COMPUTED_VALUE"""),0.0)</f>
        <v>0</v>
      </c>
      <c r="D2374" s="79">
        <f>IFERROR(__xludf.DUMMYFUNCTION("""COMPUTED_VALUE"""),0.0)</f>
        <v>0</v>
      </c>
      <c r="E2374" s="69" t="b">
        <f>IFERROR(__xludf.DUMMYFUNCTION("""COMPUTED_VALUE"""),TRUE)</f>
        <v>1</v>
      </c>
    </row>
    <row r="2375" hidden="1">
      <c r="A2375" s="78" t="str">
        <f>IFERROR(__xludf.DUMMYFUNCTION("""COMPUTED_VALUE"""),"Silverquill Influence")</f>
        <v>Silverquill Influence</v>
      </c>
      <c r="B2375" s="78" t="str">
        <f>IFERROR(__xludf.DUMMYFUNCTION("""COMPUTED_VALUE"""),"Tinker Time")</f>
        <v>Tinker Time</v>
      </c>
      <c r="C2375" s="79">
        <f>IFERROR(__xludf.DUMMYFUNCTION("""COMPUTED_VALUE"""),0.0)</f>
        <v>0</v>
      </c>
      <c r="D2375" s="79">
        <f>IFERROR(__xludf.DUMMYFUNCTION("""COMPUTED_VALUE"""),0.0)</f>
        <v>0</v>
      </c>
      <c r="E2375" s="69" t="b">
        <f>IFERROR(__xludf.DUMMYFUNCTION("""COMPUTED_VALUE"""),TRUE)</f>
        <v>1</v>
      </c>
    </row>
    <row r="2376">
      <c r="A2376" s="78" t="str">
        <f>IFERROR(__xludf.DUMMYFUNCTION("""COMPUTED_VALUE"""),"Silverquill Influence")</f>
        <v>Silverquill Influence</v>
      </c>
      <c r="B2376" s="78" t="str">
        <f>IFERROR(__xludf.DUMMYFUNCTION("""COMPUTED_VALUE"""),"Turtle Power!")</f>
        <v>Turtle Power!</v>
      </c>
      <c r="C2376" s="79">
        <f>IFERROR(__xludf.DUMMYFUNCTION("""COMPUTED_VALUE"""),0.0)</f>
        <v>0</v>
      </c>
      <c r="D2376" s="79">
        <f>IFERROR(__xludf.DUMMYFUNCTION("""COMPUTED_VALUE"""),0.0)</f>
        <v>0</v>
      </c>
      <c r="E2376" s="69" t="b">
        <f>IFERROR(__xludf.DUMMYFUNCTION("""COMPUTED_VALUE"""),TRUE)</f>
        <v>1</v>
      </c>
    </row>
    <row r="2377" hidden="1">
      <c r="A2377" s="78" t="str">
        <f>IFERROR(__xludf.DUMMYFUNCTION("""COMPUTED_VALUE"""),"Silverquill Influence")</f>
        <v>Silverquill Influence</v>
      </c>
      <c r="B2377" s="78" t="str">
        <f>IFERROR(__xludf.DUMMYFUNCTION("""COMPUTED_VALUE"""),"Veloci-ramp-tor")</f>
        <v>Veloci-ramp-tor</v>
      </c>
      <c r="C2377" s="79">
        <f>IFERROR(__xludf.DUMMYFUNCTION("""COMPUTED_VALUE"""),0.0)</f>
        <v>0</v>
      </c>
      <c r="D2377" s="79">
        <f>IFERROR(__xludf.DUMMYFUNCTION("""COMPUTED_VALUE"""),0.0)</f>
        <v>0</v>
      </c>
      <c r="E2377" s="69" t="b">
        <f>IFERROR(__xludf.DUMMYFUNCTION("""COMPUTED_VALUE"""),TRUE)</f>
        <v>1</v>
      </c>
    </row>
    <row r="2378">
      <c r="A2378" s="78" t="str">
        <f>IFERROR(__xludf.DUMMYFUNCTION("""COMPUTED_VALUE"""),"Spirit Squadron")</f>
        <v>Spirit Squadron</v>
      </c>
      <c r="B2378" s="78" t="str">
        <f>IFERROR(__xludf.DUMMYFUNCTION("""COMPUTED_VALUE"""),"Ahoy Mateys")</f>
        <v>Ahoy Mateys</v>
      </c>
      <c r="C2378" s="79">
        <f>IFERROR(__xludf.DUMMYFUNCTION("""COMPUTED_VALUE"""),0.0)</f>
        <v>0</v>
      </c>
      <c r="D2378" s="79">
        <f>IFERROR(__xludf.DUMMYFUNCTION("""COMPUTED_VALUE"""),0.0)</f>
        <v>0</v>
      </c>
      <c r="E2378" s="69" t="b">
        <f>IFERROR(__xludf.DUMMYFUNCTION("""COMPUTED_VALUE"""),TRUE)</f>
        <v>1</v>
      </c>
    </row>
    <row r="2379" hidden="1">
      <c r="A2379" s="78" t="str">
        <f>IFERROR(__xludf.DUMMYFUNCTION("""COMPUTED_VALUE"""),"Spirit Squadron")</f>
        <v>Spirit Squadron</v>
      </c>
      <c r="B2379" s="78" t="str">
        <f>IFERROR(__xludf.DUMMYFUNCTION("""COMPUTED_VALUE"""),"Animated Army")</f>
        <v>Animated Army</v>
      </c>
      <c r="C2379" s="79">
        <f>IFERROR(__xludf.DUMMYFUNCTION("""COMPUTED_VALUE"""),0.0)</f>
        <v>0</v>
      </c>
      <c r="D2379" s="79">
        <f>IFERROR(__xludf.DUMMYFUNCTION("""COMPUTED_VALUE"""),0.0)</f>
        <v>0</v>
      </c>
      <c r="E2379" s="69" t="b">
        <f>IFERROR(__xludf.DUMMYFUNCTION("""COMPUTED_VALUE"""),TRUE)</f>
        <v>1</v>
      </c>
    </row>
    <row r="2380" hidden="1">
      <c r="A2380" s="78" t="str">
        <f>IFERROR(__xludf.DUMMYFUNCTION("""COMPUTED_VALUE"""),"Spirit Squadron")</f>
        <v>Spirit Squadron</v>
      </c>
      <c r="B2380" s="78" t="str">
        <f>IFERROR(__xludf.DUMMYFUNCTION("""COMPUTED_VALUE"""),"Arcane Maelstrom")</f>
        <v>Arcane Maelstrom</v>
      </c>
      <c r="C2380" s="79">
        <f>IFERROR(__xludf.DUMMYFUNCTION("""COMPUTED_VALUE"""),0.0)</f>
        <v>0</v>
      </c>
      <c r="D2380" s="79">
        <f>IFERROR(__xludf.DUMMYFUNCTION("""COMPUTED_VALUE"""),0.0)</f>
        <v>0</v>
      </c>
      <c r="E2380" s="69" t="b">
        <f>IFERROR(__xludf.DUMMYFUNCTION("""COMPUTED_VALUE"""),TRUE)</f>
        <v>1</v>
      </c>
    </row>
    <row r="2381" hidden="1">
      <c r="A2381" s="78" t="str">
        <f>IFERROR(__xludf.DUMMYFUNCTION("""COMPUTED_VALUE"""),"Spirit Squadron")</f>
        <v>Spirit Squadron</v>
      </c>
      <c r="B2381" s="78" t="str">
        <f>IFERROR(__xludf.DUMMYFUNCTION("""COMPUTED_VALUE"""),"Blame Game")</f>
        <v>Blame Game</v>
      </c>
      <c r="C2381" s="79">
        <f>IFERROR(__xludf.DUMMYFUNCTION("""COMPUTED_VALUE"""),0.0)</f>
        <v>0</v>
      </c>
      <c r="D2381" s="79">
        <f>IFERROR(__xludf.DUMMYFUNCTION("""COMPUTED_VALUE"""),0.0)</f>
        <v>0</v>
      </c>
      <c r="E2381" s="69" t="b">
        <f>IFERROR(__xludf.DUMMYFUNCTION("""COMPUTED_VALUE"""),TRUE)</f>
        <v>1</v>
      </c>
    </row>
    <row r="2382" hidden="1">
      <c r="A2382" s="78" t="str">
        <f>IFERROR(__xludf.DUMMYFUNCTION("""COMPUTED_VALUE"""),"Spirit Squadron")</f>
        <v>Spirit Squadron</v>
      </c>
      <c r="B2382" s="78" t="str">
        <f>IFERROR(__xludf.DUMMYFUNCTION("""COMPUTED_VALUE"""),"Blight Curse")</f>
        <v>Blight Curse</v>
      </c>
      <c r="C2382" s="79">
        <f>IFERROR(__xludf.DUMMYFUNCTION("""COMPUTED_VALUE"""),0.0)</f>
        <v>0</v>
      </c>
      <c r="D2382" s="79">
        <f>IFERROR(__xludf.DUMMYFUNCTION("""COMPUTED_VALUE"""),0.0)</f>
        <v>0</v>
      </c>
      <c r="E2382" s="69" t="b">
        <f>IFERROR(__xludf.DUMMYFUNCTION("""COMPUTED_VALUE"""),TRUE)</f>
        <v>1</v>
      </c>
    </row>
    <row r="2383" hidden="1">
      <c r="A2383" s="78" t="str">
        <f>IFERROR(__xludf.DUMMYFUNCTION("""COMPUTED_VALUE"""),"Spirit Squadron")</f>
        <v>Spirit Squadron</v>
      </c>
      <c r="B2383" s="78" t="str">
        <f>IFERROR(__xludf.DUMMYFUNCTION("""COMPUTED_VALUE"""),"Blood Rites")</f>
        <v>Blood Rites</v>
      </c>
      <c r="C2383" s="79">
        <f>IFERROR(__xludf.DUMMYFUNCTION("""COMPUTED_VALUE"""),0.0)</f>
        <v>0</v>
      </c>
      <c r="D2383" s="79">
        <f>IFERROR(__xludf.DUMMYFUNCTION("""COMPUTED_VALUE"""),0.0)</f>
        <v>0</v>
      </c>
      <c r="E2383" s="69" t="b">
        <f>IFERROR(__xludf.DUMMYFUNCTION("""COMPUTED_VALUE"""),TRUE)</f>
        <v>1</v>
      </c>
    </row>
    <row r="2384" hidden="1">
      <c r="A2384" s="78" t="str">
        <f>IFERROR(__xludf.DUMMYFUNCTION("""COMPUTED_VALUE"""),"Spirit Squadron")</f>
        <v>Spirit Squadron</v>
      </c>
      <c r="B2384" s="78" t="str">
        <f>IFERROR(__xludf.DUMMYFUNCTION("""COMPUTED_VALUE"""),"Buckle Up")</f>
        <v>Buckle Up</v>
      </c>
      <c r="C2384" s="79">
        <f>IFERROR(__xludf.DUMMYFUNCTION("""COMPUTED_VALUE"""),0.0)</f>
        <v>0</v>
      </c>
      <c r="D2384" s="79">
        <f>IFERROR(__xludf.DUMMYFUNCTION("""COMPUTED_VALUE"""),0.0)</f>
        <v>0</v>
      </c>
      <c r="E2384" s="69" t="b">
        <f>IFERROR(__xludf.DUMMYFUNCTION("""COMPUTED_VALUE"""),TRUE)</f>
        <v>1</v>
      </c>
    </row>
    <row r="2385" hidden="1">
      <c r="A2385" s="78" t="str">
        <f>IFERROR(__xludf.DUMMYFUNCTION("""COMPUTED_VALUE"""),"Spirit Squadron")</f>
        <v>Spirit Squadron</v>
      </c>
      <c r="B2385" s="78" t="str">
        <f>IFERROR(__xludf.DUMMYFUNCTION("""COMPUTED_VALUE"""),"Cabaretti Cacophony")</f>
        <v>Cabaretti Cacophony</v>
      </c>
      <c r="C2385" s="79">
        <f>IFERROR(__xludf.DUMMYFUNCTION("""COMPUTED_VALUE"""),0.0)</f>
        <v>0</v>
      </c>
      <c r="D2385" s="79">
        <f>IFERROR(__xludf.DUMMYFUNCTION("""COMPUTED_VALUE"""),0.0)</f>
        <v>0</v>
      </c>
      <c r="E2385" s="69" t="b">
        <f>IFERROR(__xludf.DUMMYFUNCTION("""COMPUTED_VALUE"""),TRUE)</f>
        <v>1</v>
      </c>
    </row>
    <row r="2386" hidden="1">
      <c r="A2386" s="78" t="str">
        <f>IFERROR(__xludf.DUMMYFUNCTION("""COMPUTED_VALUE"""),"Spirit Squadron")</f>
        <v>Spirit Squadron</v>
      </c>
      <c r="B2386" s="78" t="str">
        <f>IFERROR(__xludf.DUMMYFUNCTION("""COMPUTED_VALUE"""),"Cavalry Charge")</f>
        <v>Cavalry Charge</v>
      </c>
      <c r="C2386" s="79">
        <f>IFERROR(__xludf.DUMMYFUNCTION("""COMPUTED_VALUE"""),0.0)</f>
        <v>0</v>
      </c>
      <c r="D2386" s="79">
        <f>IFERROR(__xludf.DUMMYFUNCTION("""COMPUTED_VALUE"""),0.0)</f>
        <v>0</v>
      </c>
      <c r="E2386" s="69" t="b">
        <f>IFERROR(__xludf.DUMMYFUNCTION("""COMPUTED_VALUE"""),TRUE)</f>
        <v>1</v>
      </c>
    </row>
    <row r="2387" hidden="1">
      <c r="A2387" s="78" t="str">
        <f>IFERROR(__xludf.DUMMYFUNCTION("""COMPUTED_VALUE"""),"Spirit Squadron")</f>
        <v>Spirit Squadron</v>
      </c>
      <c r="B2387" s="78" t="str">
        <f>IFERROR(__xludf.DUMMYFUNCTION("""COMPUTED_VALUE"""),"Corrupting Influence")</f>
        <v>Corrupting Influence</v>
      </c>
      <c r="C2387" s="79">
        <f>IFERROR(__xludf.DUMMYFUNCTION("""COMPUTED_VALUE"""),0.0)</f>
        <v>0</v>
      </c>
      <c r="D2387" s="79">
        <f>IFERROR(__xludf.DUMMYFUNCTION("""COMPUTED_VALUE"""),0.0)</f>
        <v>0</v>
      </c>
      <c r="E2387" s="69" t="b">
        <f>IFERROR(__xludf.DUMMYFUNCTION("""COMPUTED_VALUE"""),TRUE)</f>
        <v>1</v>
      </c>
    </row>
    <row r="2388" hidden="1">
      <c r="A2388" s="78" t="str">
        <f>IFERROR(__xludf.DUMMYFUNCTION("""COMPUTED_VALUE"""),"Spirit Squadron")</f>
        <v>Spirit Squadron</v>
      </c>
      <c r="B2388" s="78" t="str">
        <f>IFERROR(__xludf.DUMMYFUNCTION("""COMPUTED_VALUE"""),"Counter Blitz")</f>
        <v>Counter Blitz</v>
      </c>
      <c r="C2388" s="79">
        <f>IFERROR(__xludf.DUMMYFUNCTION("""COMPUTED_VALUE"""),0.0)</f>
        <v>0</v>
      </c>
      <c r="D2388" s="79">
        <f>IFERROR(__xludf.DUMMYFUNCTION("""COMPUTED_VALUE"""),0.0)</f>
        <v>0</v>
      </c>
      <c r="E2388" s="69" t="b">
        <f>IFERROR(__xludf.DUMMYFUNCTION("""COMPUTED_VALUE"""),TRUE)</f>
        <v>1</v>
      </c>
    </row>
    <row r="2389" hidden="1">
      <c r="A2389" s="78" t="str">
        <f>IFERROR(__xludf.DUMMYFUNCTION("""COMPUTED_VALUE"""),"Spirit Squadron")</f>
        <v>Spirit Squadron</v>
      </c>
      <c r="B2389" s="78" t="str">
        <f>IFERROR(__xludf.DUMMYFUNCTION("""COMPUTED_VALUE"""),"Counter Intelligence")</f>
        <v>Counter Intelligence</v>
      </c>
      <c r="C2389" s="79">
        <f>IFERROR(__xludf.DUMMYFUNCTION("""COMPUTED_VALUE"""),0.0)</f>
        <v>0</v>
      </c>
      <c r="D2389" s="79">
        <f>IFERROR(__xludf.DUMMYFUNCTION("""COMPUTED_VALUE"""),0.0)</f>
        <v>0</v>
      </c>
      <c r="E2389" s="69" t="b">
        <f>IFERROR(__xludf.DUMMYFUNCTION("""COMPUTED_VALUE"""),TRUE)</f>
        <v>1</v>
      </c>
    </row>
    <row r="2390" hidden="1">
      <c r="A2390" s="78" t="str">
        <f>IFERROR(__xludf.DUMMYFUNCTION("""COMPUTED_VALUE"""),"Spirit Squadron")</f>
        <v>Spirit Squadron</v>
      </c>
      <c r="B2390" s="78" t="str">
        <f>IFERROR(__xludf.DUMMYFUNCTION("""COMPUTED_VALUE"""),"Creative Energy")</f>
        <v>Creative Energy</v>
      </c>
      <c r="C2390" s="79">
        <f>IFERROR(__xludf.DUMMYFUNCTION("""COMPUTED_VALUE"""),0.0)</f>
        <v>0</v>
      </c>
      <c r="D2390" s="79">
        <f>IFERROR(__xludf.DUMMYFUNCTION("""COMPUTED_VALUE"""),0.0)</f>
        <v>0</v>
      </c>
      <c r="E2390" s="69" t="b">
        <f>IFERROR(__xludf.DUMMYFUNCTION("""COMPUTED_VALUE"""),TRUE)</f>
        <v>1</v>
      </c>
    </row>
    <row r="2391">
      <c r="A2391" s="78" t="str">
        <f>IFERROR(__xludf.DUMMYFUNCTION("""COMPUTED_VALUE"""),"Spirit Squadron")</f>
        <v>Spirit Squadron</v>
      </c>
      <c r="B2391" s="78" t="str">
        <f>IFERROR(__xludf.DUMMYFUNCTION("""COMPUTED_VALUE"""),"Dance of the Elements")</f>
        <v>Dance of the Elements</v>
      </c>
      <c r="C2391" s="79">
        <f>IFERROR(__xludf.DUMMYFUNCTION("""COMPUTED_VALUE"""),0.0)</f>
        <v>0</v>
      </c>
      <c r="D2391" s="79">
        <f>IFERROR(__xludf.DUMMYFUNCTION("""COMPUTED_VALUE"""),0.0)</f>
        <v>0</v>
      </c>
      <c r="E2391" s="69" t="b">
        <f>IFERROR(__xludf.DUMMYFUNCTION("""COMPUTED_VALUE"""),TRUE)</f>
        <v>1</v>
      </c>
    </row>
    <row r="2392" hidden="1">
      <c r="A2392" s="78" t="str">
        <f>IFERROR(__xludf.DUMMYFUNCTION("""COMPUTED_VALUE"""),"Spirit Squadron")</f>
        <v>Spirit Squadron</v>
      </c>
      <c r="B2392" s="78" t="str">
        <f>IFERROR(__xludf.DUMMYFUNCTION("""COMPUTED_VALUE"""),"Deep Clue Sea")</f>
        <v>Deep Clue Sea</v>
      </c>
      <c r="C2392" s="79">
        <f>IFERROR(__xludf.DUMMYFUNCTION("""COMPUTED_VALUE"""),0.0)</f>
        <v>0</v>
      </c>
      <c r="D2392" s="79">
        <f>IFERROR(__xludf.DUMMYFUNCTION("""COMPUTED_VALUE"""),1.0)</f>
        <v>1</v>
      </c>
      <c r="E2392" s="69" t="b">
        <f>IFERROR(__xludf.DUMMYFUNCTION("""COMPUTED_VALUE"""),FALSE)</f>
        <v>0</v>
      </c>
    </row>
    <row r="2393" hidden="1">
      <c r="A2393" s="78" t="str">
        <f>IFERROR(__xludf.DUMMYFUNCTION("""COMPUTED_VALUE"""),"Spirit Squadron")</f>
        <v>Spirit Squadron</v>
      </c>
      <c r="B2393" s="78" t="str">
        <f>IFERROR(__xludf.DUMMYFUNCTION("""COMPUTED_VALUE"""),"Doom Prevails")</f>
        <v>Doom Prevails</v>
      </c>
      <c r="C2393" s="79">
        <f>IFERROR(__xludf.DUMMYFUNCTION("""COMPUTED_VALUE"""),0.0)</f>
        <v>0</v>
      </c>
      <c r="D2393" s="79">
        <f>IFERROR(__xludf.DUMMYFUNCTION("""COMPUTED_VALUE"""),0.0)</f>
        <v>0</v>
      </c>
      <c r="E2393" s="69" t="b">
        <f>IFERROR(__xludf.DUMMYFUNCTION("""COMPUTED_VALUE"""),TRUE)</f>
        <v>1</v>
      </c>
    </row>
    <row r="2394">
      <c r="A2394" s="78" t="str">
        <f>IFERROR(__xludf.DUMMYFUNCTION("""COMPUTED_VALUE"""),"Spirit Squadron")</f>
        <v>Spirit Squadron</v>
      </c>
      <c r="B2394" s="78" t="str">
        <f>IFERROR(__xludf.DUMMYFUNCTION("""COMPUTED_VALUE"""),"Eldrazi Incursion")</f>
        <v>Eldrazi Incursion</v>
      </c>
      <c r="C2394" s="79">
        <f>IFERROR(__xludf.DUMMYFUNCTION("""COMPUTED_VALUE"""),0.0)</f>
        <v>0</v>
      </c>
      <c r="D2394" s="79">
        <f>IFERROR(__xludf.DUMMYFUNCTION("""COMPUTED_VALUE"""),0.0)</f>
        <v>0</v>
      </c>
      <c r="E2394" s="69" t="b">
        <f>IFERROR(__xludf.DUMMYFUNCTION("""COMPUTED_VALUE"""),TRUE)</f>
        <v>1</v>
      </c>
    </row>
    <row r="2395" hidden="1">
      <c r="A2395" s="78" t="str">
        <f>IFERROR(__xludf.DUMMYFUNCTION("""COMPUTED_VALUE"""),"Spirit Squadron")</f>
        <v>Spirit Squadron</v>
      </c>
      <c r="B2395" s="78" t="str">
        <f>IFERROR(__xludf.DUMMYFUNCTION("""COMPUTED_VALUE"""),"Eldrazi Unbound")</f>
        <v>Eldrazi Unbound</v>
      </c>
      <c r="C2395" s="79">
        <f>IFERROR(__xludf.DUMMYFUNCTION("""COMPUTED_VALUE"""),0.0)</f>
        <v>0</v>
      </c>
      <c r="D2395" s="79">
        <f>IFERROR(__xludf.DUMMYFUNCTION("""COMPUTED_VALUE"""),0.0)</f>
        <v>0</v>
      </c>
      <c r="E2395" s="69" t="b">
        <f>IFERROR(__xludf.DUMMYFUNCTION("""COMPUTED_VALUE"""),TRUE)</f>
        <v>1</v>
      </c>
    </row>
    <row r="2396" hidden="1">
      <c r="A2396" s="78" t="str">
        <f>IFERROR(__xludf.DUMMYFUNCTION("""COMPUTED_VALUE"""),"Spirit Squadron")</f>
        <v>Spirit Squadron</v>
      </c>
      <c r="B2396" s="78" t="str">
        <f>IFERROR(__xludf.DUMMYFUNCTION("""COMPUTED_VALUE"""),"Endless Punishment")</f>
        <v>Endless Punishment</v>
      </c>
      <c r="C2396" s="79">
        <f>IFERROR(__xludf.DUMMYFUNCTION("""COMPUTED_VALUE"""),0.0)</f>
        <v>0</v>
      </c>
      <c r="D2396" s="79">
        <f>IFERROR(__xludf.DUMMYFUNCTION("""COMPUTED_VALUE"""),0.0)</f>
        <v>0</v>
      </c>
      <c r="E2396" s="69" t="b">
        <f>IFERROR(__xludf.DUMMYFUNCTION("""COMPUTED_VALUE"""),TRUE)</f>
        <v>1</v>
      </c>
    </row>
    <row r="2397" hidden="1">
      <c r="A2397" s="78" t="str">
        <f>IFERROR(__xludf.DUMMYFUNCTION("""COMPUTED_VALUE"""),"Spirit Squadron")</f>
        <v>Spirit Squadron</v>
      </c>
      <c r="B2397" s="78" t="str">
        <f>IFERROR(__xludf.DUMMYFUNCTION("""COMPUTED_VALUE"""),"Enduring Enchantments")</f>
        <v>Enduring Enchantments</v>
      </c>
      <c r="C2397" s="79">
        <f>IFERROR(__xludf.DUMMYFUNCTION("""COMPUTED_VALUE"""),0.0)</f>
        <v>0</v>
      </c>
      <c r="D2397" s="79">
        <f>IFERROR(__xludf.DUMMYFUNCTION("""COMPUTED_VALUE"""),0.0)</f>
        <v>0</v>
      </c>
      <c r="E2397" s="69" t="b">
        <f>IFERROR(__xludf.DUMMYFUNCTION("""COMPUTED_VALUE"""),TRUE)</f>
        <v>1</v>
      </c>
    </row>
    <row r="2398" hidden="1">
      <c r="A2398" s="78" t="str">
        <f>IFERROR(__xludf.DUMMYFUNCTION("""COMPUTED_VALUE"""),"Spirit Squadron")</f>
        <v>Spirit Squadron</v>
      </c>
      <c r="B2398" s="78" t="str">
        <f>IFERROR(__xludf.DUMMYFUNCTION("""COMPUTED_VALUE"""),"Explorers of the Deep")</f>
        <v>Explorers of the Deep</v>
      </c>
      <c r="C2398" s="79">
        <f>IFERROR(__xludf.DUMMYFUNCTION("""COMPUTED_VALUE"""),0.0)</f>
        <v>0</v>
      </c>
      <c r="D2398" s="79">
        <f>IFERROR(__xludf.DUMMYFUNCTION("""COMPUTED_VALUE"""),0.0)</f>
        <v>0</v>
      </c>
      <c r="E2398" s="69" t="b">
        <f>IFERROR(__xludf.DUMMYFUNCTION("""COMPUTED_VALUE"""),TRUE)</f>
        <v>1</v>
      </c>
    </row>
    <row r="2399" hidden="1">
      <c r="A2399" s="78" t="str">
        <f>IFERROR(__xludf.DUMMYFUNCTION("""COMPUTED_VALUE"""),"Spirit Squadron")</f>
        <v>Spirit Squadron</v>
      </c>
      <c r="B2399" s="78" t="str">
        <f>IFERROR(__xludf.DUMMYFUNCTION("""COMPUTED_VALUE"""),"Family Matters")</f>
        <v>Family Matters</v>
      </c>
      <c r="C2399" s="79">
        <f>IFERROR(__xludf.DUMMYFUNCTION("""COMPUTED_VALUE"""),0.0)</f>
        <v>0</v>
      </c>
      <c r="D2399" s="79">
        <f>IFERROR(__xludf.DUMMYFUNCTION("""COMPUTED_VALUE"""),0.0)</f>
        <v>0</v>
      </c>
      <c r="E2399" s="69" t="b">
        <f>IFERROR(__xludf.DUMMYFUNCTION("""COMPUTED_VALUE"""),TRUE)</f>
        <v>1</v>
      </c>
    </row>
    <row r="2400" hidden="1">
      <c r="A2400" s="78" t="str">
        <f>IFERROR(__xludf.DUMMYFUNCTION("""COMPUTED_VALUE"""),"Spirit Squadron")</f>
        <v>Spirit Squadron</v>
      </c>
      <c r="B2400" s="78" t="str">
        <f>IFERROR(__xludf.DUMMYFUNCTION("""COMPUTED_VALUE"""),"Food and Fellowship")</f>
        <v>Food and Fellowship</v>
      </c>
      <c r="C2400" s="79">
        <f>IFERROR(__xludf.DUMMYFUNCTION("""COMPUTED_VALUE"""),0.0)</f>
        <v>0</v>
      </c>
      <c r="D2400" s="79">
        <f>IFERROR(__xludf.DUMMYFUNCTION("""COMPUTED_VALUE"""),0.0)</f>
        <v>0</v>
      </c>
      <c r="E2400" s="69" t="b">
        <f>IFERROR(__xludf.DUMMYFUNCTION("""COMPUTED_VALUE"""),TRUE)</f>
        <v>1</v>
      </c>
    </row>
    <row r="2401" hidden="1">
      <c r="A2401" s="78" t="str">
        <f>IFERROR(__xludf.DUMMYFUNCTION("""COMPUTED_VALUE"""),"Spirit Squadron")</f>
        <v>Spirit Squadron</v>
      </c>
      <c r="B2401" s="78" t="str">
        <f>IFERROR(__xludf.DUMMYFUNCTION("""COMPUTED_VALUE"""),"Jeskai Striker")</f>
        <v>Jeskai Striker</v>
      </c>
      <c r="C2401" s="79">
        <f>IFERROR(__xludf.DUMMYFUNCTION("""COMPUTED_VALUE"""),0.0)</f>
        <v>0</v>
      </c>
      <c r="D2401" s="79">
        <f>IFERROR(__xludf.DUMMYFUNCTION("""COMPUTED_VALUE"""),0.0)</f>
        <v>0</v>
      </c>
      <c r="E2401" s="69" t="b">
        <f>IFERROR(__xludf.DUMMYFUNCTION("""COMPUTED_VALUE"""),TRUE)</f>
        <v>1</v>
      </c>
    </row>
    <row r="2402" hidden="1">
      <c r="A2402" s="78" t="str">
        <f>IFERROR(__xludf.DUMMYFUNCTION("""COMPUTED_VALUE"""),"Spirit Squadron")</f>
        <v>Spirit Squadron</v>
      </c>
      <c r="B2402" s="78" t="str">
        <f>IFERROR(__xludf.DUMMYFUNCTION("""COMPUTED_VALUE"""),"Legends' Legacy")</f>
        <v>Legends' Legacy</v>
      </c>
      <c r="C2402" s="79">
        <f>IFERROR(__xludf.DUMMYFUNCTION("""COMPUTED_VALUE"""),0.0)</f>
        <v>0</v>
      </c>
      <c r="D2402" s="79">
        <f>IFERROR(__xludf.DUMMYFUNCTION("""COMPUTED_VALUE"""),0.0)</f>
        <v>0</v>
      </c>
      <c r="E2402" s="69" t="b">
        <f>IFERROR(__xludf.DUMMYFUNCTION("""COMPUTED_VALUE"""),TRUE)</f>
        <v>1</v>
      </c>
    </row>
    <row r="2403" hidden="1">
      <c r="A2403" s="78" t="str">
        <f>IFERROR(__xludf.DUMMYFUNCTION("""COMPUTED_VALUE"""),"Spirit Squadron")</f>
        <v>Spirit Squadron</v>
      </c>
      <c r="B2403" s="78" t="str">
        <f>IFERROR(__xludf.DUMMYFUNCTION("""COMPUTED_VALUE"""),"Limit Break")</f>
        <v>Limit Break</v>
      </c>
      <c r="C2403" s="79">
        <f>IFERROR(__xludf.DUMMYFUNCTION("""COMPUTED_VALUE"""),0.0)</f>
        <v>0</v>
      </c>
      <c r="D2403" s="79">
        <f>IFERROR(__xludf.DUMMYFUNCTION("""COMPUTED_VALUE"""),0.0)</f>
        <v>0</v>
      </c>
      <c r="E2403" s="69" t="b">
        <f>IFERROR(__xludf.DUMMYFUNCTION("""COMPUTED_VALUE"""),TRUE)</f>
        <v>1</v>
      </c>
    </row>
    <row r="2404" hidden="1">
      <c r="A2404" s="78" t="str">
        <f>IFERROR(__xludf.DUMMYFUNCTION("""COMPUTED_VALUE"""),"Spirit Squadron")</f>
        <v>Spirit Squadron</v>
      </c>
      <c r="B2404" s="78" t="str">
        <f>IFERROR(__xludf.DUMMYFUNCTION("""COMPUTED_VALUE"""),"Lorehold Spirit")</f>
        <v>Lorehold Spirit</v>
      </c>
      <c r="C2404" s="79">
        <f>IFERROR(__xludf.DUMMYFUNCTION("""COMPUTED_VALUE"""),0.0)</f>
        <v>0</v>
      </c>
      <c r="D2404" s="79">
        <f>IFERROR(__xludf.DUMMYFUNCTION("""COMPUTED_VALUE"""),0.0)</f>
        <v>0</v>
      </c>
      <c r="E2404" s="69" t="b">
        <f>IFERROR(__xludf.DUMMYFUNCTION("""COMPUTED_VALUE"""),TRUE)</f>
        <v>1</v>
      </c>
    </row>
    <row r="2405" hidden="1">
      <c r="A2405" s="78" t="str">
        <f>IFERROR(__xludf.DUMMYFUNCTION("""COMPUTED_VALUE"""),"Spirit Squadron")</f>
        <v>Spirit Squadron</v>
      </c>
      <c r="B2405" s="78" t="str">
        <f>IFERROR(__xludf.DUMMYFUNCTION("""COMPUTED_VALUE"""),"Mutant Menace")</f>
        <v>Mutant Menace</v>
      </c>
      <c r="C2405" s="79">
        <f>IFERROR(__xludf.DUMMYFUNCTION("""COMPUTED_VALUE"""),0.0)</f>
        <v>0</v>
      </c>
      <c r="D2405" s="79">
        <f>IFERROR(__xludf.DUMMYFUNCTION("""COMPUTED_VALUE"""),0.0)</f>
        <v>0</v>
      </c>
      <c r="E2405" s="69" t="b">
        <f>IFERROR(__xludf.DUMMYFUNCTION("""COMPUTED_VALUE"""),TRUE)</f>
        <v>1</v>
      </c>
    </row>
    <row r="2406" hidden="1">
      <c r="A2406" s="78" t="str">
        <f>IFERROR(__xludf.DUMMYFUNCTION("""COMPUTED_VALUE"""),"Spirit Squadron")</f>
        <v>Spirit Squadron</v>
      </c>
      <c r="B2406" s="78" t="str">
        <f>IFERROR(__xludf.DUMMYFUNCTION("""COMPUTED_VALUE"""),"Party Time")</f>
        <v>Party Time</v>
      </c>
      <c r="C2406" s="79">
        <f>IFERROR(__xludf.DUMMYFUNCTION("""COMPUTED_VALUE"""),0.0)</f>
        <v>0</v>
      </c>
      <c r="D2406" s="79">
        <f>IFERROR(__xludf.DUMMYFUNCTION("""COMPUTED_VALUE"""),0.0)</f>
        <v>0</v>
      </c>
      <c r="E2406" s="69" t="b">
        <f>IFERROR(__xludf.DUMMYFUNCTION("""COMPUTED_VALUE"""),TRUE)</f>
        <v>1</v>
      </c>
    </row>
    <row r="2407" hidden="1">
      <c r="A2407" s="78" t="str">
        <f>IFERROR(__xludf.DUMMYFUNCTION("""COMPUTED_VALUE"""),"Spirit Squadron")</f>
        <v>Spirit Squadron</v>
      </c>
      <c r="B2407" s="78" t="str">
        <f>IFERROR(__xludf.DUMMYFUNCTION("""COMPUTED_VALUE"""),"Peace Offering")</f>
        <v>Peace Offering</v>
      </c>
      <c r="C2407" s="79">
        <f>IFERROR(__xludf.DUMMYFUNCTION("""COMPUTED_VALUE"""),0.0)</f>
        <v>0</v>
      </c>
      <c r="D2407" s="79">
        <f>IFERROR(__xludf.DUMMYFUNCTION("""COMPUTED_VALUE"""),0.0)</f>
        <v>0</v>
      </c>
      <c r="E2407" s="69" t="b">
        <f>IFERROR(__xludf.DUMMYFUNCTION("""COMPUTED_VALUE"""),TRUE)</f>
        <v>1</v>
      </c>
    </row>
    <row r="2408" hidden="1">
      <c r="A2408" s="78" t="str">
        <f>IFERROR(__xludf.DUMMYFUNCTION("""COMPUTED_VALUE"""),"Spirit Squadron")</f>
        <v>Spirit Squadron</v>
      </c>
      <c r="B2408" s="78" t="str">
        <f>IFERROR(__xludf.DUMMYFUNCTION("""COMPUTED_VALUE"""),"Power Hungry")</f>
        <v>Power Hungry</v>
      </c>
      <c r="C2408" s="79">
        <f>IFERROR(__xludf.DUMMYFUNCTION("""COMPUTED_VALUE"""),0.0)</f>
        <v>0</v>
      </c>
      <c r="D2408" s="79">
        <f>IFERROR(__xludf.DUMMYFUNCTION("""COMPUTED_VALUE"""),0.0)</f>
        <v>0</v>
      </c>
      <c r="E2408" s="69" t="b">
        <f>IFERROR(__xludf.DUMMYFUNCTION("""COMPUTED_VALUE"""),TRUE)</f>
        <v>1</v>
      </c>
    </row>
    <row r="2409" hidden="1">
      <c r="A2409" s="78" t="str">
        <f>IFERROR(__xludf.DUMMYFUNCTION("""COMPUTED_VALUE"""),"Spirit Squadron")</f>
        <v>Spirit Squadron</v>
      </c>
      <c r="B2409" s="78" t="str">
        <f>IFERROR(__xludf.DUMMYFUNCTION("""COMPUTED_VALUE"""),"Primal Genesis")</f>
        <v>Primal Genesis</v>
      </c>
      <c r="C2409" s="79">
        <f>IFERROR(__xludf.DUMMYFUNCTION("""COMPUTED_VALUE"""),0.0)</f>
        <v>0</v>
      </c>
      <c r="D2409" s="79">
        <f>IFERROR(__xludf.DUMMYFUNCTION("""COMPUTED_VALUE"""),0.0)</f>
        <v>0</v>
      </c>
      <c r="E2409" s="69" t="b">
        <f>IFERROR(__xludf.DUMMYFUNCTION("""COMPUTED_VALUE"""),TRUE)</f>
        <v>1</v>
      </c>
    </row>
    <row r="2410" hidden="1">
      <c r="A2410" s="78" t="str">
        <f>IFERROR(__xludf.DUMMYFUNCTION("""COMPUTED_VALUE"""),"Spirit Squadron")</f>
        <v>Spirit Squadron</v>
      </c>
      <c r="B2410" s="78" t="str">
        <f>IFERROR(__xludf.DUMMYFUNCTION("""COMPUTED_VALUE"""),"Prismari Artistry")</f>
        <v>Prismari Artistry</v>
      </c>
      <c r="C2410" s="79">
        <f>IFERROR(__xludf.DUMMYFUNCTION("""COMPUTED_VALUE"""),0.0)</f>
        <v>0</v>
      </c>
      <c r="D2410" s="79">
        <f>IFERROR(__xludf.DUMMYFUNCTION("""COMPUTED_VALUE"""),0.0)</f>
        <v>0</v>
      </c>
      <c r="E2410" s="69" t="b">
        <f>IFERROR(__xludf.DUMMYFUNCTION("""COMPUTED_VALUE"""),TRUE)</f>
        <v>1</v>
      </c>
    </row>
    <row r="2411" hidden="1">
      <c r="A2411" s="78" t="str">
        <f>IFERROR(__xludf.DUMMYFUNCTION("""COMPUTED_VALUE"""),"Spirit Squadron")</f>
        <v>Spirit Squadron</v>
      </c>
      <c r="B2411" s="78" t="str">
        <f>IFERROR(__xludf.DUMMYFUNCTION("""COMPUTED_VALUE"""),"Prismari Performance")</f>
        <v>Prismari Performance</v>
      </c>
      <c r="C2411" s="79">
        <f>IFERROR(__xludf.DUMMYFUNCTION("""COMPUTED_VALUE"""),0.0)</f>
        <v>0</v>
      </c>
      <c r="D2411" s="79">
        <f>IFERROR(__xludf.DUMMYFUNCTION("""COMPUTED_VALUE"""),0.0)</f>
        <v>0</v>
      </c>
      <c r="E2411" s="69" t="b">
        <f>IFERROR(__xludf.DUMMYFUNCTION("""COMPUTED_VALUE"""),TRUE)</f>
        <v>1</v>
      </c>
    </row>
    <row r="2412" hidden="1">
      <c r="A2412" s="78" t="str">
        <f>IFERROR(__xludf.DUMMYFUNCTION("""COMPUTED_VALUE"""),"Spirit Squadron")</f>
        <v>Spirit Squadron</v>
      </c>
      <c r="B2412" s="78" t="str">
        <f>IFERROR(__xludf.DUMMYFUNCTION("""COMPUTED_VALUE"""),"Quandrix Unlimited")</f>
        <v>Quandrix Unlimited</v>
      </c>
      <c r="C2412" s="79">
        <f>IFERROR(__xludf.DUMMYFUNCTION("""COMPUTED_VALUE"""),0.0)</f>
        <v>0</v>
      </c>
      <c r="D2412" s="79">
        <f>IFERROR(__xludf.DUMMYFUNCTION("""COMPUTED_VALUE"""),0.0)</f>
        <v>0</v>
      </c>
      <c r="E2412" s="69" t="b">
        <f>IFERROR(__xludf.DUMMYFUNCTION("""COMPUTED_VALUE"""),TRUE)</f>
        <v>1</v>
      </c>
    </row>
    <row r="2413" hidden="1">
      <c r="A2413" s="78" t="str">
        <f>IFERROR(__xludf.DUMMYFUNCTION("""COMPUTED_VALUE"""),"Spirit Squadron")</f>
        <v>Spirit Squadron</v>
      </c>
      <c r="B2413" s="78" t="str">
        <f>IFERROR(__xludf.DUMMYFUNCTION("""COMPUTED_VALUE"""),"Quick Draw")</f>
        <v>Quick Draw</v>
      </c>
      <c r="C2413" s="79">
        <f>IFERROR(__xludf.DUMMYFUNCTION("""COMPUTED_VALUE"""),0.0)</f>
        <v>0</v>
      </c>
      <c r="D2413" s="79">
        <f>IFERROR(__xludf.DUMMYFUNCTION("""COMPUTED_VALUE"""),0.0)</f>
        <v>0</v>
      </c>
      <c r="E2413" s="69" t="b">
        <f>IFERROR(__xludf.DUMMYFUNCTION("""COMPUTED_VALUE"""),TRUE)</f>
        <v>1</v>
      </c>
    </row>
    <row r="2414" hidden="1">
      <c r="A2414" s="78" t="str">
        <f>IFERROR(__xludf.DUMMYFUNCTION("""COMPUTED_VALUE"""),"Spirit Squadron")</f>
        <v>Spirit Squadron</v>
      </c>
      <c r="B2414" s="78" t="str">
        <f>IFERROR(__xludf.DUMMYFUNCTION("""COMPUTED_VALUE"""),"Reap the Tides")</f>
        <v>Reap the Tides</v>
      </c>
      <c r="C2414" s="79">
        <f>IFERROR(__xludf.DUMMYFUNCTION("""COMPUTED_VALUE"""),0.0)</f>
        <v>0</v>
      </c>
      <c r="D2414" s="79">
        <f>IFERROR(__xludf.DUMMYFUNCTION("""COMPUTED_VALUE"""),0.0)</f>
        <v>0</v>
      </c>
      <c r="E2414" s="69" t="b">
        <f>IFERROR(__xludf.DUMMYFUNCTION("""COMPUTED_VALUE"""),TRUE)</f>
        <v>1</v>
      </c>
    </row>
    <row r="2415" hidden="1">
      <c r="A2415" s="78" t="str">
        <f>IFERROR(__xludf.DUMMYFUNCTION("""COMPUTED_VALUE"""),"Spirit Squadron")</f>
        <v>Spirit Squadron</v>
      </c>
      <c r="B2415" s="78" t="str">
        <f>IFERROR(__xludf.DUMMYFUNCTION("""COMPUTED_VALUE"""),"Rebellion Rising")</f>
        <v>Rebellion Rising</v>
      </c>
      <c r="C2415" s="79">
        <f>IFERROR(__xludf.DUMMYFUNCTION("""COMPUTED_VALUE"""),0.0)</f>
        <v>0</v>
      </c>
      <c r="D2415" s="79">
        <f>IFERROR(__xludf.DUMMYFUNCTION("""COMPUTED_VALUE"""),0.0)</f>
        <v>0</v>
      </c>
      <c r="E2415" s="69" t="b">
        <f>IFERROR(__xludf.DUMMYFUNCTION("""COMPUTED_VALUE"""),TRUE)</f>
        <v>1</v>
      </c>
    </row>
    <row r="2416" hidden="1">
      <c r="A2416" s="78" t="str">
        <f>IFERROR(__xludf.DUMMYFUNCTION("""COMPUTED_VALUE"""),"Spirit Squadron")</f>
        <v>Spirit Squadron</v>
      </c>
      <c r="B2416" s="78" t="str">
        <f>IFERROR(__xludf.DUMMYFUNCTION("""COMPUTED_VALUE"""),"Revival Trance")</f>
        <v>Revival Trance</v>
      </c>
      <c r="C2416" s="79">
        <f>IFERROR(__xludf.DUMMYFUNCTION("""COMPUTED_VALUE"""),0.0)</f>
        <v>0</v>
      </c>
      <c r="D2416" s="79">
        <f>IFERROR(__xludf.DUMMYFUNCTION("""COMPUTED_VALUE"""),0.0)</f>
        <v>0</v>
      </c>
      <c r="E2416" s="69" t="b">
        <f>IFERROR(__xludf.DUMMYFUNCTION("""COMPUTED_VALUE"""),TRUE)</f>
        <v>1</v>
      </c>
    </row>
    <row r="2417">
      <c r="A2417" s="78" t="str">
        <f>IFERROR(__xludf.DUMMYFUNCTION("""COMPUTED_VALUE"""),"Spirit Squadron")</f>
        <v>Spirit Squadron</v>
      </c>
      <c r="B2417" s="78" t="str">
        <f>IFERROR(__xludf.DUMMYFUNCTION("""COMPUTED_VALUE"""),"Riders of Rohan")</f>
        <v>Riders of Rohan</v>
      </c>
      <c r="C2417" s="79">
        <f>IFERROR(__xludf.DUMMYFUNCTION("""COMPUTED_VALUE"""),0.0)</f>
        <v>0</v>
      </c>
      <c r="D2417" s="79">
        <f>IFERROR(__xludf.DUMMYFUNCTION("""COMPUTED_VALUE"""),0.0)</f>
        <v>0</v>
      </c>
      <c r="E2417" s="69" t="b">
        <f>IFERROR(__xludf.DUMMYFUNCTION("""COMPUTED_VALUE"""),TRUE)</f>
        <v>1</v>
      </c>
    </row>
    <row r="2418">
      <c r="A2418" s="78" t="str">
        <f>IFERROR(__xludf.DUMMYFUNCTION("""COMPUTED_VALUE"""),"Spirit Squadron")</f>
        <v>Spirit Squadron</v>
      </c>
      <c r="B2418" s="78" t="str">
        <f>IFERROR(__xludf.DUMMYFUNCTION("""COMPUTED_VALUE"""),"Science!")</f>
        <v>Science!</v>
      </c>
      <c r="C2418" s="79">
        <f>IFERROR(__xludf.DUMMYFUNCTION("""COMPUTED_VALUE"""),0.0)</f>
        <v>0</v>
      </c>
      <c r="D2418" s="79">
        <f>IFERROR(__xludf.DUMMYFUNCTION("""COMPUTED_VALUE"""),0.0)</f>
        <v>0</v>
      </c>
      <c r="E2418" s="69" t="b">
        <f>IFERROR(__xludf.DUMMYFUNCTION("""COMPUTED_VALUE"""),TRUE)</f>
        <v>1</v>
      </c>
    </row>
    <row r="2419" hidden="1">
      <c r="A2419" s="78" t="str">
        <f>IFERROR(__xludf.DUMMYFUNCTION("""COMPUTED_VALUE"""),"Spirit Squadron")</f>
        <v>Spirit Squadron</v>
      </c>
      <c r="B2419" s="78" t="str">
        <f>IFERROR(__xludf.DUMMYFUNCTION("""COMPUTED_VALUE"""),"Scions &amp; Spellcraft")</f>
        <v>Scions &amp; Spellcraft</v>
      </c>
      <c r="C2419" s="79">
        <f>IFERROR(__xludf.DUMMYFUNCTION("""COMPUTED_VALUE"""),0.0)</f>
        <v>0</v>
      </c>
      <c r="D2419" s="79">
        <f>IFERROR(__xludf.DUMMYFUNCTION("""COMPUTED_VALUE"""),0.0)</f>
        <v>0</v>
      </c>
      <c r="E2419" s="69" t="b">
        <f>IFERROR(__xludf.DUMMYFUNCTION("""COMPUTED_VALUE"""),TRUE)</f>
        <v>1</v>
      </c>
    </row>
    <row r="2420">
      <c r="A2420" s="78" t="str">
        <f>IFERROR(__xludf.DUMMYFUNCTION("""COMPUTED_VALUE"""),"Spirit Squadron")</f>
        <v>Spirit Squadron</v>
      </c>
      <c r="B2420" s="78" t="str">
        <f>IFERROR(__xludf.DUMMYFUNCTION("""COMPUTED_VALUE"""),"Scrappy Survivors")</f>
        <v>Scrappy Survivors</v>
      </c>
      <c r="C2420" s="79">
        <f>IFERROR(__xludf.DUMMYFUNCTION("""COMPUTED_VALUE"""),0.0)</f>
        <v>0</v>
      </c>
      <c r="D2420" s="79">
        <f>IFERROR(__xludf.DUMMYFUNCTION("""COMPUTED_VALUE"""),0.0)</f>
        <v>0</v>
      </c>
      <c r="E2420" s="69" t="b">
        <f>IFERROR(__xludf.DUMMYFUNCTION("""COMPUTED_VALUE"""),TRUE)</f>
        <v>1</v>
      </c>
    </row>
    <row r="2421" hidden="1">
      <c r="A2421" s="78" t="str">
        <f>IFERROR(__xludf.DUMMYFUNCTION("""COMPUTED_VALUE"""),"Spirit Squadron")</f>
        <v>Spirit Squadron</v>
      </c>
      <c r="B2421" s="78" t="str">
        <f>IFERROR(__xludf.DUMMYFUNCTION("""COMPUTED_VALUE"""),"Silverquill Influence")</f>
        <v>Silverquill Influence</v>
      </c>
      <c r="C2421" s="79">
        <f>IFERROR(__xludf.DUMMYFUNCTION("""COMPUTED_VALUE"""),0.0)</f>
        <v>0</v>
      </c>
      <c r="D2421" s="79">
        <f>IFERROR(__xludf.DUMMYFUNCTION("""COMPUTED_VALUE"""),0.0)</f>
        <v>0</v>
      </c>
      <c r="E2421" s="69" t="b">
        <f>IFERROR(__xludf.DUMMYFUNCTION("""COMPUTED_VALUE"""),TRUE)</f>
        <v>1</v>
      </c>
    </row>
    <row r="2422" hidden="1">
      <c r="A2422" s="78" t="str">
        <f>IFERROR(__xludf.DUMMYFUNCTION("""COMPUTED_VALUE"""),"Spirit Squadron")</f>
        <v>Spirit Squadron</v>
      </c>
      <c r="B2422" s="78" t="str">
        <f>IFERROR(__xludf.DUMMYFUNCTION("""COMPUTED_VALUE"""),"Spirit Squadron")</f>
        <v>Spirit Squadron</v>
      </c>
      <c r="C2422" s="79">
        <f>IFERROR(__xludf.DUMMYFUNCTION("""COMPUTED_VALUE"""),0.0)</f>
        <v>0</v>
      </c>
      <c r="D2422" s="79">
        <f>IFERROR(__xludf.DUMMYFUNCTION("""COMPUTED_VALUE"""),0.0)</f>
        <v>0</v>
      </c>
      <c r="E2422" s="69" t="b">
        <f>IFERROR(__xludf.DUMMYFUNCTION("""COMPUTED_VALUE"""),TRUE)</f>
        <v>1</v>
      </c>
    </row>
    <row r="2423" hidden="1">
      <c r="A2423" s="78" t="str">
        <f>IFERROR(__xludf.DUMMYFUNCTION("""COMPUTED_VALUE"""),"Spirit Squadron")</f>
        <v>Spirit Squadron</v>
      </c>
      <c r="B2423" s="78" t="str">
        <f>IFERROR(__xludf.DUMMYFUNCTION("""COMPUTED_VALUE"""),"Squirreled Away")</f>
        <v>Squirreled Away</v>
      </c>
      <c r="C2423" s="79">
        <f>IFERROR(__xludf.DUMMYFUNCTION("""COMPUTED_VALUE"""),0.0)</f>
        <v>0</v>
      </c>
      <c r="D2423" s="79">
        <f>IFERROR(__xludf.DUMMYFUNCTION("""COMPUTED_VALUE"""),1.0)</f>
        <v>1</v>
      </c>
      <c r="E2423" s="69" t="b">
        <f>IFERROR(__xludf.DUMMYFUNCTION("""COMPUTED_VALUE"""),FALSE)</f>
        <v>0</v>
      </c>
    </row>
    <row r="2424" hidden="1">
      <c r="A2424" s="78" t="str">
        <f>IFERROR(__xludf.DUMMYFUNCTION("""COMPUTED_VALUE"""),"Spirit Squadron")</f>
        <v>Spirit Squadron</v>
      </c>
      <c r="B2424" s="78" t="str">
        <f>IFERROR(__xludf.DUMMYFUNCTION("""COMPUTED_VALUE"""),"Sultai Arisen")</f>
        <v>Sultai Arisen</v>
      </c>
      <c r="C2424" s="79">
        <f>IFERROR(__xludf.DUMMYFUNCTION("""COMPUTED_VALUE"""),0.0)</f>
        <v>0</v>
      </c>
      <c r="D2424" s="79">
        <f>IFERROR(__xludf.DUMMYFUNCTION("""COMPUTED_VALUE"""),0.0)</f>
        <v>0</v>
      </c>
      <c r="E2424" s="69" t="b">
        <f>IFERROR(__xludf.DUMMYFUNCTION("""COMPUTED_VALUE"""),TRUE)</f>
        <v>1</v>
      </c>
    </row>
    <row r="2425" hidden="1">
      <c r="A2425" s="78" t="str">
        <f>IFERROR(__xludf.DUMMYFUNCTION("""COMPUTED_VALUE"""),"Spirit Squadron")</f>
        <v>Spirit Squadron</v>
      </c>
      <c r="B2425" s="78" t="str">
        <f>IFERROR(__xludf.DUMMYFUNCTION("""COMPUTED_VALUE"""),"Temur Roar")</f>
        <v>Temur Roar</v>
      </c>
      <c r="C2425" s="79">
        <f>IFERROR(__xludf.DUMMYFUNCTION("""COMPUTED_VALUE"""),0.0)</f>
        <v>0</v>
      </c>
      <c r="D2425" s="79">
        <f>IFERROR(__xludf.DUMMYFUNCTION("""COMPUTED_VALUE"""),0.0)</f>
        <v>0</v>
      </c>
      <c r="E2425" s="69" t="b">
        <f>IFERROR(__xludf.DUMMYFUNCTION("""COMPUTED_VALUE"""),TRUE)</f>
        <v>1</v>
      </c>
    </row>
    <row r="2426" hidden="1">
      <c r="A2426" s="78" t="str">
        <f>IFERROR(__xludf.DUMMYFUNCTION("""COMPUTED_VALUE"""),"Spirit Squadron")</f>
        <v>Spirit Squadron</v>
      </c>
      <c r="B2426" s="78" t="str">
        <f>IFERROR(__xludf.DUMMYFUNCTION("""COMPUTED_VALUE"""),"The Hosts of Mordor")</f>
        <v>The Hosts of Mordor</v>
      </c>
      <c r="C2426" s="79">
        <f>IFERROR(__xludf.DUMMYFUNCTION("""COMPUTED_VALUE"""),0.0)</f>
        <v>0</v>
      </c>
      <c r="D2426" s="79">
        <f>IFERROR(__xludf.DUMMYFUNCTION("""COMPUTED_VALUE"""),0.0)</f>
        <v>0</v>
      </c>
      <c r="E2426" s="69" t="b">
        <f>IFERROR(__xludf.DUMMYFUNCTION("""COMPUTED_VALUE"""),TRUE)</f>
        <v>1</v>
      </c>
    </row>
    <row r="2427" hidden="1">
      <c r="A2427" s="78" t="str">
        <f>IFERROR(__xludf.DUMMYFUNCTION("""COMPUTED_VALUE"""),"Spirit Squadron")</f>
        <v>Spirit Squadron</v>
      </c>
      <c r="B2427" s="78" t="str">
        <f>IFERROR(__xludf.DUMMYFUNCTION("""COMPUTED_VALUE"""),"The Ruinous Powers")</f>
        <v>The Ruinous Powers</v>
      </c>
      <c r="C2427" s="79">
        <f>IFERROR(__xludf.DUMMYFUNCTION("""COMPUTED_VALUE"""),0.0)</f>
        <v>0</v>
      </c>
      <c r="D2427" s="79">
        <f>IFERROR(__xludf.DUMMYFUNCTION("""COMPUTED_VALUE"""),0.0)</f>
        <v>0</v>
      </c>
      <c r="E2427" s="69" t="b">
        <f>IFERROR(__xludf.DUMMYFUNCTION("""COMPUTED_VALUE"""),TRUE)</f>
        <v>1</v>
      </c>
    </row>
    <row r="2428" hidden="1">
      <c r="A2428" s="78" t="str">
        <f>IFERROR(__xludf.DUMMYFUNCTION("""COMPUTED_VALUE"""),"Spirit Squadron")</f>
        <v>Spirit Squadron</v>
      </c>
      <c r="B2428" s="78" t="str">
        <f>IFERROR(__xludf.DUMMYFUNCTION("""COMPUTED_VALUE"""),"Timey-Wimey")</f>
        <v>Timey-Wimey</v>
      </c>
      <c r="C2428" s="79">
        <f>IFERROR(__xludf.DUMMYFUNCTION("""COMPUTED_VALUE"""),0.0)</f>
        <v>0</v>
      </c>
      <c r="D2428" s="79">
        <f>IFERROR(__xludf.DUMMYFUNCTION("""COMPUTED_VALUE"""),0.0)</f>
        <v>0</v>
      </c>
      <c r="E2428" s="69" t="b">
        <f>IFERROR(__xludf.DUMMYFUNCTION("""COMPUTED_VALUE"""),TRUE)</f>
        <v>1</v>
      </c>
    </row>
    <row r="2429" hidden="1">
      <c r="A2429" s="78" t="str">
        <f>IFERROR(__xludf.DUMMYFUNCTION("""COMPUTED_VALUE"""),"Spirit Squadron")</f>
        <v>Spirit Squadron</v>
      </c>
      <c r="B2429" s="78" t="str">
        <f>IFERROR(__xludf.DUMMYFUNCTION("""COMPUTED_VALUE"""),"Tinker Time")</f>
        <v>Tinker Time</v>
      </c>
      <c r="C2429" s="79">
        <f>IFERROR(__xludf.DUMMYFUNCTION("""COMPUTED_VALUE"""),0.0)</f>
        <v>0</v>
      </c>
      <c r="D2429" s="79">
        <f>IFERROR(__xludf.DUMMYFUNCTION("""COMPUTED_VALUE"""),0.0)</f>
        <v>0</v>
      </c>
      <c r="E2429" s="69" t="b">
        <f>IFERROR(__xludf.DUMMYFUNCTION("""COMPUTED_VALUE"""),TRUE)</f>
        <v>1</v>
      </c>
    </row>
    <row r="2430" hidden="1">
      <c r="A2430" s="78" t="str">
        <f>IFERROR(__xludf.DUMMYFUNCTION("""COMPUTED_VALUE"""),"Spirit Squadron")</f>
        <v>Spirit Squadron</v>
      </c>
      <c r="B2430" s="78" t="str">
        <f>IFERROR(__xludf.DUMMYFUNCTION("""COMPUTED_VALUE"""),"Turtle Power!")</f>
        <v>Turtle Power!</v>
      </c>
      <c r="C2430" s="79">
        <f>IFERROR(__xludf.DUMMYFUNCTION("""COMPUTED_VALUE"""),0.0)</f>
        <v>0</v>
      </c>
      <c r="D2430" s="79">
        <f>IFERROR(__xludf.DUMMYFUNCTION("""COMPUTED_VALUE"""),0.0)</f>
        <v>0</v>
      </c>
      <c r="E2430" s="69" t="b">
        <f>IFERROR(__xludf.DUMMYFUNCTION("""COMPUTED_VALUE"""),TRUE)</f>
        <v>1</v>
      </c>
    </row>
    <row r="2431">
      <c r="A2431" s="78" t="str">
        <f>IFERROR(__xludf.DUMMYFUNCTION("""COMPUTED_VALUE"""),"Spirit Squadron")</f>
        <v>Spirit Squadron</v>
      </c>
      <c r="B2431" s="78" t="str">
        <f>IFERROR(__xludf.DUMMYFUNCTION("""COMPUTED_VALUE"""),"Veloci-ramp-tor")</f>
        <v>Veloci-ramp-tor</v>
      </c>
      <c r="C2431" s="79">
        <f>IFERROR(__xludf.DUMMYFUNCTION("""COMPUTED_VALUE"""),0.0)</f>
        <v>0</v>
      </c>
      <c r="D2431" s="79">
        <f>IFERROR(__xludf.DUMMYFUNCTION("""COMPUTED_VALUE"""),0.0)</f>
        <v>0</v>
      </c>
      <c r="E2431" s="69" t="b">
        <f>IFERROR(__xludf.DUMMYFUNCTION("""COMPUTED_VALUE"""),TRUE)</f>
        <v>1</v>
      </c>
    </row>
    <row r="2432" hidden="1">
      <c r="A2432" s="78" t="str">
        <f>IFERROR(__xludf.DUMMYFUNCTION("""COMPUTED_VALUE"""),"Squirreled Away")</f>
        <v>Squirreled Away</v>
      </c>
      <c r="B2432" s="78" t="str">
        <f>IFERROR(__xludf.DUMMYFUNCTION("""COMPUTED_VALUE"""),"Ahoy Mateys")</f>
        <v>Ahoy Mateys</v>
      </c>
      <c r="C2432" s="79">
        <f>IFERROR(__xludf.DUMMYFUNCTION("""COMPUTED_VALUE"""),0.0)</f>
        <v>0</v>
      </c>
      <c r="D2432" s="79">
        <f>IFERROR(__xludf.DUMMYFUNCTION("""COMPUTED_VALUE"""),0.0)</f>
        <v>0</v>
      </c>
      <c r="E2432" s="69" t="b">
        <f>IFERROR(__xludf.DUMMYFUNCTION("""COMPUTED_VALUE"""),TRUE)</f>
        <v>1</v>
      </c>
    </row>
    <row r="2433" hidden="1">
      <c r="A2433" s="78" t="str">
        <f>IFERROR(__xludf.DUMMYFUNCTION("""COMPUTED_VALUE"""),"Squirreled Away")</f>
        <v>Squirreled Away</v>
      </c>
      <c r="B2433" s="78" t="str">
        <f>IFERROR(__xludf.DUMMYFUNCTION("""COMPUTED_VALUE"""),"Animated Army")</f>
        <v>Animated Army</v>
      </c>
      <c r="C2433" s="79">
        <f>IFERROR(__xludf.DUMMYFUNCTION("""COMPUTED_VALUE"""),0.0)</f>
        <v>0</v>
      </c>
      <c r="D2433" s="79">
        <f>IFERROR(__xludf.DUMMYFUNCTION("""COMPUTED_VALUE"""),0.0)</f>
        <v>0</v>
      </c>
      <c r="E2433" s="69" t="b">
        <f>IFERROR(__xludf.DUMMYFUNCTION("""COMPUTED_VALUE"""),TRUE)</f>
        <v>1</v>
      </c>
    </row>
    <row r="2434" hidden="1">
      <c r="A2434" s="78" t="str">
        <f>IFERROR(__xludf.DUMMYFUNCTION("""COMPUTED_VALUE"""),"Squirreled Away")</f>
        <v>Squirreled Away</v>
      </c>
      <c r="B2434" s="78" t="str">
        <f>IFERROR(__xludf.DUMMYFUNCTION("""COMPUTED_VALUE"""),"Arcane Maelstrom")</f>
        <v>Arcane Maelstrom</v>
      </c>
      <c r="C2434" s="79">
        <f>IFERROR(__xludf.DUMMYFUNCTION("""COMPUTED_VALUE"""),1.0)</f>
        <v>1</v>
      </c>
      <c r="D2434" s="79">
        <f>IFERROR(__xludf.DUMMYFUNCTION("""COMPUTED_VALUE"""),0.0)</f>
        <v>0</v>
      </c>
      <c r="E2434" s="69" t="b">
        <f>IFERROR(__xludf.DUMMYFUNCTION("""COMPUTED_VALUE"""),FALSE)</f>
        <v>0</v>
      </c>
    </row>
    <row r="2435" hidden="1">
      <c r="A2435" s="78" t="str">
        <f>IFERROR(__xludf.DUMMYFUNCTION("""COMPUTED_VALUE"""),"Squirreled Away")</f>
        <v>Squirreled Away</v>
      </c>
      <c r="B2435" s="78" t="str">
        <f>IFERROR(__xludf.DUMMYFUNCTION("""COMPUTED_VALUE"""),"Blame Game")</f>
        <v>Blame Game</v>
      </c>
      <c r="C2435" s="79">
        <f>IFERROR(__xludf.DUMMYFUNCTION("""COMPUTED_VALUE"""),0.0)</f>
        <v>0</v>
      </c>
      <c r="D2435" s="79">
        <f>IFERROR(__xludf.DUMMYFUNCTION("""COMPUTED_VALUE"""),0.0)</f>
        <v>0</v>
      </c>
      <c r="E2435" s="69" t="b">
        <f>IFERROR(__xludf.DUMMYFUNCTION("""COMPUTED_VALUE"""),TRUE)</f>
        <v>1</v>
      </c>
    </row>
    <row r="2436" hidden="1">
      <c r="A2436" s="78" t="str">
        <f>IFERROR(__xludf.DUMMYFUNCTION("""COMPUTED_VALUE"""),"Squirreled Away")</f>
        <v>Squirreled Away</v>
      </c>
      <c r="B2436" s="78" t="str">
        <f>IFERROR(__xludf.DUMMYFUNCTION("""COMPUTED_VALUE"""),"Blight Curse")</f>
        <v>Blight Curse</v>
      </c>
      <c r="C2436" s="79">
        <f>IFERROR(__xludf.DUMMYFUNCTION("""COMPUTED_VALUE"""),0.0)</f>
        <v>0</v>
      </c>
      <c r="D2436" s="79">
        <f>IFERROR(__xludf.DUMMYFUNCTION("""COMPUTED_VALUE"""),0.0)</f>
        <v>0</v>
      </c>
      <c r="E2436" s="69" t="b">
        <f>IFERROR(__xludf.DUMMYFUNCTION("""COMPUTED_VALUE"""),TRUE)</f>
        <v>1</v>
      </c>
    </row>
    <row r="2437" hidden="1">
      <c r="A2437" s="78" t="str">
        <f>IFERROR(__xludf.DUMMYFUNCTION("""COMPUTED_VALUE"""),"Squirreled Away")</f>
        <v>Squirreled Away</v>
      </c>
      <c r="B2437" s="78" t="str">
        <f>IFERROR(__xludf.DUMMYFUNCTION("""COMPUTED_VALUE"""),"Blood Rites")</f>
        <v>Blood Rites</v>
      </c>
      <c r="C2437" s="79">
        <f>IFERROR(__xludf.DUMMYFUNCTION("""COMPUTED_VALUE"""),0.0)</f>
        <v>0</v>
      </c>
      <c r="D2437" s="79">
        <f>IFERROR(__xludf.DUMMYFUNCTION("""COMPUTED_VALUE"""),0.0)</f>
        <v>0</v>
      </c>
      <c r="E2437" s="69" t="b">
        <f>IFERROR(__xludf.DUMMYFUNCTION("""COMPUTED_VALUE"""),TRUE)</f>
        <v>1</v>
      </c>
    </row>
    <row r="2438" hidden="1">
      <c r="A2438" s="78" t="str">
        <f>IFERROR(__xludf.DUMMYFUNCTION("""COMPUTED_VALUE"""),"Squirreled Away")</f>
        <v>Squirreled Away</v>
      </c>
      <c r="B2438" s="78" t="str">
        <f>IFERROR(__xludf.DUMMYFUNCTION("""COMPUTED_VALUE"""),"Buckle Up")</f>
        <v>Buckle Up</v>
      </c>
      <c r="C2438" s="79">
        <f>IFERROR(__xludf.DUMMYFUNCTION("""COMPUTED_VALUE"""),0.0)</f>
        <v>0</v>
      </c>
      <c r="D2438" s="79">
        <f>IFERROR(__xludf.DUMMYFUNCTION("""COMPUTED_VALUE"""),0.0)</f>
        <v>0</v>
      </c>
      <c r="E2438" s="69" t="b">
        <f>IFERROR(__xludf.DUMMYFUNCTION("""COMPUTED_VALUE"""),TRUE)</f>
        <v>1</v>
      </c>
    </row>
    <row r="2439" hidden="1">
      <c r="A2439" s="78" t="str">
        <f>IFERROR(__xludf.DUMMYFUNCTION("""COMPUTED_VALUE"""),"Squirreled Away")</f>
        <v>Squirreled Away</v>
      </c>
      <c r="B2439" s="78" t="str">
        <f>IFERROR(__xludf.DUMMYFUNCTION("""COMPUTED_VALUE"""),"Cabaretti Cacophony")</f>
        <v>Cabaretti Cacophony</v>
      </c>
      <c r="C2439" s="79">
        <f>IFERROR(__xludf.DUMMYFUNCTION("""COMPUTED_VALUE"""),0.0)</f>
        <v>0</v>
      </c>
      <c r="D2439" s="79">
        <f>IFERROR(__xludf.DUMMYFUNCTION("""COMPUTED_VALUE"""),0.0)</f>
        <v>0</v>
      </c>
      <c r="E2439" s="69" t="b">
        <f>IFERROR(__xludf.DUMMYFUNCTION("""COMPUTED_VALUE"""),TRUE)</f>
        <v>1</v>
      </c>
    </row>
    <row r="2440" hidden="1">
      <c r="A2440" s="78" t="str">
        <f>IFERROR(__xludf.DUMMYFUNCTION("""COMPUTED_VALUE"""),"Squirreled Away")</f>
        <v>Squirreled Away</v>
      </c>
      <c r="B2440" s="78" t="str">
        <f>IFERROR(__xludf.DUMMYFUNCTION("""COMPUTED_VALUE"""),"Cavalry Charge")</f>
        <v>Cavalry Charge</v>
      </c>
      <c r="C2440" s="79">
        <f>IFERROR(__xludf.DUMMYFUNCTION("""COMPUTED_VALUE"""),1.0)</f>
        <v>1</v>
      </c>
      <c r="D2440" s="79">
        <f>IFERROR(__xludf.DUMMYFUNCTION("""COMPUTED_VALUE"""),2.0)</f>
        <v>2</v>
      </c>
      <c r="E2440" s="69" t="b">
        <f>IFERROR(__xludf.DUMMYFUNCTION("""COMPUTED_VALUE"""),FALSE)</f>
        <v>0</v>
      </c>
    </row>
    <row r="2441" hidden="1">
      <c r="A2441" s="78" t="str">
        <f>IFERROR(__xludf.DUMMYFUNCTION("""COMPUTED_VALUE"""),"Squirreled Away")</f>
        <v>Squirreled Away</v>
      </c>
      <c r="B2441" s="78" t="str">
        <f>IFERROR(__xludf.DUMMYFUNCTION("""COMPUTED_VALUE"""),"Corrupting Influence")</f>
        <v>Corrupting Influence</v>
      </c>
      <c r="C2441" s="79">
        <f>IFERROR(__xludf.DUMMYFUNCTION("""COMPUTED_VALUE"""),0.0)</f>
        <v>0</v>
      </c>
      <c r="D2441" s="79">
        <f>IFERROR(__xludf.DUMMYFUNCTION("""COMPUTED_VALUE"""),0.0)</f>
        <v>0</v>
      </c>
      <c r="E2441" s="69" t="b">
        <f>IFERROR(__xludf.DUMMYFUNCTION("""COMPUTED_VALUE"""),TRUE)</f>
        <v>1</v>
      </c>
    </row>
    <row r="2442">
      <c r="A2442" s="78" t="str">
        <f>IFERROR(__xludf.DUMMYFUNCTION("""COMPUTED_VALUE"""),"Squirreled Away")</f>
        <v>Squirreled Away</v>
      </c>
      <c r="B2442" s="78" t="str">
        <f>IFERROR(__xludf.DUMMYFUNCTION("""COMPUTED_VALUE"""),"Counter Blitz")</f>
        <v>Counter Blitz</v>
      </c>
      <c r="C2442" s="79">
        <f>IFERROR(__xludf.DUMMYFUNCTION("""COMPUTED_VALUE"""),0.0)</f>
        <v>0</v>
      </c>
      <c r="D2442" s="79">
        <f>IFERROR(__xludf.DUMMYFUNCTION("""COMPUTED_VALUE"""),0.0)</f>
        <v>0</v>
      </c>
      <c r="E2442" s="69" t="b">
        <f>IFERROR(__xludf.DUMMYFUNCTION("""COMPUTED_VALUE"""),TRUE)</f>
        <v>1</v>
      </c>
    </row>
    <row r="2443" hidden="1">
      <c r="A2443" s="78" t="str">
        <f>IFERROR(__xludf.DUMMYFUNCTION("""COMPUTED_VALUE"""),"Squirreled Away")</f>
        <v>Squirreled Away</v>
      </c>
      <c r="B2443" s="78" t="str">
        <f>IFERROR(__xludf.DUMMYFUNCTION("""COMPUTED_VALUE"""),"Counter Intelligence")</f>
        <v>Counter Intelligence</v>
      </c>
      <c r="C2443" s="79">
        <f>IFERROR(__xludf.DUMMYFUNCTION("""COMPUTED_VALUE"""),0.0)</f>
        <v>0</v>
      </c>
      <c r="D2443" s="79">
        <f>IFERROR(__xludf.DUMMYFUNCTION("""COMPUTED_VALUE"""),0.0)</f>
        <v>0</v>
      </c>
      <c r="E2443" s="69" t="b">
        <f>IFERROR(__xludf.DUMMYFUNCTION("""COMPUTED_VALUE"""),TRUE)</f>
        <v>1</v>
      </c>
    </row>
    <row r="2444" hidden="1">
      <c r="A2444" s="78" t="str">
        <f>IFERROR(__xludf.DUMMYFUNCTION("""COMPUTED_VALUE"""),"Squirreled Away")</f>
        <v>Squirreled Away</v>
      </c>
      <c r="B2444" s="78" t="str">
        <f>IFERROR(__xludf.DUMMYFUNCTION("""COMPUTED_VALUE"""),"Creative Energy")</f>
        <v>Creative Energy</v>
      </c>
      <c r="C2444" s="79">
        <f>IFERROR(__xludf.DUMMYFUNCTION("""COMPUTED_VALUE"""),0.0)</f>
        <v>0</v>
      </c>
      <c r="D2444" s="79">
        <f>IFERROR(__xludf.DUMMYFUNCTION("""COMPUTED_VALUE"""),0.0)</f>
        <v>0</v>
      </c>
      <c r="E2444" s="69" t="b">
        <f>IFERROR(__xludf.DUMMYFUNCTION("""COMPUTED_VALUE"""),TRUE)</f>
        <v>1</v>
      </c>
    </row>
    <row r="2445" hidden="1">
      <c r="A2445" s="78" t="str">
        <f>IFERROR(__xludf.DUMMYFUNCTION("""COMPUTED_VALUE"""),"Squirreled Away")</f>
        <v>Squirreled Away</v>
      </c>
      <c r="B2445" s="78" t="str">
        <f>IFERROR(__xludf.DUMMYFUNCTION("""COMPUTED_VALUE"""),"Dance of the Elements")</f>
        <v>Dance of the Elements</v>
      </c>
      <c r="C2445" s="79">
        <f>IFERROR(__xludf.DUMMYFUNCTION("""COMPUTED_VALUE"""),1.0)</f>
        <v>1</v>
      </c>
      <c r="D2445" s="79">
        <f>IFERROR(__xludf.DUMMYFUNCTION("""COMPUTED_VALUE"""),0.0)</f>
        <v>0</v>
      </c>
      <c r="E2445" s="69" t="b">
        <f>IFERROR(__xludf.DUMMYFUNCTION("""COMPUTED_VALUE"""),FALSE)</f>
        <v>0</v>
      </c>
    </row>
    <row r="2446" hidden="1">
      <c r="A2446" s="78" t="str">
        <f>IFERROR(__xludf.DUMMYFUNCTION("""COMPUTED_VALUE"""),"Squirreled Away")</f>
        <v>Squirreled Away</v>
      </c>
      <c r="B2446" s="78" t="str">
        <f>IFERROR(__xludf.DUMMYFUNCTION("""COMPUTED_VALUE"""),"Deep Clue Sea")</f>
        <v>Deep Clue Sea</v>
      </c>
      <c r="C2446" s="79">
        <f>IFERROR(__xludf.DUMMYFUNCTION("""COMPUTED_VALUE"""),0.0)</f>
        <v>0</v>
      </c>
      <c r="D2446" s="79">
        <f>IFERROR(__xludf.DUMMYFUNCTION("""COMPUTED_VALUE"""),0.0)</f>
        <v>0</v>
      </c>
      <c r="E2446" s="69" t="b">
        <f>IFERROR(__xludf.DUMMYFUNCTION("""COMPUTED_VALUE"""),TRUE)</f>
        <v>1</v>
      </c>
    </row>
    <row r="2447" hidden="1">
      <c r="A2447" s="78" t="str">
        <f>IFERROR(__xludf.DUMMYFUNCTION("""COMPUTED_VALUE"""),"Squirreled Away")</f>
        <v>Squirreled Away</v>
      </c>
      <c r="B2447" s="78" t="str">
        <f>IFERROR(__xludf.DUMMYFUNCTION("""COMPUTED_VALUE"""),"Doom Prevails")</f>
        <v>Doom Prevails</v>
      </c>
      <c r="C2447" s="79">
        <f>IFERROR(__xludf.DUMMYFUNCTION("""COMPUTED_VALUE"""),0.0)</f>
        <v>0</v>
      </c>
      <c r="D2447" s="79">
        <f>IFERROR(__xludf.DUMMYFUNCTION("""COMPUTED_VALUE"""),0.0)</f>
        <v>0</v>
      </c>
      <c r="E2447" s="69" t="b">
        <f>IFERROR(__xludf.DUMMYFUNCTION("""COMPUTED_VALUE"""),TRUE)</f>
        <v>1</v>
      </c>
    </row>
    <row r="2448" hidden="1">
      <c r="A2448" s="78" t="str">
        <f>IFERROR(__xludf.DUMMYFUNCTION("""COMPUTED_VALUE"""),"Squirreled Away")</f>
        <v>Squirreled Away</v>
      </c>
      <c r="B2448" s="78" t="str">
        <f>IFERROR(__xludf.DUMMYFUNCTION("""COMPUTED_VALUE"""),"Eldrazi Incursion")</f>
        <v>Eldrazi Incursion</v>
      </c>
      <c r="C2448" s="79">
        <f>IFERROR(__xludf.DUMMYFUNCTION("""COMPUTED_VALUE"""),0.0)</f>
        <v>0</v>
      </c>
      <c r="D2448" s="79">
        <f>IFERROR(__xludf.DUMMYFUNCTION("""COMPUTED_VALUE"""),0.0)</f>
        <v>0</v>
      </c>
      <c r="E2448" s="69" t="b">
        <f>IFERROR(__xludf.DUMMYFUNCTION("""COMPUTED_VALUE"""),TRUE)</f>
        <v>1</v>
      </c>
    </row>
    <row r="2449" hidden="1">
      <c r="A2449" s="78" t="str">
        <f>IFERROR(__xludf.DUMMYFUNCTION("""COMPUTED_VALUE"""),"Squirreled Away")</f>
        <v>Squirreled Away</v>
      </c>
      <c r="B2449" s="78" t="str">
        <f>IFERROR(__xludf.DUMMYFUNCTION("""COMPUTED_VALUE"""),"Eldrazi Unbound")</f>
        <v>Eldrazi Unbound</v>
      </c>
      <c r="C2449" s="79">
        <f>IFERROR(__xludf.DUMMYFUNCTION("""COMPUTED_VALUE"""),0.0)</f>
        <v>0</v>
      </c>
      <c r="D2449" s="79">
        <f>IFERROR(__xludf.DUMMYFUNCTION("""COMPUTED_VALUE"""),0.0)</f>
        <v>0</v>
      </c>
      <c r="E2449" s="69" t="b">
        <f>IFERROR(__xludf.DUMMYFUNCTION("""COMPUTED_VALUE"""),TRUE)</f>
        <v>1</v>
      </c>
    </row>
    <row r="2450" hidden="1">
      <c r="A2450" s="78" t="str">
        <f>IFERROR(__xludf.DUMMYFUNCTION("""COMPUTED_VALUE"""),"Squirreled Away")</f>
        <v>Squirreled Away</v>
      </c>
      <c r="B2450" s="78" t="str">
        <f>IFERROR(__xludf.DUMMYFUNCTION("""COMPUTED_VALUE"""),"Endless Punishment")</f>
        <v>Endless Punishment</v>
      </c>
      <c r="C2450" s="79">
        <f>IFERROR(__xludf.DUMMYFUNCTION("""COMPUTED_VALUE"""),1.0)</f>
        <v>1</v>
      </c>
      <c r="D2450" s="79">
        <f>IFERROR(__xludf.DUMMYFUNCTION("""COMPUTED_VALUE"""),1.0)</f>
        <v>1</v>
      </c>
      <c r="E2450" s="69" t="b">
        <f>IFERROR(__xludf.DUMMYFUNCTION("""COMPUTED_VALUE"""),FALSE)</f>
        <v>0</v>
      </c>
    </row>
    <row r="2451" hidden="1">
      <c r="A2451" s="78" t="str">
        <f>IFERROR(__xludf.DUMMYFUNCTION("""COMPUTED_VALUE"""),"Squirreled Away")</f>
        <v>Squirreled Away</v>
      </c>
      <c r="B2451" s="78" t="str">
        <f>IFERROR(__xludf.DUMMYFUNCTION("""COMPUTED_VALUE"""),"Enduring Enchantments")</f>
        <v>Enduring Enchantments</v>
      </c>
      <c r="C2451" s="79">
        <f>IFERROR(__xludf.DUMMYFUNCTION("""COMPUTED_VALUE"""),0.0)</f>
        <v>0</v>
      </c>
      <c r="D2451" s="79">
        <f>IFERROR(__xludf.DUMMYFUNCTION("""COMPUTED_VALUE"""),0.0)</f>
        <v>0</v>
      </c>
      <c r="E2451" s="69" t="b">
        <f>IFERROR(__xludf.DUMMYFUNCTION("""COMPUTED_VALUE"""),TRUE)</f>
        <v>1</v>
      </c>
    </row>
    <row r="2452" hidden="1">
      <c r="A2452" s="78" t="str">
        <f>IFERROR(__xludf.DUMMYFUNCTION("""COMPUTED_VALUE"""),"Squirreled Away")</f>
        <v>Squirreled Away</v>
      </c>
      <c r="B2452" s="78" t="str">
        <f>IFERROR(__xludf.DUMMYFUNCTION("""COMPUTED_VALUE"""),"Explorers of the Deep")</f>
        <v>Explorers of the Deep</v>
      </c>
      <c r="C2452" s="79">
        <f>IFERROR(__xludf.DUMMYFUNCTION("""COMPUTED_VALUE"""),0.0)</f>
        <v>0</v>
      </c>
      <c r="D2452" s="79">
        <f>IFERROR(__xludf.DUMMYFUNCTION("""COMPUTED_VALUE"""),1.0)</f>
        <v>1</v>
      </c>
      <c r="E2452" s="69" t="b">
        <f>IFERROR(__xludf.DUMMYFUNCTION("""COMPUTED_VALUE"""),FALSE)</f>
        <v>0</v>
      </c>
    </row>
    <row r="2453" hidden="1">
      <c r="A2453" s="78" t="str">
        <f>IFERROR(__xludf.DUMMYFUNCTION("""COMPUTED_VALUE"""),"Squirreled Away")</f>
        <v>Squirreled Away</v>
      </c>
      <c r="B2453" s="78" t="str">
        <f>IFERROR(__xludf.DUMMYFUNCTION("""COMPUTED_VALUE"""),"Family Matters")</f>
        <v>Family Matters</v>
      </c>
      <c r="C2453" s="79">
        <f>IFERROR(__xludf.DUMMYFUNCTION("""COMPUTED_VALUE"""),0.0)</f>
        <v>0</v>
      </c>
      <c r="D2453" s="79">
        <f>IFERROR(__xludf.DUMMYFUNCTION("""COMPUTED_VALUE"""),0.0)</f>
        <v>0</v>
      </c>
      <c r="E2453" s="69" t="b">
        <f>IFERROR(__xludf.DUMMYFUNCTION("""COMPUTED_VALUE"""),TRUE)</f>
        <v>1</v>
      </c>
    </row>
    <row r="2454" hidden="1">
      <c r="A2454" s="78" t="str">
        <f>IFERROR(__xludf.DUMMYFUNCTION("""COMPUTED_VALUE"""),"Squirreled Away")</f>
        <v>Squirreled Away</v>
      </c>
      <c r="B2454" s="78" t="str">
        <f>IFERROR(__xludf.DUMMYFUNCTION("""COMPUTED_VALUE"""),"Food and Fellowship")</f>
        <v>Food and Fellowship</v>
      </c>
      <c r="C2454" s="79">
        <f>IFERROR(__xludf.DUMMYFUNCTION("""COMPUTED_VALUE"""),0.0)</f>
        <v>0</v>
      </c>
      <c r="D2454" s="79">
        <f>IFERROR(__xludf.DUMMYFUNCTION("""COMPUTED_VALUE"""),0.0)</f>
        <v>0</v>
      </c>
      <c r="E2454" s="69" t="b">
        <f>IFERROR(__xludf.DUMMYFUNCTION("""COMPUTED_VALUE"""),TRUE)</f>
        <v>1</v>
      </c>
    </row>
    <row r="2455" hidden="1">
      <c r="A2455" s="78" t="str">
        <f>IFERROR(__xludf.DUMMYFUNCTION("""COMPUTED_VALUE"""),"Squirreled Away")</f>
        <v>Squirreled Away</v>
      </c>
      <c r="B2455" s="78" t="str">
        <f>IFERROR(__xludf.DUMMYFUNCTION("""COMPUTED_VALUE"""),"Jeskai Striker")</f>
        <v>Jeskai Striker</v>
      </c>
      <c r="C2455" s="79">
        <f>IFERROR(__xludf.DUMMYFUNCTION("""COMPUTED_VALUE"""),0.0)</f>
        <v>0</v>
      </c>
      <c r="D2455" s="79">
        <f>IFERROR(__xludf.DUMMYFUNCTION("""COMPUTED_VALUE"""),0.0)</f>
        <v>0</v>
      </c>
      <c r="E2455" s="69" t="b">
        <f>IFERROR(__xludf.DUMMYFUNCTION("""COMPUTED_VALUE"""),TRUE)</f>
        <v>1</v>
      </c>
    </row>
    <row r="2456" hidden="1">
      <c r="A2456" s="78" t="str">
        <f>IFERROR(__xludf.DUMMYFUNCTION("""COMPUTED_VALUE"""),"Squirreled Away")</f>
        <v>Squirreled Away</v>
      </c>
      <c r="B2456" s="78" t="str">
        <f>IFERROR(__xludf.DUMMYFUNCTION("""COMPUTED_VALUE"""),"Legends' Legacy")</f>
        <v>Legends' Legacy</v>
      </c>
      <c r="C2456" s="79">
        <f>IFERROR(__xludf.DUMMYFUNCTION("""COMPUTED_VALUE"""),0.0)</f>
        <v>0</v>
      </c>
      <c r="D2456" s="79">
        <f>IFERROR(__xludf.DUMMYFUNCTION("""COMPUTED_VALUE"""),0.0)</f>
        <v>0</v>
      </c>
      <c r="E2456" s="69" t="b">
        <f>IFERROR(__xludf.DUMMYFUNCTION("""COMPUTED_VALUE"""),TRUE)</f>
        <v>1</v>
      </c>
    </row>
    <row r="2457">
      <c r="A2457" s="78" t="str">
        <f>IFERROR(__xludf.DUMMYFUNCTION("""COMPUTED_VALUE"""),"Squirreled Away")</f>
        <v>Squirreled Away</v>
      </c>
      <c r="B2457" s="78" t="str">
        <f>IFERROR(__xludf.DUMMYFUNCTION("""COMPUTED_VALUE"""),"Limit Break")</f>
        <v>Limit Break</v>
      </c>
      <c r="C2457" s="79">
        <f>IFERROR(__xludf.DUMMYFUNCTION("""COMPUTED_VALUE"""),0.0)</f>
        <v>0</v>
      </c>
      <c r="D2457" s="79">
        <f>IFERROR(__xludf.DUMMYFUNCTION("""COMPUTED_VALUE"""),0.0)</f>
        <v>0</v>
      </c>
      <c r="E2457" s="69" t="b">
        <f>IFERROR(__xludf.DUMMYFUNCTION("""COMPUTED_VALUE"""),TRUE)</f>
        <v>1</v>
      </c>
    </row>
    <row r="2458" hidden="1">
      <c r="A2458" s="78" t="str">
        <f>IFERROR(__xludf.DUMMYFUNCTION("""COMPUTED_VALUE"""),"Squirreled Away")</f>
        <v>Squirreled Away</v>
      </c>
      <c r="B2458" s="78" t="str">
        <f>IFERROR(__xludf.DUMMYFUNCTION("""COMPUTED_VALUE"""),"Lorehold Spirit")</f>
        <v>Lorehold Spirit</v>
      </c>
      <c r="C2458" s="79">
        <f>IFERROR(__xludf.DUMMYFUNCTION("""COMPUTED_VALUE"""),0.0)</f>
        <v>0</v>
      </c>
      <c r="D2458" s="79">
        <f>IFERROR(__xludf.DUMMYFUNCTION("""COMPUTED_VALUE"""),0.0)</f>
        <v>0</v>
      </c>
      <c r="E2458" s="69" t="b">
        <f>IFERROR(__xludf.DUMMYFUNCTION("""COMPUTED_VALUE"""),TRUE)</f>
        <v>1</v>
      </c>
    </row>
    <row r="2459" hidden="1">
      <c r="A2459" s="78" t="str">
        <f>IFERROR(__xludf.DUMMYFUNCTION("""COMPUTED_VALUE"""),"Squirreled Away")</f>
        <v>Squirreled Away</v>
      </c>
      <c r="B2459" s="78" t="str">
        <f>IFERROR(__xludf.DUMMYFUNCTION("""COMPUTED_VALUE"""),"Mutant Menace")</f>
        <v>Mutant Menace</v>
      </c>
      <c r="C2459" s="79">
        <f>IFERROR(__xludf.DUMMYFUNCTION("""COMPUTED_VALUE"""),0.0)</f>
        <v>0</v>
      </c>
      <c r="D2459" s="79">
        <f>IFERROR(__xludf.DUMMYFUNCTION("""COMPUTED_VALUE"""),0.0)</f>
        <v>0</v>
      </c>
      <c r="E2459" s="69" t="b">
        <f>IFERROR(__xludf.DUMMYFUNCTION("""COMPUTED_VALUE"""),TRUE)</f>
        <v>1</v>
      </c>
    </row>
    <row r="2460" hidden="1">
      <c r="A2460" s="78" t="str">
        <f>IFERROR(__xludf.DUMMYFUNCTION("""COMPUTED_VALUE"""),"Squirreled Away")</f>
        <v>Squirreled Away</v>
      </c>
      <c r="B2460" s="78" t="str">
        <f>IFERROR(__xludf.DUMMYFUNCTION("""COMPUTED_VALUE"""),"Party Time")</f>
        <v>Party Time</v>
      </c>
      <c r="C2460" s="79">
        <f>IFERROR(__xludf.DUMMYFUNCTION("""COMPUTED_VALUE"""),0.0)</f>
        <v>0</v>
      </c>
      <c r="D2460" s="79">
        <f>IFERROR(__xludf.DUMMYFUNCTION("""COMPUTED_VALUE"""),0.0)</f>
        <v>0</v>
      </c>
      <c r="E2460" s="69" t="b">
        <f>IFERROR(__xludf.DUMMYFUNCTION("""COMPUTED_VALUE"""),TRUE)</f>
        <v>1</v>
      </c>
    </row>
    <row r="2461" hidden="1">
      <c r="A2461" s="78" t="str">
        <f>IFERROR(__xludf.DUMMYFUNCTION("""COMPUTED_VALUE"""),"Squirreled Away")</f>
        <v>Squirreled Away</v>
      </c>
      <c r="B2461" s="78" t="str">
        <f>IFERROR(__xludf.DUMMYFUNCTION("""COMPUTED_VALUE"""),"Peace Offering")</f>
        <v>Peace Offering</v>
      </c>
      <c r="C2461" s="79">
        <f>IFERROR(__xludf.DUMMYFUNCTION("""COMPUTED_VALUE"""),0.0)</f>
        <v>0</v>
      </c>
      <c r="D2461" s="79">
        <f>IFERROR(__xludf.DUMMYFUNCTION("""COMPUTED_VALUE"""),0.0)</f>
        <v>0</v>
      </c>
      <c r="E2461" s="69" t="b">
        <f>IFERROR(__xludf.DUMMYFUNCTION("""COMPUTED_VALUE"""),TRUE)</f>
        <v>1</v>
      </c>
    </row>
    <row r="2462" hidden="1">
      <c r="A2462" s="78" t="str">
        <f>IFERROR(__xludf.DUMMYFUNCTION("""COMPUTED_VALUE"""),"Squirreled Away")</f>
        <v>Squirreled Away</v>
      </c>
      <c r="B2462" s="78" t="str">
        <f>IFERROR(__xludf.DUMMYFUNCTION("""COMPUTED_VALUE"""),"Power Hungry")</f>
        <v>Power Hungry</v>
      </c>
      <c r="C2462" s="79">
        <f>IFERROR(__xludf.DUMMYFUNCTION("""COMPUTED_VALUE"""),0.0)</f>
        <v>0</v>
      </c>
      <c r="D2462" s="79">
        <f>IFERROR(__xludf.DUMMYFUNCTION("""COMPUTED_VALUE"""),0.0)</f>
        <v>0</v>
      </c>
      <c r="E2462" s="69" t="b">
        <f>IFERROR(__xludf.DUMMYFUNCTION("""COMPUTED_VALUE"""),TRUE)</f>
        <v>1</v>
      </c>
    </row>
    <row r="2463" hidden="1">
      <c r="A2463" s="78" t="str">
        <f>IFERROR(__xludf.DUMMYFUNCTION("""COMPUTED_VALUE"""),"Squirreled Away")</f>
        <v>Squirreled Away</v>
      </c>
      <c r="B2463" s="78" t="str">
        <f>IFERROR(__xludf.DUMMYFUNCTION("""COMPUTED_VALUE"""),"Primal Genesis")</f>
        <v>Primal Genesis</v>
      </c>
      <c r="C2463" s="79">
        <f>IFERROR(__xludf.DUMMYFUNCTION("""COMPUTED_VALUE"""),0.0)</f>
        <v>0</v>
      </c>
      <c r="D2463" s="79">
        <f>IFERROR(__xludf.DUMMYFUNCTION("""COMPUTED_VALUE"""),0.0)</f>
        <v>0</v>
      </c>
      <c r="E2463" s="69" t="b">
        <f>IFERROR(__xludf.DUMMYFUNCTION("""COMPUTED_VALUE"""),TRUE)</f>
        <v>1</v>
      </c>
    </row>
    <row r="2464" hidden="1">
      <c r="A2464" s="78" t="str">
        <f>IFERROR(__xludf.DUMMYFUNCTION("""COMPUTED_VALUE"""),"Squirreled Away")</f>
        <v>Squirreled Away</v>
      </c>
      <c r="B2464" s="78" t="str">
        <f>IFERROR(__xludf.DUMMYFUNCTION("""COMPUTED_VALUE"""),"Prismari Artistry")</f>
        <v>Prismari Artistry</v>
      </c>
      <c r="C2464" s="79">
        <f>IFERROR(__xludf.DUMMYFUNCTION("""COMPUTED_VALUE"""),0.0)</f>
        <v>0</v>
      </c>
      <c r="D2464" s="79">
        <f>IFERROR(__xludf.DUMMYFUNCTION("""COMPUTED_VALUE"""),0.0)</f>
        <v>0</v>
      </c>
      <c r="E2464" s="69" t="b">
        <f>IFERROR(__xludf.DUMMYFUNCTION("""COMPUTED_VALUE"""),TRUE)</f>
        <v>1</v>
      </c>
    </row>
    <row r="2465" hidden="1">
      <c r="A2465" s="78" t="str">
        <f>IFERROR(__xludf.DUMMYFUNCTION("""COMPUTED_VALUE"""),"Squirreled Away")</f>
        <v>Squirreled Away</v>
      </c>
      <c r="B2465" s="78" t="str">
        <f>IFERROR(__xludf.DUMMYFUNCTION("""COMPUTED_VALUE"""),"Prismari Performance")</f>
        <v>Prismari Performance</v>
      </c>
      <c r="C2465" s="79">
        <f>IFERROR(__xludf.DUMMYFUNCTION("""COMPUTED_VALUE"""),0.0)</f>
        <v>0</v>
      </c>
      <c r="D2465" s="79">
        <f>IFERROR(__xludf.DUMMYFUNCTION("""COMPUTED_VALUE"""),0.0)</f>
        <v>0</v>
      </c>
      <c r="E2465" s="69" t="b">
        <f>IFERROR(__xludf.DUMMYFUNCTION("""COMPUTED_VALUE"""),TRUE)</f>
        <v>1</v>
      </c>
    </row>
    <row r="2466" hidden="1">
      <c r="A2466" s="78" t="str">
        <f>IFERROR(__xludf.DUMMYFUNCTION("""COMPUTED_VALUE"""),"Squirreled Away")</f>
        <v>Squirreled Away</v>
      </c>
      <c r="B2466" s="78" t="str">
        <f>IFERROR(__xludf.DUMMYFUNCTION("""COMPUTED_VALUE"""),"Quandrix Unlimited")</f>
        <v>Quandrix Unlimited</v>
      </c>
      <c r="C2466" s="79">
        <f>IFERROR(__xludf.DUMMYFUNCTION("""COMPUTED_VALUE"""),1.0)</f>
        <v>1</v>
      </c>
      <c r="D2466" s="79">
        <f>IFERROR(__xludf.DUMMYFUNCTION("""COMPUTED_VALUE"""),0.0)</f>
        <v>0</v>
      </c>
      <c r="E2466" s="69" t="b">
        <f>IFERROR(__xludf.DUMMYFUNCTION("""COMPUTED_VALUE"""),FALSE)</f>
        <v>0</v>
      </c>
    </row>
    <row r="2467" hidden="1">
      <c r="A2467" s="78" t="str">
        <f>IFERROR(__xludf.DUMMYFUNCTION("""COMPUTED_VALUE"""),"Squirreled Away")</f>
        <v>Squirreled Away</v>
      </c>
      <c r="B2467" s="78" t="str">
        <f>IFERROR(__xludf.DUMMYFUNCTION("""COMPUTED_VALUE"""),"Quick Draw")</f>
        <v>Quick Draw</v>
      </c>
      <c r="C2467" s="79">
        <f>IFERROR(__xludf.DUMMYFUNCTION("""COMPUTED_VALUE"""),1.0)</f>
        <v>1</v>
      </c>
      <c r="D2467" s="79">
        <f>IFERROR(__xludf.DUMMYFUNCTION("""COMPUTED_VALUE"""),1.0)</f>
        <v>1</v>
      </c>
      <c r="E2467" s="69" t="b">
        <f>IFERROR(__xludf.DUMMYFUNCTION("""COMPUTED_VALUE"""),FALSE)</f>
        <v>0</v>
      </c>
    </row>
    <row r="2468" hidden="1">
      <c r="A2468" s="78" t="str">
        <f>IFERROR(__xludf.DUMMYFUNCTION("""COMPUTED_VALUE"""),"Squirreled Away")</f>
        <v>Squirreled Away</v>
      </c>
      <c r="B2468" s="78" t="str">
        <f>IFERROR(__xludf.DUMMYFUNCTION("""COMPUTED_VALUE"""),"Reap the Tides")</f>
        <v>Reap the Tides</v>
      </c>
      <c r="C2468" s="79">
        <f>IFERROR(__xludf.DUMMYFUNCTION("""COMPUTED_VALUE"""),0.0)</f>
        <v>0</v>
      </c>
      <c r="D2468" s="79">
        <f>IFERROR(__xludf.DUMMYFUNCTION("""COMPUTED_VALUE"""),0.0)</f>
        <v>0</v>
      </c>
      <c r="E2468" s="69" t="b">
        <f>IFERROR(__xludf.DUMMYFUNCTION("""COMPUTED_VALUE"""),TRUE)</f>
        <v>1</v>
      </c>
    </row>
    <row r="2469" hidden="1">
      <c r="A2469" s="78" t="str">
        <f>IFERROR(__xludf.DUMMYFUNCTION("""COMPUTED_VALUE"""),"Squirreled Away")</f>
        <v>Squirreled Away</v>
      </c>
      <c r="B2469" s="78" t="str">
        <f>IFERROR(__xludf.DUMMYFUNCTION("""COMPUTED_VALUE"""),"Rebellion Rising")</f>
        <v>Rebellion Rising</v>
      </c>
      <c r="C2469" s="79">
        <f>IFERROR(__xludf.DUMMYFUNCTION("""COMPUTED_VALUE"""),0.0)</f>
        <v>0</v>
      </c>
      <c r="D2469" s="79">
        <f>IFERROR(__xludf.DUMMYFUNCTION("""COMPUTED_VALUE"""),0.0)</f>
        <v>0</v>
      </c>
      <c r="E2469" s="69" t="b">
        <f>IFERROR(__xludf.DUMMYFUNCTION("""COMPUTED_VALUE"""),TRUE)</f>
        <v>1</v>
      </c>
    </row>
    <row r="2470" hidden="1">
      <c r="A2470" s="78" t="str">
        <f>IFERROR(__xludf.DUMMYFUNCTION("""COMPUTED_VALUE"""),"Squirreled Away")</f>
        <v>Squirreled Away</v>
      </c>
      <c r="B2470" s="78" t="str">
        <f>IFERROR(__xludf.DUMMYFUNCTION("""COMPUTED_VALUE"""),"Revival Trance")</f>
        <v>Revival Trance</v>
      </c>
      <c r="C2470" s="79">
        <f>IFERROR(__xludf.DUMMYFUNCTION("""COMPUTED_VALUE"""),0.0)</f>
        <v>0</v>
      </c>
      <c r="D2470" s="79">
        <f>IFERROR(__xludf.DUMMYFUNCTION("""COMPUTED_VALUE"""),0.0)</f>
        <v>0</v>
      </c>
      <c r="E2470" s="69" t="b">
        <f>IFERROR(__xludf.DUMMYFUNCTION("""COMPUTED_VALUE"""),TRUE)</f>
        <v>1</v>
      </c>
    </row>
    <row r="2471" hidden="1">
      <c r="A2471" s="78" t="str">
        <f>IFERROR(__xludf.DUMMYFUNCTION("""COMPUTED_VALUE"""),"Squirreled Away")</f>
        <v>Squirreled Away</v>
      </c>
      <c r="B2471" s="78" t="str">
        <f>IFERROR(__xludf.DUMMYFUNCTION("""COMPUTED_VALUE"""),"Riders of Rohan")</f>
        <v>Riders of Rohan</v>
      </c>
      <c r="C2471" s="79">
        <f>IFERROR(__xludf.DUMMYFUNCTION("""COMPUTED_VALUE"""),0.0)</f>
        <v>0</v>
      </c>
      <c r="D2471" s="79">
        <f>IFERROR(__xludf.DUMMYFUNCTION("""COMPUTED_VALUE"""),0.0)</f>
        <v>0</v>
      </c>
      <c r="E2471" s="69" t="b">
        <f>IFERROR(__xludf.DUMMYFUNCTION("""COMPUTED_VALUE"""),TRUE)</f>
        <v>1</v>
      </c>
    </row>
    <row r="2472" hidden="1">
      <c r="A2472" s="78" t="str">
        <f>IFERROR(__xludf.DUMMYFUNCTION("""COMPUTED_VALUE"""),"Squirreled Away")</f>
        <v>Squirreled Away</v>
      </c>
      <c r="B2472" s="78" t="str">
        <f>IFERROR(__xludf.DUMMYFUNCTION("""COMPUTED_VALUE"""),"Science!")</f>
        <v>Science!</v>
      </c>
      <c r="C2472" s="79">
        <f>IFERROR(__xludf.DUMMYFUNCTION("""COMPUTED_VALUE"""),0.0)</f>
        <v>0</v>
      </c>
      <c r="D2472" s="79">
        <f>IFERROR(__xludf.DUMMYFUNCTION("""COMPUTED_VALUE"""),0.0)</f>
        <v>0</v>
      </c>
      <c r="E2472" s="69" t="b">
        <f>IFERROR(__xludf.DUMMYFUNCTION("""COMPUTED_VALUE"""),TRUE)</f>
        <v>1</v>
      </c>
    </row>
    <row r="2473" hidden="1">
      <c r="A2473" s="78" t="str">
        <f>IFERROR(__xludf.DUMMYFUNCTION("""COMPUTED_VALUE"""),"Squirreled Away")</f>
        <v>Squirreled Away</v>
      </c>
      <c r="B2473" s="78" t="str">
        <f>IFERROR(__xludf.DUMMYFUNCTION("""COMPUTED_VALUE"""),"Scions &amp; Spellcraft")</f>
        <v>Scions &amp; Spellcraft</v>
      </c>
      <c r="C2473" s="79">
        <f>IFERROR(__xludf.DUMMYFUNCTION("""COMPUTED_VALUE"""),0.0)</f>
        <v>0</v>
      </c>
      <c r="D2473" s="79">
        <f>IFERROR(__xludf.DUMMYFUNCTION("""COMPUTED_VALUE"""),0.0)</f>
        <v>0</v>
      </c>
      <c r="E2473" s="69" t="b">
        <f>IFERROR(__xludf.DUMMYFUNCTION("""COMPUTED_VALUE"""),TRUE)</f>
        <v>1</v>
      </c>
    </row>
    <row r="2474" hidden="1">
      <c r="A2474" s="78" t="str">
        <f>IFERROR(__xludf.DUMMYFUNCTION("""COMPUTED_VALUE"""),"Squirreled Away")</f>
        <v>Squirreled Away</v>
      </c>
      <c r="B2474" s="78" t="str">
        <f>IFERROR(__xludf.DUMMYFUNCTION("""COMPUTED_VALUE"""),"Scrappy Survivors")</f>
        <v>Scrappy Survivors</v>
      </c>
      <c r="C2474" s="79">
        <f>IFERROR(__xludf.DUMMYFUNCTION("""COMPUTED_VALUE"""),0.0)</f>
        <v>0</v>
      </c>
      <c r="D2474" s="79">
        <f>IFERROR(__xludf.DUMMYFUNCTION("""COMPUTED_VALUE"""),0.0)</f>
        <v>0</v>
      </c>
      <c r="E2474" s="69" t="b">
        <f>IFERROR(__xludf.DUMMYFUNCTION("""COMPUTED_VALUE"""),TRUE)</f>
        <v>1</v>
      </c>
    </row>
    <row r="2475" hidden="1">
      <c r="A2475" s="78" t="str">
        <f>IFERROR(__xludf.DUMMYFUNCTION("""COMPUTED_VALUE"""),"Squirreled Away")</f>
        <v>Squirreled Away</v>
      </c>
      <c r="B2475" s="78" t="str">
        <f>IFERROR(__xludf.DUMMYFUNCTION("""COMPUTED_VALUE"""),"Silverquill Influence")</f>
        <v>Silverquill Influence</v>
      </c>
      <c r="C2475" s="79">
        <f>IFERROR(__xludf.DUMMYFUNCTION("""COMPUTED_VALUE"""),0.0)</f>
        <v>0</v>
      </c>
      <c r="D2475" s="79">
        <f>IFERROR(__xludf.DUMMYFUNCTION("""COMPUTED_VALUE"""),0.0)</f>
        <v>0</v>
      </c>
      <c r="E2475" s="69" t="b">
        <f>IFERROR(__xludf.DUMMYFUNCTION("""COMPUTED_VALUE"""),TRUE)</f>
        <v>1</v>
      </c>
    </row>
    <row r="2476" hidden="1">
      <c r="A2476" s="78" t="str">
        <f>IFERROR(__xludf.DUMMYFUNCTION("""COMPUTED_VALUE"""),"Squirreled Away")</f>
        <v>Squirreled Away</v>
      </c>
      <c r="B2476" s="78" t="str">
        <f>IFERROR(__xludf.DUMMYFUNCTION("""COMPUTED_VALUE"""),"Spirit Squadron")</f>
        <v>Spirit Squadron</v>
      </c>
      <c r="C2476" s="79">
        <f>IFERROR(__xludf.DUMMYFUNCTION("""COMPUTED_VALUE"""),1.0)</f>
        <v>1</v>
      </c>
      <c r="D2476" s="79">
        <f>IFERROR(__xludf.DUMMYFUNCTION("""COMPUTED_VALUE"""),0.0)</f>
        <v>0</v>
      </c>
      <c r="E2476" s="69" t="b">
        <f>IFERROR(__xludf.DUMMYFUNCTION("""COMPUTED_VALUE"""),FALSE)</f>
        <v>0</v>
      </c>
    </row>
    <row r="2477" hidden="1">
      <c r="A2477" s="78" t="str">
        <f>IFERROR(__xludf.DUMMYFUNCTION("""COMPUTED_VALUE"""),"Squirreled Away")</f>
        <v>Squirreled Away</v>
      </c>
      <c r="B2477" s="78" t="str">
        <f>IFERROR(__xludf.DUMMYFUNCTION("""COMPUTED_VALUE"""),"Squirreled Away")</f>
        <v>Squirreled Away</v>
      </c>
      <c r="C2477" s="79">
        <f>IFERROR(__xludf.DUMMYFUNCTION("""COMPUTED_VALUE"""),4.0)</f>
        <v>4</v>
      </c>
      <c r="D2477" s="79">
        <f>IFERROR(__xludf.DUMMYFUNCTION("""COMPUTED_VALUE"""),4.0)</f>
        <v>4</v>
      </c>
      <c r="E2477" s="69" t="b">
        <f>IFERROR(__xludf.DUMMYFUNCTION("""COMPUTED_VALUE"""),TRUE)</f>
        <v>1</v>
      </c>
    </row>
    <row r="2478" hidden="1">
      <c r="A2478" s="78" t="str">
        <f>IFERROR(__xludf.DUMMYFUNCTION("""COMPUTED_VALUE"""),"Squirreled Away")</f>
        <v>Squirreled Away</v>
      </c>
      <c r="B2478" s="78" t="str">
        <f>IFERROR(__xludf.DUMMYFUNCTION("""COMPUTED_VALUE"""),"Sultai Arisen")</f>
        <v>Sultai Arisen</v>
      </c>
      <c r="C2478" s="79">
        <f>IFERROR(__xludf.DUMMYFUNCTION("""COMPUTED_VALUE"""),0.0)</f>
        <v>0</v>
      </c>
      <c r="D2478" s="79">
        <f>IFERROR(__xludf.DUMMYFUNCTION("""COMPUTED_VALUE"""),0.0)</f>
        <v>0</v>
      </c>
      <c r="E2478" s="69" t="b">
        <f>IFERROR(__xludf.DUMMYFUNCTION("""COMPUTED_VALUE"""),TRUE)</f>
        <v>1</v>
      </c>
    </row>
    <row r="2479" hidden="1">
      <c r="A2479" s="78" t="str">
        <f>IFERROR(__xludf.DUMMYFUNCTION("""COMPUTED_VALUE"""),"Squirreled Away")</f>
        <v>Squirreled Away</v>
      </c>
      <c r="B2479" s="78" t="str">
        <f>IFERROR(__xludf.DUMMYFUNCTION("""COMPUTED_VALUE"""),"Temur Roar")</f>
        <v>Temur Roar</v>
      </c>
      <c r="C2479" s="79">
        <f>IFERROR(__xludf.DUMMYFUNCTION("""COMPUTED_VALUE"""),1.0)</f>
        <v>1</v>
      </c>
      <c r="D2479" s="79">
        <f>IFERROR(__xludf.DUMMYFUNCTION("""COMPUTED_VALUE"""),0.0)</f>
        <v>0</v>
      </c>
      <c r="E2479" s="69" t="b">
        <f>IFERROR(__xludf.DUMMYFUNCTION("""COMPUTED_VALUE"""),FALSE)</f>
        <v>0</v>
      </c>
    </row>
    <row r="2480" hidden="1">
      <c r="A2480" s="78" t="str">
        <f>IFERROR(__xludf.DUMMYFUNCTION("""COMPUTED_VALUE"""),"Squirreled Away")</f>
        <v>Squirreled Away</v>
      </c>
      <c r="B2480" s="78" t="str">
        <f>IFERROR(__xludf.DUMMYFUNCTION("""COMPUTED_VALUE"""),"The Hosts of Mordor")</f>
        <v>The Hosts of Mordor</v>
      </c>
      <c r="C2480" s="79">
        <f>IFERROR(__xludf.DUMMYFUNCTION("""COMPUTED_VALUE"""),0.0)</f>
        <v>0</v>
      </c>
      <c r="D2480" s="79">
        <f>IFERROR(__xludf.DUMMYFUNCTION("""COMPUTED_VALUE"""),0.0)</f>
        <v>0</v>
      </c>
      <c r="E2480" s="69" t="b">
        <f>IFERROR(__xludf.DUMMYFUNCTION("""COMPUTED_VALUE"""),TRUE)</f>
        <v>1</v>
      </c>
    </row>
    <row r="2481" hidden="1">
      <c r="A2481" s="78" t="str">
        <f>IFERROR(__xludf.DUMMYFUNCTION("""COMPUTED_VALUE"""),"Squirreled Away")</f>
        <v>Squirreled Away</v>
      </c>
      <c r="B2481" s="78" t="str">
        <f>IFERROR(__xludf.DUMMYFUNCTION("""COMPUTED_VALUE"""),"The Ruinous Powers")</f>
        <v>The Ruinous Powers</v>
      </c>
      <c r="C2481" s="79">
        <f>IFERROR(__xludf.DUMMYFUNCTION("""COMPUTED_VALUE"""),0.0)</f>
        <v>0</v>
      </c>
      <c r="D2481" s="79">
        <f>IFERROR(__xludf.DUMMYFUNCTION("""COMPUTED_VALUE"""),0.0)</f>
        <v>0</v>
      </c>
      <c r="E2481" s="69" t="b">
        <f>IFERROR(__xludf.DUMMYFUNCTION("""COMPUTED_VALUE"""),TRUE)</f>
        <v>1</v>
      </c>
    </row>
    <row r="2482" hidden="1">
      <c r="A2482" s="78" t="str">
        <f>IFERROR(__xludf.DUMMYFUNCTION("""COMPUTED_VALUE"""),"Squirreled Away")</f>
        <v>Squirreled Away</v>
      </c>
      <c r="B2482" s="78" t="str">
        <f>IFERROR(__xludf.DUMMYFUNCTION("""COMPUTED_VALUE"""),"Timey-Wimey")</f>
        <v>Timey-Wimey</v>
      </c>
      <c r="C2482" s="79">
        <f>IFERROR(__xludf.DUMMYFUNCTION("""COMPUTED_VALUE"""),0.0)</f>
        <v>0</v>
      </c>
      <c r="D2482" s="79">
        <f>IFERROR(__xludf.DUMMYFUNCTION("""COMPUTED_VALUE"""),0.0)</f>
        <v>0</v>
      </c>
      <c r="E2482" s="69" t="b">
        <f>IFERROR(__xludf.DUMMYFUNCTION("""COMPUTED_VALUE"""),TRUE)</f>
        <v>1</v>
      </c>
    </row>
    <row r="2483" hidden="1">
      <c r="A2483" s="78" t="str">
        <f>IFERROR(__xludf.DUMMYFUNCTION("""COMPUTED_VALUE"""),"Squirreled Away")</f>
        <v>Squirreled Away</v>
      </c>
      <c r="B2483" s="78" t="str">
        <f>IFERROR(__xludf.DUMMYFUNCTION("""COMPUTED_VALUE"""),"Tinker Time")</f>
        <v>Tinker Time</v>
      </c>
      <c r="C2483" s="79">
        <f>IFERROR(__xludf.DUMMYFUNCTION("""COMPUTED_VALUE"""),0.0)</f>
        <v>0</v>
      </c>
      <c r="D2483" s="79">
        <f>IFERROR(__xludf.DUMMYFUNCTION("""COMPUTED_VALUE"""),0.0)</f>
        <v>0</v>
      </c>
      <c r="E2483" s="69" t="b">
        <f>IFERROR(__xludf.DUMMYFUNCTION("""COMPUTED_VALUE"""),TRUE)</f>
        <v>1</v>
      </c>
    </row>
    <row r="2484" hidden="1">
      <c r="A2484" s="78" t="str">
        <f>IFERROR(__xludf.DUMMYFUNCTION("""COMPUTED_VALUE"""),"Squirreled Away")</f>
        <v>Squirreled Away</v>
      </c>
      <c r="B2484" s="78" t="str">
        <f>IFERROR(__xludf.DUMMYFUNCTION("""COMPUTED_VALUE"""),"Turtle Power!")</f>
        <v>Turtle Power!</v>
      </c>
      <c r="C2484" s="79">
        <f>IFERROR(__xludf.DUMMYFUNCTION("""COMPUTED_VALUE"""),0.0)</f>
        <v>0</v>
      </c>
      <c r="D2484" s="79">
        <f>IFERROR(__xludf.DUMMYFUNCTION("""COMPUTED_VALUE"""),0.0)</f>
        <v>0</v>
      </c>
      <c r="E2484" s="69" t="b">
        <f>IFERROR(__xludf.DUMMYFUNCTION("""COMPUTED_VALUE"""),TRUE)</f>
        <v>1</v>
      </c>
    </row>
    <row r="2485" hidden="1">
      <c r="A2485" s="78" t="str">
        <f>IFERROR(__xludf.DUMMYFUNCTION("""COMPUTED_VALUE"""),"Squirreled Away")</f>
        <v>Squirreled Away</v>
      </c>
      <c r="B2485" s="78" t="str">
        <f>IFERROR(__xludf.DUMMYFUNCTION("""COMPUTED_VALUE"""),"Veloci-ramp-tor")</f>
        <v>Veloci-ramp-tor</v>
      </c>
      <c r="C2485" s="79">
        <f>IFERROR(__xludf.DUMMYFUNCTION("""COMPUTED_VALUE"""),0.0)</f>
        <v>0</v>
      </c>
      <c r="D2485" s="79">
        <f>IFERROR(__xludf.DUMMYFUNCTION("""COMPUTED_VALUE"""),0.0)</f>
        <v>0</v>
      </c>
      <c r="E2485" s="69" t="b">
        <f>IFERROR(__xludf.DUMMYFUNCTION("""COMPUTED_VALUE"""),TRUE)</f>
        <v>1</v>
      </c>
    </row>
    <row r="2486" hidden="1">
      <c r="A2486" s="78" t="str">
        <f>IFERROR(__xludf.DUMMYFUNCTION("""COMPUTED_VALUE"""),"Sultai Arisen")</f>
        <v>Sultai Arisen</v>
      </c>
      <c r="B2486" s="78" t="str">
        <f>IFERROR(__xludf.DUMMYFUNCTION("""COMPUTED_VALUE"""),"Ahoy Mateys")</f>
        <v>Ahoy Mateys</v>
      </c>
      <c r="C2486" s="79">
        <f>IFERROR(__xludf.DUMMYFUNCTION("""COMPUTED_VALUE"""),0.0)</f>
        <v>0</v>
      </c>
      <c r="D2486" s="79">
        <f>IFERROR(__xludf.DUMMYFUNCTION("""COMPUTED_VALUE"""),0.0)</f>
        <v>0</v>
      </c>
      <c r="E2486" s="69" t="b">
        <f>IFERROR(__xludf.DUMMYFUNCTION("""COMPUTED_VALUE"""),TRUE)</f>
        <v>1</v>
      </c>
    </row>
    <row r="2487" hidden="1">
      <c r="A2487" s="78" t="str">
        <f>IFERROR(__xludf.DUMMYFUNCTION("""COMPUTED_VALUE"""),"Sultai Arisen")</f>
        <v>Sultai Arisen</v>
      </c>
      <c r="B2487" s="78" t="str">
        <f>IFERROR(__xludf.DUMMYFUNCTION("""COMPUTED_VALUE"""),"Animated Army")</f>
        <v>Animated Army</v>
      </c>
      <c r="C2487" s="79">
        <f>IFERROR(__xludf.DUMMYFUNCTION("""COMPUTED_VALUE"""),0.0)</f>
        <v>0</v>
      </c>
      <c r="D2487" s="79">
        <f>IFERROR(__xludf.DUMMYFUNCTION("""COMPUTED_VALUE"""),0.0)</f>
        <v>0</v>
      </c>
      <c r="E2487" s="69" t="b">
        <f>IFERROR(__xludf.DUMMYFUNCTION("""COMPUTED_VALUE"""),TRUE)</f>
        <v>1</v>
      </c>
    </row>
    <row r="2488" hidden="1">
      <c r="A2488" s="78" t="str">
        <f>IFERROR(__xludf.DUMMYFUNCTION("""COMPUTED_VALUE"""),"Sultai Arisen")</f>
        <v>Sultai Arisen</v>
      </c>
      <c r="B2488" s="78" t="str">
        <f>IFERROR(__xludf.DUMMYFUNCTION("""COMPUTED_VALUE"""),"Arcane Maelstrom")</f>
        <v>Arcane Maelstrom</v>
      </c>
      <c r="C2488" s="79">
        <f>IFERROR(__xludf.DUMMYFUNCTION("""COMPUTED_VALUE"""),0.0)</f>
        <v>0</v>
      </c>
      <c r="D2488" s="79">
        <f>IFERROR(__xludf.DUMMYFUNCTION("""COMPUTED_VALUE"""),0.0)</f>
        <v>0</v>
      </c>
      <c r="E2488" s="69" t="b">
        <f>IFERROR(__xludf.DUMMYFUNCTION("""COMPUTED_VALUE"""),TRUE)</f>
        <v>1</v>
      </c>
    </row>
    <row r="2489" hidden="1">
      <c r="A2489" s="78" t="str">
        <f>IFERROR(__xludf.DUMMYFUNCTION("""COMPUTED_VALUE"""),"Sultai Arisen")</f>
        <v>Sultai Arisen</v>
      </c>
      <c r="B2489" s="78" t="str">
        <f>IFERROR(__xludf.DUMMYFUNCTION("""COMPUTED_VALUE"""),"Blame Game")</f>
        <v>Blame Game</v>
      </c>
      <c r="C2489" s="79">
        <f>IFERROR(__xludf.DUMMYFUNCTION("""COMPUTED_VALUE"""),0.0)</f>
        <v>0</v>
      </c>
      <c r="D2489" s="79">
        <f>IFERROR(__xludf.DUMMYFUNCTION("""COMPUTED_VALUE"""),0.0)</f>
        <v>0</v>
      </c>
      <c r="E2489" s="69" t="b">
        <f>IFERROR(__xludf.DUMMYFUNCTION("""COMPUTED_VALUE"""),TRUE)</f>
        <v>1</v>
      </c>
    </row>
    <row r="2490" hidden="1">
      <c r="A2490" s="78" t="str">
        <f>IFERROR(__xludf.DUMMYFUNCTION("""COMPUTED_VALUE"""),"Sultai Arisen")</f>
        <v>Sultai Arisen</v>
      </c>
      <c r="B2490" s="78" t="str">
        <f>IFERROR(__xludf.DUMMYFUNCTION("""COMPUTED_VALUE"""),"Blight Curse")</f>
        <v>Blight Curse</v>
      </c>
      <c r="C2490" s="79">
        <f>IFERROR(__xludf.DUMMYFUNCTION("""COMPUTED_VALUE"""),0.0)</f>
        <v>0</v>
      </c>
      <c r="D2490" s="79">
        <f>IFERROR(__xludf.DUMMYFUNCTION("""COMPUTED_VALUE"""),0.0)</f>
        <v>0</v>
      </c>
      <c r="E2490" s="69" t="b">
        <f>IFERROR(__xludf.DUMMYFUNCTION("""COMPUTED_VALUE"""),TRUE)</f>
        <v>1</v>
      </c>
    </row>
    <row r="2491" hidden="1">
      <c r="A2491" s="78" t="str">
        <f>IFERROR(__xludf.DUMMYFUNCTION("""COMPUTED_VALUE"""),"Sultai Arisen")</f>
        <v>Sultai Arisen</v>
      </c>
      <c r="B2491" s="78" t="str">
        <f>IFERROR(__xludf.DUMMYFUNCTION("""COMPUTED_VALUE"""),"Blood Rites")</f>
        <v>Blood Rites</v>
      </c>
      <c r="C2491" s="79">
        <f>IFERROR(__xludf.DUMMYFUNCTION("""COMPUTED_VALUE"""),0.0)</f>
        <v>0</v>
      </c>
      <c r="D2491" s="79">
        <f>IFERROR(__xludf.DUMMYFUNCTION("""COMPUTED_VALUE"""),0.0)</f>
        <v>0</v>
      </c>
      <c r="E2491" s="69" t="b">
        <f>IFERROR(__xludf.DUMMYFUNCTION("""COMPUTED_VALUE"""),TRUE)</f>
        <v>1</v>
      </c>
    </row>
    <row r="2492" hidden="1">
      <c r="A2492" s="78" t="str">
        <f>IFERROR(__xludf.DUMMYFUNCTION("""COMPUTED_VALUE"""),"Sultai Arisen")</f>
        <v>Sultai Arisen</v>
      </c>
      <c r="B2492" s="78" t="str">
        <f>IFERROR(__xludf.DUMMYFUNCTION("""COMPUTED_VALUE"""),"Buckle Up")</f>
        <v>Buckle Up</v>
      </c>
      <c r="C2492" s="79">
        <f>IFERROR(__xludf.DUMMYFUNCTION("""COMPUTED_VALUE"""),0.0)</f>
        <v>0</v>
      </c>
      <c r="D2492" s="79">
        <f>IFERROR(__xludf.DUMMYFUNCTION("""COMPUTED_VALUE"""),0.0)</f>
        <v>0</v>
      </c>
      <c r="E2492" s="69" t="b">
        <f>IFERROR(__xludf.DUMMYFUNCTION("""COMPUTED_VALUE"""),TRUE)</f>
        <v>1</v>
      </c>
    </row>
    <row r="2493" hidden="1">
      <c r="A2493" s="78" t="str">
        <f>IFERROR(__xludf.DUMMYFUNCTION("""COMPUTED_VALUE"""),"Sultai Arisen")</f>
        <v>Sultai Arisen</v>
      </c>
      <c r="B2493" s="78" t="str">
        <f>IFERROR(__xludf.DUMMYFUNCTION("""COMPUTED_VALUE"""),"Cabaretti Cacophony")</f>
        <v>Cabaretti Cacophony</v>
      </c>
      <c r="C2493" s="79">
        <f>IFERROR(__xludf.DUMMYFUNCTION("""COMPUTED_VALUE"""),0.0)</f>
        <v>0</v>
      </c>
      <c r="D2493" s="79">
        <f>IFERROR(__xludf.DUMMYFUNCTION("""COMPUTED_VALUE"""),0.0)</f>
        <v>0</v>
      </c>
      <c r="E2493" s="69" t="b">
        <f>IFERROR(__xludf.DUMMYFUNCTION("""COMPUTED_VALUE"""),TRUE)</f>
        <v>1</v>
      </c>
    </row>
    <row r="2494" hidden="1">
      <c r="A2494" s="78" t="str">
        <f>IFERROR(__xludf.DUMMYFUNCTION("""COMPUTED_VALUE"""),"Sultai Arisen")</f>
        <v>Sultai Arisen</v>
      </c>
      <c r="B2494" s="78" t="str">
        <f>IFERROR(__xludf.DUMMYFUNCTION("""COMPUTED_VALUE"""),"Cavalry Charge")</f>
        <v>Cavalry Charge</v>
      </c>
      <c r="C2494" s="79">
        <f>IFERROR(__xludf.DUMMYFUNCTION("""COMPUTED_VALUE"""),0.0)</f>
        <v>0</v>
      </c>
      <c r="D2494" s="79">
        <f>IFERROR(__xludf.DUMMYFUNCTION("""COMPUTED_VALUE"""),0.0)</f>
        <v>0</v>
      </c>
      <c r="E2494" s="69" t="b">
        <f>IFERROR(__xludf.DUMMYFUNCTION("""COMPUTED_VALUE"""),TRUE)</f>
        <v>1</v>
      </c>
    </row>
    <row r="2495" hidden="1">
      <c r="A2495" s="78" t="str">
        <f>IFERROR(__xludf.DUMMYFUNCTION("""COMPUTED_VALUE"""),"Sultai Arisen")</f>
        <v>Sultai Arisen</v>
      </c>
      <c r="B2495" s="78" t="str">
        <f>IFERROR(__xludf.DUMMYFUNCTION("""COMPUTED_VALUE"""),"Corrupting Influence")</f>
        <v>Corrupting Influence</v>
      </c>
      <c r="C2495" s="79">
        <f>IFERROR(__xludf.DUMMYFUNCTION("""COMPUTED_VALUE"""),0.0)</f>
        <v>0</v>
      </c>
      <c r="D2495" s="79">
        <f>IFERROR(__xludf.DUMMYFUNCTION("""COMPUTED_VALUE"""),1.0)</f>
        <v>1</v>
      </c>
      <c r="E2495" s="69" t="b">
        <f>IFERROR(__xludf.DUMMYFUNCTION("""COMPUTED_VALUE"""),FALSE)</f>
        <v>0</v>
      </c>
    </row>
    <row r="2496" hidden="1">
      <c r="A2496" s="78" t="str">
        <f>IFERROR(__xludf.DUMMYFUNCTION("""COMPUTED_VALUE"""),"Sultai Arisen")</f>
        <v>Sultai Arisen</v>
      </c>
      <c r="B2496" s="78" t="str">
        <f>IFERROR(__xludf.DUMMYFUNCTION("""COMPUTED_VALUE"""),"Counter Blitz")</f>
        <v>Counter Blitz</v>
      </c>
      <c r="C2496" s="79">
        <f>IFERROR(__xludf.DUMMYFUNCTION("""COMPUTED_VALUE"""),0.0)</f>
        <v>0</v>
      </c>
      <c r="D2496" s="79">
        <f>IFERROR(__xludf.DUMMYFUNCTION("""COMPUTED_VALUE"""),0.0)</f>
        <v>0</v>
      </c>
      <c r="E2496" s="69" t="b">
        <f>IFERROR(__xludf.DUMMYFUNCTION("""COMPUTED_VALUE"""),TRUE)</f>
        <v>1</v>
      </c>
    </row>
    <row r="2497" hidden="1">
      <c r="A2497" s="78" t="str">
        <f>IFERROR(__xludf.DUMMYFUNCTION("""COMPUTED_VALUE"""),"Sultai Arisen")</f>
        <v>Sultai Arisen</v>
      </c>
      <c r="B2497" s="78" t="str">
        <f>IFERROR(__xludf.DUMMYFUNCTION("""COMPUTED_VALUE"""),"Counter Intelligence")</f>
        <v>Counter Intelligence</v>
      </c>
      <c r="C2497" s="79">
        <f>IFERROR(__xludf.DUMMYFUNCTION("""COMPUTED_VALUE"""),0.0)</f>
        <v>0</v>
      </c>
      <c r="D2497" s="79">
        <f>IFERROR(__xludf.DUMMYFUNCTION("""COMPUTED_VALUE"""),0.0)</f>
        <v>0</v>
      </c>
      <c r="E2497" s="69" t="b">
        <f>IFERROR(__xludf.DUMMYFUNCTION("""COMPUTED_VALUE"""),TRUE)</f>
        <v>1</v>
      </c>
    </row>
    <row r="2498">
      <c r="A2498" s="78" t="str">
        <f>IFERROR(__xludf.DUMMYFUNCTION("""COMPUTED_VALUE"""),"Sultai Arisen")</f>
        <v>Sultai Arisen</v>
      </c>
      <c r="B2498" s="78" t="str">
        <f>IFERROR(__xludf.DUMMYFUNCTION("""COMPUTED_VALUE"""),"Creative Energy")</f>
        <v>Creative Energy</v>
      </c>
      <c r="C2498" s="79">
        <f>IFERROR(__xludf.DUMMYFUNCTION("""COMPUTED_VALUE"""),0.0)</f>
        <v>0</v>
      </c>
      <c r="D2498" s="79">
        <f>IFERROR(__xludf.DUMMYFUNCTION("""COMPUTED_VALUE"""),1.0)</f>
        <v>1</v>
      </c>
      <c r="E2498" s="69" t="b">
        <f>IFERROR(__xludf.DUMMYFUNCTION("""COMPUTED_VALUE"""),FALSE)</f>
        <v>0</v>
      </c>
    </row>
    <row r="2499" hidden="1">
      <c r="A2499" s="78" t="str">
        <f>IFERROR(__xludf.DUMMYFUNCTION("""COMPUTED_VALUE"""),"Sultai Arisen")</f>
        <v>Sultai Arisen</v>
      </c>
      <c r="B2499" s="78" t="str">
        <f>IFERROR(__xludf.DUMMYFUNCTION("""COMPUTED_VALUE"""),"Dance of the Elements")</f>
        <v>Dance of the Elements</v>
      </c>
      <c r="C2499" s="79">
        <f>IFERROR(__xludf.DUMMYFUNCTION("""COMPUTED_VALUE"""),0.0)</f>
        <v>0</v>
      </c>
      <c r="D2499" s="79">
        <f>IFERROR(__xludf.DUMMYFUNCTION("""COMPUTED_VALUE"""),0.0)</f>
        <v>0</v>
      </c>
      <c r="E2499" s="69" t="b">
        <f>IFERROR(__xludf.DUMMYFUNCTION("""COMPUTED_VALUE"""),TRUE)</f>
        <v>1</v>
      </c>
    </row>
    <row r="2500" hidden="1">
      <c r="A2500" s="78" t="str">
        <f>IFERROR(__xludf.DUMMYFUNCTION("""COMPUTED_VALUE"""),"Sultai Arisen")</f>
        <v>Sultai Arisen</v>
      </c>
      <c r="B2500" s="78" t="str">
        <f>IFERROR(__xludf.DUMMYFUNCTION("""COMPUTED_VALUE"""),"Deep Clue Sea")</f>
        <v>Deep Clue Sea</v>
      </c>
      <c r="C2500" s="79">
        <f>IFERROR(__xludf.DUMMYFUNCTION("""COMPUTED_VALUE"""),0.0)</f>
        <v>0</v>
      </c>
      <c r="D2500" s="79">
        <f>IFERROR(__xludf.DUMMYFUNCTION("""COMPUTED_VALUE"""),0.0)</f>
        <v>0</v>
      </c>
      <c r="E2500" s="69" t="b">
        <f>IFERROR(__xludf.DUMMYFUNCTION("""COMPUTED_VALUE"""),TRUE)</f>
        <v>1</v>
      </c>
    </row>
    <row r="2501" hidden="1">
      <c r="A2501" s="78" t="str">
        <f>IFERROR(__xludf.DUMMYFUNCTION("""COMPUTED_VALUE"""),"Sultai Arisen")</f>
        <v>Sultai Arisen</v>
      </c>
      <c r="B2501" s="78" t="str">
        <f>IFERROR(__xludf.DUMMYFUNCTION("""COMPUTED_VALUE"""),"Doom Prevails")</f>
        <v>Doom Prevails</v>
      </c>
      <c r="C2501" s="79">
        <f>IFERROR(__xludf.DUMMYFUNCTION("""COMPUTED_VALUE"""),0.0)</f>
        <v>0</v>
      </c>
      <c r="D2501" s="79">
        <f>IFERROR(__xludf.DUMMYFUNCTION("""COMPUTED_VALUE"""),0.0)</f>
        <v>0</v>
      </c>
      <c r="E2501" s="69" t="b">
        <f>IFERROR(__xludf.DUMMYFUNCTION("""COMPUTED_VALUE"""),TRUE)</f>
        <v>1</v>
      </c>
    </row>
    <row r="2502" hidden="1">
      <c r="A2502" s="78" t="str">
        <f>IFERROR(__xludf.DUMMYFUNCTION("""COMPUTED_VALUE"""),"Sultai Arisen")</f>
        <v>Sultai Arisen</v>
      </c>
      <c r="B2502" s="78" t="str">
        <f>IFERROR(__xludf.DUMMYFUNCTION("""COMPUTED_VALUE"""),"Eldrazi Incursion")</f>
        <v>Eldrazi Incursion</v>
      </c>
      <c r="C2502" s="79">
        <f>IFERROR(__xludf.DUMMYFUNCTION("""COMPUTED_VALUE"""),0.0)</f>
        <v>0</v>
      </c>
      <c r="D2502" s="79">
        <f>IFERROR(__xludf.DUMMYFUNCTION("""COMPUTED_VALUE"""),0.0)</f>
        <v>0</v>
      </c>
      <c r="E2502" s="69" t="b">
        <f>IFERROR(__xludf.DUMMYFUNCTION("""COMPUTED_VALUE"""),TRUE)</f>
        <v>1</v>
      </c>
    </row>
    <row r="2503" hidden="1">
      <c r="A2503" s="78" t="str">
        <f>IFERROR(__xludf.DUMMYFUNCTION("""COMPUTED_VALUE"""),"Sultai Arisen")</f>
        <v>Sultai Arisen</v>
      </c>
      <c r="B2503" s="78" t="str">
        <f>IFERROR(__xludf.DUMMYFUNCTION("""COMPUTED_VALUE"""),"Eldrazi Unbound")</f>
        <v>Eldrazi Unbound</v>
      </c>
      <c r="C2503" s="79">
        <f>IFERROR(__xludf.DUMMYFUNCTION("""COMPUTED_VALUE"""),0.0)</f>
        <v>0</v>
      </c>
      <c r="D2503" s="79">
        <f>IFERROR(__xludf.DUMMYFUNCTION("""COMPUTED_VALUE"""),0.0)</f>
        <v>0</v>
      </c>
      <c r="E2503" s="69" t="b">
        <f>IFERROR(__xludf.DUMMYFUNCTION("""COMPUTED_VALUE"""),TRUE)</f>
        <v>1</v>
      </c>
    </row>
    <row r="2504" hidden="1">
      <c r="A2504" s="78" t="str">
        <f>IFERROR(__xludf.DUMMYFUNCTION("""COMPUTED_VALUE"""),"Sultai Arisen")</f>
        <v>Sultai Arisen</v>
      </c>
      <c r="B2504" s="78" t="str">
        <f>IFERROR(__xludf.DUMMYFUNCTION("""COMPUTED_VALUE"""),"Endless Punishment")</f>
        <v>Endless Punishment</v>
      </c>
      <c r="C2504" s="79">
        <f>IFERROR(__xludf.DUMMYFUNCTION("""COMPUTED_VALUE"""),0.0)</f>
        <v>0</v>
      </c>
      <c r="D2504" s="79">
        <f>IFERROR(__xludf.DUMMYFUNCTION("""COMPUTED_VALUE"""),0.0)</f>
        <v>0</v>
      </c>
      <c r="E2504" s="69" t="b">
        <f>IFERROR(__xludf.DUMMYFUNCTION("""COMPUTED_VALUE"""),TRUE)</f>
        <v>1</v>
      </c>
    </row>
    <row r="2505" hidden="1">
      <c r="A2505" s="78" t="str">
        <f>IFERROR(__xludf.DUMMYFUNCTION("""COMPUTED_VALUE"""),"Sultai Arisen")</f>
        <v>Sultai Arisen</v>
      </c>
      <c r="B2505" s="78" t="str">
        <f>IFERROR(__xludf.DUMMYFUNCTION("""COMPUTED_VALUE"""),"Enduring Enchantments")</f>
        <v>Enduring Enchantments</v>
      </c>
      <c r="C2505" s="79">
        <f>IFERROR(__xludf.DUMMYFUNCTION("""COMPUTED_VALUE"""),0.0)</f>
        <v>0</v>
      </c>
      <c r="D2505" s="79">
        <f>IFERROR(__xludf.DUMMYFUNCTION("""COMPUTED_VALUE"""),0.0)</f>
        <v>0</v>
      </c>
      <c r="E2505" s="69" t="b">
        <f>IFERROR(__xludf.DUMMYFUNCTION("""COMPUTED_VALUE"""),TRUE)</f>
        <v>1</v>
      </c>
    </row>
    <row r="2506" hidden="1">
      <c r="A2506" s="78" t="str">
        <f>IFERROR(__xludf.DUMMYFUNCTION("""COMPUTED_VALUE"""),"Sultai Arisen")</f>
        <v>Sultai Arisen</v>
      </c>
      <c r="B2506" s="78" t="str">
        <f>IFERROR(__xludf.DUMMYFUNCTION("""COMPUTED_VALUE"""),"Explorers of the Deep")</f>
        <v>Explorers of the Deep</v>
      </c>
      <c r="C2506" s="79">
        <f>IFERROR(__xludf.DUMMYFUNCTION("""COMPUTED_VALUE"""),0.0)</f>
        <v>0</v>
      </c>
      <c r="D2506" s="79">
        <f>IFERROR(__xludf.DUMMYFUNCTION("""COMPUTED_VALUE"""),1.0)</f>
        <v>1</v>
      </c>
      <c r="E2506" s="69" t="b">
        <f>IFERROR(__xludf.DUMMYFUNCTION("""COMPUTED_VALUE"""),FALSE)</f>
        <v>0</v>
      </c>
    </row>
    <row r="2507" hidden="1">
      <c r="A2507" s="78" t="str">
        <f>IFERROR(__xludf.DUMMYFUNCTION("""COMPUTED_VALUE"""),"Sultai Arisen")</f>
        <v>Sultai Arisen</v>
      </c>
      <c r="B2507" s="78" t="str">
        <f>IFERROR(__xludf.DUMMYFUNCTION("""COMPUTED_VALUE"""),"Family Matters")</f>
        <v>Family Matters</v>
      </c>
      <c r="C2507" s="79">
        <f>IFERROR(__xludf.DUMMYFUNCTION("""COMPUTED_VALUE"""),0.0)</f>
        <v>0</v>
      </c>
      <c r="D2507" s="79">
        <f>IFERROR(__xludf.DUMMYFUNCTION("""COMPUTED_VALUE"""),0.0)</f>
        <v>0</v>
      </c>
      <c r="E2507" s="69" t="b">
        <f>IFERROR(__xludf.DUMMYFUNCTION("""COMPUTED_VALUE"""),TRUE)</f>
        <v>1</v>
      </c>
    </row>
    <row r="2508" hidden="1">
      <c r="A2508" s="78" t="str">
        <f>IFERROR(__xludf.DUMMYFUNCTION("""COMPUTED_VALUE"""),"Sultai Arisen")</f>
        <v>Sultai Arisen</v>
      </c>
      <c r="B2508" s="78" t="str">
        <f>IFERROR(__xludf.DUMMYFUNCTION("""COMPUTED_VALUE"""),"Food and Fellowship")</f>
        <v>Food and Fellowship</v>
      </c>
      <c r="C2508" s="79">
        <f>IFERROR(__xludf.DUMMYFUNCTION("""COMPUTED_VALUE"""),0.0)</f>
        <v>0</v>
      </c>
      <c r="D2508" s="79">
        <f>IFERROR(__xludf.DUMMYFUNCTION("""COMPUTED_VALUE"""),0.0)</f>
        <v>0</v>
      </c>
      <c r="E2508" s="69" t="b">
        <f>IFERROR(__xludf.DUMMYFUNCTION("""COMPUTED_VALUE"""),TRUE)</f>
        <v>1</v>
      </c>
    </row>
    <row r="2509" hidden="1">
      <c r="A2509" s="78" t="str">
        <f>IFERROR(__xludf.DUMMYFUNCTION("""COMPUTED_VALUE"""),"Sultai Arisen")</f>
        <v>Sultai Arisen</v>
      </c>
      <c r="B2509" s="78" t="str">
        <f>IFERROR(__xludf.DUMMYFUNCTION("""COMPUTED_VALUE"""),"Jeskai Striker")</f>
        <v>Jeskai Striker</v>
      </c>
      <c r="C2509" s="79">
        <f>IFERROR(__xludf.DUMMYFUNCTION("""COMPUTED_VALUE"""),0.0)</f>
        <v>0</v>
      </c>
      <c r="D2509" s="79">
        <f>IFERROR(__xludf.DUMMYFUNCTION("""COMPUTED_VALUE"""),0.0)</f>
        <v>0</v>
      </c>
      <c r="E2509" s="69" t="b">
        <f>IFERROR(__xludf.DUMMYFUNCTION("""COMPUTED_VALUE"""),TRUE)</f>
        <v>1</v>
      </c>
    </row>
    <row r="2510" hidden="1">
      <c r="A2510" s="78" t="str">
        <f>IFERROR(__xludf.DUMMYFUNCTION("""COMPUTED_VALUE"""),"Sultai Arisen")</f>
        <v>Sultai Arisen</v>
      </c>
      <c r="B2510" s="78" t="str">
        <f>IFERROR(__xludf.DUMMYFUNCTION("""COMPUTED_VALUE"""),"Legends' Legacy")</f>
        <v>Legends' Legacy</v>
      </c>
      <c r="C2510" s="79">
        <f>IFERROR(__xludf.DUMMYFUNCTION("""COMPUTED_VALUE"""),0.0)</f>
        <v>0</v>
      </c>
      <c r="D2510" s="79">
        <f>IFERROR(__xludf.DUMMYFUNCTION("""COMPUTED_VALUE"""),0.0)</f>
        <v>0</v>
      </c>
      <c r="E2510" s="69" t="b">
        <f>IFERROR(__xludf.DUMMYFUNCTION("""COMPUTED_VALUE"""),TRUE)</f>
        <v>1</v>
      </c>
    </row>
    <row r="2511" hidden="1">
      <c r="A2511" s="78" t="str">
        <f>IFERROR(__xludf.DUMMYFUNCTION("""COMPUTED_VALUE"""),"Sultai Arisen")</f>
        <v>Sultai Arisen</v>
      </c>
      <c r="B2511" s="78" t="str">
        <f>IFERROR(__xludf.DUMMYFUNCTION("""COMPUTED_VALUE"""),"Limit Break")</f>
        <v>Limit Break</v>
      </c>
      <c r="C2511" s="79">
        <f>IFERROR(__xludf.DUMMYFUNCTION("""COMPUTED_VALUE"""),0.0)</f>
        <v>0</v>
      </c>
      <c r="D2511" s="79">
        <f>IFERROR(__xludf.DUMMYFUNCTION("""COMPUTED_VALUE"""),0.0)</f>
        <v>0</v>
      </c>
      <c r="E2511" s="69" t="b">
        <f>IFERROR(__xludf.DUMMYFUNCTION("""COMPUTED_VALUE"""),TRUE)</f>
        <v>1</v>
      </c>
    </row>
    <row r="2512" hidden="1">
      <c r="A2512" s="78" t="str">
        <f>IFERROR(__xludf.DUMMYFUNCTION("""COMPUTED_VALUE"""),"Sultai Arisen")</f>
        <v>Sultai Arisen</v>
      </c>
      <c r="B2512" s="78" t="str">
        <f>IFERROR(__xludf.DUMMYFUNCTION("""COMPUTED_VALUE"""),"Lorehold Spirit")</f>
        <v>Lorehold Spirit</v>
      </c>
      <c r="C2512" s="79">
        <f>IFERROR(__xludf.DUMMYFUNCTION("""COMPUTED_VALUE"""),0.0)</f>
        <v>0</v>
      </c>
      <c r="D2512" s="79">
        <f>IFERROR(__xludf.DUMMYFUNCTION("""COMPUTED_VALUE"""),1.0)</f>
        <v>1</v>
      </c>
      <c r="E2512" s="69" t="b">
        <f>IFERROR(__xludf.DUMMYFUNCTION("""COMPUTED_VALUE"""),FALSE)</f>
        <v>0</v>
      </c>
    </row>
    <row r="2513" hidden="1">
      <c r="A2513" s="78" t="str">
        <f>IFERROR(__xludf.DUMMYFUNCTION("""COMPUTED_VALUE"""),"Sultai Arisen")</f>
        <v>Sultai Arisen</v>
      </c>
      <c r="B2513" s="78" t="str">
        <f>IFERROR(__xludf.DUMMYFUNCTION("""COMPUTED_VALUE"""),"Mutant Menace")</f>
        <v>Mutant Menace</v>
      </c>
      <c r="C2513" s="79">
        <f>IFERROR(__xludf.DUMMYFUNCTION("""COMPUTED_VALUE"""),0.0)</f>
        <v>0</v>
      </c>
      <c r="D2513" s="79">
        <f>IFERROR(__xludf.DUMMYFUNCTION("""COMPUTED_VALUE"""),0.0)</f>
        <v>0</v>
      </c>
      <c r="E2513" s="69" t="b">
        <f>IFERROR(__xludf.DUMMYFUNCTION("""COMPUTED_VALUE"""),TRUE)</f>
        <v>1</v>
      </c>
    </row>
    <row r="2514" hidden="1">
      <c r="A2514" s="78" t="str">
        <f>IFERROR(__xludf.DUMMYFUNCTION("""COMPUTED_VALUE"""),"Sultai Arisen")</f>
        <v>Sultai Arisen</v>
      </c>
      <c r="B2514" s="78" t="str">
        <f>IFERROR(__xludf.DUMMYFUNCTION("""COMPUTED_VALUE"""),"Party Time")</f>
        <v>Party Time</v>
      </c>
      <c r="C2514" s="79">
        <f>IFERROR(__xludf.DUMMYFUNCTION("""COMPUTED_VALUE"""),0.0)</f>
        <v>0</v>
      </c>
      <c r="D2514" s="79">
        <f>IFERROR(__xludf.DUMMYFUNCTION("""COMPUTED_VALUE"""),0.0)</f>
        <v>0</v>
      </c>
      <c r="E2514" s="69" t="b">
        <f>IFERROR(__xludf.DUMMYFUNCTION("""COMPUTED_VALUE"""),TRUE)</f>
        <v>1</v>
      </c>
    </row>
    <row r="2515" hidden="1">
      <c r="A2515" s="78" t="str">
        <f>IFERROR(__xludf.DUMMYFUNCTION("""COMPUTED_VALUE"""),"Sultai Arisen")</f>
        <v>Sultai Arisen</v>
      </c>
      <c r="B2515" s="78" t="str">
        <f>IFERROR(__xludf.DUMMYFUNCTION("""COMPUTED_VALUE"""),"Peace Offering")</f>
        <v>Peace Offering</v>
      </c>
      <c r="C2515" s="79">
        <f>IFERROR(__xludf.DUMMYFUNCTION("""COMPUTED_VALUE"""),0.0)</f>
        <v>0</v>
      </c>
      <c r="D2515" s="79">
        <f>IFERROR(__xludf.DUMMYFUNCTION("""COMPUTED_VALUE"""),0.0)</f>
        <v>0</v>
      </c>
      <c r="E2515" s="69" t="b">
        <f>IFERROR(__xludf.DUMMYFUNCTION("""COMPUTED_VALUE"""),TRUE)</f>
        <v>1</v>
      </c>
    </row>
    <row r="2516" hidden="1">
      <c r="A2516" s="78" t="str">
        <f>IFERROR(__xludf.DUMMYFUNCTION("""COMPUTED_VALUE"""),"Sultai Arisen")</f>
        <v>Sultai Arisen</v>
      </c>
      <c r="B2516" s="78" t="str">
        <f>IFERROR(__xludf.DUMMYFUNCTION("""COMPUTED_VALUE"""),"Power Hungry")</f>
        <v>Power Hungry</v>
      </c>
      <c r="C2516" s="79">
        <f>IFERROR(__xludf.DUMMYFUNCTION("""COMPUTED_VALUE"""),1.0)</f>
        <v>1</v>
      </c>
      <c r="D2516" s="79">
        <f>IFERROR(__xludf.DUMMYFUNCTION("""COMPUTED_VALUE"""),0.0)</f>
        <v>0</v>
      </c>
      <c r="E2516" s="69" t="b">
        <f>IFERROR(__xludf.DUMMYFUNCTION("""COMPUTED_VALUE"""),FALSE)</f>
        <v>0</v>
      </c>
    </row>
    <row r="2517" hidden="1">
      <c r="A2517" s="78" t="str">
        <f>IFERROR(__xludf.DUMMYFUNCTION("""COMPUTED_VALUE"""),"Sultai Arisen")</f>
        <v>Sultai Arisen</v>
      </c>
      <c r="B2517" s="78" t="str">
        <f>IFERROR(__xludf.DUMMYFUNCTION("""COMPUTED_VALUE"""),"Primal Genesis")</f>
        <v>Primal Genesis</v>
      </c>
      <c r="C2517" s="79">
        <f>IFERROR(__xludf.DUMMYFUNCTION("""COMPUTED_VALUE"""),0.0)</f>
        <v>0</v>
      </c>
      <c r="D2517" s="79">
        <f>IFERROR(__xludf.DUMMYFUNCTION("""COMPUTED_VALUE"""),0.0)</f>
        <v>0</v>
      </c>
      <c r="E2517" s="69" t="b">
        <f>IFERROR(__xludf.DUMMYFUNCTION("""COMPUTED_VALUE"""),TRUE)</f>
        <v>1</v>
      </c>
    </row>
    <row r="2518" hidden="1">
      <c r="A2518" s="78" t="str">
        <f>IFERROR(__xludf.DUMMYFUNCTION("""COMPUTED_VALUE"""),"Sultai Arisen")</f>
        <v>Sultai Arisen</v>
      </c>
      <c r="B2518" s="78" t="str">
        <f>IFERROR(__xludf.DUMMYFUNCTION("""COMPUTED_VALUE"""),"Prismari Artistry")</f>
        <v>Prismari Artistry</v>
      </c>
      <c r="C2518" s="79">
        <f>IFERROR(__xludf.DUMMYFUNCTION("""COMPUTED_VALUE"""),0.0)</f>
        <v>0</v>
      </c>
      <c r="D2518" s="79">
        <f>IFERROR(__xludf.DUMMYFUNCTION("""COMPUTED_VALUE"""),0.0)</f>
        <v>0</v>
      </c>
      <c r="E2518" s="69" t="b">
        <f>IFERROR(__xludf.DUMMYFUNCTION("""COMPUTED_VALUE"""),TRUE)</f>
        <v>1</v>
      </c>
    </row>
    <row r="2519" hidden="1">
      <c r="A2519" s="78" t="str">
        <f>IFERROR(__xludf.DUMMYFUNCTION("""COMPUTED_VALUE"""),"Sultai Arisen")</f>
        <v>Sultai Arisen</v>
      </c>
      <c r="B2519" s="78" t="str">
        <f>IFERROR(__xludf.DUMMYFUNCTION("""COMPUTED_VALUE"""),"Prismari Performance")</f>
        <v>Prismari Performance</v>
      </c>
      <c r="C2519" s="79">
        <f>IFERROR(__xludf.DUMMYFUNCTION("""COMPUTED_VALUE"""),0.0)</f>
        <v>0</v>
      </c>
      <c r="D2519" s="79">
        <f>IFERROR(__xludf.DUMMYFUNCTION("""COMPUTED_VALUE"""),0.0)</f>
        <v>0</v>
      </c>
      <c r="E2519" s="69" t="b">
        <f>IFERROR(__xludf.DUMMYFUNCTION("""COMPUTED_VALUE"""),TRUE)</f>
        <v>1</v>
      </c>
    </row>
    <row r="2520" hidden="1">
      <c r="A2520" s="78" t="str">
        <f>IFERROR(__xludf.DUMMYFUNCTION("""COMPUTED_VALUE"""),"Sultai Arisen")</f>
        <v>Sultai Arisen</v>
      </c>
      <c r="B2520" s="78" t="str">
        <f>IFERROR(__xludf.DUMMYFUNCTION("""COMPUTED_VALUE"""),"Quandrix Unlimited")</f>
        <v>Quandrix Unlimited</v>
      </c>
      <c r="C2520" s="79">
        <f>IFERROR(__xludf.DUMMYFUNCTION("""COMPUTED_VALUE"""),0.0)</f>
        <v>0</v>
      </c>
      <c r="D2520" s="79">
        <f>IFERROR(__xludf.DUMMYFUNCTION("""COMPUTED_VALUE"""),1.0)</f>
        <v>1</v>
      </c>
      <c r="E2520" s="69" t="b">
        <f>IFERROR(__xludf.DUMMYFUNCTION("""COMPUTED_VALUE"""),FALSE)</f>
        <v>0</v>
      </c>
    </row>
    <row r="2521" hidden="1">
      <c r="A2521" s="78" t="str">
        <f>IFERROR(__xludf.DUMMYFUNCTION("""COMPUTED_VALUE"""),"Sultai Arisen")</f>
        <v>Sultai Arisen</v>
      </c>
      <c r="B2521" s="78" t="str">
        <f>IFERROR(__xludf.DUMMYFUNCTION("""COMPUTED_VALUE"""),"Quick Draw")</f>
        <v>Quick Draw</v>
      </c>
      <c r="C2521" s="79">
        <f>IFERROR(__xludf.DUMMYFUNCTION("""COMPUTED_VALUE"""),1.0)</f>
        <v>1</v>
      </c>
      <c r="D2521" s="79">
        <f>IFERROR(__xludf.DUMMYFUNCTION("""COMPUTED_VALUE"""),0.0)</f>
        <v>0</v>
      </c>
      <c r="E2521" s="69" t="b">
        <f>IFERROR(__xludf.DUMMYFUNCTION("""COMPUTED_VALUE"""),FALSE)</f>
        <v>0</v>
      </c>
    </row>
    <row r="2522" hidden="1">
      <c r="A2522" s="78" t="str">
        <f>IFERROR(__xludf.DUMMYFUNCTION("""COMPUTED_VALUE"""),"Sultai Arisen")</f>
        <v>Sultai Arisen</v>
      </c>
      <c r="B2522" s="78" t="str">
        <f>IFERROR(__xludf.DUMMYFUNCTION("""COMPUTED_VALUE"""),"Reap the Tides")</f>
        <v>Reap the Tides</v>
      </c>
      <c r="C2522" s="79">
        <f>IFERROR(__xludf.DUMMYFUNCTION("""COMPUTED_VALUE"""),0.0)</f>
        <v>0</v>
      </c>
      <c r="D2522" s="79">
        <f>IFERROR(__xludf.DUMMYFUNCTION("""COMPUTED_VALUE"""),0.0)</f>
        <v>0</v>
      </c>
      <c r="E2522" s="69" t="b">
        <f>IFERROR(__xludf.DUMMYFUNCTION("""COMPUTED_VALUE"""),TRUE)</f>
        <v>1</v>
      </c>
    </row>
    <row r="2523" hidden="1">
      <c r="A2523" s="78" t="str">
        <f>IFERROR(__xludf.DUMMYFUNCTION("""COMPUTED_VALUE"""),"Sultai Arisen")</f>
        <v>Sultai Arisen</v>
      </c>
      <c r="B2523" s="78" t="str">
        <f>IFERROR(__xludf.DUMMYFUNCTION("""COMPUTED_VALUE"""),"Rebellion Rising")</f>
        <v>Rebellion Rising</v>
      </c>
      <c r="C2523" s="79">
        <f>IFERROR(__xludf.DUMMYFUNCTION("""COMPUTED_VALUE"""),0.0)</f>
        <v>0</v>
      </c>
      <c r="D2523" s="79">
        <f>IFERROR(__xludf.DUMMYFUNCTION("""COMPUTED_VALUE"""),0.0)</f>
        <v>0</v>
      </c>
      <c r="E2523" s="69" t="b">
        <f>IFERROR(__xludf.DUMMYFUNCTION("""COMPUTED_VALUE"""),TRUE)</f>
        <v>1</v>
      </c>
    </row>
    <row r="2524" hidden="1">
      <c r="A2524" s="78" t="str">
        <f>IFERROR(__xludf.DUMMYFUNCTION("""COMPUTED_VALUE"""),"Sultai Arisen")</f>
        <v>Sultai Arisen</v>
      </c>
      <c r="B2524" s="78" t="str">
        <f>IFERROR(__xludf.DUMMYFUNCTION("""COMPUTED_VALUE"""),"Revival Trance")</f>
        <v>Revival Trance</v>
      </c>
      <c r="C2524" s="79">
        <f>IFERROR(__xludf.DUMMYFUNCTION("""COMPUTED_VALUE"""),0.0)</f>
        <v>0</v>
      </c>
      <c r="D2524" s="79">
        <f>IFERROR(__xludf.DUMMYFUNCTION("""COMPUTED_VALUE"""),0.0)</f>
        <v>0</v>
      </c>
      <c r="E2524" s="69" t="b">
        <f>IFERROR(__xludf.DUMMYFUNCTION("""COMPUTED_VALUE"""),TRUE)</f>
        <v>1</v>
      </c>
    </row>
    <row r="2525" hidden="1">
      <c r="A2525" s="78" t="str">
        <f>IFERROR(__xludf.DUMMYFUNCTION("""COMPUTED_VALUE"""),"Sultai Arisen")</f>
        <v>Sultai Arisen</v>
      </c>
      <c r="B2525" s="78" t="str">
        <f>IFERROR(__xludf.DUMMYFUNCTION("""COMPUTED_VALUE"""),"Riders of Rohan")</f>
        <v>Riders of Rohan</v>
      </c>
      <c r="C2525" s="79">
        <f>IFERROR(__xludf.DUMMYFUNCTION("""COMPUTED_VALUE"""),0.0)</f>
        <v>0</v>
      </c>
      <c r="D2525" s="79">
        <f>IFERROR(__xludf.DUMMYFUNCTION("""COMPUTED_VALUE"""),0.0)</f>
        <v>0</v>
      </c>
      <c r="E2525" s="69" t="b">
        <f>IFERROR(__xludf.DUMMYFUNCTION("""COMPUTED_VALUE"""),TRUE)</f>
        <v>1</v>
      </c>
    </row>
    <row r="2526" hidden="1">
      <c r="A2526" s="78" t="str">
        <f>IFERROR(__xludf.DUMMYFUNCTION("""COMPUTED_VALUE"""),"Sultai Arisen")</f>
        <v>Sultai Arisen</v>
      </c>
      <c r="B2526" s="78" t="str">
        <f>IFERROR(__xludf.DUMMYFUNCTION("""COMPUTED_VALUE"""),"Science!")</f>
        <v>Science!</v>
      </c>
      <c r="C2526" s="79">
        <f>IFERROR(__xludf.DUMMYFUNCTION("""COMPUTED_VALUE"""),0.0)</f>
        <v>0</v>
      </c>
      <c r="D2526" s="79">
        <f>IFERROR(__xludf.DUMMYFUNCTION("""COMPUTED_VALUE"""),0.0)</f>
        <v>0</v>
      </c>
      <c r="E2526" s="69" t="b">
        <f>IFERROR(__xludf.DUMMYFUNCTION("""COMPUTED_VALUE"""),TRUE)</f>
        <v>1</v>
      </c>
    </row>
    <row r="2527" hidden="1">
      <c r="A2527" s="78" t="str">
        <f>IFERROR(__xludf.DUMMYFUNCTION("""COMPUTED_VALUE"""),"Sultai Arisen")</f>
        <v>Sultai Arisen</v>
      </c>
      <c r="B2527" s="78" t="str">
        <f>IFERROR(__xludf.DUMMYFUNCTION("""COMPUTED_VALUE"""),"Scions &amp; Spellcraft")</f>
        <v>Scions &amp; Spellcraft</v>
      </c>
      <c r="C2527" s="79">
        <f>IFERROR(__xludf.DUMMYFUNCTION("""COMPUTED_VALUE"""),0.0)</f>
        <v>0</v>
      </c>
      <c r="D2527" s="79">
        <f>IFERROR(__xludf.DUMMYFUNCTION("""COMPUTED_VALUE"""),0.0)</f>
        <v>0</v>
      </c>
      <c r="E2527" s="69" t="b">
        <f>IFERROR(__xludf.DUMMYFUNCTION("""COMPUTED_VALUE"""),TRUE)</f>
        <v>1</v>
      </c>
    </row>
    <row r="2528" hidden="1">
      <c r="A2528" s="78" t="str">
        <f>IFERROR(__xludf.DUMMYFUNCTION("""COMPUTED_VALUE"""),"Sultai Arisen")</f>
        <v>Sultai Arisen</v>
      </c>
      <c r="B2528" s="78" t="str">
        <f>IFERROR(__xludf.DUMMYFUNCTION("""COMPUTED_VALUE"""),"Scrappy Survivors")</f>
        <v>Scrappy Survivors</v>
      </c>
      <c r="C2528" s="79">
        <f>IFERROR(__xludf.DUMMYFUNCTION("""COMPUTED_VALUE"""),0.0)</f>
        <v>0</v>
      </c>
      <c r="D2528" s="79">
        <f>IFERROR(__xludf.DUMMYFUNCTION("""COMPUTED_VALUE"""),0.0)</f>
        <v>0</v>
      </c>
      <c r="E2528" s="69" t="b">
        <f>IFERROR(__xludf.DUMMYFUNCTION("""COMPUTED_VALUE"""),TRUE)</f>
        <v>1</v>
      </c>
    </row>
    <row r="2529" hidden="1">
      <c r="A2529" s="78" t="str">
        <f>IFERROR(__xludf.DUMMYFUNCTION("""COMPUTED_VALUE"""),"Sultai Arisen")</f>
        <v>Sultai Arisen</v>
      </c>
      <c r="B2529" s="78" t="str">
        <f>IFERROR(__xludf.DUMMYFUNCTION("""COMPUTED_VALUE"""),"Silverquill Influence")</f>
        <v>Silverquill Influence</v>
      </c>
      <c r="C2529" s="79">
        <f>IFERROR(__xludf.DUMMYFUNCTION("""COMPUTED_VALUE"""),0.0)</f>
        <v>0</v>
      </c>
      <c r="D2529" s="79">
        <f>IFERROR(__xludf.DUMMYFUNCTION("""COMPUTED_VALUE"""),0.0)</f>
        <v>0</v>
      </c>
      <c r="E2529" s="69" t="b">
        <f>IFERROR(__xludf.DUMMYFUNCTION("""COMPUTED_VALUE"""),TRUE)</f>
        <v>1</v>
      </c>
    </row>
    <row r="2530" hidden="1">
      <c r="A2530" s="78" t="str">
        <f>IFERROR(__xludf.DUMMYFUNCTION("""COMPUTED_VALUE"""),"Sultai Arisen")</f>
        <v>Sultai Arisen</v>
      </c>
      <c r="B2530" s="78" t="str">
        <f>IFERROR(__xludf.DUMMYFUNCTION("""COMPUTED_VALUE"""),"Spirit Squadron")</f>
        <v>Spirit Squadron</v>
      </c>
      <c r="C2530" s="79">
        <f>IFERROR(__xludf.DUMMYFUNCTION("""COMPUTED_VALUE"""),0.0)</f>
        <v>0</v>
      </c>
      <c r="D2530" s="79">
        <f>IFERROR(__xludf.DUMMYFUNCTION("""COMPUTED_VALUE"""),0.0)</f>
        <v>0</v>
      </c>
      <c r="E2530" s="69" t="b">
        <f>IFERROR(__xludf.DUMMYFUNCTION("""COMPUTED_VALUE"""),TRUE)</f>
        <v>1</v>
      </c>
    </row>
    <row r="2531" hidden="1">
      <c r="A2531" s="78" t="str">
        <f>IFERROR(__xludf.DUMMYFUNCTION("""COMPUTED_VALUE"""),"Sultai Arisen")</f>
        <v>Sultai Arisen</v>
      </c>
      <c r="B2531" s="78" t="str">
        <f>IFERROR(__xludf.DUMMYFUNCTION("""COMPUTED_VALUE"""),"Squirreled Away")</f>
        <v>Squirreled Away</v>
      </c>
      <c r="C2531" s="79">
        <f>IFERROR(__xludf.DUMMYFUNCTION("""COMPUTED_VALUE"""),0.0)</f>
        <v>0</v>
      </c>
      <c r="D2531" s="79">
        <f>IFERROR(__xludf.DUMMYFUNCTION("""COMPUTED_VALUE"""),0.0)</f>
        <v>0</v>
      </c>
      <c r="E2531" s="69" t="b">
        <f>IFERROR(__xludf.DUMMYFUNCTION("""COMPUTED_VALUE"""),TRUE)</f>
        <v>1</v>
      </c>
    </row>
    <row r="2532" hidden="1">
      <c r="A2532" s="78" t="str">
        <f>IFERROR(__xludf.DUMMYFUNCTION("""COMPUTED_VALUE"""),"Sultai Arisen")</f>
        <v>Sultai Arisen</v>
      </c>
      <c r="B2532" s="78" t="str">
        <f>IFERROR(__xludf.DUMMYFUNCTION("""COMPUTED_VALUE"""),"Sultai Arisen")</f>
        <v>Sultai Arisen</v>
      </c>
      <c r="C2532" s="79">
        <f>IFERROR(__xludf.DUMMYFUNCTION("""COMPUTED_VALUE"""),1.0)</f>
        <v>1</v>
      </c>
      <c r="D2532" s="79">
        <f>IFERROR(__xludf.DUMMYFUNCTION("""COMPUTED_VALUE"""),1.0)</f>
        <v>1</v>
      </c>
      <c r="E2532" s="69" t="b">
        <f>IFERROR(__xludf.DUMMYFUNCTION("""COMPUTED_VALUE"""),TRUE)</f>
        <v>1</v>
      </c>
    </row>
    <row r="2533" hidden="1">
      <c r="A2533" s="78" t="str">
        <f>IFERROR(__xludf.DUMMYFUNCTION("""COMPUTED_VALUE"""),"Sultai Arisen")</f>
        <v>Sultai Arisen</v>
      </c>
      <c r="B2533" s="78" t="str">
        <f>IFERROR(__xludf.DUMMYFUNCTION("""COMPUTED_VALUE"""),"Temur Roar")</f>
        <v>Temur Roar</v>
      </c>
      <c r="C2533" s="79">
        <f>IFERROR(__xludf.DUMMYFUNCTION("""COMPUTED_VALUE"""),0.0)</f>
        <v>0</v>
      </c>
      <c r="D2533" s="79">
        <f>IFERROR(__xludf.DUMMYFUNCTION("""COMPUTED_VALUE"""),0.0)</f>
        <v>0</v>
      </c>
      <c r="E2533" s="69" t="b">
        <f>IFERROR(__xludf.DUMMYFUNCTION("""COMPUTED_VALUE"""),TRUE)</f>
        <v>1</v>
      </c>
    </row>
    <row r="2534" hidden="1">
      <c r="A2534" s="78" t="str">
        <f>IFERROR(__xludf.DUMMYFUNCTION("""COMPUTED_VALUE"""),"Sultai Arisen")</f>
        <v>Sultai Arisen</v>
      </c>
      <c r="B2534" s="78" t="str">
        <f>IFERROR(__xludf.DUMMYFUNCTION("""COMPUTED_VALUE"""),"The Hosts of Mordor")</f>
        <v>The Hosts of Mordor</v>
      </c>
      <c r="C2534" s="79">
        <f>IFERROR(__xludf.DUMMYFUNCTION("""COMPUTED_VALUE"""),0.0)</f>
        <v>0</v>
      </c>
      <c r="D2534" s="79">
        <f>IFERROR(__xludf.DUMMYFUNCTION("""COMPUTED_VALUE"""),0.0)</f>
        <v>0</v>
      </c>
      <c r="E2534" s="69" t="b">
        <f>IFERROR(__xludf.DUMMYFUNCTION("""COMPUTED_VALUE"""),TRUE)</f>
        <v>1</v>
      </c>
    </row>
    <row r="2535" hidden="1">
      <c r="A2535" s="78" t="str">
        <f>IFERROR(__xludf.DUMMYFUNCTION("""COMPUTED_VALUE"""),"Sultai Arisen")</f>
        <v>Sultai Arisen</v>
      </c>
      <c r="B2535" s="78" t="str">
        <f>IFERROR(__xludf.DUMMYFUNCTION("""COMPUTED_VALUE"""),"The Ruinous Powers")</f>
        <v>The Ruinous Powers</v>
      </c>
      <c r="C2535" s="79">
        <f>IFERROR(__xludf.DUMMYFUNCTION("""COMPUTED_VALUE"""),0.0)</f>
        <v>0</v>
      </c>
      <c r="D2535" s="79">
        <f>IFERROR(__xludf.DUMMYFUNCTION("""COMPUTED_VALUE"""),0.0)</f>
        <v>0</v>
      </c>
      <c r="E2535" s="69" t="b">
        <f>IFERROR(__xludf.DUMMYFUNCTION("""COMPUTED_VALUE"""),TRUE)</f>
        <v>1</v>
      </c>
    </row>
    <row r="2536" hidden="1">
      <c r="A2536" s="78" t="str">
        <f>IFERROR(__xludf.DUMMYFUNCTION("""COMPUTED_VALUE"""),"Sultai Arisen")</f>
        <v>Sultai Arisen</v>
      </c>
      <c r="B2536" s="78" t="str">
        <f>IFERROR(__xludf.DUMMYFUNCTION("""COMPUTED_VALUE"""),"Timey-Wimey")</f>
        <v>Timey-Wimey</v>
      </c>
      <c r="C2536" s="79">
        <f>IFERROR(__xludf.DUMMYFUNCTION("""COMPUTED_VALUE"""),0.0)</f>
        <v>0</v>
      </c>
      <c r="D2536" s="79">
        <f>IFERROR(__xludf.DUMMYFUNCTION("""COMPUTED_VALUE"""),0.0)</f>
        <v>0</v>
      </c>
      <c r="E2536" s="69" t="b">
        <f>IFERROR(__xludf.DUMMYFUNCTION("""COMPUTED_VALUE"""),TRUE)</f>
        <v>1</v>
      </c>
    </row>
    <row r="2537" hidden="1">
      <c r="A2537" s="78" t="str">
        <f>IFERROR(__xludf.DUMMYFUNCTION("""COMPUTED_VALUE"""),"Sultai Arisen")</f>
        <v>Sultai Arisen</v>
      </c>
      <c r="B2537" s="78" t="str">
        <f>IFERROR(__xludf.DUMMYFUNCTION("""COMPUTED_VALUE"""),"Tinker Time")</f>
        <v>Tinker Time</v>
      </c>
      <c r="C2537" s="79">
        <f>IFERROR(__xludf.DUMMYFUNCTION("""COMPUTED_VALUE"""),0.0)</f>
        <v>0</v>
      </c>
      <c r="D2537" s="79">
        <f>IFERROR(__xludf.DUMMYFUNCTION("""COMPUTED_VALUE"""),0.0)</f>
        <v>0</v>
      </c>
      <c r="E2537" s="69" t="b">
        <f>IFERROR(__xludf.DUMMYFUNCTION("""COMPUTED_VALUE"""),TRUE)</f>
        <v>1</v>
      </c>
    </row>
    <row r="2538" hidden="1">
      <c r="A2538" s="78" t="str">
        <f>IFERROR(__xludf.DUMMYFUNCTION("""COMPUTED_VALUE"""),"Sultai Arisen")</f>
        <v>Sultai Arisen</v>
      </c>
      <c r="B2538" s="78" t="str">
        <f>IFERROR(__xludf.DUMMYFUNCTION("""COMPUTED_VALUE"""),"Turtle Power!")</f>
        <v>Turtle Power!</v>
      </c>
      <c r="C2538" s="79">
        <f>IFERROR(__xludf.DUMMYFUNCTION("""COMPUTED_VALUE"""),0.0)</f>
        <v>0</v>
      </c>
      <c r="D2538" s="79">
        <f>IFERROR(__xludf.DUMMYFUNCTION("""COMPUTED_VALUE"""),0.0)</f>
        <v>0</v>
      </c>
      <c r="E2538" s="69" t="b">
        <f>IFERROR(__xludf.DUMMYFUNCTION("""COMPUTED_VALUE"""),TRUE)</f>
        <v>1</v>
      </c>
    </row>
    <row r="2539" hidden="1">
      <c r="A2539" s="78" t="str">
        <f>IFERROR(__xludf.DUMMYFUNCTION("""COMPUTED_VALUE"""),"Sultai Arisen")</f>
        <v>Sultai Arisen</v>
      </c>
      <c r="B2539" s="78" t="str">
        <f>IFERROR(__xludf.DUMMYFUNCTION("""COMPUTED_VALUE"""),"Veloci-ramp-tor")</f>
        <v>Veloci-ramp-tor</v>
      </c>
      <c r="C2539" s="79">
        <f>IFERROR(__xludf.DUMMYFUNCTION("""COMPUTED_VALUE"""),0.0)</f>
        <v>0</v>
      </c>
      <c r="D2539" s="79">
        <f>IFERROR(__xludf.DUMMYFUNCTION("""COMPUTED_VALUE"""),0.0)</f>
        <v>0</v>
      </c>
      <c r="E2539" s="69" t="b">
        <f>IFERROR(__xludf.DUMMYFUNCTION("""COMPUTED_VALUE"""),TRUE)</f>
        <v>1</v>
      </c>
    </row>
    <row r="2540" hidden="1">
      <c r="A2540" s="78" t="str">
        <f>IFERROR(__xludf.DUMMYFUNCTION("""COMPUTED_VALUE"""),"Temur Roar")</f>
        <v>Temur Roar</v>
      </c>
      <c r="B2540" s="78" t="str">
        <f>IFERROR(__xludf.DUMMYFUNCTION("""COMPUTED_VALUE"""),"Ahoy Mateys")</f>
        <v>Ahoy Mateys</v>
      </c>
      <c r="C2540" s="79">
        <f>IFERROR(__xludf.DUMMYFUNCTION("""COMPUTED_VALUE"""),0.0)</f>
        <v>0</v>
      </c>
      <c r="D2540" s="79">
        <f>IFERROR(__xludf.DUMMYFUNCTION("""COMPUTED_VALUE"""),0.0)</f>
        <v>0</v>
      </c>
      <c r="E2540" s="69" t="b">
        <f>IFERROR(__xludf.DUMMYFUNCTION("""COMPUTED_VALUE"""),TRUE)</f>
        <v>1</v>
      </c>
    </row>
    <row r="2541" hidden="1">
      <c r="A2541" s="78" t="str">
        <f>IFERROR(__xludf.DUMMYFUNCTION("""COMPUTED_VALUE"""),"Temur Roar")</f>
        <v>Temur Roar</v>
      </c>
      <c r="B2541" s="78" t="str">
        <f>IFERROR(__xludf.DUMMYFUNCTION("""COMPUTED_VALUE"""),"Animated Army")</f>
        <v>Animated Army</v>
      </c>
      <c r="C2541" s="79">
        <f>IFERROR(__xludf.DUMMYFUNCTION("""COMPUTED_VALUE"""),0.0)</f>
        <v>0</v>
      </c>
      <c r="D2541" s="79">
        <f>IFERROR(__xludf.DUMMYFUNCTION("""COMPUTED_VALUE"""),0.0)</f>
        <v>0</v>
      </c>
      <c r="E2541" s="69" t="b">
        <f>IFERROR(__xludf.DUMMYFUNCTION("""COMPUTED_VALUE"""),TRUE)</f>
        <v>1</v>
      </c>
    </row>
    <row r="2542" hidden="1">
      <c r="A2542" s="78" t="str">
        <f>IFERROR(__xludf.DUMMYFUNCTION("""COMPUTED_VALUE"""),"Temur Roar")</f>
        <v>Temur Roar</v>
      </c>
      <c r="B2542" s="78" t="str">
        <f>IFERROR(__xludf.DUMMYFUNCTION("""COMPUTED_VALUE"""),"Arcane Maelstrom")</f>
        <v>Arcane Maelstrom</v>
      </c>
      <c r="C2542" s="79">
        <f>IFERROR(__xludf.DUMMYFUNCTION("""COMPUTED_VALUE"""),1.0)</f>
        <v>1</v>
      </c>
      <c r="D2542" s="79">
        <f>IFERROR(__xludf.DUMMYFUNCTION("""COMPUTED_VALUE"""),0.0)</f>
        <v>0</v>
      </c>
      <c r="E2542" s="69" t="b">
        <f>IFERROR(__xludf.DUMMYFUNCTION("""COMPUTED_VALUE"""),FALSE)</f>
        <v>0</v>
      </c>
    </row>
    <row r="2543" hidden="1">
      <c r="A2543" s="78" t="str">
        <f>IFERROR(__xludf.DUMMYFUNCTION("""COMPUTED_VALUE"""),"Temur Roar")</f>
        <v>Temur Roar</v>
      </c>
      <c r="B2543" s="78" t="str">
        <f>IFERROR(__xludf.DUMMYFUNCTION("""COMPUTED_VALUE"""),"Blame Game")</f>
        <v>Blame Game</v>
      </c>
      <c r="C2543" s="79">
        <f>IFERROR(__xludf.DUMMYFUNCTION("""COMPUTED_VALUE"""),0.0)</f>
        <v>0</v>
      </c>
      <c r="D2543" s="79">
        <f>IFERROR(__xludf.DUMMYFUNCTION("""COMPUTED_VALUE"""),0.0)</f>
        <v>0</v>
      </c>
      <c r="E2543" s="69" t="b">
        <f>IFERROR(__xludf.DUMMYFUNCTION("""COMPUTED_VALUE"""),TRUE)</f>
        <v>1</v>
      </c>
    </row>
    <row r="2544" hidden="1">
      <c r="A2544" s="78" t="str">
        <f>IFERROR(__xludf.DUMMYFUNCTION("""COMPUTED_VALUE"""),"Temur Roar")</f>
        <v>Temur Roar</v>
      </c>
      <c r="B2544" s="78" t="str">
        <f>IFERROR(__xludf.DUMMYFUNCTION("""COMPUTED_VALUE"""),"Blight Curse")</f>
        <v>Blight Curse</v>
      </c>
      <c r="C2544" s="79">
        <f>IFERROR(__xludf.DUMMYFUNCTION("""COMPUTED_VALUE"""),0.0)</f>
        <v>0</v>
      </c>
      <c r="D2544" s="79">
        <f>IFERROR(__xludf.DUMMYFUNCTION("""COMPUTED_VALUE"""),0.0)</f>
        <v>0</v>
      </c>
      <c r="E2544" s="69" t="b">
        <f>IFERROR(__xludf.DUMMYFUNCTION("""COMPUTED_VALUE"""),TRUE)</f>
        <v>1</v>
      </c>
    </row>
    <row r="2545" hidden="1">
      <c r="A2545" s="78" t="str">
        <f>IFERROR(__xludf.DUMMYFUNCTION("""COMPUTED_VALUE"""),"Temur Roar")</f>
        <v>Temur Roar</v>
      </c>
      <c r="B2545" s="78" t="str">
        <f>IFERROR(__xludf.DUMMYFUNCTION("""COMPUTED_VALUE"""),"Blood Rites")</f>
        <v>Blood Rites</v>
      </c>
      <c r="C2545" s="79">
        <f>IFERROR(__xludf.DUMMYFUNCTION("""COMPUTED_VALUE"""),0.0)</f>
        <v>0</v>
      </c>
      <c r="D2545" s="79">
        <f>IFERROR(__xludf.DUMMYFUNCTION("""COMPUTED_VALUE"""),0.0)</f>
        <v>0</v>
      </c>
      <c r="E2545" s="69" t="b">
        <f>IFERROR(__xludf.DUMMYFUNCTION("""COMPUTED_VALUE"""),TRUE)</f>
        <v>1</v>
      </c>
    </row>
    <row r="2546" hidden="1">
      <c r="A2546" s="78" t="str">
        <f>IFERROR(__xludf.DUMMYFUNCTION("""COMPUTED_VALUE"""),"Temur Roar")</f>
        <v>Temur Roar</v>
      </c>
      <c r="B2546" s="78" t="str">
        <f>IFERROR(__xludf.DUMMYFUNCTION("""COMPUTED_VALUE"""),"Buckle Up")</f>
        <v>Buckle Up</v>
      </c>
      <c r="C2546" s="79">
        <f>IFERROR(__xludf.DUMMYFUNCTION("""COMPUTED_VALUE"""),0.0)</f>
        <v>0</v>
      </c>
      <c r="D2546" s="79">
        <f>IFERROR(__xludf.DUMMYFUNCTION("""COMPUTED_VALUE"""),0.0)</f>
        <v>0</v>
      </c>
      <c r="E2546" s="69" t="b">
        <f>IFERROR(__xludf.DUMMYFUNCTION("""COMPUTED_VALUE"""),TRUE)</f>
        <v>1</v>
      </c>
    </row>
    <row r="2547" hidden="1">
      <c r="A2547" s="78" t="str">
        <f>IFERROR(__xludf.DUMMYFUNCTION("""COMPUTED_VALUE"""),"Temur Roar")</f>
        <v>Temur Roar</v>
      </c>
      <c r="B2547" s="78" t="str">
        <f>IFERROR(__xludf.DUMMYFUNCTION("""COMPUTED_VALUE"""),"Cabaretti Cacophony")</f>
        <v>Cabaretti Cacophony</v>
      </c>
      <c r="C2547" s="79">
        <f>IFERROR(__xludf.DUMMYFUNCTION("""COMPUTED_VALUE"""),0.0)</f>
        <v>0</v>
      </c>
      <c r="D2547" s="79">
        <f>IFERROR(__xludf.DUMMYFUNCTION("""COMPUTED_VALUE"""),0.0)</f>
        <v>0</v>
      </c>
      <c r="E2547" s="69" t="b">
        <f>IFERROR(__xludf.DUMMYFUNCTION("""COMPUTED_VALUE"""),TRUE)</f>
        <v>1</v>
      </c>
    </row>
    <row r="2548" hidden="1">
      <c r="A2548" s="78" t="str">
        <f>IFERROR(__xludf.DUMMYFUNCTION("""COMPUTED_VALUE"""),"Temur Roar")</f>
        <v>Temur Roar</v>
      </c>
      <c r="B2548" s="78" t="str">
        <f>IFERROR(__xludf.DUMMYFUNCTION("""COMPUTED_VALUE"""),"Cavalry Charge")</f>
        <v>Cavalry Charge</v>
      </c>
      <c r="C2548" s="79">
        <f>IFERROR(__xludf.DUMMYFUNCTION("""COMPUTED_VALUE"""),0.0)</f>
        <v>0</v>
      </c>
      <c r="D2548" s="79">
        <f>IFERROR(__xludf.DUMMYFUNCTION("""COMPUTED_VALUE"""),0.0)</f>
        <v>0</v>
      </c>
      <c r="E2548" s="69" t="b">
        <f>IFERROR(__xludf.DUMMYFUNCTION("""COMPUTED_VALUE"""),TRUE)</f>
        <v>1</v>
      </c>
    </row>
    <row r="2549" hidden="1">
      <c r="A2549" s="78" t="str">
        <f>IFERROR(__xludf.DUMMYFUNCTION("""COMPUTED_VALUE"""),"Temur Roar")</f>
        <v>Temur Roar</v>
      </c>
      <c r="B2549" s="78" t="str">
        <f>IFERROR(__xludf.DUMMYFUNCTION("""COMPUTED_VALUE"""),"Corrupting Influence")</f>
        <v>Corrupting Influence</v>
      </c>
      <c r="C2549" s="79">
        <f>IFERROR(__xludf.DUMMYFUNCTION("""COMPUTED_VALUE"""),0.0)</f>
        <v>0</v>
      </c>
      <c r="D2549" s="79">
        <f>IFERROR(__xludf.DUMMYFUNCTION("""COMPUTED_VALUE"""),0.0)</f>
        <v>0</v>
      </c>
      <c r="E2549" s="69" t="b">
        <f>IFERROR(__xludf.DUMMYFUNCTION("""COMPUTED_VALUE"""),TRUE)</f>
        <v>1</v>
      </c>
    </row>
    <row r="2550" hidden="1">
      <c r="A2550" s="78" t="str">
        <f>IFERROR(__xludf.DUMMYFUNCTION("""COMPUTED_VALUE"""),"Temur Roar")</f>
        <v>Temur Roar</v>
      </c>
      <c r="B2550" s="78" t="str">
        <f>IFERROR(__xludf.DUMMYFUNCTION("""COMPUTED_VALUE"""),"Counter Blitz")</f>
        <v>Counter Blitz</v>
      </c>
      <c r="C2550" s="79">
        <f>IFERROR(__xludf.DUMMYFUNCTION("""COMPUTED_VALUE"""),0.0)</f>
        <v>0</v>
      </c>
      <c r="D2550" s="79">
        <f>IFERROR(__xludf.DUMMYFUNCTION("""COMPUTED_VALUE"""),0.0)</f>
        <v>0</v>
      </c>
      <c r="E2550" s="69" t="b">
        <f>IFERROR(__xludf.DUMMYFUNCTION("""COMPUTED_VALUE"""),TRUE)</f>
        <v>1</v>
      </c>
    </row>
    <row r="2551">
      <c r="A2551" s="78" t="str">
        <f>IFERROR(__xludf.DUMMYFUNCTION("""COMPUTED_VALUE"""),"Temur Roar")</f>
        <v>Temur Roar</v>
      </c>
      <c r="B2551" s="78" t="str">
        <f>IFERROR(__xludf.DUMMYFUNCTION("""COMPUTED_VALUE"""),"Counter Intelligence")</f>
        <v>Counter Intelligence</v>
      </c>
      <c r="C2551" s="79">
        <f>IFERROR(__xludf.DUMMYFUNCTION("""COMPUTED_VALUE"""),0.0)</f>
        <v>0</v>
      </c>
      <c r="D2551" s="79">
        <f>IFERROR(__xludf.DUMMYFUNCTION("""COMPUTED_VALUE"""),0.0)</f>
        <v>0</v>
      </c>
      <c r="E2551" s="69" t="b">
        <f>IFERROR(__xludf.DUMMYFUNCTION("""COMPUTED_VALUE"""),TRUE)</f>
        <v>1</v>
      </c>
    </row>
    <row r="2552" hidden="1">
      <c r="A2552" s="78" t="str">
        <f>IFERROR(__xludf.DUMMYFUNCTION("""COMPUTED_VALUE"""),"Temur Roar")</f>
        <v>Temur Roar</v>
      </c>
      <c r="B2552" s="78" t="str">
        <f>IFERROR(__xludf.DUMMYFUNCTION("""COMPUTED_VALUE"""),"Creative Energy")</f>
        <v>Creative Energy</v>
      </c>
      <c r="C2552" s="79">
        <f>IFERROR(__xludf.DUMMYFUNCTION("""COMPUTED_VALUE"""),0.0)</f>
        <v>0</v>
      </c>
      <c r="D2552" s="79">
        <f>IFERROR(__xludf.DUMMYFUNCTION("""COMPUTED_VALUE"""),0.0)</f>
        <v>0</v>
      </c>
      <c r="E2552" s="69" t="b">
        <f>IFERROR(__xludf.DUMMYFUNCTION("""COMPUTED_VALUE"""),TRUE)</f>
        <v>1</v>
      </c>
    </row>
    <row r="2553" hidden="1">
      <c r="A2553" s="78" t="str">
        <f>IFERROR(__xludf.DUMMYFUNCTION("""COMPUTED_VALUE"""),"Temur Roar")</f>
        <v>Temur Roar</v>
      </c>
      <c r="B2553" s="78" t="str">
        <f>IFERROR(__xludf.DUMMYFUNCTION("""COMPUTED_VALUE"""),"Dance of the Elements")</f>
        <v>Dance of the Elements</v>
      </c>
      <c r="C2553" s="79">
        <f>IFERROR(__xludf.DUMMYFUNCTION("""COMPUTED_VALUE"""),0.0)</f>
        <v>0</v>
      </c>
      <c r="D2553" s="79">
        <f>IFERROR(__xludf.DUMMYFUNCTION("""COMPUTED_VALUE"""),0.0)</f>
        <v>0</v>
      </c>
      <c r="E2553" s="69" t="b">
        <f>IFERROR(__xludf.DUMMYFUNCTION("""COMPUTED_VALUE"""),TRUE)</f>
        <v>1</v>
      </c>
    </row>
    <row r="2554" hidden="1">
      <c r="A2554" s="78" t="str">
        <f>IFERROR(__xludf.DUMMYFUNCTION("""COMPUTED_VALUE"""),"Temur Roar")</f>
        <v>Temur Roar</v>
      </c>
      <c r="B2554" s="78" t="str">
        <f>IFERROR(__xludf.DUMMYFUNCTION("""COMPUTED_VALUE"""),"Deep Clue Sea")</f>
        <v>Deep Clue Sea</v>
      </c>
      <c r="C2554" s="79">
        <f>IFERROR(__xludf.DUMMYFUNCTION("""COMPUTED_VALUE"""),0.0)</f>
        <v>0</v>
      </c>
      <c r="D2554" s="79">
        <f>IFERROR(__xludf.DUMMYFUNCTION("""COMPUTED_VALUE"""),0.0)</f>
        <v>0</v>
      </c>
      <c r="E2554" s="69" t="b">
        <f>IFERROR(__xludf.DUMMYFUNCTION("""COMPUTED_VALUE"""),TRUE)</f>
        <v>1</v>
      </c>
    </row>
    <row r="2555" hidden="1">
      <c r="A2555" s="78" t="str">
        <f>IFERROR(__xludf.DUMMYFUNCTION("""COMPUTED_VALUE"""),"Temur Roar")</f>
        <v>Temur Roar</v>
      </c>
      <c r="B2555" s="78" t="str">
        <f>IFERROR(__xludf.DUMMYFUNCTION("""COMPUTED_VALUE"""),"Doom Prevails")</f>
        <v>Doom Prevails</v>
      </c>
      <c r="C2555" s="79">
        <f>IFERROR(__xludf.DUMMYFUNCTION("""COMPUTED_VALUE"""),0.0)</f>
        <v>0</v>
      </c>
      <c r="D2555" s="79">
        <f>IFERROR(__xludf.DUMMYFUNCTION("""COMPUTED_VALUE"""),1.0)</f>
        <v>1</v>
      </c>
      <c r="E2555" s="69" t="b">
        <f>IFERROR(__xludf.DUMMYFUNCTION("""COMPUTED_VALUE"""),FALSE)</f>
        <v>0</v>
      </c>
    </row>
    <row r="2556" hidden="1">
      <c r="A2556" s="78" t="str">
        <f>IFERROR(__xludf.DUMMYFUNCTION("""COMPUTED_VALUE"""),"Temur Roar")</f>
        <v>Temur Roar</v>
      </c>
      <c r="B2556" s="78" t="str">
        <f>IFERROR(__xludf.DUMMYFUNCTION("""COMPUTED_VALUE"""),"Eldrazi Incursion")</f>
        <v>Eldrazi Incursion</v>
      </c>
      <c r="C2556" s="79">
        <f>IFERROR(__xludf.DUMMYFUNCTION("""COMPUTED_VALUE"""),0.0)</f>
        <v>0</v>
      </c>
      <c r="D2556" s="79">
        <f>IFERROR(__xludf.DUMMYFUNCTION("""COMPUTED_VALUE"""),0.0)</f>
        <v>0</v>
      </c>
      <c r="E2556" s="69" t="b">
        <f>IFERROR(__xludf.DUMMYFUNCTION("""COMPUTED_VALUE"""),TRUE)</f>
        <v>1</v>
      </c>
    </row>
    <row r="2557" hidden="1">
      <c r="A2557" s="78" t="str">
        <f>IFERROR(__xludf.DUMMYFUNCTION("""COMPUTED_VALUE"""),"Temur Roar")</f>
        <v>Temur Roar</v>
      </c>
      <c r="B2557" s="78" t="str">
        <f>IFERROR(__xludf.DUMMYFUNCTION("""COMPUTED_VALUE"""),"Eldrazi Unbound")</f>
        <v>Eldrazi Unbound</v>
      </c>
      <c r="C2557" s="79">
        <f>IFERROR(__xludf.DUMMYFUNCTION("""COMPUTED_VALUE"""),0.0)</f>
        <v>0</v>
      </c>
      <c r="D2557" s="79">
        <f>IFERROR(__xludf.DUMMYFUNCTION("""COMPUTED_VALUE"""),0.0)</f>
        <v>0</v>
      </c>
      <c r="E2557" s="69" t="b">
        <f>IFERROR(__xludf.DUMMYFUNCTION("""COMPUTED_VALUE"""),TRUE)</f>
        <v>1</v>
      </c>
    </row>
    <row r="2558" hidden="1">
      <c r="A2558" s="78" t="str">
        <f>IFERROR(__xludf.DUMMYFUNCTION("""COMPUTED_VALUE"""),"Temur Roar")</f>
        <v>Temur Roar</v>
      </c>
      <c r="B2558" s="78" t="str">
        <f>IFERROR(__xludf.DUMMYFUNCTION("""COMPUTED_VALUE"""),"Endless Punishment")</f>
        <v>Endless Punishment</v>
      </c>
      <c r="C2558" s="79">
        <f>IFERROR(__xludf.DUMMYFUNCTION("""COMPUTED_VALUE"""),1.0)</f>
        <v>1</v>
      </c>
      <c r="D2558" s="79">
        <f>IFERROR(__xludf.DUMMYFUNCTION("""COMPUTED_VALUE"""),1.0)</f>
        <v>1</v>
      </c>
      <c r="E2558" s="69" t="b">
        <f>IFERROR(__xludf.DUMMYFUNCTION("""COMPUTED_VALUE"""),FALSE)</f>
        <v>0</v>
      </c>
    </row>
    <row r="2559" hidden="1">
      <c r="A2559" s="78" t="str">
        <f>IFERROR(__xludf.DUMMYFUNCTION("""COMPUTED_VALUE"""),"Temur Roar")</f>
        <v>Temur Roar</v>
      </c>
      <c r="B2559" s="78" t="str">
        <f>IFERROR(__xludf.DUMMYFUNCTION("""COMPUTED_VALUE"""),"Enduring Enchantments")</f>
        <v>Enduring Enchantments</v>
      </c>
      <c r="C2559" s="79">
        <f>IFERROR(__xludf.DUMMYFUNCTION("""COMPUTED_VALUE"""),0.0)</f>
        <v>0</v>
      </c>
      <c r="D2559" s="79">
        <f>IFERROR(__xludf.DUMMYFUNCTION("""COMPUTED_VALUE"""),0.0)</f>
        <v>0</v>
      </c>
      <c r="E2559" s="69" t="b">
        <f>IFERROR(__xludf.DUMMYFUNCTION("""COMPUTED_VALUE"""),TRUE)</f>
        <v>1</v>
      </c>
    </row>
    <row r="2560" hidden="1">
      <c r="A2560" s="78" t="str">
        <f>IFERROR(__xludf.DUMMYFUNCTION("""COMPUTED_VALUE"""),"Temur Roar")</f>
        <v>Temur Roar</v>
      </c>
      <c r="B2560" s="78" t="str">
        <f>IFERROR(__xludf.DUMMYFUNCTION("""COMPUTED_VALUE"""),"Explorers of the Deep")</f>
        <v>Explorers of the Deep</v>
      </c>
      <c r="C2560" s="79">
        <f>IFERROR(__xludf.DUMMYFUNCTION("""COMPUTED_VALUE"""),0.0)</f>
        <v>0</v>
      </c>
      <c r="D2560" s="79">
        <f>IFERROR(__xludf.DUMMYFUNCTION("""COMPUTED_VALUE"""),0.0)</f>
        <v>0</v>
      </c>
      <c r="E2560" s="69" t="b">
        <f>IFERROR(__xludf.DUMMYFUNCTION("""COMPUTED_VALUE"""),TRUE)</f>
        <v>1</v>
      </c>
    </row>
    <row r="2561" hidden="1">
      <c r="A2561" s="78" t="str">
        <f>IFERROR(__xludf.DUMMYFUNCTION("""COMPUTED_VALUE"""),"Temur Roar")</f>
        <v>Temur Roar</v>
      </c>
      <c r="B2561" s="78" t="str">
        <f>IFERROR(__xludf.DUMMYFUNCTION("""COMPUTED_VALUE"""),"Family Matters")</f>
        <v>Family Matters</v>
      </c>
      <c r="C2561" s="79">
        <f>IFERROR(__xludf.DUMMYFUNCTION("""COMPUTED_VALUE"""),0.0)</f>
        <v>0</v>
      </c>
      <c r="D2561" s="79">
        <f>IFERROR(__xludf.DUMMYFUNCTION("""COMPUTED_VALUE"""),0.0)</f>
        <v>0</v>
      </c>
      <c r="E2561" s="69" t="b">
        <f>IFERROR(__xludf.DUMMYFUNCTION("""COMPUTED_VALUE"""),TRUE)</f>
        <v>1</v>
      </c>
    </row>
    <row r="2562" hidden="1">
      <c r="A2562" s="78" t="str">
        <f>IFERROR(__xludf.DUMMYFUNCTION("""COMPUTED_VALUE"""),"Temur Roar")</f>
        <v>Temur Roar</v>
      </c>
      <c r="B2562" s="78" t="str">
        <f>IFERROR(__xludf.DUMMYFUNCTION("""COMPUTED_VALUE"""),"Food and Fellowship")</f>
        <v>Food and Fellowship</v>
      </c>
      <c r="C2562" s="79">
        <f>IFERROR(__xludf.DUMMYFUNCTION("""COMPUTED_VALUE"""),0.0)</f>
        <v>0</v>
      </c>
      <c r="D2562" s="79">
        <f>IFERROR(__xludf.DUMMYFUNCTION("""COMPUTED_VALUE"""),0.0)</f>
        <v>0</v>
      </c>
      <c r="E2562" s="69" t="b">
        <f>IFERROR(__xludf.DUMMYFUNCTION("""COMPUTED_VALUE"""),TRUE)</f>
        <v>1</v>
      </c>
    </row>
    <row r="2563" hidden="1">
      <c r="A2563" s="78" t="str">
        <f>IFERROR(__xludf.DUMMYFUNCTION("""COMPUTED_VALUE"""),"Temur Roar")</f>
        <v>Temur Roar</v>
      </c>
      <c r="B2563" s="78" t="str">
        <f>IFERROR(__xludf.DUMMYFUNCTION("""COMPUTED_VALUE"""),"Jeskai Striker")</f>
        <v>Jeskai Striker</v>
      </c>
      <c r="C2563" s="79">
        <f>IFERROR(__xludf.DUMMYFUNCTION("""COMPUTED_VALUE"""),0.0)</f>
        <v>0</v>
      </c>
      <c r="D2563" s="79">
        <f>IFERROR(__xludf.DUMMYFUNCTION("""COMPUTED_VALUE"""),0.0)</f>
        <v>0</v>
      </c>
      <c r="E2563" s="69" t="b">
        <f>IFERROR(__xludf.DUMMYFUNCTION("""COMPUTED_VALUE"""),TRUE)</f>
        <v>1</v>
      </c>
    </row>
    <row r="2564" hidden="1">
      <c r="A2564" s="78" t="str">
        <f>IFERROR(__xludf.DUMMYFUNCTION("""COMPUTED_VALUE"""),"Temur Roar")</f>
        <v>Temur Roar</v>
      </c>
      <c r="B2564" s="78" t="str">
        <f>IFERROR(__xludf.DUMMYFUNCTION("""COMPUTED_VALUE"""),"Legends' Legacy")</f>
        <v>Legends' Legacy</v>
      </c>
      <c r="C2564" s="79">
        <f>IFERROR(__xludf.DUMMYFUNCTION("""COMPUTED_VALUE"""),0.0)</f>
        <v>0</v>
      </c>
      <c r="D2564" s="79">
        <f>IFERROR(__xludf.DUMMYFUNCTION("""COMPUTED_VALUE"""),0.0)</f>
        <v>0</v>
      </c>
      <c r="E2564" s="69" t="b">
        <f>IFERROR(__xludf.DUMMYFUNCTION("""COMPUTED_VALUE"""),TRUE)</f>
        <v>1</v>
      </c>
    </row>
    <row r="2565" hidden="1">
      <c r="A2565" s="78" t="str">
        <f>IFERROR(__xludf.DUMMYFUNCTION("""COMPUTED_VALUE"""),"Temur Roar")</f>
        <v>Temur Roar</v>
      </c>
      <c r="B2565" s="78" t="str">
        <f>IFERROR(__xludf.DUMMYFUNCTION("""COMPUTED_VALUE"""),"Limit Break")</f>
        <v>Limit Break</v>
      </c>
      <c r="C2565" s="79">
        <f>IFERROR(__xludf.DUMMYFUNCTION("""COMPUTED_VALUE"""),0.0)</f>
        <v>0</v>
      </c>
      <c r="D2565" s="79">
        <f>IFERROR(__xludf.DUMMYFUNCTION("""COMPUTED_VALUE"""),0.0)</f>
        <v>0</v>
      </c>
      <c r="E2565" s="69" t="b">
        <f>IFERROR(__xludf.DUMMYFUNCTION("""COMPUTED_VALUE"""),TRUE)</f>
        <v>1</v>
      </c>
    </row>
    <row r="2566" hidden="1">
      <c r="A2566" s="78" t="str">
        <f>IFERROR(__xludf.DUMMYFUNCTION("""COMPUTED_VALUE"""),"Temur Roar")</f>
        <v>Temur Roar</v>
      </c>
      <c r="B2566" s="78" t="str">
        <f>IFERROR(__xludf.DUMMYFUNCTION("""COMPUTED_VALUE"""),"Lorehold Spirit")</f>
        <v>Lorehold Spirit</v>
      </c>
      <c r="C2566" s="79">
        <f>IFERROR(__xludf.DUMMYFUNCTION("""COMPUTED_VALUE"""),0.0)</f>
        <v>0</v>
      </c>
      <c r="D2566" s="79">
        <f>IFERROR(__xludf.DUMMYFUNCTION("""COMPUTED_VALUE"""),0.0)</f>
        <v>0</v>
      </c>
      <c r="E2566" s="69" t="b">
        <f>IFERROR(__xludf.DUMMYFUNCTION("""COMPUTED_VALUE"""),TRUE)</f>
        <v>1</v>
      </c>
    </row>
    <row r="2567" hidden="1">
      <c r="A2567" s="78" t="str">
        <f>IFERROR(__xludf.DUMMYFUNCTION("""COMPUTED_VALUE"""),"Temur Roar")</f>
        <v>Temur Roar</v>
      </c>
      <c r="B2567" s="78" t="str">
        <f>IFERROR(__xludf.DUMMYFUNCTION("""COMPUTED_VALUE"""),"Mutant Menace")</f>
        <v>Mutant Menace</v>
      </c>
      <c r="C2567" s="79">
        <f>IFERROR(__xludf.DUMMYFUNCTION("""COMPUTED_VALUE"""),0.0)</f>
        <v>0</v>
      </c>
      <c r="D2567" s="79">
        <f>IFERROR(__xludf.DUMMYFUNCTION("""COMPUTED_VALUE"""),0.0)</f>
        <v>0</v>
      </c>
      <c r="E2567" s="69" t="b">
        <f>IFERROR(__xludf.DUMMYFUNCTION("""COMPUTED_VALUE"""),TRUE)</f>
        <v>1</v>
      </c>
    </row>
    <row r="2568" hidden="1">
      <c r="A2568" s="78" t="str">
        <f>IFERROR(__xludf.DUMMYFUNCTION("""COMPUTED_VALUE"""),"Temur Roar")</f>
        <v>Temur Roar</v>
      </c>
      <c r="B2568" s="78" t="str">
        <f>IFERROR(__xludf.DUMMYFUNCTION("""COMPUTED_VALUE"""),"Party Time")</f>
        <v>Party Time</v>
      </c>
      <c r="C2568" s="79">
        <f>IFERROR(__xludf.DUMMYFUNCTION("""COMPUTED_VALUE"""),0.0)</f>
        <v>0</v>
      </c>
      <c r="D2568" s="79">
        <f>IFERROR(__xludf.DUMMYFUNCTION("""COMPUTED_VALUE"""),0.0)</f>
        <v>0</v>
      </c>
      <c r="E2568" s="69" t="b">
        <f>IFERROR(__xludf.DUMMYFUNCTION("""COMPUTED_VALUE"""),TRUE)</f>
        <v>1</v>
      </c>
    </row>
    <row r="2569" hidden="1">
      <c r="A2569" s="78" t="str">
        <f>IFERROR(__xludf.DUMMYFUNCTION("""COMPUTED_VALUE"""),"Temur Roar")</f>
        <v>Temur Roar</v>
      </c>
      <c r="B2569" s="78" t="str">
        <f>IFERROR(__xludf.DUMMYFUNCTION("""COMPUTED_VALUE"""),"Peace Offering")</f>
        <v>Peace Offering</v>
      </c>
      <c r="C2569" s="79">
        <f>IFERROR(__xludf.DUMMYFUNCTION("""COMPUTED_VALUE"""),0.0)</f>
        <v>0</v>
      </c>
      <c r="D2569" s="79">
        <f>IFERROR(__xludf.DUMMYFUNCTION("""COMPUTED_VALUE"""),0.0)</f>
        <v>0</v>
      </c>
      <c r="E2569" s="69" t="b">
        <f>IFERROR(__xludf.DUMMYFUNCTION("""COMPUTED_VALUE"""),TRUE)</f>
        <v>1</v>
      </c>
    </row>
    <row r="2570" hidden="1">
      <c r="A2570" s="78" t="str">
        <f>IFERROR(__xludf.DUMMYFUNCTION("""COMPUTED_VALUE"""),"Temur Roar")</f>
        <v>Temur Roar</v>
      </c>
      <c r="B2570" s="78" t="str">
        <f>IFERROR(__xludf.DUMMYFUNCTION("""COMPUTED_VALUE"""),"Power Hungry")</f>
        <v>Power Hungry</v>
      </c>
      <c r="C2570" s="79">
        <f>IFERROR(__xludf.DUMMYFUNCTION("""COMPUTED_VALUE"""),0.0)</f>
        <v>0</v>
      </c>
      <c r="D2570" s="79">
        <f>IFERROR(__xludf.DUMMYFUNCTION("""COMPUTED_VALUE"""),0.0)</f>
        <v>0</v>
      </c>
      <c r="E2570" s="69" t="b">
        <f>IFERROR(__xludf.DUMMYFUNCTION("""COMPUTED_VALUE"""),TRUE)</f>
        <v>1</v>
      </c>
    </row>
    <row r="2571" hidden="1">
      <c r="A2571" s="78" t="str">
        <f>IFERROR(__xludf.DUMMYFUNCTION("""COMPUTED_VALUE"""),"Temur Roar")</f>
        <v>Temur Roar</v>
      </c>
      <c r="B2571" s="78" t="str">
        <f>IFERROR(__xludf.DUMMYFUNCTION("""COMPUTED_VALUE"""),"Primal Genesis")</f>
        <v>Primal Genesis</v>
      </c>
      <c r="C2571" s="79">
        <f>IFERROR(__xludf.DUMMYFUNCTION("""COMPUTED_VALUE"""),0.0)</f>
        <v>0</v>
      </c>
      <c r="D2571" s="79">
        <f>IFERROR(__xludf.DUMMYFUNCTION("""COMPUTED_VALUE"""),0.0)</f>
        <v>0</v>
      </c>
      <c r="E2571" s="69" t="b">
        <f>IFERROR(__xludf.DUMMYFUNCTION("""COMPUTED_VALUE"""),TRUE)</f>
        <v>1</v>
      </c>
    </row>
    <row r="2572" hidden="1">
      <c r="A2572" s="78" t="str">
        <f>IFERROR(__xludf.DUMMYFUNCTION("""COMPUTED_VALUE"""),"Temur Roar")</f>
        <v>Temur Roar</v>
      </c>
      <c r="B2572" s="78" t="str">
        <f>IFERROR(__xludf.DUMMYFUNCTION("""COMPUTED_VALUE"""),"Prismari Artistry")</f>
        <v>Prismari Artistry</v>
      </c>
      <c r="C2572" s="79">
        <f>IFERROR(__xludf.DUMMYFUNCTION("""COMPUTED_VALUE"""),0.0)</f>
        <v>0</v>
      </c>
      <c r="D2572" s="79">
        <f>IFERROR(__xludf.DUMMYFUNCTION("""COMPUTED_VALUE"""),0.0)</f>
        <v>0</v>
      </c>
      <c r="E2572" s="69" t="b">
        <f>IFERROR(__xludf.DUMMYFUNCTION("""COMPUTED_VALUE"""),TRUE)</f>
        <v>1</v>
      </c>
    </row>
    <row r="2573" hidden="1">
      <c r="A2573" s="78" t="str">
        <f>IFERROR(__xludf.DUMMYFUNCTION("""COMPUTED_VALUE"""),"Temur Roar")</f>
        <v>Temur Roar</v>
      </c>
      <c r="B2573" s="78" t="str">
        <f>IFERROR(__xludf.DUMMYFUNCTION("""COMPUTED_VALUE"""),"Prismari Performance")</f>
        <v>Prismari Performance</v>
      </c>
      <c r="C2573" s="79">
        <f>IFERROR(__xludf.DUMMYFUNCTION("""COMPUTED_VALUE"""),0.0)</f>
        <v>0</v>
      </c>
      <c r="D2573" s="79">
        <f>IFERROR(__xludf.DUMMYFUNCTION("""COMPUTED_VALUE"""),0.0)</f>
        <v>0</v>
      </c>
      <c r="E2573" s="69" t="b">
        <f>IFERROR(__xludf.DUMMYFUNCTION("""COMPUTED_VALUE"""),TRUE)</f>
        <v>1</v>
      </c>
    </row>
    <row r="2574" hidden="1">
      <c r="A2574" s="78" t="str">
        <f>IFERROR(__xludf.DUMMYFUNCTION("""COMPUTED_VALUE"""),"Temur Roar")</f>
        <v>Temur Roar</v>
      </c>
      <c r="B2574" s="78" t="str">
        <f>IFERROR(__xludf.DUMMYFUNCTION("""COMPUTED_VALUE"""),"Quandrix Unlimited")</f>
        <v>Quandrix Unlimited</v>
      </c>
      <c r="C2574" s="79">
        <f>IFERROR(__xludf.DUMMYFUNCTION("""COMPUTED_VALUE"""),0.0)</f>
        <v>0</v>
      </c>
      <c r="D2574" s="79">
        <f>IFERROR(__xludf.DUMMYFUNCTION("""COMPUTED_VALUE"""),0.0)</f>
        <v>0</v>
      </c>
      <c r="E2574" s="69" t="b">
        <f>IFERROR(__xludf.DUMMYFUNCTION("""COMPUTED_VALUE"""),TRUE)</f>
        <v>1</v>
      </c>
    </row>
    <row r="2575" hidden="1">
      <c r="A2575" s="78" t="str">
        <f>IFERROR(__xludf.DUMMYFUNCTION("""COMPUTED_VALUE"""),"Temur Roar")</f>
        <v>Temur Roar</v>
      </c>
      <c r="B2575" s="78" t="str">
        <f>IFERROR(__xludf.DUMMYFUNCTION("""COMPUTED_VALUE"""),"Quick Draw")</f>
        <v>Quick Draw</v>
      </c>
      <c r="C2575" s="79">
        <f>IFERROR(__xludf.DUMMYFUNCTION("""COMPUTED_VALUE"""),0.0)</f>
        <v>0</v>
      </c>
      <c r="D2575" s="79">
        <f>IFERROR(__xludf.DUMMYFUNCTION("""COMPUTED_VALUE"""),0.0)</f>
        <v>0</v>
      </c>
      <c r="E2575" s="69" t="b">
        <f>IFERROR(__xludf.DUMMYFUNCTION("""COMPUTED_VALUE"""),TRUE)</f>
        <v>1</v>
      </c>
    </row>
    <row r="2576" hidden="1">
      <c r="A2576" s="78" t="str">
        <f>IFERROR(__xludf.DUMMYFUNCTION("""COMPUTED_VALUE"""),"Temur Roar")</f>
        <v>Temur Roar</v>
      </c>
      <c r="B2576" s="78" t="str">
        <f>IFERROR(__xludf.DUMMYFUNCTION("""COMPUTED_VALUE"""),"Reap the Tides")</f>
        <v>Reap the Tides</v>
      </c>
      <c r="C2576" s="79">
        <f>IFERROR(__xludf.DUMMYFUNCTION("""COMPUTED_VALUE"""),0.0)</f>
        <v>0</v>
      </c>
      <c r="D2576" s="79">
        <f>IFERROR(__xludf.DUMMYFUNCTION("""COMPUTED_VALUE"""),0.0)</f>
        <v>0</v>
      </c>
      <c r="E2576" s="69" t="b">
        <f>IFERROR(__xludf.DUMMYFUNCTION("""COMPUTED_VALUE"""),TRUE)</f>
        <v>1</v>
      </c>
    </row>
    <row r="2577" hidden="1">
      <c r="A2577" s="78" t="str">
        <f>IFERROR(__xludf.DUMMYFUNCTION("""COMPUTED_VALUE"""),"Temur Roar")</f>
        <v>Temur Roar</v>
      </c>
      <c r="B2577" s="78" t="str">
        <f>IFERROR(__xludf.DUMMYFUNCTION("""COMPUTED_VALUE"""),"Rebellion Rising")</f>
        <v>Rebellion Rising</v>
      </c>
      <c r="C2577" s="79">
        <f>IFERROR(__xludf.DUMMYFUNCTION("""COMPUTED_VALUE"""),0.0)</f>
        <v>0</v>
      </c>
      <c r="D2577" s="79">
        <f>IFERROR(__xludf.DUMMYFUNCTION("""COMPUTED_VALUE"""),0.0)</f>
        <v>0</v>
      </c>
      <c r="E2577" s="69" t="b">
        <f>IFERROR(__xludf.DUMMYFUNCTION("""COMPUTED_VALUE"""),TRUE)</f>
        <v>1</v>
      </c>
    </row>
    <row r="2578" hidden="1">
      <c r="A2578" s="78" t="str">
        <f>IFERROR(__xludf.DUMMYFUNCTION("""COMPUTED_VALUE"""),"Temur Roar")</f>
        <v>Temur Roar</v>
      </c>
      <c r="B2578" s="78" t="str">
        <f>IFERROR(__xludf.DUMMYFUNCTION("""COMPUTED_VALUE"""),"Revival Trance")</f>
        <v>Revival Trance</v>
      </c>
      <c r="C2578" s="79">
        <f>IFERROR(__xludf.DUMMYFUNCTION("""COMPUTED_VALUE"""),0.0)</f>
        <v>0</v>
      </c>
      <c r="D2578" s="79">
        <f>IFERROR(__xludf.DUMMYFUNCTION("""COMPUTED_VALUE"""),0.0)</f>
        <v>0</v>
      </c>
      <c r="E2578" s="69" t="b">
        <f>IFERROR(__xludf.DUMMYFUNCTION("""COMPUTED_VALUE"""),TRUE)</f>
        <v>1</v>
      </c>
    </row>
    <row r="2579" hidden="1">
      <c r="A2579" s="78" t="str">
        <f>IFERROR(__xludf.DUMMYFUNCTION("""COMPUTED_VALUE"""),"Temur Roar")</f>
        <v>Temur Roar</v>
      </c>
      <c r="B2579" s="78" t="str">
        <f>IFERROR(__xludf.DUMMYFUNCTION("""COMPUTED_VALUE"""),"Riders of Rohan")</f>
        <v>Riders of Rohan</v>
      </c>
      <c r="C2579" s="79">
        <f>IFERROR(__xludf.DUMMYFUNCTION("""COMPUTED_VALUE"""),0.0)</f>
        <v>0</v>
      </c>
      <c r="D2579" s="79">
        <f>IFERROR(__xludf.DUMMYFUNCTION("""COMPUTED_VALUE"""),0.0)</f>
        <v>0</v>
      </c>
      <c r="E2579" s="69" t="b">
        <f>IFERROR(__xludf.DUMMYFUNCTION("""COMPUTED_VALUE"""),TRUE)</f>
        <v>1</v>
      </c>
    </row>
    <row r="2580" hidden="1">
      <c r="A2580" s="78" t="str">
        <f>IFERROR(__xludf.DUMMYFUNCTION("""COMPUTED_VALUE"""),"Temur Roar")</f>
        <v>Temur Roar</v>
      </c>
      <c r="B2580" s="78" t="str">
        <f>IFERROR(__xludf.DUMMYFUNCTION("""COMPUTED_VALUE"""),"Science!")</f>
        <v>Science!</v>
      </c>
      <c r="C2580" s="79">
        <f>IFERROR(__xludf.DUMMYFUNCTION("""COMPUTED_VALUE"""),0.0)</f>
        <v>0</v>
      </c>
      <c r="D2580" s="79">
        <f>IFERROR(__xludf.DUMMYFUNCTION("""COMPUTED_VALUE"""),0.0)</f>
        <v>0</v>
      </c>
      <c r="E2580" s="69" t="b">
        <f>IFERROR(__xludf.DUMMYFUNCTION("""COMPUTED_VALUE"""),TRUE)</f>
        <v>1</v>
      </c>
    </row>
    <row r="2581" hidden="1">
      <c r="A2581" s="78" t="str">
        <f>IFERROR(__xludf.DUMMYFUNCTION("""COMPUTED_VALUE"""),"Temur Roar")</f>
        <v>Temur Roar</v>
      </c>
      <c r="B2581" s="78" t="str">
        <f>IFERROR(__xludf.DUMMYFUNCTION("""COMPUTED_VALUE"""),"Scions &amp; Spellcraft")</f>
        <v>Scions &amp; Spellcraft</v>
      </c>
      <c r="C2581" s="79">
        <f>IFERROR(__xludf.DUMMYFUNCTION("""COMPUTED_VALUE"""),0.0)</f>
        <v>0</v>
      </c>
      <c r="D2581" s="79">
        <f>IFERROR(__xludf.DUMMYFUNCTION("""COMPUTED_VALUE"""),0.0)</f>
        <v>0</v>
      </c>
      <c r="E2581" s="69" t="b">
        <f>IFERROR(__xludf.DUMMYFUNCTION("""COMPUTED_VALUE"""),TRUE)</f>
        <v>1</v>
      </c>
    </row>
    <row r="2582" hidden="1">
      <c r="A2582" s="78" t="str">
        <f>IFERROR(__xludf.DUMMYFUNCTION("""COMPUTED_VALUE"""),"Temur Roar")</f>
        <v>Temur Roar</v>
      </c>
      <c r="B2582" s="78" t="str">
        <f>IFERROR(__xludf.DUMMYFUNCTION("""COMPUTED_VALUE"""),"Scrappy Survivors")</f>
        <v>Scrappy Survivors</v>
      </c>
      <c r="C2582" s="79">
        <f>IFERROR(__xludf.DUMMYFUNCTION("""COMPUTED_VALUE"""),1.0)</f>
        <v>1</v>
      </c>
      <c r="D2582" s="79">
        <f>IFERROR(__xludf.DUMMYFUNCTION("""COMPUTED_VALUE"""),0.0)</f>
        <v>0</v>
      </c>
      <c r="E2582" s="69" t="b">
        <f>IFERROR(__xludf.DUMMYFUNCTION("""COMPUTED_VALUE"""),FALSE)</f>
        <v>0</v>
      </c>
    </row>
    <row r="2583" hidden="1">
      <c r="A2583" s="78" t="str">
        <f>IFERROR(__xludf.DUMMYFUNCTION("""COMPUTED_VALUE"""),"Temur Roar")</f>
        <v>Temur Roar</v>
      </c>
      <c r="B2583" s="78" t="str">
        <f>IFERROR(__xludf.DUMMYFUNCTION("""COMPUTED_VALUE"""),"Silverquill Influence")</f>
        <v>Silverquill Influence</v>
      </c>
      <c r="C2583" s="79">
        <f>IFERROR(__xludf.DUMMYFUNCTION("""COMPUTED_VALUE"""),0.0)</f>
        <v>0</v>
      </c>
      <c r="D2583" s="79">
        <f>IFERROR(__xludf.DUMMYFUNCTION("""COMPUTED_VALUE"""),1.0)</f>
        <v>1</v>
      </c>
      <c r="E2583" s="69" t="b">
        <f>IFERROR(__xludf.DUMMYFUNCTION("""COMPUTED_VALUE"""),FALSE)</f>
        <v>0</v>
      </c>
    </row>
    <row r="2584" hidden="1">
      <c r="A2584" s="78" t="str">
        <f>IFERROR(__xludf.DUMMYFUNCTION("""COMPUTED_VALUE"""),"Temur Roar")</f>
        <v>Temur Roar</v>
      </c>
      <c r="B2584" s="78" t="str">
        <f>IFERROR(__xludf.DUMMYFUNCTION("""COMPUTED_VALUE"""),"Spirit Squadron")</f>
        <v>Spirit Squadron</v>
      </c>
      <c r="C2584" s="79">
        <f>IFERROR(__xludf.DUMMYFUNCTION("""COMPUTED_VALUE"""),0.0)</f>
        <v>0</v>
      </c>
      <c r="D2584" s="79">
        <f>IFERROR(__xludf.DUMMYFUNCTION("""COMPUTED_VALUE"""),0.0)</f>
        <v>0</v>
      </c>
      <c r="E2584" s="69" t="b">
        <f>IFERROR(__xludf.DUMMYFUNCTION("""COMPUTED_VALUE"""),TRUE)</f>
        <v>1</v>
      </c>
    </row>
    <row r="2585" hidden="1">
      <c r="A2585" s="78" t="str">
        <f>IFERROR(__xludf.DUMMYFUNCTION("""COMPUTED_VALUE"""),"Temur Roar")</f>
        <v>Temur Roar</v>
      </c>
      <c r="B2585" s="78" t="str">
        <f>IFERROR(__xludf.DUMMYFUNCTION("""COMPUTED_VALUE"""),"Squirreled Away")</f>
        <v>Squirreled Away</v>
      </c>
      <c r="C2585" s="79">
        <f>IFERROR(__xludf.DUMMYFUNCTION("""COMPUTED_VALUE"""),0.0)</f>
        <v>0</v>
      </c>
      <c r="D2585" s="79">
        <f>IFERROR(__xludf.DUMMYFUNCTION("""COMPUTED_VALUE"""),1.0)</f>
        <v>1</v>
      </c>
      <c r="E2585" s="69" t="b">
        <f>IFERROR(__xludf.DUMMYFUNCTION("""COMPUTED_VALUE"""),FALSE)</f>
        <v>0</v>
      </c>
    </row>
    <row r="2586" hidden="1">
      <c r="A2586" s="78" t="str">
        <f>IFERROR(__xludf.DUMMYFUNCTION("""COMPUTED_VALUE"""),"Temur Roar")</f>
        <v>Temur Roar</v>
      </c>
      <c r="B2586" s="78" t="str">
        <f>IFERROR(__xludf.DUMMYFUNCTION("""COMPUTED_VALUE"""),"Sultai Arisen")</f>
        <v>Sultai Arisen</v>
      </c>
      <c r="C2586" s="79">
        <f>IFERROR(__xludf.DUMMYFUNCTION("""COMPUTED_VALUE"""),0.0)</f>
        <v>0</v>
      </c>
      <c r="D2586" s="79">
        <f>IFERROR(__xludf.DUMMYFUNCTION("""COMPUTED_VALUE"""),0.0)</f>
        <v>0</v>
      </c>
      <c r="E2586" s="69" t="b">
        <f>IFERROR(__xludf.DUMMYFUNCTION("""COMPUTED_VALUE"""),TRUE)</f>
        <v>1</v>
      </c>
    </row>
    <row r="2587" hidden="1">
      <c r="A2587" s="78" t="str">
        <f>IFERROR(__xludf.DUMMYFUNCTION("""COMPUTED_VALUE"""),"Temur Roar")</f>
        <v>Temur Roar</v>
      </c>
      <c r="B2587" s="78" t="str">
        <f>IFERROR(__xludf.DUMMYFUNCTION("""COMPUTED_VALUE"""),"Temur Roar")</f>
        <v>Temur Roar</v>
      </c>
      <c r="C2587" s="79">
        <f>IFERROR(__xludf.DUMMYFUNCTION("""COMPUTED_VALUE"""),1.0)</f>
        <v>1</v>
      </c>
      <c r="D2587" s="79">
        <f>IFERROR(__xludf.DUMMYFUNCTION("""COMPUTED_VALUE"""),1.0)</f>
        <v>1</v>
      </c>
      <c r="E2587" s="69" t="b">
        <f>IFERROR(__xludf.DUMMYFUNCTION("""COMPUTED_VALUE"""),TRUE)</f>
        <v>1</v>
      </c>
    </row>
    <row r="2588" hidden="1">
      <c r="A2588" s="78" t="str">
        <f>IFERROR(__xludf.DUMMYFUNCTION("""COMPUTED_VALUE"""),"Temur Roar")</f>
        <v>Temur Roar</v>
      </c>
      <c r="B2588" s="78" t="str">
        <f>IFERROR(__xludf.DUMMYFUNCTION("""COMPUTED_VALUE"""),"The Hosts of Mordor")</f>
        <v>The Hosts of Mordor</v>
      </c>
      <c r="C2588" s="79">
        <f>IFERROR(__xludf.DUMMYFUNCTION("""COMPUTED_VALUE"""),0.0)</f>
        <v>0</v>
      </c>
      <c r="D2588" s="79">
        <f>IFERROR(__xludf.DUMMYFUNCTION("""COMPUTED_VALUE"""),0.0)</f>
        <v>0</v>
      </c>
      <c r="E2588" s="69" t="b">
        <f>IFERROR(__xludf.DUMMYFUNCTION("""COMPUTED_VALUE"""),TRUE)</f>
        <v>1</v>
      </c>
    </row>
    <row r="2589" hidden="1">
      <c r="A2589" s="78" t="str">
        <f>IFERROR(__xludf.DUMMYFUNCTION("""COMPUTED_VALUE"""),"Temur Roar")</f>
        <v>Temur Roar</v>
      </c>
      <c r="B2589" s="78" t="str">
        <f>IFERROR(__xludf.DUMMYFUNCTION("""COMPUTED_VALUE"""),"The Ruinous Powers")</f>
        <v>The Ruinous Powers</v>
      </c>
      <c r="C2589" s="79">
        <f>IFERROR(__xludf.DUMMYFUNCTION("""COMPUTED_VALUE"""),0.0)</f>
        <v>0</v>
      </c>
      <c r="D2589" s="79">
        <f>IFERROR(__xludf.DUMMYFUNCTION("""COMPUTED_VALUE"""),0.0)</f>
        <v>0</v>
      </c>
      <c r="E2589" s="69" t="b">
        <f>IFERROR(__xludf.DUMMYFUNCTION("""COMPUTED_VALUE"""),TRUE)</f>
        <v>1</v>
      </c>
    </row>
    <row r="2590" hidden="1">
      <c r="A2590" s="78" t="str">
        <f>IFERROR(__xludf.DUMMYFUNCTION("""COMPUTED_VALUE"""),"Temur Roar")</f>
        <v>Temur Roar</v>
      </c>
      <c r="B2590" s="78" t="str">
        <f>IFERROR(__xludf.DUMMYFUNCTION("""COMPUTED_VALUE"""),"Timey-Wimey")</f>
        <v>Timey-Wimey</v>
      </c>
      <c r="C2590" s="79">
        <f>IFERROR(__xludf.DUMMYFUNCTION("""COMPUTED_VALUE"""),0.0)</f>
        <v>0</v>
      </c>
      <c r="D2590" s="79">
        <f>IFERROR(__xludf.DUMMYFUNCTION("""COMPUTED_VALUE"""),0.0)</f>
        <v>0</v>
      </c>
      <c r="E2590" s="69" t="b">
        <f>IFERROR(__xludf.DUMMYFUNCTION("""COMPUTED_VALUE"""),TRUE)</f>
        <v>1</v>
      </c>
    </row>
    <row r="2591" hidden="1">
      <c r="A2591" s="78" t="str">
        <f>IFERROR(__xludf.DUMMYFUNCTION("""COMPUTED_VALUE"""),"Temur Roar")</f>
        <v>Temur Roar</v>
      </c>
      <c r="B2591" s="78" t="str">
        <f>IFERROR(__xludf.DUMMYFUNCTION("""COMPUTED_VALUE"""),"Tinker Time")</f>
        <v>Tinker Time</v>
      </c>
      <c r="C2591" s="79">
        <f>IFERROR(__xludf.DUMMYFUNCTION("""COMPUTED_VALUE"""),0.0)</f>
        <v>0</v>
      </c>
      <c r="D2591" s="79">
        <f>IFERROR(__xludf.DUMMYFUNCTION("""COMPUTED_VALUE"""),0.0)</f>
        <v>0</v>
      </c>
      <c r="E2591" s="69" t="b">
        <f>IFERROR(__xludf.DUMMYFUNCTION("""COMPUTED_VALUE"""),TRUE)</f>
        <v>1</v>
      </c>
    </row>
    <row r="2592" hidden="1">
      <c r="A2592" s="78" t="str">
        <f>IFERROR(__xludf.DUMMYFUNCTION("""COMPUTED_VALUE"""),"Temur Roar")</f>
        <v>Temur Roar</v>
      </c>
      <c r="B2592" s="78" t="str">
        <f>IFERROR(__xludf.DUMMYFUNCTION("""COMPUTED_VALUE"""),"Turtle Power!")</f>
        <v>Turtle Power!</v>
      </c>
      <c r="C2592" s="79">
        <f>IFERROR(__xludf.DUMMYFUNCTION("""COMPUTED_VALUE"""),0.0)</f>
        <v>0</v>
      </c>
      <c r="D2592" s="79">
        <f>IFERROR(__xludf.DUMMYFUNCTION("""COMPUTED_VALUE"""),0.0)</f>
        <v>0</v>
      </c>
      <c r="E2592" s="69" t="b">
        <f>IFERROR(__xludf.DUMMYFUNCTION("""COMPUTED_VALUE"""),TRUE)</f>
        <v>1</v>
      </c>
    </row>
    <row r="2593" hidden="1">
      <c r="A2593" s="78" t="str">
        <f>IFERROR(__xludf.DUMMYFUNCTION("""COMPUTED_VALUE"""),"Temur Roar")</f>
        <v>Temur Roar</v>
      </c>
      <c r="B2593" s="78" t="str">
        <f>IFERROR(__xludf.DUMMYFUNCTION("""COMPUTED_VALUE"""),"Veloci-ramp-tor")</f>
        <v>Veloci-ramp-tor</v>
      </c>
      <c r="C2593" s="79">
        <f>IFERROR(__xludf.DUMMYFUNCTION("""COMPUTED_VALUE"""),0.0)</f>
        <v>0</v>
      </c>
      <c r="D2593" s="79">
        <f>IFERROR(__xludf.DUMMYFUNCTION("""COMPUTED_VALUE"""),0.0)</f>
        <v>0</v>
      </c>
      <c r="E2593" s="69" t="b">
        <f>IFERROR(__xludf.DUMMYFUNCTION("""COMPUTED_VALUE"""),TRUE)</f>
        <v>1</v>
      </c>
    </row>
    <row r="2594" hidden="1">
      <c r="A2594" s="78" t="str">
        <f>IFERROR(__xludf.DUMMYFUNCTION("""COMPUTED_VALUE"""),"The Hosts of Mordor")</f>
        <v>The Hosts of Mordor</v>
      </c>
      <c r="B2594" s="78" t="str">
        <f>IFERROR(__xludf.DUMMYFUNCTION("""COMPUTED_VALUE"""),"Ahoy Mateys")</f>
        <v>Ahoy Mateys</v>
      </c>
      <c r="C2594" s="79">
        <f>IFERROR(__xludf.DUMMYFUNCTION("""COMPUTED_VALUE"""),0.0)</f>
        <v>0</v>
      </c>
      <c r="D2594" s="79">
        <f>IFERROR(__xludf.DUMMYFUNCTION("""COMPUTED_VALUE"""),0.0)</f>
        <v>0</v>
      </c>
      <c r="E2594" s="69" t="b">
        <f>IFERROR(__xludf.DUMMYFUNCTION("""COMPUTED_VALUE"""),TRUE)</f>
        <v>1</v>
      </c>
    </row>
    <row r="2595" hidden="1">
      <c r="A2595" s="78" t="str">
        <f>IFERROR(__xludf.DUMMYFUNCTION("""COMPUTED_VALUE"""),"The Hosts of Mordor")</f>
        <v>The Hosts of Mordor</v>
      </c>
      <c r="B2595" s="78" t="str">
        <f>IFERROR(__xludf.DUMMYFUNCTION("""COMPUTED_VALUE"""),"Animated Army")</f>
        <v>Animated Army</v>
      </c>
      <c r="C2595" s="79">
        <f>IFERROR(__xludf.DUMMYFUNCTION("""COMPUTED_VALUE"""),0.0)</f>
        <v>0</v>
      </c>
      <c r="D2595" s="79">
        <f>IFERROR(__xludf.DUMMYFUNCTION("""COMPUTED_VALUE"""),0.0)</f>
        <v>0</v>
      </c>
      <c r="E2595" s="69" t="b">
        <f>IFERROR(__xludf.DUMMYFUNCTION("""COMPUTED_VALUE"""),TRUE)</f>
        <v>1</v>
      </c>
    </row>
    <row r="2596" hidden="1">
      <c r="A2596" s="78" t="str">
        <f>IFERROR(__xludf.DUMMYFUNCTION("""COMPUTED_VALUE"""),"The Hosts of Mordor")</f>
        <v>The Hosts of Mordor</v>
      </c>
      <c r="B2596" s="78" t="str">
        <f>IFERROR(__xludf.DUMMYFUNCTION("""COMPUTED_VALUE"""),"Arcane Maelstrom")</f>
        <v>Arcane Maelstrom</v>
      </c>
      <c r="C2596" s="79">
        <f>IFERROR(__xludf.DUMMYFUNCTION("""COMPUTED_VALUE"""),0.0)</f>
        <v>0</v>
      </c>
      <c r="D2596" s="79">
        <f>IFERROR(__xludf.DUMMYFUNCTION("""COMPUTED_VALUE"""),0.0)</f>
        <v>0</v>
      </c>
      <c r="E2596" s="69" t="b">
        <f>IFERROR(__xludf.DUMMYFUNCTION("""COMPUTED_VALUE"""),TRUE)</f>
        <v>1</v>
      </c>
    </row>
    <row r="2597" hidden="1">
      <c r="A2597" s="78" t="str">
        <f>IFERROR(__xludf.DUMMYFUNCTION("""COMPUTED_VALUE"""),"The Hosts of Mordor")</f>
        <v>The Hosts of Mordor</v>
      </c>
      <c r="B2597" s="78" t="str">
        <f>IFERROR(__xludf.DUMMYFUNCTION("""COMPUTED_VALUE"""),"Blame Game")</f>
        <v>Blame Game</v>
      </c>
      <c r="C2597" s="79">
        <f>IFERROR(__xludf.DUMMYFUNCTION("""COMPUTED_VALUE"""),0.0)</f>
        <v>0</v>
      </c>
      <c r="D2597" s="79">
        <f>IFERROR(__xludf.DUMMYFUNCTION("""COMPUTED_VALUE"""),0.0)</f>
        <v>0</v>
      </c>
      <c r="E2597" s="69" t="b">
        <f>IFERROR(__xludf.DUMMYFUNCTION("""COMPUTED_VALUE"""),TRUE)</f>
        <v>1</v>
      </c>
    </row>
    <row r="2598" hidden="1">
      <c r="A2598" s="78" t="str">
        <f>IFERROR(__xludf.DUMMYFUNCTION("""COMPUTED_VALUE"""),"The Hosts of Mordor")</f>
        <v>The Hosts of Mordor</v>
      </c>
      <c r="B2598" s="78" t="str">
        <f>IFERROR(__xludf.DUMMYFUNCTION("""COMPUTED_VALUE"""),"Blight Curse")</f>
        <v>Blight Curse</v>
      </c>
      <c r="C2598" s="79">
        <f>IFERROR(__xludf.DUMMYFUNCTION("""COMPUTED_VALUE"""),0.0)</f>
        <v>0</v>
      </c>
      <c r="D2598" s="79">
        <f>IFERROR(__xludf.DUMMYFUNCTION("""COMPUTED_VALUE"""),0.0)</f>
        <v>0</v>
      </c>
      <c r="E2598" s="69" t="b">
        <f>IFERROR(__xludf.DUMMYFUNCTION("""COMPUTED_VALUE"""),TRUE)</f>
        <v>1</v>
      </c>
    </row>
    <row r="2599" hidden="1">
      <c r="A2599" s="78" t="str">
        <f>IFERROR(__xludf.DUMMYFUNCTION("""COMPUTED_VALUE"""),"The Hosts of Mordor")</f>
        <v>The Hosts of Mordor</v>
      </c>
      <c r="B2599" s="78" t="str">
        <f>IFERROR(__xludf.DUMMYFUNCTION("""COMPUTED_VALUE"""),"Blood Rites")</f>
        <v>Blood Rites</v>
      </c>
      <c r="C2599" s="79">
        <f>IFERROR(__xludf.DUMMYFUNCTION("""COMPUTED_VALUE"""),0.0)</f>
        <v>0</v>
      </c>
      <c r="D2599" s="79">
        <f>IFERROR(__xludf.DUMMYFUNCTION("""COMPUTED_VALUE"""),0.0)</f>
        <v>0</v>
      </c>
      <c r="E2599" s="69" t="b">
        <f>IFERROR(__xludf.DUMMYFUNCTION("""COMPUTED_VALUE"""),TRUE)</f>
        <v>1</v>
      </c>
    </row>
    <row r="2600" hidden="1">
      <c r="A2600" s="78" t="str">
        <f>IFERROR(__xludf.DUMMYFUNCTION("""COMPUTED_VALUE"""),"The Hosts of Mordor")</f>
        <v>The Hosts of Mordor</v>
      </c>
      <c r="B2600" s="78" t="str">
        <f>IFERROR(__xludf.DUMMYFUNCTION("""COMPUTED_VALUE"""),"Buckle Up")</f>
        <v>Buckle Up</v>
      </c>
      <c r="C2600" s="79">
        <f>IFERROR(__xludf.DUMMYFUNCTION("""COMPUTED_VALUE"""),0.0)</f>
        <v>0</v>
      </c>
      <c r="D2600" s="79">
        <f>IFERROR(__xludf.DUMMYFUNCTION("""COMPUTED_VALUE"""),0.0)</f>
        <v>0</v>
      </c>
      <c r="E2600" s="69" t="b">
        <f>IFERROR(__xludf.DUMMYFUNCTION("""COMPUTED_VALUE"""),TRUE)</f>
        <v>1</v>
      </c>
    </row>
    <row r="2601">
      <c r="A2601" s="78" t="str">
        <f>IFERROR(__xludf.DUMMYFUNCTION("""COMPUTED_VALUE"""),"The Hosts of Mordor")</f>
        <v>The Hosts of Mordor</v>
      </c>
      <c r="B2601" s="78" t="str">
        <f>IFERROR(__xludf.DUMMYFUNCTION("""COMPUTED_VALUE"""),"Cabaretti Cacophony")</f>
        <v>Cabaretti Cacophony</v>
      </c>
      <c r="C2601" s="79">
        <f>IFERROR(__xludf.DUMMYFUNCTION("""COMPUTED_VALUE"""),0.0)</f>
        <v>0</v>
      </c>
      <c r="D2601" s="79">
        <f>IFERROR(__xludf.DUMMYFUNCTION("""COMPUTED_VALUE"""),0.0)</f>
        <v>0</v>
      </c>
      <c r="E2601" s="69" t="b">
        <f>IFERROR(__xludf.DUMMYFUNCTION("""COMPUTED_VALUE"""),TRUE)</f>
        <v>1</v>
      </c>
    </row>
    <row r="2602" hidden="1">
      <c r="A2602" s="78" t="str">
        <f>IFERROR(__xludf.DUMMYFUNCTION("""COMPUTED_VALUE"""),"The Hosts of Mordor")</f>
        <v>The Hosts of Mordor</v>
      </c>
      <c r="B2602" s="78" t="str">
        <f>IFERROR(__xludf.DUMMYFUNCTION("""COMPUTED_VALUE"""),"Cavalry Charge")</f>
        <v>Cavalry Charge</v>
      </c>
      <c r="C2602" s="79">
        <f>IFERROR(__xludf.DUMMYFUNCTION("""COMPUTED_VALUE"""),0.0)</f>
        <v>0</v>
      </c>
      <c r="D2602" s="79">
        <f>IFERROR(__xludf.DUMMYFUNCTION("""COMPUTED_VALUE"""),0.0)</f>
        <v>0</v>
      </c>
      <c r="E2602" s="69" t="b">
        <f>IFERROR(__xludf.DUMMYFUNCTION("""COMPUTED_VALUE"""),TRUE)</f>
        <v>1</v>
      </c>
    </row>
    <row r="2603" hidden="1">
      <c r="A2603" s="78" t="str">
        <f>IFERROR(__xludf.DUMMYFUNCTION("""COMPUTED_VALUE"""),"The Hosts of Mordor")</f>
        <v>The Hosts of Mordor</v>
      </c>
      <c r="B2603" s="78" t="str">
        <f>IFERROR(__xludf.DUMMYFUNCTION("""COMPUTED_VALUE"""),"Corrupting Influence")</f>
        <v>Corrupting Influence</v>
      </c>
      <c r="C2603" s="79">
        <f>IFERROR(__xludf.DUMMYFUNCTION("""COMPUTED_VALUE"""),0.0)</f>
        <v>0</v>
      </c>
      <c r="D2603" s="79">
        <f>IFERROR(__xludf.DUMMYFUNCTION("""COMPUTED_VALUE"""),0.0)</f>
        <v>0</v>
      </c>
      <c r="E2603" s="69" t="b">
        <f>IFERROR(__xludf.DUMMYFUNCTION("""COMPUTED_VALUE"""),TRUE)</f>
        <v>1</v>
      </c>
    </row>
    <row r="2604" hidden="1">
      <c r="A2604" s="78" t="str">
        <f>IFERROR(__xludf.DUMMYFUNCTION("""COMPUTED_VALUE"""),"The Hosts of Mordor")</f>
        <v>The Hosts of Mordor</v>
      </c>
      <c r="B2604" s="78" t="str">
        <f>IFERROR(__xludf.DUMMYFUNCTION("""COMPUTED_VALUE"""),"Counter Blitz")</f>
        <v>Counter Blitz</v>
      </c>
      <c r="C2604" s="79">
        <f>IFERROR(__xludf.DUMMYFUNCTION("""COMPUTED_VALUE"""),0.0)</f>
        <v>0</v>
      </c>
      <c r="D2604" s="79">
        <f>IFERROR(__xludf.DUMMYFUNCTION("""COMPUTED_VALUE"""),0.0)</f>
        <v>0</v>
      </c>
      <c r="E2604" s="69" t="b">
        <f>IFERROR(__xludf.DUMMYFUNCTION("""COMPUTED_VALUE"""),TRUE)</f>
        <v>1</v>
      </c>
    </row>
    <row r="2605">
      <c r="A2605" s="78" t="str">
        <f>IFERROR(__xludf.DUMMYFUNCTION("""COMPUTED_VALUE"""),"The Hosts of Mordor")</f>
        <v>The Hosts of Mordor</v>
      </c>
      <c r="B2605" s="78" t="str">
        <f>IFERROR(__xludf.DUMMYFUNCTION("""COMPUTED_VALUE"""),"Counter Intelligence")</f>
        <v>Counter Intelligence</v>
      </c>
      <c r="C2605" s="79">
        <f>IFERROR(__xludf.DUMMYFUNCTION("""COMPUTED_VALUE"""),0.0)</f>
        <v>0</v>
      </c>
      <c r="D2605" s="79">
        <f>IFERROR(__xludf.DUMMYFUNCTION("""COMPUTED_VALUE"""),0.0)</f>
        <v>0</v>
      </c>
      <c r="E2605" s="69" t="b">
        <f>IFERROR(__xludf.DUMMYFUNCTION("""COMPUTED_VALUE"""),TRUE)</f>
        <v>1</v>
      </c>
    </row>
    <row r="2606" hidden="1">
      <c r="A2606" s="78" t="str">
        <f>IFERROR(__xludf.DUMMYFUNCTION("""COMPUTED_VALUE"""),"The Hosts of Mordor")</f>
        <v>The Hosts of Mordor</v>
      </c>
      <c r="B2606" s="78" t="str">
        <f>IFERROR(__xludf.DUMMYFUNCTION("""COMPUTED_VALUE"""),"Creative Energy")</f>
        <v>Creative Energy</v>
      </c>
      <c r="C2606" s="79">
        <f>IFERROR(__xludf.DUMMYFUNCTION("""COMPUTED_VALUE"""),0.0)</f>
        <v>0</v>
      </c>
      <c r="D2606" s="79">
        <f>IFERROR(__xludf.DUMMYFUNCTION("""COMPUTED_VALUE"""),1.0)</f>
        <v>1</v>
      </c>
      <c r="E2606" s="69" t="b">
        <f>IFERROR(__xludf.DUMMYFUNCTION("""COMPUTED_VALUE"""),FALSE)</f>
        <v>0</v>
      </c>
    </row>
    <row r="2607" hidden="1">
      <c r="A2607" s="78" t="str">
        <f>IFERROR(__xludf.DUMMYFUNCTION("""COMPUTED_VALUE"""),"The Hosts of Mordor")</f>
        <v>The Hosts of Mordor</v>
      </c>
      <c r="B2607" s="78" t="str">
        <f>IFERROR(__xludf.DUMMYFUNCTION("""COMPUTED_VALUE"""),"Dance of the Elements")</f>
        <v>Dance of the Elements</v>
      </c>
      <c r="C2607" s="79">
        <f>IFERROR(__xludf.DUMMYFUNCTION("""COMPUTED_VALUE"""),0.0)</f>
        <v>0</v>
      </c>
      <c r="D2607" s="79">
        <f>IFERROR(__xludf.DUMMYFUNCTION("""COMPUTED_VALUE"""),0.0)</f>
        <v>0</v>
      </c>
      <c r="E2607" s="69" t="b">
        <f>IFERROR(__xludf.DUMMYFUNCTION("""COMPUTED_VALUE"""),TRUE)</f>
        <v>1</v>
      </c>
    </row>
    <row r="2608" hidden="1">
      <c r="A2608" s="78" t="str">
        <f>IFERROR(__xludf.DUMMYFUNCTION("""COMPUTED_VALUE"""),"The Hosts of Mordor")</f>
        <v>The Hosts of Mordor</v>
      </c>
      <c r="B2608" s="78" t="str">
        <f>IFERROR(__xludf.DUMMYFUNCTION("""COMPUTED_VALUE"""),"Deep Clue Sea")</f>
        <v>Deep Clue Sea</v>
      </c>
      <c r="C2608" s="79">
        <f>IFERROR(__xludf.DUMMYFUNCTION("""COMPUTED_VALUE"""),0.0)</f>
        <v>0</v>
      </c>
      <c r="D2608" s="79">
        <f>IFERROR(__xludf.DUMMYFUNCTION("""COMPUTED_VALUE"""),0.0)</f>
        <v>0</v>
      </c>
      <c r="E2608" s="69" t="b">
        <f>IFERROR(__xludf.DUMMYFUNCTION("""COMPUTED_VALUE"""),TRUE)</f>
        <v>1</v>
      </c>
    </row>
    <row r="2609" hidden="1">
      <c r="A2609" s="78" t="str">
        <f>IFERROR(__xludf.DUMMYFUNCTION("""COMPUTED_VALUE"""),"The Hosts of Mordor")</f>
        <v>The Hosts of Mordor</v>
      </c>
      <c r="B2609" s="78" t="str">
        <f>IFERROR(__xludf.DUMMYFUNCTION("""COMPUTED_VALUE"""),"Doom Prevails")</f>
        <v>Doom Prevails</v>
      </c>
      <c r="C2609" s="79">
        <f>IFERROR(__xludf.DUMMYFUNCTION("""COMPUTED_VALUE"""),0.0)</f>
        <v>0</v>
      </c>
      <c r="D2609" s="79">
        <f>IFERROR(__xludf.DUMMYFUNCTION("""COMPUTED_VALUE"""),0.0)</f>
        <v>0</v>
      </c>
      <c r="E2609" s="69" t="b">
        <f>IFERROR(__xludf.DUMMYFUNCTION("""COMPUTED_VALUE"""),TRUE)</f>
        <v>1</v>
      </c>
    </row>
    <row r="2610">
      <c r="A2610" s="78" t="str">
        <f>IFERROR(__xludf.DUMMYFUNCTION("""COMPUTED_VALUE"""),"The Hosts of Mordor")</f>
        <v>The Hosts of Mordor</v>
      </c>
      <c r="B2610" s="78" t="str">
        <f>IFERROR(__xludf.DUMMYFUNCTION("""COMPUTED_VALUE"""),"Eldrazi Incursion")</f>
        <v>Eldrazi Incursion</v>
      </c>
      <c r="C2610" s="79">
        <f>IFERROR(__xludf.DUMMYFUNCTION("""COMPUTED_VALUE"""),0.0)</f>
        <v>0</v>
      </c>
      <c r="D2610" s="79">
        <f>IFERROR(__xludf.DUMMYFUNCTION("""COMPUTED_VALUE"""),0.0)</f>
        <v>0</v>
      </c>
      <c r="E2610" s="69" t="b">
        <f>IFERROR(__xludf.DUMMYFUNCTION("""COMPUTED_VALUE"""),TRUE)</f>
        <v>1</v>
      </c>
    </row>
    <row r="2611" hidden="1">
      <c r="A2611" s="78" t="str">
        <f>IFERROR(__xludf.DUMMYFUNCTION("""COMPUTED_VALUE"""),"The Hosts of Mordor")</f>
        <v>The Hosts of Mordor</v>
      </c>
      <c r="B2611" s="78" t="str">
        <f>IFERROR(__xludf.DUMMYFUNCTION("""COMPUTED_VALUE"""),"Eldrazi Unbound")</f>
        <v>Eldrazi Unbound</v>
      </c>
      <c r="C2611" s="79">
        <f>IFERROR(__xludf.DUMMYFUNCTION("""COMPUTED_VALUE"""),0.0)</f>
        <v>0</v>
      </c>
      <c r="D2611" s="79">
        <f>IFERROR(__xludf.DUMMYFUNCTION("""COMPUTED_VALUE"""),0.0)</f>
        <v>0</v>
      </c>
      <c r="E2611" s="69" t="b">
        <f>IFERROR(__xludf.DUMMYFUNCTION("""COMPUTED_VALUE"""),TRUE)</f>
        <v>1</v>
      </c>
    </row>
    <row r="2612" hidden="1">
      <c r="A2612" s="78" t="str">
        <f>IFERROR(__xludf.DUMMYFUNCTION("""COMPUTED_VALUE"""),"The Hosts of Mordor")</f>
        <v>The Hosts of Mordor</v>
      </c>
      <c r="B2612" s="78" t="str">
        <f>IFERROR(__xludf.DUMMYFUNCTION("""COMPUTED_VALUE"""),"Endless Punishment")</f>
        <v>Endless Punishment</v>
      </c>
      <c r="C2612" s="79">
        <f>IFERROR(__xludf.DUMMYFUNCTION("""COMPUTED_VALUE"""),0.0)</f>
        <v>0</v>
      </c>
      <c r="D2612" s="79">
        <f>IFERROR(__xludf.DUMMYFUNCTION("""COMPUTED_VALUE"""),0.0)</f>
        <v>0</v>
      </c>
      <c r="E2612" s="69" t="b">
        <f>IFERROR(__xludf.DUMMYFUNCTION("""COMPUTED_VALUE"""),TRUE)</f>
        <v>1</v>
      </c>
    </row>
    <row r="2613" hidden="1">
      <c r="A2613" s="78" t="str">
        <f>IFERROR(__xludf.DUMMYFUNCTION("""COMPUTED_VALUE"""),"The Hosts of Mordor")</f>
        <v>The Hosts of Mordor</v>
      </c>
      <c r="B2613" s="78" t="str">
        <f>IFERROR(__xludf.DUMMYFUNCTION("""COMPUTED_VALUE"""),"Enduring Enchantments")</f>
        <v>Enduring Enchantments</v>
      </c>
      <c r="C2613" s="79">
        <f>IFERROR(__xludf.DUMMYFUNCTION("""COMPUTED_VALUE"""),0.0)</f>
        <v>0</v>
      </c>
      <c r="D2613" s="79">
        <f>IFERROR(__xludf.DUMMYFUNCTION("""COMPUTED_VALUE"""),0.0)</f>
        <v>0</v>
      </c>
      <c r="E2613" s="69" t="b">
        <f>IFERROR(__xludf.DUMMYFUNCTION("""COMPUTED_VALUE"""),TRUE)</f>
        <v>1</v>
      </c>
    </row>
    <row r="2614" hidden="1">
      <c r="A2614" s="78" t="str">
        <f>IFERROR(__xludf.DUMMYFUNCTION("""COMPUTED_VALUE"""),"The Hosts of Mordor")</f>
        <v>The Hosts of Mordor</v>
      </c>
      <c r="B2614" s="78" t="str">
        <f>IFERROR(__xludf.DUMMYFUNCTION("""COMPUTED_VALUE"""),"Explorers of the Deep")</f>
        <v>Explorers of the Deep</v>
      </c>
      <c r="C2614" s="79">
        <f>IFERROR(__xludf.DUMMYFUNCTION("""COMPUTED_VALUE"""),0.0)</f>
        <v>0</v>
      </c>
      <c r="D2614" s="79">
        <f>IFERROR(__xludf.DUMMYFUNCTION("""COMPUTED_VALUE"""),0.0)</f>
        <v>0</v>
      </c>
      <c r="E2614" s="69" t="b">
        <f>IFERROR(__xludf.DUMMYFUNCTION("""COMPUTED_VALUE"""),TRUE)</f>
        <v>1</v>
      </c>
    </row>
    <row r="2615" hidden="1">
      <c r="A2615" s="78" t="str">
        <f>IFERROR(__xludf.DUMMYFUNCTION("""COMPUTED_VALUE"""),"The Hosts of Mordor")</f>
        <v>The Hosts of Mordor</v>
      </c>
      <c r="B2615" s="78" t="str">
        <f>IFERROR(__xludf.DUMMYFUNCTION("""COMPUTED_VALUE"""),"Family Matters")</f>
        <v>Family Matters</v>
      </c>
      <c r="C2615" s="79">
        <f>IFERROR(__xludf.DUMMYFUNCTION("""COMPUTED_VALUE"""),0.0)</f>
        <v>0</v>
      </c>
      <c r="D2615" s="79">
        <f>IFERROR(__xludf.DUMMYFUNCTION("""COMPUTED_VALUE"""),0.0)</f>
        <v>0</v>
      </c>
      <c r="E2615" s="69" t="b">
        <f>IFERROR(__xludf.DUMMYFUNCTION("""COMPUTED_VALUE"""),TRUE)</f>
        <v>1</v>
      </c>
    </row>
    <row r="2616" hidden="1">
      <c r="A2616" s="78" t="str">
        <f>IFERROR(__xludf.DUMMYFUNCTION("""COMPUTED_VALUE"""),"The Hosts of Mordor")</f>
        <v>The Hosts of Mordor</v>
      </c>
      <c r="B2616" s="78" t="str">
        <f>IFERROR(__xludf.DUMMYFUNCTION("""COMPUTED_VALUE"""),"Food and Fellowship")</f>
        <v>Food and Fellowship</v>
      </c>
      <c r="C2616" s="79">
        <f>IFERROR(__xludf.DUMMYFUNCTION("""COMPUTED_VALUE"""),0.0)</f>
        <v>0</v>
      </c>
      <c r="D2616" s="79">
        <f>IFERROR(__xludf.DUMMYFUNCTION("""COMPUTED_VALUE"""),0.0)</f>
        <v>0</v>
      </c>
      <c r="E2616" s="69" t="b">
        <f>IFERROR(__xludf.DUMMYFUNCTION("""COMPUTED_VALUE"""),TRUE)</f>
        <v>1</v>
      </c>
    </row>
    <row r="2617" hidden="1">
      <c r="A2617" s="78" t="str">
        <f>IFERROR(__xludf.DUMMYFUNCTION("""COMPUTED_VALUE"""),"The Hosts of Mordor")</f>
        <v>The Hosts of Mordor</v>
      </c>
      <c r="B2617" s="78" t="str">
        <f>IFERROR(__xludf.DUMMYFUNCTION("""COMPUTED_VALUE"""),"Jeskai Striker")</f>
        <v>Jeskai Striker</v>
      </c>
      <c r="C2617" s="79">
        <f>IFERROR(__xludf.DUMMYFUNCTION("""COMPUTED_VALUE"""),0.0)</f>
        <v>0</v>
      </c>
      <c r="D2617" s="79">
        <f>IFERROR(__xludf.DUMMYFUNCTION("""COMPUTED_VALUE"""),0.0)</f>
        <v>0</v>
      </c>
      <c r="E2617" s="69" t="b">
        <f>IFERROR(__xludf.DUMMYFUNCTION("""COMPUTED_VALUE"""),TRUE)</f>
        <v>1</v>
      </c>
    </row>
    <row r="2618" hidden="1">
      <c r="A2618" s="78" t="str">
        <f>IFERROR(__xludf.DUMMYFUNCTION("""COMPUTED_VALUE"""),"The Hosts of Mordor")</f>
        <v>The Hosts of Mordor</v>
      </c>
      <c r="B2618" s="78" t="str">
        <f>IFERROR(__xludf.DUMMYFUNCTION("""COMPUTED_VALUE"""),"Legends' Legacy")</f>
        <v>Legends' Legacy</v>
      </c>
      <c r="C2618" s="79">
        <f>IFERROR(__xludf.DUMMYFUNCTION("""COMPUTED_VALUE"""),0.0)</f>
        <v>0</v>
      </c>
      <c r="D2618" s="79">
        <f>IFERROR(__xludf.DUMMYFUNCTION("""COMPUTED_VALUE"""),0.0)</f>
        <v>0</v>
      </c>
      <c r="E2618" s="69" t="b">
        <f>IFERROR(__xludf.DUMMYFUNCTION("""COMPUTED_VALUE"""),TRUE)</f>
        <v>1</v>
      </c>
    </row>
    <row r="2619" hidden="1">
      <c r="A2619" s="78" t="str">
        <f>IFERROR(__xludf.DUMMYFUNCTION("""COMPUTED_VALUE"""),"The Hosts of Mordor")</f>
        <v>The Hosts of Mordor</v>
      </c>
      <c r="B2619" s="78" t="str">
        <f>IFERROR(__xludf.DUMMYFUNCTION("""COMPUTED_VALUE"""),"Limit Break")</f>
        <v>Limit Break</v>
      </c>
      <c r="C2619" s="79">
        <f>IFERROR(__xludf.DUMMYFUNCTION("""COMPUTED_VALUE"""),0.0)</f>
        <v>0</v>
      </c>
      <c r="D2619" s="79">
        <f>IFERROR(__xludf.DUMMYFUNCTION("""COMPUTED_VALUE"""),0.0)</f>
        <v>0</v>
      </c>
      <c r="E2619" s="69" t="b">
        <f>IFERROR(__xludf.DUMMYFUNCTION("""COMPUTED_VALUE"""),TRUE)</f>
        <v>1</v>
      </c>
    </row>
    <row r="2620" hidden="1">
      <c r="A2620" s="78" t="str">
        <f>IFERROR(__xludf.DUMMYFUNCTION("""COMPUTED_VALUE"""),"The Hosts of Mordor")</f>
        <v>The Hosts of Mordor</v>
      </c>
      <c r="B2620" s="78" t="str">
        <f>IFERROR(__xludf.DUMMYFUNCTION("""COMPUTED_VALUE"""),"Lorehold Spirit")</f>
        <v>Lorehold Spirit</v>
      </c>
      <c r="C2620" s="79">
        <f>IFERROR(__xludf.DUMMYFUNCTION("""COMPUTED_VALUE"""),0.0)</f>
        <v>0</v>
      </c>
      <c r="D2620" s="79">
        <f>IFERROR(__xludf.DUMMYFUNCTION("""COMPUTED_VALUE"""),0.0)</f>
        <v>0</v>
      </c>
      <c r="E2620" s="69" t="b">
        <f>IFERROR(__xludf.DUMMYFUNCTION("""COMPUTED_VALUE"""),TRUE)</f>
        <v>1</v>
      </c>
    </row>
    <row r="2621" hidden="1">
      <c r="A2621" s="78" t="str">
        <f>IFERROR(__xludf.DUMMYFUNCTION("""COMPUTED_VALUE"""),"The Hosts of Mordor")</f>
        <v>The Hosts of Mordor</v>
      </c>
      <c r="B2621" s="78" t="str">
        <f>IFERROR(__xludf.DUMMYFUNCTION("""COMPUTED_VALUE"""),"Mutant Menace")</f>
        <v>Mutant Menace</v>
      </c>
      <c r="C2621" s="79">
        <f>IFERROR(__xludf.DUMMYFUNCTION("""COMPUTED_VALUE"""),0.0)</f>
        <v>0</v>
      </c>
      <c r="D2621" s="79">
        <f>IFERROR(__xludf.DUMMYFUNCTION("""COMPUTED_VALUE"""),0.0)</f>
        <v>0</v>
      </c>
      <c r="E2621" s="69" t="b">
        <f>IFERROR(__xludf.DUMMYFUNCTION("""COMPUTED_VALUE"""),TRUE)</f>
        <v>1</v>
      </c>
    </row>
    <row r="2622" hidden="1">
      <c r="A2622" s="78" t="str">
        <f>IFERROR(__xludf.DUMMYFUNCTION("""COMPUTED_VALUE"""),"The Hosts of Mordor")</f>
        <v>The Hosts of Mordor</v>
      </c>
      <c r="B2622" s="78" t="str">
        <f>IFERROR(__xludf.DUMMYFUNCTION("""COMPUTED_VALUE"""),"Party Time")</f>
        <v>Party Time</v>
      </c>
      <c r="C2622" s="79">
        <f>IFERROR(__xludf.DUMMYFUNCTION("""COMPUTED_VALUE"""),0.0)</f>
        <v>0</v>
      </c>
      <c r="D2622" s="79">
        <f>IFERROR(__xludf.DUMMYFUNCTION("""COMPUTED_VALUE"""),1.0)</f>
        <v>1</v>
      </c>
      <c r="E2622" s="69" t="b">
        <f>IFERROR(__xludf.DUMMYFUNCTION("""COMPUTED_VALUE"""),FALSE)</f>
        <v>0</v>
      </c>
    </row>
    <row r="2623" hidden="1">
      <c r="A2623" s="78" t="str">
        <f>IFERROR(__xludf.DUMMYFUNCTION("""COMPUTED_VALUE"""),"The Hosts of Mordor")</f>
        <v>The Hosts of Mordor</v>
      </c>
      <c r="B2623" s="78" t="str">
        <f>IFERROR(__xludf.DUMMYFUNCTION("""COMPUTED_VALUE"""),"Peace Offering")</f>
        <v>Peace Offering</v>
      </c>
      <c r="C2623" s="79">
        <f>IFERROR(__xludf.DUMMYFUNCTION("""COMPUTED_VALUE"""),0.0)</f>
        <v>0</v>
      </c>
      <c r="D2623" s="79">
        <f>IFERROR(__xludf.DUMMYFUNCTION("""COMPUTED_VALUE"""),0.0)</f>
        <v>0</v>
      </c>
      <c r="E2623" s="69" t="b">
        <f>IFERROR(__xludf.DUMMYFUNCTION("""COMPUTED_VALUE"""),TRUE)</f>
        <v>1</v>
      </c>
    </row>
    <row r="2624" hidden="1">
      <c r="A2624" s="78" t="str">
        <f>IFERROR(__xludf.DUMMYFUNCTION("""COMPUTED_VALUE"""),"The Hosts of Mordor")</f>
        <v>The Hosts of Mordor</v>
      </c>
      <c r="B2624" s="78" t="str">
        <f>IFERROR(__xludf.DUMMYFUNCTION("""COMPUTED_VALUE"""),"Power Hungry")</f>
        <v>Power Hungry</v>
      </c>
      <c r="C2624" s="79">
        <f>IFERROR(__xludf.DUMMYFUNCTION("""COMPUTED_VALUE"""),0.0)</f>
        <v>0</v>
      </c>
      <c r="D2624" s="79">
        <f>IFERROR(__xludf.DUMMYFUNCTION("""COMPUTED_VALUE"""),0.0)</f>
        <v>0</v>
      </c>
      <c r="E2624" s="69" t="b">
        <f>IFERROR(__xludf.DUMMYFUNCTION("""COMPUTED_VALUE"""),TRUE)</f>
        <v>1</v>
      </c>
    </row>
    <row r="2625" hidden="1">
      <c r="A2625" s="78" t="str">
        <f>IFERROR(__xludf.DUMMYFUNCTION("""COMPUTED_VALUE"""),"The Hosts of Mordor")</f>
        <v>The Hosts of Mordor</v>
      </c>
      <c r="B2625" s="78" t="str">
        <f>IFERROR(__xludf.DUMMYFUNCTION("""COMPUTED_VALUE"""),"Primal Genesis")</f>
        <v>Primal Genesis</v>
      </c>
      <c r="C2625" s="79">
        <f>IFERROR(__xludf.DUMMYFUNCTION("""COMPUTED_VALUE"""),0.0)</f>
        <v>0</v>
      </c>
      <c r="D2625" s="79">
        <f>IFERROR(__xludf.DUMMYFUNCTION("""COMPUTED_VALUE"""),0.0)</f>
        <v>0</v>
      </c>
      <c r="E2625" s="69" t="b">
        <f>IFERROR(__xludf.DUMMYFUNCTION("""COMPUTED_VALUE"""),TRUE)</f>
        <v>1</v>
      </c>
    </row>
    <row r="2626" hidden="1">
      <c r="A2626" s="78" t="str">
        <f>IFERROR(__xludf.DUMMYFUNCTION("""COMPUTED_VALUE"""),"The Hosts of Mordor")</f>
        <v>The Hosts of Mordor</v>
      </c>
      <c r="B2626" s="78" t="str">
        <f>IFERROR(__xludf.DUMMYFUNCTION("""COMPUTED_VALUE"""),"Prismari Artistry")</f>
        <v>Prismari Artistry</v>
      </c>
      <c r="C2626" s="79">
        <f>IFERROR(__xludf.DUMMYFUNCTION("""COMPUTED_VALUE"""),0.0)</f>
        <v>0</v>
      </c>
      <c r="D2626" s="79">
        <f>IFERROR(__xludf.DUMMYFUNCTION("""COMPUTED_VALUE"""),0.0)</f>
        <v>0</v>
      </c>
      <c r="E2626" s="69" t="b">
        <f>IFERROR(__xludf.DUMMYFUNCTION("""COMPUTED_VALUE"""),TRUE)</f>
        <v>1</v>
      </c>
    </row>
    <row r="2627" hidden="1">
      <c r="A2627" s="78" t="str">
        <f>IFERROR(__xludf.DUMMYFUNCTION("""COMPUTED_VALUE"""),"The Hosts of Mordor")</f>
        <v>The Hosts of Mordor</v>
      </c>
      <c r="B2627" s="78" t="str">
        <f>IFERROR(__xludf.DUMMYFUNCTION("""COMPUTED_VALUE"""),"Prismari Performance")</f>
        <v>Prismari Performance</v>
      </c>
      <c r="C2627" s="79">
        <f>IFERROR(__xludf.DUMMYFUNCTION("""COMPUTED_VALUE"""),0.0)</f>
        <v>0</v>
      </c>
      <c r="D2627" s="79">
        <f>IFERROR(__xludf.DUMMYFUNCTION("""COMPUTED_VALUE"""),0.0)</f>
        <v>0</v>
      </c>
      <c r="E2627" s="69" t="b">
        <f>IFERROR(__xludf.DUMMYFUNCTION("""COMPUTED_VALUE"""),TRUE)</f>
        <v>1</v>
      </c>
    </row>
    <row r="2628">
      <c r="A2628" s="78" t="str">
        <f>IFERROR(__xludf.DUMMYFUNCTION("""COMPUTED_VALUE"""),"The Hosts of Mordor")</f>
        <v>The Hosts of Mordor</v>
      </c>
      <c r="B2628" s="78" t="str">
        <f>IFERROR(__xludf.DUMMYFUNCTION("""COMPUTED_VALUE"""),"Quandrix Unlimited")</f>
        <v>Quandrix Unlimited</v>
      </c>
      <c r="C2628" s="79">
        <f>IFERROR(__xludf.DUMMYFUNCTION("""COMPUTED_VALUE"""),0.0)</f>
        <v>0</v>
      </c>
      <c r="D2628" s="79">
        <f>IFERROR(__xludf.DUMMYFUNCTION("""COMPUTED_VALUE"""),0.0)</f>
        <v>0</v>
      </c>
      <c r="E2628" s="69" t="b">
        <f>IFERROR(__xludf.DUMMYFUNCTION("""COMPUTED_VALUE"""),TRUE)</f>
        <v>1</v>
      </c>
    </row>
    <row r="2629">
      <c r="A2629" s="78" t="str">
        <f>IFERROR(__xludf.DUMMYFUNCTION("""COMPUTED_VALUE"""),"The Hosts of Mordor")</f>
        <v>The Hosts of Mordor</v>
      </c>
      <c r="B2629" s="78" t="str">
        <f>IFERROR(__xludf.DUMMYFUNCTION("""COMPUTED_VALUE"""),"Quick Draw")</f>
        <v>Quick Draw</v>
      </c>
      <c r="C2629" s="79">
        <f>IFERROR(__xludf.DUMMYFUNCTION("""COMPUTED_VALUE"""),0.0)</f>
        <v>0</v>
      </c>
      <c r="D2629" s="79">
        <f>IFERROR(__xludf.DUMMYFUNCTION("""COMPUTED_VALUE"""),0.0)</f>
        <v>0</v>
      </c>
      <c r="E2629" s="69" t="b">
        <f>IFERROR(__xludf.DUMMYFUNCTION("""COMPUTED_VALUE"""),TRUE)</f>
        <v>1</v>
      </c>
    </row>
    <row r="2630" hidden="1">
      <c r="A2630" s="78" t="str">
        <f>IFERROR(__xludf.DUMMYFUNCTION("""COMPUTED_VALUE"""),"The Hosts of Mordor")</f>
        <v>The Hosts of Mordor</v>
      </c>
      <c r="B2630" s="78" t="str">
        <f>IFERROR(__xludf.DUMMYFUNCTION("""COMPUTED_VALUE"""),"Reap the Tides")</f>
        <v>Reap the Tides</v>
      </c>
      <c r="C2630" s="79">
        <f>IFERROR(__xludf.DUMMYFUNCTION("""COMPUTED_VALUE"""),0.0)</f>
        <v>0</v>
      </c>
      <c r="D2630" s="79">
        <f>IFERROR(__xludf.DUMMYFUNCTION("""COMPUTED_VALUE"""),0.0)</f>
        <v>0</v>
      </c>
      <c r="E2630" s="69" t="b">
        <f>IFERROR(__xludf.DUMMYFUNCTION("""COMPUTED_VALUE"""),TRUE)</f>
        <v>1</v>
      </c>
    </row>
    <row r="2631" hidden="1">
      <c r="A2631" s="78" t="str">
        <f>IFERROR(__xludf.DUMMYFUNCTION("""COMPUTED_VALUE"""),"The Hosts of Mordor")</f>
        <v>The Hosts of Mordor</v>
      </c>
      <c r="B2631" s="78" t="str">
        <f>IFERROR(__xludf.DUMMYFUNCTION("""COMPUTED_VALUE"""),"Rebellion Rising")</f>
        <v>Rebellion Rising</v>
      </c>
      <c r="C2631" s="79">
        <f>IFERROR(__xludf.DUMMYFUNCTION("""COMPUTED_VALUE"""),0.0)</f>
        <v>0</v>
      </c>
      <c r="D2631" s="79">
        <f>IFERROR(__xludf.DUMMYFUNCTION("""COMPUTED_VALUE"""),0.0)</f>
        <v>0</v>
      </c>
      <c r="E2631" s="69" t="b">
        <f>IFERROR(__xludf.DUMMYFUNCTION("""COMPUTED_VALUE"""),TRUE)</f>
        <v>1</v>
      </c>
    </row>
    <row r="2632">
      <c r="A2632" s="78" t="str">
        <f>IFERROR(__xludf.DUMMYFUNCTION("""COMPUTED_VALUE"""),"The Hosts of Mordor")</f>
        <v>The Hosts of Mordor</v>
      </c>
      <c r="B2632" s="78" t="str">
        <f>IFERROR(__xludf.DUMMYFUNCTION("""COMPUTED_VALUE"""),"Revival Trance")</f>
        <v>Revival Trance</v>
      </c>
      <c r="C2632" s="79">
        <f>IFERROR(__xludf.DUMMYFUNCTION("""COMPUTED_VALUE"""),0.0)</f>
        <v>0</v>
      </c>
      <c r="D2632" s="79">
        <f>IFERROR(__xludf.DUMMYFUNCTION("""COMPUTED_VALUE"""),0.0)</f>
        <v>0</v>
      </c>
      <c r="E2632" s="69" t="b">
        <f>IFERROR(__xludf.DUMMYFUNCTION("""COMPUTED_VALUE"""),TRUE)</f>
        <v>1</v>
      </c>
    </row>
    <row r="2633" hidden="1">
      <c r="A2633" s="78" t="str">
        <f>IFERROR(__xludf.DUMMYFUNCTION("""COMPUTED_VALUE"""),"The Hosts of Mordor")</f>
        <v>The Hosts of Mordor</v>
      </c>
      <c r="B2633" s="78" t="str">
        <f>IFERROR(__xludf.DUMMYFUNCTION("""COMPUTED_VALUE"""),"Riders of Rohan")</f>
        <v>Riders of Rohan</v>
      </c>
      <c r="C2633" s="79">
        <f>IFERROR(__xludf.DUMMYFUNCTION("""COMPUTED_VALUE"""),0.0)</f>
        <v>0</v>
      </c>
      <c r="D2633" s="79">
        <f>IFERROR(__xludf.DUMMYFUNCTION("""COMPUTED_VALUE"""),0.0)</f>
        <v>0</v>
      </c>
      <c r="E2633" s="69" t="b">
        <f>IFERROR(__xludf.DUMMYFUNCTION("""COMPUTED_VALUE"""),TRUE)</f>
        <v>1</v>
      </c>
    </row>
    <row r="2634" hidden="1">
      <c r="A2634" s="78" t="str">
        <f>IFERROR(__xludf.DUMMYFUNCTION("""COMPUTED_VALUE"""),"The Hosts of Mordor")</f>
        <v>The Hosts of Mordor</v>
      </c>
      <c r="B2634" s="78" t="str">
        <f>IFERROR(__xludf.DUMMYFUNCTION("""COMPUTED_VALUE"""),"Science!")</f>
        <v>Science!</v>
      </c>
      <c r="C2634" s="79">
        <f>IFERROR(__xludf.DUMMYFUNCTION("""COMPUTED_VALUE"""),0.0)</f>
        <v>0</v>
      </c>
      <c r="D2634" s="79">
        <f>IFERROR(__xludf.DUMMYFUNCTION("""COMPUTED_VALUE"""),0.0)</f>
        <v>0</v>
      </c>
      <c r="E2634" s="69" t="b">
        <f>IFERROR(__xludf.DUMMYFUNCTION("""COMPUTED_VALUE"""),TRUE)</f>
        <v>1</v>
      </c>
    </row>
    <row r="2635" hidden="1">
      <c r="A2635" s="78" t="str">
        <f>IFERROR(__xludf.DUMMYFUNCTION("""COMPUTED_VALUE"""),"The Hosts of Mordor")</f>
        <v>The Hosts of Mordor</v>
      </c>
      <c r="B2635" s="78" t="str">
        <f>IFERROR(__xludf.DUMMYFUNCTION("""COMPUTED_VALUE"""),"Scions &amp; Spellcraft")</f>
        <v>Scions &amp; Spellcraft</v>
      </c>
      <c r="C2635" s="79">
        <f>IFERROR(__xludf.DUMMYFUNCTION("""COMPUTED_VALUE"""),0.0)</f>
        <v>0</v>
      </c>
      <c r="D2635" s="79">
        <f>IFERROR(__xludf.DUMMYFUNCTION("""COMPUTED_VALUE"""),0.0)</f>
        <v>0</v>
      </c>
      <c r="E2635" s="69" t="b">
        <f>IFERROR(__xludf.DUMMYFUNCTION("""COMPUTED_VALUE"""),TRUE)</f>
        <v>1</v>
      </c>
    </row>
    <row r="2636" hidden="1">
      <c r="A2636" s="78" t="str">
        <f>IFERROR(__xludf.DUMMYFUNCTION("""COMPUTED_VALUE"""),"The Hosts of Mordor")</f>
        <v>The Hosts of Mordor</v>
      </c>
      <c r="B2636" s="78" t="str">
        <f>IFERROR(__xludf.DUMMYFUNCTION("""COMPUTED_VALUE"""),"Scrappy Survivors")</f>
        <v>Scrappy Survivors</v>
      </c>
      <c r="C2636" s="79">
        <f>IFERROR(__xludf.DUMMYFUNCTION("""COMPUTED_VALUE"""),0.0)</f>
        <v>0</v>
      </c>
      <c r="D2636" s="79">
        <f>IFERROR(__xludf.DUMMYFUNCTION("""COMPUTED_VALUE"""),0.0)</f>
        <v>0</v>
      </c>
      <c r="E2636" s="69" t="b">
        <f>IFERROR(__xludf.DUMMYFUNCTION("""COMPUTED_VALUE"""),TRUE)</f>
        <v>1</v>
      </c>
    </row>
    <row r="2637" hidden="1">
      <c r="A2637" s="78" t="str">
        <f>IFERROR(__xludf.DUMMYFUNCTION("""COMPUTED_VALUE"""),"The Hosts of Mordor")</f>
        <v>The Hosts of Mordor</v>
      </c>
      <c r="B2637" s="78" t="str">
        <f>IFERROR(__xludf.DUMMYFUNCTION("""COMPUTED_VALUE"""),"Silverquill Influence")</f>
        <v>Silverquill Influence</v>
      </c>
      <c r="C2637" s="79">
        <f>IFERROR(__xludf.DUMMYFUNCTION("""COMPUTED_VALUE"""),0.0)</f>
        <v>0</v>
      </c>
      <c r="D2637" s="79">
        <f>IFERROR(__xludf.DUMMYFUNCTION("""COMPUTED_VALUE"""),0.0)</f>
        <v>0</v>
      </c>
      <c r="E2637" s="69" t="b">
        <f>IFERROR(__xludf.DUMMYFUNCTION("""COMPUTED_VALUE"""),TRUE)</f>
        <v>1</v>
      </c>
    </row>
    <row r="2638" hidden="1">
      <c r="A2638" s="78" t="str">
        <f>IFERROR(__xludf.DUMMYFUNCTION("""COMPUTED_VALUE"""),"The Hosts of Mordor")</f>
        <v>The Hosts of Mordor</v>
      </c>
      <c r="B2638" s="78" t="str">
        <f>IFERROR(__xludf.DUMMYFUNCTION("""COMPUTED_VALUE"""),"Spirit Squadron")</f>
        <v>Spirit Squadron</v>
      </c>
      <c r="C2638" s="79">
        <f>IFERROR(__xludf.DUMMYFUNCTION("""COMPUTED_VALUE"""),0.0)</f>
        <v>0</v>
      </c>
      <c r="D2638" s="79">
        <f>IFERROR(__xludf.DUMMYFUNCTION("""COMPUTED_VALUE"""),0.0)</f>
        <v>0</v>
      </c>
      <c r="E2638" s="69" t="b">
        <f>IFERROR(__xludf.DUMMYFUNCTION("""COMPUTED_VALUE"""),TRUE)</f>
        <v>1</v>
      </c>
    </row>
    <row r="2639" hidden="1">
      <c r="A2639" s="78" t="str">
        <f>IFERROR(__xludf.DUMMYFUNCTION("""COMPUTED_VALUE"""),"The Hosts of Mordor")</f>
        <v>The Hosts of Mordor</v>
      </c>
      <c r="B2639" s="78" t="str">
        <f>IFERROR(__xludf.DUMMYFUNCTION("""COMPUTED_VALUE"""),"Squirreled Away")</f>
        <v>Squirreled Away</v>
      </c>
      <c r="C2639" s="79">
        <f>IFERROR(__xludf.DUMMYFUNCTION("""COMPUTED_VALUE"""),0.0)</f>
        <v>0</v>
      </c>
      <c r="D2639" s="79">
        <f>IFERROR(__xludf.DUMMYFUNCTION("""COMPUTED_VALUE"""),0.0)</f>
        <v>0</v>
      </c>
      <c r="E2639" s="69" t="b">
        <f>IFERROR(__xludf.DUMMYFUNCTION("""COMPUTED_VALUE"""),TRUE)</f>
        <v>1</v>
      </c>
    </row>
    <row r="2640" hidden="1">
      <c r="A2640" s="78" t="str">
        <f>IFERROR(__xludf.DUMMYFUNCTION("""COMPUTED_VALUE"""),"The Hosts of Mordor")</f>
        <v>The Hosts of Mordor</v>
      </c>
      <c r="B2640" s="78" t="str">
        <f>IFERROR(__xludf.DUMMYFUNCTION("""COMPUTED_VALUE"""),"Sultai Arisen")</f>
        <v>Sultai Arisen</v>
      </c>
      <c r="C2640" s="79">
        <f>IFERROR(__xludf.DUMMYFUNCTION("""COMPUTED_VALUE"""),0.0)</f>
        <v>0</v>
      </c>
      <c r="D2640" s="79">
        <f>IFERROR(__xludf.DUMMYFUNCTION("""COMPUTED_VALUE"""),0.0)</f>
        <v>0</v>
      </c>
      <c r="E2640" s="69" t="b">
        <f>IFERROR(__xludf.DUMMYFUNCTION("""COMPUTED_VALUE"""),TRUE)</f>
        <v>1</v>
      </c>
    </row>
    <row r="2641" hidden="1">
      <c r="A2641" s="78" t="str">
        <f>IFERROR(__xludf.DUMMYFUNCTION("""COMPUTED_VALUE"""),"The Hosts of Mordor")</f>
        <v>The Hosts of Mordor</v>
      </c>
      <c r="B2641" s="78" t="str">
        <f>IFERROR(__xludf.DUMMYFUNCTION("""COMPUTED_VALUE"""),"Temur Roar")</f>
        <v>Temur Roar</v>
      </c>
      <c r="C2641" s="79">
        <f>IFERROR(__xludf.DUMMYFUNCTION("""COMPUTED_VALUE"""),0.0)</f>
        <v>0</v>
      </c>
      <c r="D2641" s="79">
        <f>IFERROR(__xludf.DUMMYFUNCTION("""COMPUTED_VALUE"""),0.0)</f>
        <v>0</v>
      </c>
      <c r="E2641" s="69" t="b">
        <f>IFERROR(__xludf.DUMMYFUNCTION("""COMPUTED_VALUE"""),TRUE)</f>
        <v>1</v>
      </c>
    </row>
    <row r="2642" hidden="1">
      <c r="A2642" s="78" t="str">
        <f>IFERROR(__xludf.DUMMYFUNCTION("""COMPUTED_VALUE"""),"The Hosts of Mordor")</f>
        <v>The Hosts of Mordor</v>
      </c>
      <c r="B2642" s="78" t="str">
        <f>IFERROR(__xludf.DUMMYFUNCTION("""COMPUTED_VALUE"""),"The Hosts of Mordor")</f>
        <v>The Hosts of Mordor</v>
      </c>
      <c r="C2642" s="79">
        <f>IFERROR(__xludf.DUMMYFUNCTION("""COMPUTED_VALUE"""),0.0)</f>
        <v>0</v>
      </c>
      <c r="D2642" s="79">
        <f>IFERROR(__xludf.DUMMYFUNCTION("""COMPUTED_VALUE"""),0.0)</f>
        <v>0</v>
      </c>
      <c r="E2642" s="69" t="b">
        <f>IFERROR(__xludf.DUMMYFUNCTION("""COMPUTED_VALUE"""),TRUE)</f>
        <v>1</v>
      </c>
    </row>
    <row r="2643" hidden="1">
      <c r="A2643" s="78" t="str">
        <f>IFERROR(__xludf.DUMMYFUNCTION("""COMPUTED_VALUE"""),"The Hosts of Mordor")</f>
        <v>The Hosts of Mordor</v>
      </c>
      <c r="B2643" s="78" t="str">
        <f>IFERROR(__xludf.DUMMYFUNCTION("""COMPUTED_VALUE"""),"The Ruinous Powers")</f>
        <v>The Ruinous Powers</v>
      </c>
      <c r="C2643" s="79">
        <f>IFERROR(__xludf.DUMMYFUNCTION("""COMPUTED_VALUE"""),0.0)</f>
        <v>0</v>
      </c>
      <c r="D2643" s="79">
        <f>IFERROR(__xludf.DUMMYFUNCTION("""COMPUTED_VALUE"""),0.0)</f>
        <v>0</v>
      </c>
      <c r="E2643" s="69" t="b">
        <f>IFERROR(__xludf.DUMMYFUNCTION("""COMPUTED_VALUE"""),TRUE)</f>
        <v>1</v>
      </c>
    </row>
    <row r="2644" hidden="1">
      <c r="A2644" s="78" t="str">
        <f>IFERROR(__xludf.DUMMYFUNCTION("""COMPUTED_VALUE"""),"The Hosts of Mordor")</f>
        <v>The Hosts of Mordor</v>
      </c>
      <c r="B2644" s="78" t="str">
        <f>IFERROR(__xludf.DUMMYFUNCTION("""COMPUTED_VALUE"""),"Timey-Wimey")</f>
        <v>Timey-Wimey</v>
      </c>
      <c r="C2644" s="79">
        <f>IFERROR(__xludf.DUMMYFUNCTION("""COMPUTED_VALUE"""),0.0)</f>
        <v>0</v>
      </c>
      <c r="D2644" s="79">
        <f>IFERROR(__xludf.DUMMYFUNCTION("""COMPUTED_VALUE"""),0.0)</f>
        <v>0</v>
      </c>
      <c r="E2644" s="69" t="b">
        <f>IFERROR(__xludf.DUMMYFUNCTION("""COMPUTED_VALUE"""),TRUE)</f>
        <v>1</v>
      </c>
    </row>
    <row r="2645" hidden="1">
      <c r="A2645" s="78" t="str">
        <f>IFERROR(__xludf.DUMMYFUNCTION("""COMPUTED_VALUE"""),"The Hosts of Mordor")</f>
        <v>The Hosts of Mordor</v>
      </c>
      <c r="B2645" s="78" t="str">
        <f>IFERROR(__xludf.DUMMYFUNCTION("""COMPUTED_VALUE"""),"Tinker Time")</f>
        <v>Tinker Time</v>
      </c>
      <c r="C2645" s="79">
        <f>IFERROR(__xludf.DUMMYFUNCTION("""COMPUTED_VALUE"""),0.0)</f>
        <v>0</v>
      </c>
      <c r="D2645" s="79">
        <f>IFERROR(__xludf.DUMMYFUNCTION("""COMPUTED_VALUE"""),0.0)</f>
        <v>0</v>
      </c>
      <c r="E2645" s="69" t="b">
        <f>IFERROR(__xludf.DUMMYFUNCTION("""COMPUTED_VALUE"""),TRUE)</f>
        <v>1</v>
      </c>
    </row>
    <row r="2646" hidden="1">
      <c r="A2646" s="78" t="str">
        <f>IFERROR(__xludf.DUMMYFUNCTION("""COMPUTED_VALUE"""),"The Hosts of Mordor")</f>
        <v>The Hosts of Mordor</v>
      </c>
      <c r="B2646" s="78" t="str">
        <f>IFERROR(__xludf.DUMMYFUNCTION("""COMPUTED_VALUE"""),"Turtle Power!")</f>
        <v>Turtle Power!</v>
      </c>
      <c r="C2646" s="79">
        <f>IFERROR(__xludf.DUMMYFUNCTION("""COMPUTED_VALUE"""),0.0)</f>
        <v>0</v>
      </c>
      <c r="D2646" s="79">
        <f>IFERROR(__xludf.DUMMYFUNCTION("""COMPUTED_VALUE"""),0.0)</f>
        <v>0</v>
      </c>
      <c r="E2646" s="69" t="b">
        <f>IFERROR(__xludf.DUMMYFUNCTION("""COMPUTED_VALUE"""),TRUE)</f>
        <v>1</v>
      </c>
    </row>
    <row r="2647" hidden="1">
      <c r="A2647" s="78" t="str">
        <f>IFERROR(__xludf.DUMMYFUNCTION("""COMPUTED_VALUE"""),"The Hosts of Mordor")</f>
        <v>The Hosts of Mordor</v>
      </c>
      <c r="B2647" s="78" t="str">
        <f>IFERROR(__xludf.DUMMYFUNCTION("""COMPUTED_VALUE"""),"Veloci-ramp-tor")</f>
        <v>Veloci-ramp-tor</v>
      </c>
      <c r="C2647" s="79">
        <f>IFERROR(__xludf.DUMMYFUNCTION("""COMPUTED_VALUE"""),0.0)</f>
        <v>0</v>
      </c>
      <c r="D2647" s="79">
        <f>IFERROR(__xludf.DUMMYFUNCTION("""COMPUTED_VALUE"""),0.0)</f>
        <v>0</v>
      </c>
      <c r="E2647" s="69" t="b">
        <f>IFERROR(__xludf.DUMMYFUNCTION("""COMPUTED_VALUE"""),TRUE)</f>
        <v>1</v>
      </c>
    </row>
    <row r="2648" hidden="1">
      <c r="A2648" s="78" t="str">
        <f>IFERROR(__xludf.DUMMYFUNCTION("""COMPUTED_VALUE"""),"The Ruinous Powers")</f>
        <v>The Ruinous Powers</v>
      </c>
      <c r="B2648" s="78" t="str">
        <f>IFERROR(__xludf.DUMMYFUNCTION("""COMPUTED_VALUE"""),"Ahoy Mateys")</f>
        <v>Ahoy Mateys</v>
      </c>
      <c r="C2648" s="79">
        <f>IFERROR(__xludf.DUMMYFUNCTION("""COMPUTED_VALUE"""),0.0)</f>
        <v>0</v>
      </c>
      <c r="D2648" s="79">
        <f>IFERROR(__xludf.DUMMYFUNCTION("""COMPUTED_VALUE"""),0.0)</f>
        <v>0</v>
      </c>
      <c r="E2648" s="69" t="b">
        <f>IFERROR(__xludf.DUMMYFUNCTION("""COMPUTED_VALUE"""),TRUE)</f>
        <v>1</v>
      </c>
    </row>
    <row r="2649" hidden="1">
      <c r="A2649" s="78" t="str">
        <f>IFERROR(__xludf.DUMMYFUNCTION("""COMPUTED_VALUE"""),"The Ruinous Powers")</f>
        <v>The Ruinous Powers</v>
      </c>
      <c r="B2649" s="78" t="str">
        <f>IFERROR(__xludf.DUMMYFUNCTION("""COMPUTED_VALUE"""),"Animated Army")</f>
        <v>Animated Army</v>
      </c>
      <c r="C2649" s="79">
        <f>IFERROR(__xludf.DUMMYFUNCTION("""COMPUTED_VALUE"""),0.0)</f>
        <v>0</v>
      </c>
      <c r="D2649" s="79">
        <f>IFERROR(__xludf.DUMMYFUNCTION("""COMPUTED_VALUE"""),0.0)</f>
        <v>0</v>
      </c>
      <c r="E2649" s="69" t="b">
        <f>IFERROR(__xludf.DUMMYFUNCTION("""COMPUTED_VALUE"""),TRUE)</f>
        <v>1</v>
      </c>
    </row>
    <row r="2650" hidden="1">
      <c r="A2650" s="78" t="str">
        <f>IFERROR(__xludf.DUMMYFUNCTION("""COMPUTED_VALUE"""),"The Ruinous Powers")</f>
        <v>The Ruinous Powers</v>
      </c>
      <c r="B2650" s="78" t="str">
        <f>IFERROR(__xludf.DUMMYFUNCTION("""COMPUTED_VALUE"""),"Arcane Maelstrom")</f>
        <v>Arcane Maelstrom</v>
      </c>
      <c r="C2650" s="79">
        <f>IFERROR(__xludf.DUMMYFUNCTION("""COMPUTED_VALUE"""),0.0)</f>
        <v>0</v>
      </c>
      <c r="D2650" s="79">
        <f>IFERROR(__xludf.DUMMYFUNCTION("""COMPUTED_VALUE"""),0.0)</f>
        <v>0</v>
      </c>
      <c r="E2650" s="69" t="b">
        <f>IFERROR(__xludf.DUMMYFUNCTION("""COMPUTED_VALUE"""),TRUE)</f>
        <v>1</v>
      </c>
    </row>
    <row r="2651" hidden="1">
      <c r="A2651" s="78" t="str">
        <f>IFERROR(__xludf.DUMMYFUNCTION("""COMPUTED_VALUE"""),"The Ruinous Powers")</f>
        <v>The Ruinous Powers</v>
      </c>
      <c r="B2651" s="78" t="str">
        <f>IFERROR(__xludf.DUMMYFUNCTION("""COMPUTED_VALUE"""),"Blame Game")</f>
        <v>Blame Game</v>
      </c>
      <c r="C2651" s="79">
        <f>IFERROR(__xludf.DUMMYFUNCTION("""COMPUTED_VALUE"""),0.0)</f>
        <v>0</v>
      </c>
      <c r="D2651" s="79">
        <f>IFERROR(__xludf.DUMMYFUNCTION("""COMPUTED_VALUE"""),0.0)</f>
        <v>0</v>
      </c>
      <c r="E2651" s="69" t="b">
        <f>IFERROR(__xludf.DUMMYFUNCTION("""COMPUTED_VALUE"""),TRUE)</f>
        <v>1</v>
      </c>
    </row>
    <row r="2652" hidden="1">
      <c r="A2652" s="78" t="str">
        <f>IFERROR(__xludf.DUMMYFUNCTION("""COMPUTED_VALUE"""),"The Ruinous Powers")</f>
        <v>The Ruinous Powers</v>
      </c>
      <c r="B2652" s="78" t="str">
        <f>IFERROR(__xludf.DUMMYFUNCTION("""COMPUTED_VALUE"""),"Blight Curse")</f>
        <v>Blight Curse</v>
      </c>
      <c r="C2652" s="79">
        <f>IFERROR(__xludf.DUMMYFUNCTION("""COMPUTED_VALUE"""),0.0)</f>
        <v>0</v>
      </c>
      <c r="D2652" s="79">
        <f>IFERROR(__xludf.DUMMYFUNCTION("""COMPUTED_VALUE"""),0.0)</f>
        <v>0</v>
      </c>
      <c r="E2652" s="69" t="b">
        <f>IFERROR(__xludf.DUMMYFUNCTION("""COMPUTED_VALUE"""),TRUE)</f>
        <v>1</v>
      </c>
    </row>
    <row r="2653" hidden="1">
      <c r="A2653" s="78" t="str">
        <f>IFERROR(__xludf.DUMMYFUNCTION("""COMPUTED_VALUE"""),"The Ruinous Powers")</f>
        <v>The Ruinous Powers</v>
      </c>
      <c r="B2653" s="78" t="str">
        <f>IFERROR(__xludf.DUMMYFUNCTION("""COMPUTED_VALUE"""),"Blood Rites")</f>
        <v>Blood Rites</v>
      </c>
      <c r="C2653" s="79">
        <f>IFERROR(__xludf.DUMMYFUNCTION("""COMPUTED_VALUE"""),0.0)</f>
        <v>0</v>
      </c>
      <c r="D2653" s="79">
        <f>IFERROR(__xludf.DUMMYFUNCTION("""COMPUTED_VALUE"""),0.0)</f>
        <v>0</v>
      </c>
      <c r="E2653" s="69" t="b">
        <f>IFERROR(__xludf.DUMMYFUNCTION("""COMPUTED_VALUE"""),TRUE)</f>
        <v>1</v>
      </c>
    </row>
    <row r="2654" hidden="1">
      <c r="A2654" s="78" t="str">
        <f>IFERROR(__xludf.DUMMYFUNCTION("""COMPUTED_VALUE"""),"The Ruinous Powers")</f>
        <v>The Ruinous Powers</v>
      </c>
      <c r="B2654" s="78" t="str">
        <f>IFERROR(__xludf.DUMMYFUNCTION("""COMPUTED_VALUE"""),"Buckle Up")</f>
        <v>Buckle Up</v>
      </c>
      <c r="C2654" s="79">
        <f>IFERROR(__xludf.DUMMYFUNCTION("""COMPUTED_VALUE"""),0.0)</f>
        <v>0</v>
      </c>
      <c r="D2654" s="79">
        <f>IFERROR(__xludf.DUMMYFUNCTION("""COMPUTED_VALUE"""),0.0)</f>
        <v>0</v>
      </c>
      <c r="E2654" s="69" t="b">
        <f>IFERROR(__xludf.DUMMYFUNCTION("""COMPUTED_VALUE"""),TRUE)</f>
        <v>1</v>
      </c>
    </row>
    <row r="2655">
      <c r="A2655" s="78" t="str">
        <f>IFERROR(__xludf.DUMMYFUNCTION("""COMPUTED_VALUE"""),"The Ruinous Powers")</f>
        <v>The Ruinous Powers</v>
      </c>
      <c r="B2655" s="78" t="str">
        <f>IFERROR(__xludf.DUMMYFUNCTION("""COMPUTED_VALUE"""),"Cabaretti Cacophony")</f>
        <v>Cabaretti Cacophony</v>
      </c>
      <c r="C2655" s="79">
        <f>IFERROR(__xludf.DUMMYFUNCTION("""COMPUTED_VALUE"""),0.0)</f>
        <v>0</v>
      </c>
      <c r="D2655" s="79">
        <f>IFERROR(__xludf.DUMMYFUNCTION("""COMPUTED_VALUE"""),0.0)</f>
        <v>0</v>
      </c>
      <c r="E2655" s="69" t="b">
        <f>IFERROR(__xludf.DUMMYFUNCTION("""COMPUTED_VALUE"""),TRUE)</f>
        <v>1</v>
      </c>
    </row>
    <row r="2656">
      <c r="A2656" s="78" t="str">
        <f>IFERROR(__xludf.DUMMYFUNCTION("""COMPUTED_VALUE"""),"The Ruinous Powers")</f>
        <v>The Ruinous Powers</v>
      </c>
      <c r="B2656" s="78" t="str">
        <f>IFERROR(__xludf.DUMMYFUNCTION("""COMPUTED_VALUE"""),"Cavalry Charge")</f>
        <v>Cavalry Charge</v>
      </c>
      <c r="C2656" s="79">
        <f>IFERROR(__xludf.DUMMYFUNCTION("""COMPUTED_VALUE"""),0.0)</f>
        <v>0</v>
      </c>
      <c r="D2656" s="79">
        <f>IFERROR(__xludf.DUMMYFUNCTION("""COMPUTED_VALUE"""),0.0)</f>
        <v>0</v>
      </c>
      <c r="E2656" s="69" t="b">
        <f>IFERROR(__xludf.DUMMYFUNCTION("""COMPUTED_VALUE"""),TRUE)</f>
        <v>1</v>
      </c>
    </row>
    <row r="2657" hidden="1">
      <c r="A2657" s="78" t="str">
        <f>IFERROR(__xludf.DUMMYFUNCTION("""COMPUTED_VALUE"""),"The Ruinous Powers")</f>
        <v>The Ruinous Powers</v>
      </c>
      <c r="B2657" s="78" t="str">
        <f>IFERROR(__xludf.DUMMYFUNCTION("""COMPUTED_VALUE"""),"Corrupting Influence")</f>
        <v>Corrupting Influence</v>
      </c>
      <c r="C2657" s="79">
        <f>IFERROR(__xludf.DUMMYFUNCTION("""COMPUTED_VALUE"""),0.0)</f>
        <v>0</v>
      </c>
      <c r="D2657" s="79">
        <f>IFERROR(__xludf.DUMMYFUNCTION("""COMPUTED_VALUE"""),0.0)</f>
        <v>0</v>
      </c>
      <c r="E2657" s="69" t="b">
        <f>IFERROR(__xludf.DUMMYFUNCTION("""COMPUTED_VALUE"""),TRUE)</f>
        <v>1</v>
      </c>
    </row>
    <row r="2658">
      <c r="A2658" s="78" t="str">
        <f>IFERROR(__xludf.DUMMYFUNCTION("""COMPUTED_VALUE"""),"The Ruinous Powers")</f>
        <v>The Ruinous Powers</v>
      </c>
      <c r="B2658" s="78" t="str">
        <f>IFERROR(__xludf.DUMMYFUNCTION("""COMPUTED_VALUE"""),"Counter Blitz")</f>
        <v>Counter Blitz</v>
      </c>
      <c r="C2658" s="79">
        <f>IFERROR(__xludf.DUMMYFUNCTION("""COMPUTED_VALUE"""),0.0)</f>
        <v>0</v>
      </c>
      <c r="D2658" s="79">
        <f>IFERROR(__xludf.DUMMYFUNCTION("""COMPUTED_VALUE"""),0.0)</f>
        <v>0</v>
      </c>
      <c r="E2658" s="69" t="b">
        <f>IFERROR(__xludf.DUMMYFUNCTION("""COMPUTED_VALUE"""),TRUE)</f>
        <v>1</v>
      </c>
    </row>
    <row r="2659" hidden="1">
      <c r="A2659" s="78" t="str">
        <f>IFERROR(__xludf.DUMMYFUNCTION("""COMPUTED_VALUE"""),"The Ruinous Powers")</f>
        <v>The Ruinous Powers</v>
      </c>
      <c r="B2659" s="78" t="str">
        <f>IFERROR(__xludf.DUMMYFUNCTION("""COMPUTED_VALUE"""),"Counter Intelligence")</f>
        <v>Counter Intelligence</v>
      </c>
      <c r="C2659" s="79">
        <f>IFERROR(__xludf.DUMMYFUNCTION("""COMPUTED_VALUE"""),0.0)</f>
        <v>0</v>
      </c>
      <c r="D2659" s="79">
        <f>IFERROR(__xludf.DUMMYFUNCTION("""COMPUTED_VALUE"""),0.0)</f>
        <v>0</v>
      </c>
      <c r="E2659" s="69" t="b">
        <f>IFERROR(__xludf.DUMMYFUNCTION("""COMPUTED_VALUE"""),TRUE)</f>
        <v>1</v>
      </c>
    </row>
    <row r="2660">
      <c r="A2660" s="78" t="str">
        <f>IFERROR(__xludf.DUMMYFUNCTION("""COMPUTED_VALUE"""),"The Ruinous Powers")</f>
        <v>The Ruinous Powers</v>
      </c>
      <c r="B2660" s="78" t="str">
        <f>IFERROR(__xludf.DUMMYFUNCTION("""COMPUTED_VALUE"""),"Creative Energy")</f>
        <v>Creative Energy</v>
      </c>
      <c r="C2660" s="79">
        <f>IFERROR(__xludf.DUMMYFUNCTION("""COMPUTED_VALUE"""),0.0)</f>
        <v>0</v>
      </c>
      <c r="D2660" s="79">
        <f>IFERROR(__xludf.DUMMYFUNCTION("""COMPUTED_VALUE"""),0.0)</f>
        <v>0</v>
      </c>
      <c r="E2660" s="69" t="b">
        <f>IFERROR(__xludf.DUMMYFUNCTION("""COMPUTED_VALUE"""),TRUE)</f>
        <v>1</v>
      </c>
    </row>
    <row r="2661" hidden="1">
      <c r="A2661" s="78" t="str">
        <f>IFERROR(__xludf.DUMMYFUNCTION("""COMPUTED_VALUE"""),"The Ruinous Powers")</f>
        <v>The Ruinous Powers</v>
      </c>
      <c r="B2661" s="78" t="str">
        <f>IFERROR(__xludf.DUMMYFUNCTION("""COMPUTED_VALUE"""),"Dance of the Elements")</f>
        <v>Dance of the Elements</v>
      </c>
      <c r="C2661" s="79">
        <f>IFERROR(__xludf.DUMMYFUNCTION("""COMPUTED_VALUE"""),0.0)</f>
        <v>0</v>
      </c>
      <c r="D2661" s="79">
        <f>IFERROR(__xludf.DUMMYFUNCTION("""COMPUTED_VALUE"""),0.0)</f>
        <v>0</v>
      </c>
      <c r="E2661" s="69" t="b">
        <f>IFERROR(__xludf.DUMMYFUNCTION("""COMPUTED_VALUE"""),TRUE)</f>
        <v>1</v>
      </c>
    </row>
    <row r="2662" hidden="1">
      <c r="A2662" s="78" t="str">
        <f>IFERROR(__xludf.DUMMYFUNCTION("""COMPUTED_VALUE"""),"The Ruinous Powers")</f>
        <v>The Ruinous Powers</v>
      </c>
      <c r="B2662" s="78" t="str">
        <f>IFERROR(__xludf.DUMMYFUNCTION("""COMPUTED_VALUE"""),"Deep Clue Sea")</f>
        <v>Deep Clue Sea</v>
      </c>
      <c r="C2662" s="79">
        <f>IFERROR(__xludf.DUMMYFUNCTION("""COMPUTED_VALUE"""),0.0)</f>
        <v>0</v>
      </c>
      <c r="D2662" s="79">
        <f>IFERROR(__xludf.DUMMYFUNCTION("""COMPUTED_VALUE"""),1.0)</f>
        <v>1</v>
      </c>
      <c r="E2662" s="69" t="b">
        <f>IFERROR(__xludf.DUMMYFUNCTION("""COMPUTED_VALUE"""),FALSE)</f>
        <v>0</v>
      </c>
    </row>
    <row r="2663" hidden="1">
      <c r="A2663" s="78" t="str">
        <f>IFERROR(__xludf.DUMMYFUNCTION("""COMPUTED_VALUE"""),"The Ruinous Powers")</f>
        <v>The Ruinous Powers</v>
      </c>
      <c r="B2663" s="78" t="str">
        <f>IFERROR(__xludf.DUMMYFUNCTION("""COMPUTED_VALUE"""),"Doom Prevails")</f>
        <v>Doom Prevails</v>
      </c>
      <c r="C2663" s="79">
        <f>IFERROR(__xludf.DUMMYFUNCTION("""COMPUTED_VALUE"""),0.0)</f>
        <v>0</v>
      </c>
      <c r="D2663" s="79">
        <f>IFERROR(__xludf.DUMMYFUNCTION("""COMPUTED_VALUE"""),0.0)</f>
        <v>0</v>
      </c>
      <c r="E2663" s="69" t="b">
        <f>IFERROR(__xludf.DUMMYFUNCTION("""COMPUTED_VALUE"""),TRUE)</f>
        <v>1</v>
      </c>
    </row>
    <row r="2664">
      <c r="A2664" s="78" t="str">
        <f>IFERROR(__xludf.DUMMYFUNCTION("""COMPUTED_VALUE"""),"The Ruinous Powers")</f>
        <v>The Ruinous Powers</v>
      </c>
      <c r="B2664" s="78" t="str">
        <f>IFERROR(__xludf.DUMMYFUNCTION("""COMPUTED_VALUE"""),"Eldrazi Incursion")</f>
        <v>Eldrazi Incursion</v>
      </c>
      <c r="C2664" s="79">
        <f>IFERROR(__xludf.DUMMYFUNCTION("""COMPUTED_VALUE"""),0.0)</f>
        <v>0</v>
      </c>
      <c r="D2664" s="79">
        <f>IFERROR(__xludf.DUMMYFUNCTION("""COMPUTED_VALUE"""),0.0)</f>
        <v>0</v>
      </c>
      <c r="E2664" s="69" t="b">
        <f>IFERROR(__xludf.DUMMYFUNCTION("""COMPUTED_VALUE"""),TRUE)</f>
        <v>1</v>
      </c>
    </row>
    <row r="2665" hidden="1">
      <c r="A2665" s="78" t="str">
        <f>IFERROR(__xludf.DUMMYFUNCTION("""COMPUTED_VALUE"""),"The Ruinous Powers")</f>
        <v>The Ruinous Powers</v>
      </c>
      <c r="B2665" s="78" t="str">
        <f>IFERROR(__xludf.DUMMYFUNCTION("""COMPUTED_VALUE"""),"Eldrazi Unbound")</f>
        <v>Eldrazi Unbound</v>
      </c>
      <c r="C2665" s="79">
        <f>IFERROR(__xludf.DUMMYFUNCTION("""COMPUTED_VALUE"""),0.0)</f>
        <v>0</v>
      </c>
      <c r="D2665" s="79">
        <f>IFERROR(__xludf.DUMMYFUNCTION("""COMPUTED_VALUE"""),0.0)</f>
        <v>0</v>
      </c>
      <c r="E2665" s="69" t="b">
        <f>IFERROR(__xludf.DUMMYFUNCTION("""COMPUTED_VALUE"""),TRUE)</f>
        <v>1</v>
      </c>
    </row>
    <row r="2666" hidden="1">
      <c r="A2666" s="78" t="str">
        <f>IFERROR(__xludf.DUMMYFUNCTION("""COMPUTED_VALUE"""),"The Ruinous Powers")</f>
        <v>The Ruinous Powers</v>
      </c>
      <c r="B2666" s="78" t="str">
        <f>IFERROR(__xludf.DUMMYFUNCTION("""COMPUTED_VALUE"""),"Endless Punishment")</f>
        <v>Endless Punishment</v>
      </c>
      <c r="C2666" s="79">
        <f>IFERROR(__xludf.DUMMYFUNCTION("""COMPUTED_VALUE"""),0.0)</f>
        <v>0</v>
      </c>
      <c r="D2666" s="79">
        <f>IFERROR(__xludf.DUMMYFUNCTION("""COMPUTED_VALUE"""),0.0)</f>
        <v>0</v>
      </c>
      <c r="E2666" s="69" t="b">
        <f>IFERROR(__xludf.DUMMYFUNCTION("""COMPUTED_VALUE"""),TRUE)</f>
        <v>1</v>
      </c>
    </row>
    <row r="2667" hidden="1">
      <c r="A2667" s="78" t="str">
        <f>IFERROR(__xludf.DUMMYFUNCTION("""COMPUTED_VALUE"""),"The Ruinous Powers")</f>
        <v>The Ruinous Powers</v>
      </c>
      <c r="B2667" s="78" t="str">
        <f>IFERROR(__xludf.DUMMYFUNCTION("""COMPUTED_VALUE"""),"Enduring Enchantments")</f>
        <v>Enduring Enchantments</v>
      </c>
      <c r="C2667" s="79">
        <f>IFERROR(__xludf.DUMMYFUNCTION("""COMPUTED_VALUE"""),0.0)</f>
        <v>0</v>
      </c>
      <c r="D2667" s="79">
        <f>IFERROR(__xludf.DUMMYFUNCTION("""COMPUTED_VALUE"""),0.0)</f>
        <v>0</v>
      </c>
      <c r="E2667" s="69" t="b">
        <f>IFERROR(__xludf.DUMMYFUNCTION("""COMPUTED_VALUE"""),TRUE)</f>
        <v>1</v>
      </c>
    </row>
    <row r="2668">
      <c r="A2668" s="78" t="str">
        <f>IFERROR(__xludf.DUMMYFUNCTION("""COMPUTED_VALUE"""),"The Ruinous Powers")</f>
        <v>The Ruinous Powers</v>
      </c>
      <c r="B2668" s="78" t="str">
        <f>IFERROR(__xludf.DUMMYFUNCTION("""COMPUTED_VALUE"""),"Explorers of the Deep")</f>
        <v>Explorers of the Deep</v>
      </c>
      <c r="C2668" s="79">
        <f>IFERROR(__xludf.DUMMYFUNCTION("""COMPUTED_VALUE"""),0.0)</f>
        <v>0</v>
      </c>
      <c r="D2668" s="79">
        <f>IFERROR(__xludf.DUMMYFUNCTION("""COMPUTED_VALUE"""),0.0)</f>
        <v>0</v>
      </c>
      <c r="E2668" s="69" t="b">
        <f>IFERROR(__xludf.DUMMYFUNCTION("""COMPUTED_VALUE"""),TRUE)</f>
        <v>1</v>
      </c>
    </row>
    <row r="2669" hidden="1">
      <c r="A2669" s="78" t="str">
        <f>IFERROR(__xludf.DUMMYFUNCTION("""COMPUTED_VALUE"""),"The Ruinous Powers")</f>
        <v>The Ruinous Powers</v>
      </c>
      <c r="B2669" s="78" t="str">
        <f>IFERROR(__xludf.DUMMYFUNCTION("""COMPUTED_VALUE"""),"Family Matters")</f>
        <v>Family Matters</v>
      </c>
      <c r="C2669" s="79">
        <f>IFERROR(__xludf.DUMMYFUNCTION("""COMPUTED_VALUE"""),0.0)</f>
        <v>0</v>
      </c>
      <c r="D2669" s="79">
        <f>IFERROR(__xludf.DUMMYFUNCTION("""COMPUTED_VALUE"""),0.0)</f>
        <v>0</v>
      </c>
      <c r="E2669" s="69" t="b">
        <f>IFERROR(__xludf.DUMMYFUNCTION("""COMPUTED_VALUE"""),TRUE)</f>
        <v>1</v>
      </c>
    </row>
    <row r="2670" hidden="1">
      <c r="A2670" s="78" t="str">
        <f>IFERROR(__xludf.DUMMYFUNCTION("""COMPUTED_VALUE"""),"The Ruinous Powers")</f>
        <v>The Ruinous Powers</v>
      </c>
      <c r="B2670" s="78" t="str">
        <f>IFERROR(__xludf.DUMMYFUNCTION("""COMPUTED_VALUE"""),"Food and Fellowship")</f>
        <v>Food and Fellowship</v>
      </c>
      <c r="C2670" s="79">
        <f>IFERROR(__xludf.DUMMYFUNCTION("""COMPUTED_VALUE"""),0.0)</f>
        <v>0</v>
      </c>
      <c r="D2670" s="79">
        <f>IFERROR(__xludf.DUMMYFUNCTION("""COMPUTED_VALUE"""),0.0)</f>
        <v>0</v>
      </c>
      <c r="E2670" s="69" t="b">
        <f>IFERROR(__xludf.DUMMYFUNCTION("""COMPUTED_VALUE"""),TRUE)</f>
        <v>1</v>
      </c>
    </row>
    <row r="2671">
      <c r="A2671" s="78" t="str">
        <f>IFERROR(__xludf.DUMMYFUNCTION("""COMPUTED_VALUE"""),"The Ruinous Powers")</f>
        <v>The Ruinous Powers</v>
      </c>
      <c r="B2671" s="78" t="str">
        <f>IFERROR(__xludf.DUMMYFUNCTION("""COMPUTED_VALUE"""),"Jeskai Striker")</f>
        <v>Jeskai Striker</v>
      </c>
      <c r="C2671" s="79">
        <f>IFERROR(__xludf.DUMMYFUNCTION("""COMPUTED_VALUE"""),0.0)</f>
        <v>0</v>
      </c>
      <c r="D2671" s="79">
        <f>IFERROR(__xludf.DUMMYFUNCTION("""COMPUTED_VALUE"""),0.0)</f>
        <v>0</v>
      </c>
      <c r="E2671" s="69" t="b">
        <f>IFERROR(__xludf.DUMMYFUNCTION("""COMPUTED_VALUE"""),TRUE)</f>
        <v>1</v>
      </c>
    </row>
    <row r="2672" hidden="1">
      <c r="A2672" s="78" t="str">
        <f>IFERROR(__xludf.DUMMYFUNCTION("""COMPUTED_VALUE"""),"The Ruinous Powers")</f>
        <v>The Ruinous Powers</v>
      </c>
      <c r="B2672" s="78" t="str">
        <f>IFERROR(__xludf.DUMMYFUNCTION("""COMPUTED_VALUE"""),"Legends' Legacy")</f>
        <v>Legends' Legacy</v>
      </c>
      <c r="C2672" s="79">
        <f>IFERROR(__xludf.DUMMYFUNCTION("""COMPUTED_VALUE"""),0.0)</f>
        <v>0</v>
      </c>
      <c r="D2672" s="79">
        <f>IFERROR(__xludf.DUMMYFUNCTION("""COMPUTED_VALUE"""),0.0)</f>
        <v>0</v>
      </c>
      <c r="E2672" s="69" t="b">
        <f>IFERROR(__xludf.DUMMYFUNCTION("""COMPUTED_VALUE"""),TRUE)</f>
        <v>1</v>
      </c>
    </row>
    <row r="2673" hidden="1">
      <c r="A2673" s="78" t="str">
        <f>IFERROR(__xludf.DUMMYFUNCTION("""COMPUTED_VALUE"""),"The Ruinous Powers")</f>
        <v>The Ruinous Powers</v>
      </c>
      <c r="B2673" s="78" t="str">
        <f>IFERROR(__xludf.DUMMYFUNCTION("""COMPUTED_VALUE"""),"Limit Break")</f>
        <v>Limit Break</v>
      </c>
      <c r="C2673" s="79">
        <f>IFERROR(__xludf.DUMMYFUNCTION("""COMPUTED_VALUE"""),0.0)</f>
        <v>0</v>
      </c>
      <c r="D2673" s="79">
        <f>IFERROR(__xludf.DUMMYFUNCTION("""COMPUTED_VALUE"""),0.0)</f>
        <v>0</v>
      </c>
      <c r="E2673" s="69" t="b">
        <f>IFERROR(__xludf.DUMMYFUNCTION("""COMPUTED_VALUE"""),TRUE)</f>
        <v>1</v>
      </c>
    </row>
    <row r="2674" hidden="1">
      <c r="A2674" s="78" t="str">
        <f>IFERROR(__xludf.DUMMYFUNCTION("""COMPUTED_VALUE"""),"The Ruinous Powers")</f>
        <v>The Ruinous Powers</v>
      </c>
      <c r="B2674" s="78" t="str">
        <f>IFERROR(__xludf.DUMMYFUNCTION("""COMPUTED_VALUE"""),"Lorehold Spirit")</f>
        <v>Lorehold Spirit</v>
      </c>
      <c r="C2674" s="79">
        <f>IFERROR(__xludf.DUMMYFUNCTION("""COMPUTED_VALUE"""),0.0)</f>
        <v>0</v>
      </c>
      <c r="D2674" s="79">
        <f>IFERROR(__xludf.DUMMYFUNCTION("""COMPUTED_VALUE"""),0.0)</f>
        <v>0</v>
      </c>
      <c r="E2674" s="69" t="b">
        <f>IFERROR(__xludf.DUMMYFUNCTION("""COMPUTED_VALUE"""),TRUE)</f>
        <v>1</v>
      </c>
    </row>
    <row r="2675" hidden="1">
      <c r="A2675" s="78" t="str">
        <f>IFERROR(__xludf.DUMMYFUNCTION("""COMPUTED_VALUE"""),"The Ruinous Powers")</f>
        <v>The Ruinous Powers</v>
      </c>
      <c r="B2675" s="78" t="str">
        <f>IFERROR(__xludf.DUMMYFUNCTION("""COMPUTED_VALUE"""),"Mutant Menace")</f>
        <v>Mutant Menace</v>
      </c>
      <c r="C2675" s="79">
        <f>IFERROR(__xludf.DUMMYFUNCTION("""COMPUTED_VALUE"""),0.0)</f>
        <v>0</v>
      </c>
      <c r="D2675" s="79">
        <f>IFERROR(__xludf.DUMMYFUNCTION("""COMPUTED_VALUE"""),0.0)</f>
        <v>0</v>
      </c>
      <c r="E2675" s="69" t="b">
        <f>IFERROR(__xludf.DUMMYFUNCTION("""COMPUTED_VALUE"""),TRUE)</f>
        <v>1</v>
      </c>
    </row>
    <row r="2676" hidden="1">
      <c r="A2676" s="78" t="str">
        <f>IFERROR(__xludf.DUMMYFUNCTION("""COMPUTED_VALUE"""),"The Ruinous Powers")</f>
        <v>The Ruinous Powers</v>
      </c>
      <c r="B2676" s="78" t="str">
        <f>IFERROR(__xludf.DUMMYFUNCTION("""COMPUTED_VALUE"""),"Party Time")</f>
        <v>Party Time</v>
      </c>
      <c r="C2676" s="79">
        <f>IFERROR(__xludf.DUMMYFUNCTION("""COMPUTED_VALUE"""),0.0)</f>
        <v>0</v>
      </c>
      <c r="D2676" s="79">
        <f>IFERROR(__xludf.DUMMYFUNCTION("""COMPUTED_VALUE"""),0.0)</f>
        <v>0</v>
      </c>
      <c r="E2676" s="69" t="b">
        <f>IFERROR(__xludf.DUMMYFUNCTION("""COMPUTED_VALUE"""),TRUE)</f>
        <v>1</v>
      </c>
    </row>
    <row r="2677">
      <c r="A2677" s="78" t="str">
        <f>IFERROR(__xludf.DUMMYFUNCTION("""COMPUTED_VALUE"""),"The Ruinous Powers")</f>
        <v>The Ruinous Powers</v>
      </c>
      <c r="B2677" s="78" t="str">
        <f>IFERROR(__xludf.DUMMYFUNCTION("""COMPUTED_VALUE"""),"Peace Offering")</f>
        <v>Peace Offering</v>
      </c>
      <c r="C2677" s="79">
        <f>IFERROR(__xludf.DUMMYFUNCTION("""COMPUTED_VALUE"""),0.0)</f>
        <v>0</v>
      </c>
      <c r="D2677" s="79">
        <f>IFERROR(__xludf.DUMMYFUNCTION("""COMPUTED_VALUE"""),0.0)</f>
        <v>0</v>
      </c>
      <c r="E2677" s="69" t="b">
        <f>IFERROR(__xludf.DUMMYFUNCTION("""COMPUTED_VALUE"""),TRUE)</f>
        <v>1</v>
      </c>
    </row>
    <row r="2678" hidden="1">
      <c r="A2678" s="78" t="str">
        <f>IFERROR(__xludf.DUMMYFUNCTION("""COMPUTED_VALUE"""),"The Ruinous Powers")</f>
        <v>The Ruinous Powers</v>
      </c>
      <c r="B2678" s="78" t="str">
        <f>IFERROR(__xludf.DUMMYFUNCTION("""COMPUTED_VALUE"""),"Power Hungry")</f>
        <v>Power Hungry</v>
      </c>
      <c r="C2678" s="79">
        <f>IFERROR(__xludf.DUMMYFUNCTION("""COMPUTED_VALUE"""),0.0)</f>
        <v>0</v>
      </c>
      <c r="D2678" s="79">
        <f>IFERROR(__xludf.DUMMYFUNCTION("""COMPUTED_VALUE"""),0.0)</f>
        <v>0</v>
      </c>
      <c r="E2678" s="69" t="b">
        <f>IFERROR(__xludf.DUMMYFUNCTION("""COMPUTED_VALUE"""),TRUE)</f>
        <v>1</v>
      </c>
    </row>
    <row r="2679">
      <c r="A2679" s="78" t="str">
        <f>IFERROR(__xludf.DUMMYFUNCTION("""COMPUTED_VALUE"""),"The Ruinous Powers")</f>
        <v>The Ruinous Powers</v>
      </c>
      <c r="B2679" s="78" t="str">
        <f>IFERROR(__xludf.DUMMYFUNCTION("""COMPUTED_VALUE"""),"Primal Genesis")</f>
        <v>Primal Genesis</v>
      </c>
      <c r="C2679" s="79">
        <f>IFERROR(__xludf.DUMMYFUNCTION("""COMPUTED_VALUE"""),0.0)</f>
        <v>0</v>
      </c>
      <c r="D2679" s="79">
        <f>IFERROR(__xludf.DUMMYFUNCTION("""COMPUTED_VALUE"""),0.0)</f>
        <v>0</v>
      </c>
      <c r="E2679" s="69" t="b">
        <f>IFERROR(__xludf.DUMMYFUNCTION("""COMPUTED_VALUE"""),TRUE)</f>
        <v>1</v>
      </c>
    </row>
    <row r="2680" hidden="1">
      <c r="A2680" s="78" t="str">
        <f>IFERROR(__xludf.DUMMYFUNCTION("""COMPUTED_VALUE"""),"The Ruinous Powers")</f>
        <v>The Ruinous Powers</v>
      </c>
      <c r="B2680" s="78" t="str">
        <f>IFERROR(__xludf.DUMMYFUNCTION("""COMPUTED_VALUE"""),"Prismari Artistry")</f>
        <v>Prismari Artistry</v>
      </c>
      <c r="C2680" s="79">
        <f>IFERROR(__xludf.DUMMYFUNCTION("""COMPUTED_VALUE"""),0.0)</f>
        <v>0</v>
      </c>
      <c r="D2680" s="79">
        <f>IFERROR(__xludf.DUMMYFUNCTION("""COMPUTED_VALUE"""),0.0)</f>
        <v>0</v>
      </c>
      <c r="E2680" s="69" t="b">
        <f>IFERROR(__xludf.DUMMYFUNCTION("""COMPUTED_VALUE"""),TRUE)</f>
        <v>1</v>
      </c>
    </row>
    <row r="2681" hidden="1">
      <c r="A2681" s="78" t="str">
        <f>IFERROR(__xludf.DUMMYFUNCTION("""COMPUTED_VALUE"""),"The Ruinous Powers")</f>
        <v>The Ruinous Powers</v>
      </c>
      <c r="B2681" s="78" t="str">
        <f>IFERROR(__xludf.DUMMYFUNCTION("""COMPUTED_VALUE"""),"Prismari Performance")</f>
        <v>Prismari Performance</v>
      </c>
      <c r="C2681" s="79">
        <f>IFERROR(__xludf.DUMMYFUNCTION("""COMPUTED_VALUE"""),0.0)</f>
        <v>0</v>
      </c>
      <c r="D2681" s="79">
        <f>IFERROR(__xludf.DUMMYFUNCTION("""COMPUTED_VALUE"""),0.0)</f>
        <v>0</v>
      </c>
      <c r="E2681" s="69" t="b">
        <f>IFERROR(__xludf.DUMMYFUNCTION("""COMPUTED_VALUE"""),TRUE)</f>
        <v>1</v>
      </c>
    </row>
    <row r="2682" hidden="1">
      <c r="A2682" s="78" t="str">
        <f>IFERROR(__xludf.DUMMYFUNCTION("""COMPUTED_VALUE"""),"The Ruinous Powers")</f>
        <v>The Ruinous Powers</v>
      </c>
      <c r="B2682" s="78" t="str">
        <f>IFERROR(__xludf.DUMMYFUNCTION("""COMPUTED_VALUE"""),"Quandrix Unlimited")</f>
        <v>Quandrix Unlimited</v>
      </c>
      <c r="C2682" s="79">
        <f>IFERROR(__xludf.DUMMYFUNCTION("""COMPUTED_VALUE"""),0.0)</f>
        <v>0</v>
      </c>
      <c r="D2682" s="79">
        <f>IFERROR(__xludf.DUMMYFUNCTION("""COMPUTED_VALUE"""),0.0)</f>
        <v>0</v>
      </c>
      <c r="E2682" s="69" t="b">
        <f>IFERROR(__xludf.DUMMYFUNCTION("""COMPUTED_VALUE"""),TRUE)</f>
        <v>1</v>
      </c>
    </row>
    <row r="2683" hidden="1">
      <c r="A2683" s="78" t="str">
        <f>IFERROR(__xludf.DUMMYFUNCTION("""COMPUTED_VALUE"""),"The Ruinous Powers")</f>
        <v>The Ruinous Powers</v>
      </c>
      <c r="B2683" s="78" t="str">
        <f>IFERROR(__xludf.DUMMYFUNCTION("""COMPUTED_VALUE"""),"Quick Draw")</f>
        <v>Quick Draw</v>
      </c>
      <c r="C2683" s="79">
        <f>IFERROR(__xludf.DUMMYFUNCTION("""COMPUTED_VALUE"""),0.0)</f>
        <v>0</v>
      </c>
      <c r="D2683" s="79">
        <f>IFERROR(__xludf.DUMMYFUNCTION("""COMPUTED_VALUE"""),0.0)</f>
        <v>0</v>
      </c>
      <c r="E2683" s="69" t="b">
        <f>IFERROR(__xludf.DUMMYFUNCTION("""COMPUTED_VALUE"""),TRUE)</f>
        <v>1</v>
      </c>
    </row>
    <row r="2684" hidden="1">
      <c r="A2684" s="78" t="str">
        <f>IFERROR(__xludf.DUMMYFUNCTION("""COMPUTED_VALUE"""),"The Ruinous Powers")</f>
        <v>The Ruinous Powers</v>
      </c>
      <c r="B2684" s="78" t="str">
        <f>IFERROR(__xludf.DUMMYFUNCTION("""COMPUTED_VALUE"""),"Reap the Tides")</f>
        <v>Reap the Tides</v>
      </c>
      <c r="C2684" s="79">
        <f>IFERROR(__xludf.DUMMYFUNCTION("""COMPUTED_VALUE"""),0.0)</f>
        <v>0</v>
      </c>
      <c r="D2684" s="79">
        <f>IFERROR(__xludf.DUMMYFUNCTION("""COMPUTED_VALUE"""),0.0)</f>
        <v>0</v>
      </c>
      <c r="E2684" s="69" t="b">
        <f>IFERROR(__xludf.DUMMYFUNCTION("""COMPUTED_VALUE"""),TRUE)</f>
        <v>1</v>
      </c>
    </row>
    <row r="2685" hidden="1">
      <c r="A2685" s="78" t="str">
        <f>IFERROR(__xludf.DUMMYFUNCTION("""COMPUTED_VALUE"""),"The Ruinous Powers")</f>
        <v>The Ruinous Powers</v>
      </c>
      <c r="B2685" s="78" t="str">
        <f>IFERROR(__xludf.DUMMYFUNCTION("""COMPUTED_VALUE"""),"Rebellion Rising")</f>
        <v>Rebellion Rising</v>
      </c>
      <c r="C2685" s="79">
        <f>IFERROR(__xludf.DUMMYFUNCTION("""COMPUTED_VALUE"""),0.0)</f>
        <v>0</v>
      </c>
      <c r="D2685" s="79">
        <f>IFERROR(__xludf.DUMMYFUNCTION("""COMPUTED_VALUE"""),0.0)</f>
        <v>0</v>
      </c>
      <c r="E2685" s="69" t="b">
        <f>IFERROR(__xludf.DUMMYFUNCTION("""COMPUTED_VALUE"""),TRUE)</f>
        <v>1</v>
      </c>
    </row>
    <row r="2686" hidden="1">
      <c r="A2686" s="78" t="str">
        <f>IFERROR(__xludf.DUMMYFUNCTION("""COMPUTED_VALUE"""),"The Ruinous Powers")</f>
        <v>The Ruinous Powers</v>
      </c>
      <c r="B2686" s="78" t="str">
        <f>IFERROR(__xludf.DUMMYFUNCTION("""COMPUTED_VALUE"""),"Revival Trance")</f>
        <v>Revival Trance</v>
      </c>
      <c r="C2686" s="79">
        <f>IFERROR(__xludf.DUMMYFUNCTION("""COMPUTED_VALUE"""),0.0)</f>
        <v>0</v>
      </c>
      <c r="D2686" s="79">
        <f>IFERROR(__xludf.DUMMYFUNCTION("""COMPUTED_VALUE"""),0.0)</f>
        <v>0</v>
      </c>
      <c r="E2686" s="69" t="b">
        <f>IFERROR(__xludf.DUMMYFUNCTION("""COMPUTED_VALUE"""),TRUE)</f>
        <v>1</v>
      </c>
    </row>
    <row r="2687" hidden="1">
      <c r="A2687" s="78" t="str">
        <f>IFERROR(__xludf.DUMMYFUNCTION("""COMPUTED_VALUE"""),"The Ruinous Powers")</f>
        <v>The Ruinous Powers</v>
      </c>
      <c r="B2687" s="78" t="str">
        <f>IFERROR(__xludf.DUMMYFUNCTION("""COMPUTED_VALUE"""),"Riders of Rohan")</f>
        <v>Riders of Rohan</v>
      </c>
      <c r="C2687" s="79">
        <f>IFERROR(__xludf.DUMMYFUNCTION("""COMPUTED_VALUE"""),0.0)</f>
        <v>0</v>
      </c>
      <c r="D2687" s="79">
        <f>IFERROR(__xludf.DUMMYFUNCTION("""COMPUTED_VALUE"""),0.0)</f>
        <v>0</v>
      </c>
      <c r="E2687" s="69" t="b">
        <f>IFERROR(__xludf.DUMMYFUNCTION("""COMPUTED_VALUE"""),TRUE)</f>
        <v>1</v>
      </c>
    </row>
    <row r="2688" hidden="1">
      <c r="A2688" s="78" t="str">
        <f>IFERROR(__xludf.DUMMYFUNCTION("""COMPUTED_VALUE"""),"The Ruinous Powers")</f>
        <v>The Ruinous Powers</v>
      </c>
      <c r="B2688" s="78" t="str">
        <f>IFERROR(__xludf.DUMMYFUNCTION("""COMPUTED_VALUE"""),"Science!")</f>
        <v>Science!</v>
      </c>
      <c r="C2688" s="79">
        <f>IFERROR(__xludf.DUMMYFUNCTION("""COMPUTED_VALUE"""),0.0)</f>
        <v>0</v>
      </c>
      <c r="D2688" s="79">
        <f>IFERROR(__xludf.DUMMYFUNCTION("""COMPUTED_VALUE"""),0.0)</f>
        <v>0</v>
      </c>
      <c r="E2688" s="69" t="b">
        <f>IFERROR(__xludf.DUMMYFUNCTION("""COMPUTED_VALUE"""),TRUE)</f>
        <v>1</v>
      </c>
    </row>
    <row r="2689" hidden="1">
      <c r="A2689" s="78" t="str">
        <f>IFERROR(__xludf.DUMMYFUNCTION("""COMPUTED_VALUE"""),"The Ruinous Powers")</f>
        <v>The Ruinous Powers</v>
      </c>
      <c r="B2689" s="78" t="str">
        <f>IFERROR(__xludf.DUMMYFUNCTION("""COMPUTED_VALUE"""),"Scions &amp; Spellcraft")</f>
        <v>Scions &amp; Spellcraft</v>
      </c>
      <c r="C2689" s="79">
        <f>IFERROR(__xludf.DUMMYFUNCTION("""COMPUTED_VALUE"""),0.0)</f>
        <v>0</v>
      </c>
      <c r="D2689" s="79">
        <f>IFERROR(__xludf.DUMMYFUNCTION("""COMPUTED_VALUE"""),0.0)</f>
        <v>0</v>
      </c>
      <c r="E2689" s="69" t="b">
        <f>IFERROR(__xludf.DUMMYFUNCTION("""COMPUTED_VALUE"""),TRUE)</f>
        <v>1</v>
      </c>
    </row>
    <row r="2690" hidden="1">
      <c r="A2690" s="78" t="str">
        <f>IFERROR(__xludf.DUMMYFUNCTION("""COMPUTED_VALUE"""),"The Ruinous Powers")</f>
        <v>The Ruinous Powers</v>
      </c>
      <c r="B2690" s="78" t="str">
        <f>IFERROR(__xludf.DUMMYFUNCTION("""COMPUTED_VALUE"""),"Scrappy Survivors")</f>
        <v>Scrappy Survivors</v>
      </c>
      <c r="C2690" s="79">
        <f>IFERROR(__xludf.DUMMYFUNCTION("""COMPUTED_VALUE"""),0.0)</f>
        <v>0</v>
      </c>
      <c r="D2690" s="79">
        <f>IFERROR(__xludf.DUMMYFUNCTION("""COMPUTED_VALUE"""),0.0)</f>
        <v>0</v>
      </c>
      <c r="E2690" s="69" t="b">
        <f>IFERROR(__xludf.DUMMYFUNCTION("""COMPUTED_VALUE"""),TRUE)</f>
        <v>1</v>
      </c>
    </row>
    <row r="2691" hidden="1">
      <c r="A2691" s="78" t="str">
        <f>IFERROR(__xludf.DUMMYFUNCTION("""COMPUTED_VALUE"""),"The Ruinous Powers")</f>
        <v>The Ruinous Powers</v>
      </c>
      <c r="B2691" s="78" t="str">
        <f>IFERROR(__xludf.DUMMYFUNCTION("""COMPUTED_VALUE"""),"Silverquill Influence")</f>
        <v>Silverquill Influence</v>
      </c>
      <c r="C2691" s="79">
        <f>IFERROR(__xludf.DUMMYFUNCTION("""COMPUTED_VALUE"""),0.0)</f>
        <v>0</v>
      </c>
      <c r="D2691" s="79">
        <f>IFERROR(__xludf.DUMMYFUNCTION("""COMPUTED_VALUE"""),0.0)</f>
        <v>0</v>
      </c>
      <c r="E2691" s="69" t="b">
        <f>IFERROR(__xludf.DUMMYFUNCTION("""COMPUTED_VALUE"""),TRUE)</f>
        <v>1</v>
      </c>
    </row>
    <row r="2692" hidden="1">
      <c r="A2692" s="78" t="str">
        <f>IFERROR(__xludf.DUMMYFUNCTION("""COMPUTED_VALUE"""),"The Ruinous Powers")</f>
        <v>The Ruinous Powers</v>
      </c>
      <c r="B2692" s="78" t="str">
        <f>IFERROR(__xludf.DUMMYFUNCTION("""COMPUTED_VALUE"""),"Spirit Squadron")</f>
        <v>Spirit Squadron</v>
      </c>
      <c r="C2692" s="79">
        <f>IFERROR(__xludf.DUMMYFUNCTION("""COMPUTED_VALUE"""),0.0)</f>
        <v>0</v>
      </c>
      <c r="D2692" s="79">
        <f>IFERROR(__xludf.DUMMYFUNCTION("""COMPUTED_VALUE"""),0.0)</f>
        <v>0</v>
      </c>
      <c r="E2692" s="69" t="b">
        <f>IFERROR(__xludf.DUMMYFUNCTION("""COMPUTED_VALUE"""),TRUE)</f>
        <v>1</v>
      </c>
    </row>
    <row r="2693" hidden="1">
      <c r="A2693" s="78" t="str">
        <f>IFERROR(__xludf.DUMMYFUNCTION("""COMPUTED_VALUE"""),"The Ruinous Powers")</f>
        <v>The Ruinous Powers</v>
      </c>
      <c r="B2693" s="78" t="str">
        <f>IFERROR(__xludf.DUMMYFUNCTION("""COMPUTED_VALUE"""),"Squirreled Away")</f>
        <v>Squirreled Away</v>
      </c>
      <c r="C2693" s="79">
        <f>IFERROR(__xludf.DUMMYFUNCTION("""COMPUTED_VALUE"""),0.0)</f>
        <v>0</v>
      </c>
      <c r="D2693" s="79">
        <f>IFERROR(__xludf.DUMMYFUNCTION("""COMPUTED_VALUE"""),0.0)</f>
        <v>0</v>
      </c>
      <c r="E2693" s="69" t="b">
        <f>IFERROR(__xludf.DUMMYFUNCTION("""COMPUTED_VALUE"""),TRUE)</f>
        <v>1</v>
      </c>
    </row>
    <row r="2694" hidden="1">
      <c r="A2694" s="78" t="str">
        <f>IFERROR(__xludf.DUMMYFUNCTION("""COMPUTED_VALUE"""),"The Ruinous Powers")</f>
        <v>The Ruinous Powers</v>
      </c>
      <c r="B2694" s="78" t="str">
        <f>IFERROR(__xludf.DUMMYFUNCTION("""COMPUTED_VALUE"""),"Sultai Arisen")</f>
        <v>Sultai Arisen</v>
      </c>
      <c r="C2694" s="79">
        <f>IFERROR(__xludf.DUMMYFUNCTION("""COMPUTED_VALUE"""),0.0)</f>
        <v>0</v>
      </c>
      <c r="D2694" s="79">
        <f>IFERROR(__xludf.DUMMYFUNCTION("""COMPUTED_VALUE"""),0.0)</f>
        <v>0</v>
      </c>
      <c r="E2694" s="69" t="b">
        <f>IFERROR(__xludf.DUMMYFUNCTION("""COMPUTED_VALUE"""),TRUE)</f>
        <v>1</v>
      </c>
    </row>
    <row r="2695" hidden="1">
      <c r="A2695" s="78" t="str">
        <f>IFERROR(__xludf.DUMMYFUNCTION("""COMPUTED_VALUE"""),"The Ruinous Powers")</f>
        <v>The Ruinous Powers</v>
      </c>
      <c r="B2695" s="78" t="str">
        <f>IFERROR(__xludf.DUMMYFUNCTION("""COMPUTED_VALUE"""),"Temur Roar")</f>
        <v>Temur Roar</v>
      </c>
      <c r="C2695" s="79">
        <f>IFERROR(__xludf.DUMMYFUNCTION("""COMPUTED_VALUE"""),0.0)</f>
        <v>0</v>
      </c>
      <c r="D2695" s="79">
        <f>IFERROR(__xludf.DUMMYFUNCTION("""COMPUTED_VALUE"""),0.0)</f>
        <v>0</v>
      </c>
      <c r="E2695" s="69" t="b">
        <f>IFERROR(__xludf.DUMMYFUNCTION("""COMPUTED_VALUE"""),TRUE)</f>
        <v>1</v>
      </c>
    </row>
    <row r="2696" hidden="1">
      <c r="A2696" s="78" t="str">
        <f>IFERROR(__xludf.DUMMYFUNCTION("""COMPUTED_VALUE"""),"The Ruinous Powers")</f>
        <v>The Ruinous Powers</v>
      </c>
      <c r="B2696" s="78" t="str">
        <f>IFERROR(__xludf.DUMMYFUNCTION("""COMPUTED_VALUE"""),"The Hosts of Mordor")</f>
        <v>The Hosts of Mordor</v>
      </c>
      <c r="C2696" s="79">
        <f>IFERROR(__xludf.DUMMYFUNCTION("""COMPUTED_VALUE"""),0.0)</f>
        <v>0</v>
      </c>
      <c r="D2696" s="79">
        <f>IFERROR(__xludf.DUMMYFUNCTION("""COMPUTED_VALUE"""),0.0)</f>
        <v>0</v>
      </c>
      <c r="E2696" s="69" t="b">
        <f>IFERROR(__xludf.DUMMYFUNCTION("""COMPUTED_VALUE"""),TRUE)</f>
        <v>1</v>
      </c>
    </row>
    <row r="2697" hidden="1">
      <c r="A2697" s="78" t="str">
        <f>IFERROR(__xludf.DUMMYFUNCTION("""COMPUTED_VALUE"""),"The Ruinous Powers")</f>
        <v>The Ruinous Powers</v>
      </c>
      <c r="B2697" s="78" t="str">
        <f>IFERROR(__xludf.DUMMYFUNCTION("""COMPUTED_VALUE"""),"The Ruinous Powers")</f>
        <v>The Ruinous Powers</v>
      </c>
      <c r="C2697" s="79">
        <f>IFERROR(__xludf.DUMMYFUNCTION("""COMPUTED_VALUE"""),0.0)</f>
        <v>0</v>
      </c>
      <c r="D2697" s="79">
        <f>IFERROR(__xludf.DUMMYFUNCTION("""COMPUTED_VALUE"""),0.0)</f>
        <v>0</v>
      </c>
      <c r="E2697" s="69" t="b">
        <f>IFERROR(__xludf.DUMMYFUNCTION("""COMPUTED_VALUE"""),TRUE)</f>
        <v>1</v>
      </c>
    </row>
    <row r="2698" hidden="1">
      <c r="A2698" s="78" t="str">
        <f>IFERROR(__xludf.DUMMYFUNCTION("""COMPUTED_VALUE"""),"The Ruinous Powers")</f>
        <v>The Ruinous Powers</v>
      </c>
      <c r="B2698" s="78" t="str">
        <f>IFERROR(__xludf.DUMMYFUNCTION("""COMPUTED_VALUE"""),"Timey-Wimey")</f>
        <v>Timey-Wimey</v>
      </c>
      <c r="C2698" s="79">
        <f>IFERROR(__xludf.DUMMYFUNCTION("""COMPUTED_VALUE"""),0.0)</f>
        <v>0</v>
      </c>
      <c r="D2698" s="79">
        <f>IFERROR(__xludf.DUMMYFUNCTION("""COMPUTED_VALUE"""),0.0)</f>
        <v>0</v>
      </c>
      <c r="E2698" s="69" t="b">
        <f>IFERROR(__xludf.DUMMYFUNCTION("""COMPUTED_VALUE"""),TRUE)</f>
        <v>1</v>
      </c>
    </row>
    <row r="2699" hidden="1">
      <c r="A2699" s="78" t="str">
        <f>IFERROR(__xludf.DUMMYFUNCTION("""COMPUTED_VALUE"""),"The Ruinous Powers")</f>
        <v>The Ruinous Powers</v>
      </c>
      <c r="B2699" s="78" t="str">
        <f>IFERROR(__xludf.DUMMYFUNCTION("""COMPUTED_VALUE"""),"Tinker Time")</f>
        <v>Tinker Time</v>
      </c>
      <c r="C2699" s="79">
        <f>IFERROR(__xludf.DUMMYFUNCTION("""COMPUTED_VALUE"""),0.0)</f>
        <v>0</v>
      </c>
      <c r="D2699" s="79">
        <f>IFERROR(__xludf.DUMMYFUNCTION("""COMPUTED_VALUE"""),0.0)</f>
        <v>0</v>
      </c>
      <c r="E2699" s="69" t="b">
        <f>IFERROR(__xludf.DUMMYFUNCTION("""COMPUTED_VALUE"""),TRUE)</f>
        <v>1</v>
      </c>
    </row>
    <row r="2700" hidden="1">
      <c r="A2700" s="78" t="str">
        <f>IFERROR(__xludf.DUMMYFUNCTION("""COMPUTED_VALUE"""),"The Ruinous Powers")</f>
        <v>The Ruinous Powers</v>
      </c>
      <c r="B2700" s="78" t="str">
        <f>IFERROR(__xludf.DUMMYFUNCTION("""COMPUTED_VALUE"""),"Turtle Power!")</f>
        <v>Turtle Power!</v>
      </c>
      <c r="C2700" s="79">
        <f>IFERROR(__xludf.DUMMYFUNCTION("""COMPUTED_VALUE"""),0.0)</f>
        <v>0</v>
      </c>
      <c r="D2700" s="79">
        <f>IFERROR(__xludf.DUMMYFUNCTION("""COMPUTED_VALUE"""),0.0)</f>
        <v>0</v>
      </c>
      <c r="E2700" s="69" t="b">
        <f>IFERROR(__xludf.DUMMYFUNCTION("""COMPUTED_VALUE"""),TRUE)</f>
        <v>1</v>
      </c>
    </row>
    <row r="2701" hidden="1">
      <c r="A2701" s="78" t="str">
        <f>IFERROR(__xludf.DUMMYFUNCTION("""COMPUTED_VALUE"""),"The Ruinous Powers")</f>
        <v>The Ruinous Powers</v>
      </c>
      <c r="B2701" s="78" t="str">
        <f>IFERROR(__xludf.DUMMYFUNCTION("""COMPUTED_VALUE"""),"Veloci-ramp-tor")</f>
        <v>Veloci-ramp-tor</v>
      </c>
      <c r="C2701" s="79">
        <f>IFERROR(__xludf.DUMMYFUNCTION("""COMPUTED_VALUE"""),0.0)</f>
        <v>0</v>
      </c>
      <c r="D2701" s="79">
        <f>IFERROR(__xludf.DUMMYFUNCTION("""COMPUTED_VALUE"""),0.0)</f>
        <v>0</v>
      </c>
      <c r="E2701" s="69" t="b">
        <f>IFERROR(__xludf.DUMMYFUNCTION("""COMPUTED_VALUE"""),TRUE)</f>
        <v>1</v>
      </c>
    </row>
    <row r="2702" hidden="1">
      <c r="A2702" s="78" t="str">
        <f>IFERROR(__xludf.DUMMYFUNCTION("""COMPUTED_VALUE"""),"Timey-Wimey")</f>
        <v>Timey-Wimey</v>
      </c>
      <c r="B2702" s="78" t="str">
        <f>IFERROR(__xludf.DUMMYFUNCTION("""COMPUTED_VALUE"""),"Ahoy Mateys")</f>
        <v>Ahoy Mateys</v>
      </c>
      <c r="C2702" s="79">
        <f>IFERROR(__xludf.DUMMYFUNCTION("""COMPUTED_VALUE"""),0.0)</f>
        <v>0</v>
      </c>
      <c r="D2702" s="79">
        <f>IFERROR(__xludf.DUMMYFUNCTION("""COMPUTED_VALUE"""),0.0)</f>
        <v>0</v>
      </c>
      <c r="E2702" s="69" t="b">
        <f>IFERROR(__xludf.DUMMYFUNCTION("""COMPUTED_VALUE"""),TRUE)</f>
        <v>1</v>
      </c>
    </row>
    <row r="2703" hidden="1">
      <c r="A2703" s="78" t="str">
        <f>IFERROR(__xludf.DUMMYFUNCTION("""COMPUTED_VALUE"""),"Timey-Wimey")</f>
        <v>Timey-Wimey</v>
      </c>
      <c r="B2703" s="78" t="str">
        <f>IFERROR(__xludf.DUMMYFUNCTION("""COMPUTED_VALUE"""),"Animated Army")</f>
        <v>Animated Army</v>
      </c>
      <c r="C2703" s="79">
        <f>IFERROR(__xludf.DUMMYFUNCTION("""COMPUTED_VALUE"""),0.0)</f>
        <v>0</v>
      </c>
      <c r="D2703" s="79">
        <f>IFERROR(__xludf.DUMMYFUNCTION("""COMPUTED_VALUE"""),0.0)</f>
        <v>0</v>
      </c>
      <c r="E2703" s="69" t="b">
        <f>IFERROR(__xludf.DUMMYFUNCTION("""COMPUTED_VALUE"""),TRUE)</f>
        <v>1</v>
      </c>
    </row>
    <row r="2704" hidden="1">
      <c r="A2704" s="78" t="str">
        <f>IFERROR(__xludf.DUMMYFUNCTION("""COMPUTED_VALUE"""),"Timey-Wimey")</f>
        <v>Timey-Wimey</v>
      </c>
      <c r="B2704" s="78" t="str">
        <f>IFERROR(__xludf.DUMMYFUNCTION("""COMPUTED_VALUE"""),"Arcane Maelstrom")</f>
        <v>Arcane Maelstrom</v>
      </c>
      <c r="C2704" s="79">
        <f>IFERROR(__xludf.DUMMYFUNCTION("""COMPUTED_VALUE"""),0.0)</f>
        <v>0</v>
      </c>
      <c r="D2704" s="79">
        <f>IFERROR(__xludf.DUMMYFUNCTION("""COMPUTED_VALUE"""),0.0)</f>
        <v>0</v>
      </c>
      <c r="E2704" s="69" t="b">
        <f>IFERROR(__xludf.DUMMYFUNCTION("""COMPUTED_VALUE"""),TRUE)</f>
        <v>1</v>
      </c>
    </row>
    <row r="2705" hidden="1">
      <c r="A2705" s="78" t="str">
        <f>IFERROR(__xludf.DUMMYFUNCTION("""COMPUTED_VALUE"""),"Timey-Wimey")</f>
        <v>Timey-Wimey</v>
      </c>
      <c r="B2705" s="78" t="str">
        <f>IFERROR(__xludf.DUMMYFUNCTION("""COMPUTED_VALUE"""),"Blame Game")</f>
        <v>Blame Game</v>
      </c>
      <c r="C2705" s="79">
        <f>IFERROR(__xludf.DUMMYFUNCTION("""COMPUTED_VALUE"""),0.0)</f>
        <v>0</v>
      </c>
      <c r="D2705" s="79">
        <f>IFERROR(__xludf.DUMMYFUNCTION("""COMPUTED_VALUE"""),0.0)</f>
        <v>0</v>
      </c>
      <c r="E2705" s="69" t="b">
        <f>IFERROR(__xludf.DUMMYFUNCTION("""COMPUTED_VALUE"""),TRUE)</f>
        <v>1</v>
      </c>
    </row>
    <row r="2706" hidden="1">
      <c r="A2706" s="78" t="str">
        <f>IFERROR(__xludf.DUMMYFUNCTION("""COMPUTED_VALUE"""),"Timey-Wimey")</f>
        <v>Timey-Wimey</v>
      </c>
      <c r="B2706" s="78" t="str">
        <f>IFERROR(__xludf.DUMMYFUNCTION("""COMPUTED_VALUE"""),"Blight Curse")</f>
        <v>Blight Curse</v>
      </c>
      <c r="C2706" s="79">
        <f>IFERROR(__xludf.DUMMYFUNCTION("""COMPUTED_VALUE"""),0.0)</f>
        <v>0</v>
      </c>
      <c r="D2706" s="79">
        <f>IFERROR(__xludf.DUMMYFUNCTION("""COMPUTED_VALUE"""),0.0)</f>
        <v>0</v>
      </c>
      <c r="E2706" s="69" t="b">
        <f>IFERROR(__xludf.DUMMYFUNCTION("""COMPUTED_VALUE"""),TRUE)</f>
        <v>1</v>
      </c>
    </row>
    <row r="2707" hidden="1">
      <c r="A2707" s="78" t="str">
        <f>IFERROR(__xludf.DUMMYFUNCTION("""COMPUTED_VALUE"""),"Timey-Wimey")</f>
        <v>Timey-Wimey</v>
      </c>
      <c r="B2707" s="78" t="str">
        <f>IFERROR(__xludf.DUMMYFUNCTION("""COMPUTED_VALUE"""),"Blood Rites")</f>
        <v>Blood Rites</v>
      </c>
      <c r="C2707" s="79">
        <f>IFERROR(__xludf.DUMMYFUNCTION("""COMPUTED_VALUE"""),0.0)</f>
        <v>0</v>
      </c>
      <c r="D2707" s="79">
        <f>IFERROR(__xludf.DUMMYFUNCTION("""COMPUTED_VALUE"""),0.0)</f>
        <v>0</v>
      </c>
      <c r="E2707" s="69" t="b">
        <f>IFERROR(__xludf.DUMMYFUNCTION("""COMPUTED_VALUE"""),TRUE)</f>
        <v>1</v>
      </c>
    </row>
    <row r="2708" hidden="1">
      <c r="A2708" s="78" t="str">
        <f>IFERROR(__xludf.DUMMYFUNCTION("""COMPUTED_VALUE"""),"Timey-Wimey")</f>
        <v>Timey-Wimey</v>
      </c>
      <c r="B2708" s="78" t="str">
        <f>IFERROR(__xludf.DUMMYFUNCTION("""COMPUTED_VALUE"""),"Buckle Up")</f>
        <v>Buckle Up</v>
      </c>
      <c r="C2708" s="79">
        <f>IFERROR(__xludf.DUMMYFUNCTION("""COMPUTED_VALUE"""),0.0)</f>
        <v>0</v>
      </c>
      <c r="D2708" s="79">
        <f>IFERROR(__xludf.DUMMYFUNCTION("""COMPUTED_VALUE"""),0.0)</f>
        <v>0</v>
      </c>
      <c r="E2708" s="69" t="b">
        <f>IFERROR(__xludf.DUMMYFUNCTION("""COMPUTED_VALUE"""),TRUE)</f>
        <v>1</v>
      </c>
    </row>
    <row r="2709" hidden="1">
      <c r="A2709" s="78" t="str">
        <f>IFERROR(__xludf.DUMMYFUNCTION("""COMPUTED_VALUE"""),"Timey-Wimey")</f>
        <v>Timey-Wimey</v>
      </c>
      <c r="B2709" s="78" t="str">
        <f>IFERROR(__xludf.DUMMYFUNCTION("""COMPUTED_VALUE"""),"Cabaretti Cacophony")</f>
        <v>Cabaretti Cacophony</v>
      </c>
      <c r="C2709" s="79">
        <f>IFERROR(__xludf.DUMMYFUNCTION("""COMPUTED_VALUE"""),0.0)</f>
        <v>0</v>
      </c>
      <c r="D2709" s="79">
        <f>IFERROR(__xludf.DUMMYFUNCTION("""COMPUTED_VALUE"""),0.0)</f>
        <v>0</v>
      </c>
      <c r="E2709" s="69" t="b">
        <f>IFERROR(__xludf.DUMMYFUNCTION("""COMPUTED_VALUE"""),TRUE)</f>
        <v>1</v>
      </c>
    </row>
    <row r="2710">
      <c r="A2710" s="78" t="str">
        <f>IFERROR(__xludf.DUMMYFUNCTION("""COMPUTED_VALUE"""),"Timey-Wimey")</f>
        <v>Timey-Wimey</v>
      </c>
      <c r="B2710" s="78" t="str">
        <f>IFERROR(__xludf.DUMMYFUNCTION("""COMPUTED_VALUE"""),"Cavalry Charge")</f>
        <v>Cavalry Charge</v>
      </c>
      <c r="C2710" s="79">
        <f>IFERROR(__xludf.DUMMYFUNCTION("""COMPUTED_VALUE"""),0.0)</f>
        <v>0</v>
      </c>
      <c r="D2710" s="79">
        <f>IFERROR(__xludf.DUMMYFUNCTION("""COMPUTED_VALUE"""),0.0)</f>
        <v>0</v>
      </c>
      <c r="E2710" s="69" t="b">
        <f>IFERROR(__xludf.DUMMYFUNCTION("""COMPUTED_VALUE"""),TRUE)</f>
        <v>1</v>
      </c>
    </row>
    <row r="2711" hidden="1">
      <c r="A2711" s="78" t="str">
        <f>IFERROR(__xludf.DUMMYFUNCTION("""COMPUTED_VALUE"""),"Timey-Wimey")</f>
        <v>Timey-Wimey</v>
      </c>
      <c r="B2711" s="78" t="str">
        <f>IFERROR(__xludf.DUMMYFUNCTION("""COMPUTED_VALUE"""),"Corrupting Influence")</f>
        <v>Corrupting Influence</v>
      </c>
      <c r="C2711" s="79">
        <f>IFERROR(__xludf.DUMMYFUNCTION("""COMPUTED_VALUE"""),0.0)</f>
        <v>0</v>
      </c>
      <c r="D2711" s="79">
        <f>IFERROR(__xludf.DUMMYFUNCTION("""COMPUTED_VALUE"""),0.0)</f>
        <v>0</v>
      </c>
      <c r="E2711" s="69" t="b">
        <f>IFERROR(__xludf.DUMMYFUNCTION("""COMPUTED_VALUE"""),TRUE)</f>
        <v>1</v>
      </c>
    </row>
    <row r="2712" hidden="1">
      <c r="A2712" s="78" t="str">
        <f>IFERROR(__xludf.DUMMYFUNCTION("""COMPUTED_VALUE"""),"Timey-Wimey")</f>
        <v>Timey-Wimey</v>
      </c>
      <c r="B2712" s="78" t="str">
        <f>IFERROR(__xludf.DUMMYFUNCTION("""COMPUTED_VALUE"""),"Counter Blitz")</f>
        <v>Counter Blitz</v>
      </c>
      <c r="C2712" s="79">
        <f>IFERROR(__xludf.DUMMYFUNCTION("""COMPUTED_VALUE"""),0.0)</f>
        <v>0</v>
      </c>
      <c r="D2712" s="79">
        <f>IFERROR(__xludf.DUMMYFUNCTION("""COMPUTED_VALUE"""),0.0)</f>
        <v>0</v>
      </c>
      <c r="E2712" s="69" t="b">
        <f>IFERROR(__xludf.DUMMYFUNCTION("""COMPUTED_VALUE"""),TRUE)</f>
        <v>1</v>
      </c>
    </row>
    <row r="2713" hidden="1">
      <c r="A2713" s="78" t="str">
        <f>IFERROR(__xludf.DUMMYFUNCTION("""COMPUTED_VALUE"""),"Timey-Wimey")</f>
        <v>Timey-Wimey</v>
      </c>
      <c r="B2713" s="78" t="str">
        <f>IFERROR(__xludf.DUMMYFUNCTION("""COMPUTED_VALUE"""),"Counter Intelligence")</f>
        <v>Counter Intelligence</v>
      </c>
      <c r="C2713" s="79">
        <f>IFERROR(__xludf.DUMMYFUNCTION("""COMPUTED_VALUE"""),0.0)</f>
        <v>0</v>
      </c>
      <c r="D2713" s="79">
        <f>IFERROR(__xludf.DUMMYFUNCTION("""COMPUTED_VALUE"""),0.0)</f>
        <v>0</v>
      </c>
      <c r="E2713" s="69" t="b">
        <f>IFERROR(__xludf.DUMMYFUNCTION("""COMPUTED_VALUE"""),TRUE)</f>
        <v>1</v>
      </c>
    </row>
    <row r="2714" hidden="1">
      <c r="A2714" s="78" t="str">
        <f>IFERROR(__xludf.DUMMYFUNCTION("""COMPUTED_VALUE"""),"Timey-Wimey")</f>
        <v>Timey-Wimey</v>
      </c>
      <c r="B2714" s="78" t="str">
        <f>IFERROR(__xludf.DUMMYFUNCTION("""COMPUTED_VALUE"""),"Creative Energy")</f>
        <v>Creative Energy</v>
      </c>
      <c r="C2714" s="79">
        <f>IFERROR(__xludf.DUMMYFUNCTION("""COMPUTED_VALUE"""),0.0)</f>
        <v>0</v>
      </c>
      <c r="D2714" s="79">
        <f>IFERROR(__xludf.DUMMYFUNCTION("""COMPUTED_VALUE"""),0.0)</f>
        <v>0</v>
      </c>
      <c r="E2714" s="69" t="b">
        <f>IFERROR(__xludf.DUMMYFUNCTION("""COMPUTED_VALUE"""),TRUE)</f>
        <v>1</v>
      </c>
    </row>
    <row r="2715" hidden="1">
      <c r="A2715" s="78" t="str">
        <f>IFERROR(__xludf.DUMMYFUNCTION("""COMPUTED_VALUE"""),"Timey-Wimey")</f>
        <v>Timey-Wimey</v>
      </c>
      <c r="B2715" s="78" t="str">
        <f>IFERROR(__xludf.DUMMYFUNCTION("""COMPUTED_VALUE"""),"Dance of the Elements")</f>
        <v>Dance of the Elements</v>
      </c>
      <c r="C2715" s="79">
        <f>IFERROR(__xludf.DUMMYFUNCTION("""COMPUTED_VALUE"""),0.0)</f>
        <v>0</v>
      </c>
      <c r="D2715" s="79">
        <f>IFERROR(__xludf.DUMMYFUNCTION("""COMPUTED_VALUE"""),1.0)</f>
        <v>1</v>
      </c>
      <c r="E2715" s="69" t="b">
        <f>IFERROR(__xludf.DUMMYFUNCTION("""COMPUTED_VALUE"""),FALSE)</f>
        <v>0</v>
      </c>
    </row>
    <row r="2716" hidden="1">
      <c r="A2716" s="78" t="str">
        <f>IFERROR(__xludf.DUMMYFUNCTION("""COMPUTED_VALUE"""),"Timey-Wimey")</f>
        <v>Timey-Wimey</v>
      </c>
      <c r="B2716" s="78" t="str">
        <f>IFERROR(__xludf.DUMMYFUNCTION("""COMPUTED_VALUE"""),"Deep Clue Sea")</f>
        <v>Deep Clue Sea</v>
      </c>
      <c r="C2716" s="79">
        <f>IFERROR(__xludf.DUMMYFUNCTION("""COMPUTED_VALUE"""),0.0)</f>
        <v>0</v>
      </c>
      <c r="D2716" s="79">
        <f>IFERROR(__xludf.DUMMYFUNCTION("""COMPUTED_VALUE"""),0.0)</f>
        <v>0</v>
      </c>
      <c r="E2716" s="69" t="b">
        <f>IFERROR(__xludf.DUMMYFUNCTION("""COMPUTED_VALUE"""),TRUE)</f>
        <v>1</v>
      </c>
    </row>
    <row r="2717" hidden="1">
      <c r="A2717" s="78" t="str">
        <f>IFERROR(__xludf.DUMMYFUNCTION("""COMPUTED_VALUE"""),"Timey-Wimey")</f>
        <v>Timey-Wimey</v>
      </c>
      <c r="B2717" s="78" t="str">
        <f>IFERROR(__xludf.DUMMYFUNCTION("""COMPUTED_VALUE"""),"Doom Prevails")</f>
        <v>Doom Prevails</v>
      </c>
      <c r="C2717" s="79">
        <f>IFERROR(__xludf.DUMMYFUNCTION("""COMPUTED_VALUE"""),0.0)</f>
        <v>0</v>
      </c>
      <c r="D2717" s="79">
        <f>IFERROR(__xludf.DUMMYFUNCTION("""COMPUTED_VALUE"""),0.0)</f>
        <v>0</v>
      </c>
      <c r="E2717" s="69" t="b">
        <f>IFERROR(__xludf.DUMMYFUNCTION("""COMPUTED_VALUE"""),TRUE)</f>
        <v>1</v>
      </c>
    </row>
    <row r="2718" hidden="1">
      <c r="A2718" s="78" t="str">
        <f>IFERROR(__xludf.DUMMYFUNCTION("""COMPUTED_VALUE"""),"Timey-Wimey")</f>
        <v>Timey-Wimey</v>
      </c>
      <c r="B2718" s="78" t="str">
        <f>IFERROR(__xludf.DUMMYFUNCTION("""COMPUTED_VALUE"""),"Eldrazi Incursion")</f>
        <v>Eldrazi Incursion</v>
      </c>
      <c r="C2718" s="79">
        <f>IFERROR(__xludf.DUMMYFUNCTION("""COMPUTED_VALUE"""),0.0)</f>
        <v>0</v>
      </c>
      <c r="D2718" s="79">
        <f>IFERROR(__xludf.DUMMYFUNCTION("""COMPUTED_VALUE"""),0.0)</f>
        <v>0</v>
      </c>
      <c r="E2718" s="69" t="b">
        <f>IFERROR(__xludf.DUMMYFUNCTION("""COMPUTED_VALUE"""),TRUE)</f>
        <v>1</v>
      </c>
    </row>
    <row r="2719">
      <c r="A2719" s="78" t="str">
        <f>IFERROR(__xludf.DUMMYFUNCTION("""COMPUTED_VALUE"""),"Timey-Wimey")</f>
        <v>Timey-Wimey</v>
      </c>
      <c r="B2719" s="78" t="str">
        <f>IFERROR(__xludf.DUMMYFUNCTION("""COMPUTED_VALUE"""),"Eldrazi Unbound")</f>
        <v>Eldrazi Unbound</v>
      </c>
      <c r="C2719" s="79">
        <f>IFERROR(__xludf.DUMMYFUNCTION("""COMPUTED_VALUE"""),0.0)</f>
        <v>0</v>
      </c>
      <c r="D2719" s="79">
        <f>IFERROR(__xludf.DUMMYFUNCTION("""COMPUTED_VALUE"""),0.0)</f>
        <v>0</v>
      </c>
      <c r="E2719" s="69" t="b">
        <f>IFERROR(__xludf.DUMMYFUNCTION("""COMPUTED_VALUE"""),TRUE)</f>
        <v>1</v>
      </c>
    </row>
    <row r="2720" hidden="1">
      <c r="A2720" s="78" t="str">
        <f>IFERROR(__xludf.DUMMYFUNCTION("""COMPUTED_VALUE"""),"Timey-Wimey")</f>
        <v>Timey-Wimey</v>
      </c>
      <c r="B2720" s="78" t="str">
        <f>IFERROR(__xludf.DUMMYFUNCTION("""COMPUTED_VALUE"""),"Endless Punishment")</f>
        <v>Endless Punishment</v>
      </c>
      <c r="C2720" s="79">
        <f>IFERROR(__xludf.DUMMYFUNCTION("""COMPUTED_VALUE"""),0.0)</f>
        <v>0</v>
      </c>
      <c r="D2720" s="79">
        <f>IFERROR(__xludf.DUMMYFUNCTION("""COMPUTED_VALUE"""),0.0)</f>
        <v>0</v>
      </c>
      <c r="E2720" s="69" t="b">
        <f>IFERROR(__xludf.DUMMYFUNCTION("""COMPUTED_VALUE"""),TRUE)</f>
        <v>1</v>
      </c>
    </row>
    <row r="2721" hidden="1">
      <c r="A2721" s="78" t="str">
        <f>IFERROR(__xludf.DUMMYFUNCTION("""COMPUTED_VALUE"""),"Timey-Wimey")</f>
        <v>Timey-Wimey</v>
      </c>
      <c r="B2721" s="78" t="str">
        <f>IFERROR(__xludf.DUMMYFUNCTION("""COMPUTED_VALUE"""),"Enduring Enchantments")</f>
        <v>Enduring Enchantments</v>
      </c>
      <c r="C2721" s="79">
        <f>IFERROR(__xludf.DUMMYFUNCTION("""COMPUTED_VALUE"""),0.0)</f>
        <v>0</v>
      </c>
      <c r="D2721" s="79">
        <f>IFERROR(__xludf.DUMMYFUNCTION("""COMPUTED_VALUE"""),0.0)</f>
        <v>0</v>
      </c>
      <c r="E2721" s="69" t="b">
        <f>IFERROR(__xludf.DUMMYFUNCTION("""COMPUTED_VALUE"""),TRUE)</f>
        <v>1</v>
      </c>
    </row>
    <row r="2722" hidden="1">
      <c r="A2722" s="78" t="str">
        <f>IFERROR(__xludf.DUMMYFUNCTION("""COMPUTED_VALUE"""),"Timey-Wimey")</f>
        <v>Timey-Wimey</v>
      </c>
      <c r="B2722" s="78" t="str">
        <f>IFERROR(__xludf.DUMMYFUNCTION("""COMPUTED_VALUE"""),"Explorers of the Deep")</f>
        <v>Explorers of the Deep</v>
      </c>
      <c r="C2722" s="79">
        <f>IFERROR(__xludf.DUMMYFUNCTION("""COMPUTED_VALUE"""),0.0)</f>
        <v>0</v>
      </c>
      <c r="D2722" s="79">
        <f>IFERROR(__xludf.DUMMYFUNCTION("""COMPUTED_VALUE"""),0.0)</f>
        <v>0</v>
      </c>
      <c r="E2722" s="69" t="b">
        <f>IFERROR(__xludf.DUMMYFUNCTION("""COMPUTED_VALUE"""),TRUE)</f>
        <v>1</v>
      </c>
    </row>
    <row r="2723" hidden="1">
      <c r="A2723" s="78" t="str">
        <f>IFERROR(__xludf.DUMMYFUNCTION("""COMPUTED_VALUE"""),"Timey-Wimey")</f>
        <v>Timey-Wimey</v>
      </c>
      <c r="B2723" s="78" t="str">
        <f>IFERROR(__xludf.DUMMYFUNCTION("""COMPUTED_VALUE"""),"Family Matters")</f>
        <v>Family Matters</v>
      </c>
      <c r="C2723" s="79">
        <f>IFERROR(__xludf.DUMMYFUNCTION("""COMPUTED_VALUE"""),0.0)</f>
        <v>0</v>
      </c>
      <c r="D2723" s="79">
        <f>IFERROR(__xludf.DUMMYFUNCTION("""COMPUTED_VALUE"""),0.0)</f>
        <v>0</v>
      </c>
      <c r="E2723" s="69" t="b">
        <f>IFERROR(__xludf.DUMMYFUNCTION("""COMPUTED_VALUE"""),TRUE)</f>
        <v>1</v>
      </c>
    </row>
    <row r="2724" hidden="1">
      <c r="A2724" s="78" t="str">
        <f>IFERROR(__xludf.DUMMYFUNCTION("""COMPUTED_VALUE"""),"Timey-Wimey")</f>
        <v>Timey-Wimey</v>
      </c>
      <c r="B2724" s="78" t="str">
        <f>IFERROR(__xludf.DUMMYFUNCTION("""COMPUTED_VALUE"""),"Food and Fellowship")</f>
        <v>Food and Fellowship</v>
      </c>
      <c r="C2724" s="79">
        <f>IFERROR(__xludf.DUMMYFUNCTION("""COMPUTED_VALUE"""),0.0)</f>
        <v>0</v>
      </c>
      <c r="D2724" s="79">
        <f>IFERROR(__xludf.DUMMYFUNCTION("""COMPUTED_VALUE"""),0.0)</f>
        <v>0</v>
      </c>
      <c r="E2724" s="69" t="b">
        <f>IFERROR(__xludf.DUMMYFUNCTION("""COMPUTED_VALUE"""),TRUE)</f>
        <v>1</v>
      </c>
    </row>
    <row r="2725" hidden="1">
      <c r="A2725" s="78" t="str">
        <f>IFERROR(__xludf.DUMMYFUNCTION("""COMPUTED_VALUE"""),"Timey-Wimey")</f>
        <v>Timey-Wimey</v>
      </c>
      <c r="B2725" s="78" t="str">
        <f>IFERROR(__xludf.DUMMYFUNCTION("""COMPUTED_VALUE"""),"Jeskai Striker")</f>
        <v>Jeskai Striker</v>
      </c>
      <c r="C2725" s="79">
        <f>IFERROR(__xludf.DUMMYFUNCTION("""COMPUTED_VALUE"""),0.0)</f>
        <v>0</v>
      </c>
      <c r="D2725" s="79">
        <f>IFERROR(__xludf.DUMMYFUNCTION("""COMPUTED_VALUE"""),0.0)</f>
        <v>0</v>
      </c>
      <c r="E2725" s="69" t="b">
        <f>IFERROR(__xludf.DUMMYFUNCTION("""COMPUTED_VALUE"""),TRUE)</f>
        <v>1</v>
      </c>
    </row>
    <row r="2726" hidden="1">
      <c r="A2726" s="78" t="str">
        <f>IFERROR(__xludf.DUMMYFUNCTION("""COMPUTED_VALUE"""),"Timey-Wimey")</f>
        <v>Timey-Wimey</v>
      </c>
      <c r="B2726" s="78" t="str">
        <f>IFERROR(__xludf.DUMMYFUNCTION("""COMPUTED_VALUE"""),"Legends' Legacy")</f>
        <v>Legends' Legacy</v>
      </c>
      <c r="C2726" s="79">
        <f>IFERROR(__xludf.DUMMYFUNCTION("""COMPUTED_VALUE"""),0.0)</f>
        <v>0</v>
      </c>
      <c r="D2726" s="79">
        <f>IFERROR(__xludf.DUMMYFUNCTION("""COMPUTED_VALUE"""),0.0)</f>
        <v>0</v>
      </c>
      <c r="E2726" s="69" t="b">
        <f>IFERROR(__xludf.DUMMYFUNCTION("""COMPUTED_VALUE"""),TRUE)</f>
        <v>1</v>
      </c>
    </row>
    <row r="2727" hidden="1">
      <c r="A2727" s="78" t="str">
        <f>IFERROR(__xludf.DUMMYFUNCTION("""COMPUTED_VALUE"""),"Timey-Wimey")</f>
        <v>Timey-Wimey</v>
      </c>
      <c r="B2727" s="78" t="str">
        <f>IFERROR(__xludf.DUMMYFUNCTION("""COMPUTED_VALUE"""),"Limit Break")</f>
        <v>Limit Break</v>
      </c>
      <c r="C2727" s="79">
        <f>IFERROR(__xludf.DUMMYFUNCTION("""COMPUTED_VALUE"""),0.0)</f>
        <v>0</v>
      </c>
      <c r="D2727" s="79">
        <f>IFERROR(__xludf.DUMMYFUNCTION("""COMPUTED_VALUE"""),0.0)</f>
        <v>0</v>
      </c>
      <c r="E2727" s="69" t="b">
        <f>IFERROR(__xludf.DUMMYFUNCTION("""COMPUTED_VALUE"""),TRUE)</f>
        <v>1</v>
      </c>
    </row>
    <row r="2728" hidden="1">
      <c r="A2728" s="78" t="str">
        <f>IFERROR(__xludf.DUMMYFUNCTION("""COMPUTED_VALUE"""),"Timey-Wimey")</f>
        <v>Timey-Wimey</v>
      </c>
      <c r="B2728" s="78" t="str">
        <f>IFERROR(__xludf.DUMMYFUNCTION("""COMPUTED_VALUE"""),"Lorehold Spirit")</f>
        <v>Lorehold Spirit</v>
      </c>
      <c r="C2728" s="79">
        <f>IFERROR(__xludf.DUMMYFUNCTION("""COMPUTED_VALUE"""),0.0)</f>
        <v>0</v>
      </c>
      <c r="D2728" s="79">
        <f>IFERROR(__xludf.DUMMYFUNCTION("""COMPUTED_VALUE"""),0.0)</f>
        <v>0</v>
      </c>
      <c r="E2728" s="69" t="b">
        <f>IFERROR(__xludf.DUMMYFUNCTION("""COMPUTED_VALUE"""),TRUE)</f>
        <v>1</v>
      </c>
    </row>
    <row r="2729" hidden="1">
      <c r="A2729" s="78" t="str">
        <f>IFERROR(__xludf.DUMMYFUNCTION("""COMPUTED_VALUE"""),"Timey-Wimey")</f>
        <v>Timey-Wimey</v>
      </c>
      <c r="B2729" s="78" t="str">
        <f>IFERROR(__xludf.DUMMYFUNCTION("""COMPUTED_VALUE"""),"Mutant Menace")</f>
        <v>Mutant Menace</v>
      </c>
      <c r="C2729" s="79">
        <f>IFERROR(__xludf.DUMMYFUNCTION("""COMPUTED_VALUE"""),0.0)</f>
        <v>0</v>
      </c>
      <c r="D2729" s="79">
        <f>IFERROR(__xludf.DUMMYFUNCTION("""COMPUTED_VALUE"""),0.0)</f>
        <v>0</v>
      </c>
      <c r="E2729" s="69" t="b">
        <f>IFERROR(__xludf.DUMMYFUNCTION("""COMPUTED_VALUE"""),TRUE)</f>
        <v>1</v>
      </c>
    </row>
    <row r="2730" hidden="1">
      <c r="A2730" s="78" t="str">
        <f>IFERROR(__xludf.DUMMYFUNCTION("""COMPUTED_VALUE"""),"Timey-Wimey")</f>
        <v>Timey-Wimey</v>
      </c>
      <c r="B2730" s="78" t="str">
        <f>IFERROR(__xludf.DUMMYFUNCTION("""COMPUTED_VALUE"""),"Party Time")</f>
        <v>Party Time</v>
      </c>
      <c r="C2730" s="79">
        <f>IFERROR(__xludf.DUMMYFUNCTION("""COMPUTED_VALUE"""),0.0)</f>
        <v>0</v>
      </c>
      <c r="D2730" s="79">
        <f>IFERROR(__xludf.DUMMYFUNCTION("""COMPUTED_VALUE"""),0.0)</f>
        <v>0</v>
      </c>
      <c r="E2730" s="69" t="b">
        <f>IFERROR(__xludf.DUMMYFUNCTION("""COMPUTED_VALUE"""),TRUE)</f>
        <v>1</v>
      </c>
    </row>
    <row r="2731" hidden="1">
      <c r="A2731" s="78" t="str">
        <f>IFERROR(__xludf.DUMMYFUNCTION("""COMPUTED_VALUE"""),"Timey-Wimey")</f>
        <v>Timey-Wimey</v>
      </c>
      <c r="B2731" s="78" t="str">
        <f>IFERROR(__xludf.DUMMYFUNCTION("""COMPUTED_VALUE"""),"Peace Offering")</f>
        <v>Peace Offering</v>
      </c>
      <c r="C2731" s="79">
        <f>IFERROR(__xludf.DUMMYFUNCTION("""COMPUTED_VALUE"""),0.0)</f>
        <v>0</v>
      </c>
      <c r="D2731" s="79">
        <f>IFERROR(__xludf.DUMMYFUNCTION("""COMPUTED_VALUE"""),0.0)</f>
        <v>0</v>
      </c>
      <c r="E2731" s="69" t="b">
        <f>IFERROR(__xludf.DUMMYFUNCTION("""COMPUTED_VALUE"""),TRUE)</f>
        <v>1</v>
      </c>
    </row>
    <row r="2732" hidden="1">
      <c r="A2732" s="78" t="str">
        <f>IFERROR(__xludf.DUMMYFUNCTION("""COMPUTED_VALUE"""),"Timey-Wimey")</f>
        <v>Timey-Wimey</v>
      </c>
      <c r="B2732" s="78" t="str">
        <f>IFERROR(__xludf.DUMMYFUNCTION("""COMPUTED_VALUE"""),"Power Hungry")</f>
        <v>Power Hungry</v>
      </c>
      <c r="C2732" s="79">
        <f>IFERROR(__xludf.DUMMYFUNCTION("""COMPUTED_VALUE"""),0.0)</f>
        <v>0</v>
      </c>
      <c r="D2732" s="79">
        <f>IFERROR(__xludf.DUMMYFUNCTION("""COMPUTED_VALUE"""),0.0)</f>
        <v>0</v>
      </c>
      <c r="E2732" s="69" t="b">
        <f>IFERROR(__xludf.DUMMYFUNCTION("""COMPUTED_VALUE"""),TRUE)</f>
        <v>1</v>
      </c>
    </row>
    <row r="2733">
      <c r="A2733" s="78" t="str">
        <f>IFERROR(__xludf.DUMMYFUNCTION("""COMPUTED_VALUE"""),"Timey-Wimey")</f>
        <v>Timey-Wimey</v>
      </c>
      <c r="B2733" s="78" t="str">
        <f>IFERROR(__xludf.DUMMYFUNCTION("""COMPUTED_VALUE"""),"Primal Genesis")</f>
        <v>Primal Genesis</v>
      </c>
      <c r="C2733" s="79">
        <f>IFERROR(__xludf.DUMMYFUNCTION("""COMPUTED_VALUE"""),0.0)</f>
        <v>0</v>
      </c>
      <c r="D2733" s="79">
        <f>IFERROR(__xludf.DUMMYFUNCTION("""COMPUTED_VALUE"""),0.0)</f>
        <v>0</v>
      </c>
      <c r="E2733" s="69" t="b">
        <f>IFERROR(__xludf.DUMMYFUNCTION("""COMPUTED_VALUE"""),TRUE)</f>
        <v>1</v>
      </c>
    </row>
    <row r="2734" hidden="1">
      <c r="A2734" s="78" t="str">
        <f>IFERROR(__xludf.DUMMYFUNCTION("""COMPUTED_VALUE"""),"Timey-Wimey")</f>
        <v>Timey-Wimey</v>
      </c>
      <c r="B2734" s="78" t="str">
        <f>IFERROR(__xludf.DUMMYFUNCTION("""COMPUTED_VALUE"""),"Prismari Artistry")</f>
        <v>Prismari Artistry</v>
      </c>
      <c r="C2734" s="79">
        <f>IFERROR(__xludf.DUMMYFUNCTION("""COMPUTED_VALUE"""),0.0)</f>
        <v>0</v>
      </c>
      <c r="D2734" s="79">
        <f>IFERROR(__xludf.DUMMYFUNCTION("""COMPUTED_VALUE"""),0.0)</f>
        <v>0</v>
      </c>
      <c r="E2734" s="69" t="b">
        <f>IFERROR(__xludf.DUMMYFUNCTION("""COMPUTED_VALUE"""),TRUE)</f>
        <v>1</v>
      </c>
    </row>
    <row r="2735">
      <c r="A2735" s="78" t="str">
        <f>IFERROR(__xludf.DUMMYFUNCTION("""COMPUTED_VALUE"""),"Timey-Wimey")</f>
        <v>Timey-Wimey</v>
      </c>
      <c r="B2735" s="78" t="str">
        <f>IFERROR(__xludf.DUMMYFUNCTION("""COMPUTED_VALUE"""),"Prismari Performance")</f>
        <v>Prismari Performance</v>
      </c>
      <c r="C2735" s="79">
        <f>IFERROR(__xludf.DUMMYFUNCTION("""COMPUTED_VALUE"""),0.0)</f>
        <v>0</v>
      </c>
      <c r="D2735" s="79">
        <f>IFERROR(__xludf.DUMMYFUNCTION("""COMPUTED_VALUE"""),0.0)</f>
        <v>0</v>
      </c>
      <c r="E2735" s="69" t="b">
        <f>IFERROR(__xludf.DUMMYFUNCTION("""COMPUTED_VALUE"""),TRUE)</f>
        <v>1</v>
      </c>
    </row>
    <row r="2736" hidden="1">
      <c r="A2736" s="78" t="str">
        <f>IFERROR(__xludf.DUMMYFUNCTION("""COMPUTED_VALUE"""),"Timey-Wimey")</f>
        <v>Timey-Wimey</v>
      </c>
      <c r="B2736" s="78" t="str">
        <f>IFERROR(__xludf.DUMMYFUNCTION("""COMPUTED_VALUE"""),"Quandrix Unlimited")</f>
        <v>Quandrix Unlimited</v>
      </c>
      <c r="C2736" s="79">
        <f>IFERROR(__xludf.DUMMYFUNCTION("""COMPUTED_VALUE"""),0.0)</f>
        <v>0</v>
      </c>
      <c r="D2736" s="79">
        <f>IFERROR(__xludf.DUMMYFUNCTION("""COMPUTED_VALUE"""),0.0)</f>
        <v>0</v>
      </c>
      <c r="E2736" s="69" t="b">
        <f>IFERROR(__xludf.DUMMYFUNCTION("""COMPUTED_VALUE"""),TRUE)</f>
        <v>1</v>
      </c>
    </row>
    <row r="2737" hidden="1">
      <c r="A2737" s="78" t="str">
        <f>IFERROR(__xludf.DUMMYFUNCTION("""COMPUTED_VALUE"""),"Timey-Wimey")</f>
        <v>Timey-Wimey</v>
      </c>
      <c r="B2737" s="78" t="str">
        <f>IFERROR(__xludf.DUMMYFUNCTION("""COMPUTED_VALUE"""),"Quick Draw")</f>
        <v>Quick Draw</v>
      </c>
      <c r="C2737" s="79">
        <f>IFERROR(__xludf.DUMMYFUNCTION("""COMPUTED_VALUE"""),0.0)</f>
        <v>0</v>
      </c>
      <c r="D2737" s="79">
        <f>IFERROR(__xludf.DUMMYFUNCTION("""COMPUTED_VALUE"""),0.0)</f>
        <v>0</v>
      </c>
      <c r="E2737" s="69" t="b">
        <f>IFERROR(__xludf.DUMMYFUNCTION("""COMPUTED_VALUE"""),TRUE)</f>
        <v>1</v>
      </c>
    </row>
    <row r="2738" hidden="1">
      <c r="A2738" s="78" t="str">
        <f>IFERROR(__xludf.DUMMYFUNCTION("""COMPUTED_VALUE"""),"Timey-Wimey")</f>
        <v>Timey-Wimey</v>
      </c>
      <c r="B2738" s="78" t="str">
        <f>IFERROR(__xludf.DUMMYFUNCTION("""COMPUTED_VALUE"""),"Reap the Tides")</f>
        <v>Reap the Tides</v>
      </c>
      <c r="C2738" s="79">
        <f>IFERROR(__xludf.DUMMYFUNCTION("""COMPUTED_VALUE"""),0.0)</f>
        <v>0</v>
      </c>
      <c r="D2738" s="79">
        <f>IFERROR(__xludf.DUMMYFUNCTION("""COMPUTED_VALUE"""),0.0)</f>
        <v>0</v>
      </c>
      <c r="E2738" s="69" t="b">
        <f>IFERROR(__xludf.DUMMYFUNCTION("""COMPUTED_VALUE"""),TRUE)</f>
        <v>1</v>
      </c>
    </row>
    <row r="2739" hidden="1">
      <c r="A2739" s="78" t="str">
        <f>IFERROR(__xludf.DUMMYFUNCTION("""COMPUTED_VALUE"""),"Timey-Wimey")</f>
        <v>Timey-Wimey</v>
      </c>
      <c r="B2739" s="78" t="str">
        <f>IFERROR(__xludf.DUMMYFUNCTION("""COMPUTED_VALUE"""),"Rebellion Rising")</f>
        <v>Rebellion Rising</v>
      </c>
      <c r="C2739" s="79">
        <f>IFERROR(__xludf.DUMMYFUNCTION("""COMPUTED_VALUE"""),0.0)</f>
        <v>0</v>
      </c>
      <c r="D2739" s="79">
        <f>IFERROR(__xludf.DUMMYFUNCTION("""COMPUTED_VALUE"""),0.0)</f>
        <v>0</v>
      </c>
      <c r="E2739" s="69" t="b">
        <f>IFERROR(__xludf.DUMMYFUNCTION("""COMPUTED_VALUE"""),TRUE)</f>
        <v>1</v>
      </c>
    </row>
    <row r="2740">
      <c r="A2740" s="78" t="str">
        <f>IFERROR(__xludf.DUMMYFUNCTION("""COMPUTED_VALUE"""),"Timey-Wimey")</f>
        <v>Timey-Wimey</v>
      </c>
      <c r="B2740" s="78" t="str">
        <f>IFERROR(__xludf.DUMMYFUNCTION("""COMPUTED_VALUE"""),"Revival Trance")</f>
        <v>Revival Trance</v>
      </c>
      <c r="C2740" s="79">
        <f>IFERROR(__xludf.DUMMYFUNCTION("""COMPUTED_VALUE"""),0.0)</f>
        <v>0</v>
      </c>
      <c r="D2740" s="79">
        <f>IFERROR(__xludf.DUMMYFUNCTION("""COMPUTED_VALUE"""),0.0)</f>
        <v>0</v>
      </c>
      <c r="E2740" s="69" t="b">
        <f>IFERROR(__xludf.DUMMYFUNCTION("""COMPUTED_VALUE"""),TRUE)</f>
        <v>1</v>
      </c>
    </row>
    <row r="2741" hidden="1">
      <c r="A2741" s="78" t="str">
        <f>IFERROR(__xludf.DUMMYFUNCTION("""COMPUTED_VALUE"""),"Timey-Wimey")</f>
        <v>Timey-Wimey</v>
      </c>
      <c r="B2741" s="78" t="str">
        <f>IFERROR(__xludf.DUMMYFUNCTION("""COMPUTED_VALUE"""),"Riders of Rohan")</f>
        <v>Riders of Rohan</v>
      </c>
      <c r="C2741" s="79">
        <f>IFERROR(__xludf.DUMMYFUNCTION("""COMPUTED_VALUE"""),0.0)</f>
        <v>0</v>
      </c>
      <c r="D2741" s="79">
        <f>IFERROR(__xludf.DUMMYFUNCTION("""COMPUTED_VALUE"""),0.0)</f>
        <v>0</v>
      </c>
      <c r="E2741" s="69" t="b">
        <f>IFERROR(__xludf.DUMMYFUNCTION("""COMPUTED_VALUE"""),TRUE)</f>
        <v>1</v>
      </c>
    </row>
    <row r="2742" hidden="1">
      <c r="A2742" s="78" t="str">
        <f>IFERROR(__xludf.DUMMYFUNCTION("""COMPUTED_VALUE"""),"Timey-Wimey")</f>
        <v>Timey-Wimey</v>
      </c>
      <c r="B2742" s="78" t="str">
        <f>IFERROR(__xludf.DUMMYFUNCTION("""COMPUTED_VALUE"""),"Science!")</f>
        <v>Science!</v>
      </c>
      <c r="C2742" s="79">
        <f>IFERROR(__xludf.DUMMYFUNCTION("""COMPUTED_VALUE"""),0.0)</f>
        <v>0</v>
      </c>
      <c r="D2742" s="79">
        <f>IFERROR(__xludf.DUMMYFUNCTION("""COMPUTED_VALUE"""),0.0)</f>
        <v>0</v>
      </c>
      <c r="E2742" s="69" t="b">
        <f>IFERROR(__xludf.DUMMYFUNCTION("""COMPUTED_VALUE"""),TRUE)</f>
        <v>1</v>
      </c>
    </row>
    <row r="2743" hidden="1">
      <c r="A2743" s="78" t="str">
        <f>IFERROR(__xludf.DUMMYFUNCTION("""COMPUTED_VALUE"""),"Timey-Wimey")</f>
        <v>Timey-Wimey</v>
      </c>
      <c r="B2743" s="78" t="str">
        <f>IFERROR(__xludf.DUMMYFUNCTION("""COMPUTED_VALUE"""),"Scions &amp; Spellcraft")</f>
        <v>Scions &amp; Spellcraft</v>
      </c>
      <c r="C2743" s="79">
        <f>IFERROR(__xludf.DUMMYFUNCTION("""COMPUTED_VALUE"""),0.0)</f>
        <v>0</v>
      </c>
      <c r="D2743" s="79">
        <f>IFERROR(__xludf.DUMMYFUNCTION("""COMPUTED_VALUE"""),0.0)</f>
        <v>0</v>
      </c>
      <c r="E2743" s="69" t="b">
        <f>IFERROR(__xludf.DUMMYFUNCTION("""COMPUTED_VALUE"""),TRUE)</f>
        <v>1</v>
      </c>
    </row>
    <row r="2744" hidden="1">
      <c r="A2744" s="78" t="str">
        <f>IFERROR(__xludf.DUMMYFUNCTION("""COMPUTED_VALUE"""),"Timey-Wimey")</f>
        <v>Timey-Wimey</v>
      </c>
      <c r="B2744" s="78" t="str">
        <f>IFERROR(__xludf.DUMMYFUNCTION("""COMPUTED_VALUE"""),"Scrappy Survivors")</f>
        <v>Scrappy Survivors</v>
      </c>
      <c r="C2744" s="79">
        <f>IFERROR(__xludf.DUMMYFUNCTION("""COMPUTED_VALUE"""),0.0)</f>
        <v>0</v>
      </c>
      <c r="D2744" s="79">
        <f>IFERROR(__xludf.DUMMYFUNCTION("""COMPUTED_VALUE"""),0.0)</f>
        <v>0</v>
      </c>
      <c r="E2744" s="69" t="b">
        <f>IFERROR(__xludf.DUMMYFUNCTION("""COMPUTED_VALUE"""),TRUE)</f>
        <v>1</v>
      </c>
    </row>
    <row r="2745" hidden="1">
      <c r="A2745" s="78" t="str">
        <f>IFERROR(__xludf.DUMMYFUNCTION("""COMPUTED_VALUE"""),"Timey-Wimey")</f>
        <v>Timey-Wimey</v>
      </c>
      <c r="B2745" s="78" t="str">
        <f>IFERROR(__xludf.DUMMYFUNCTION("""COMPUTED_VALUE"""),"Silverquill Influence")</f>
        <v>Silverquill Influence</v>
      </c>
      <c r="C2745" s="79">
        <f>IFERROR(__xludf.DUMMYFUNCTION("""COMPUTED_VALUE"""),0.0)</f>
        <v>0</v>
      </c>
      <c r="D2745" s="79">
        <f>IFERROR(__xludf.DUMMYFUNCTION("""COMPUTED_VALUE"""),0.0)</f>
        <v>0</v>
      </c>
      <c r="E2745" s="69" t="b">
        <f>IFERROR(__xludf.DUMMYFUNCTION("""COMPUTED_VALUE"""),TRUE)</f>
        <v>1</v>
      </c>
    </row>
    <row r="2746" hidden="1">
      <c r="A2746" s="78" t="str">
        <f>IFERROR(__xludf.DUMMYFUNCTION("""COMPUTED_VALUE"""),"Timey-Wimey")</f>
        <v>Timey-Wimey</v>
      </c>
      <c r="B2746" s="78" t="str">
        <f>IFERROR(__xludf.DUMMYFUNCTION("""COMPUTED_VALUE"""),"Spirit Squadron")</f>
        <v>Spirit Squadron</v>
      </c>
      <c r="C2746" s="79">
        <f>IFERROR(__xludf.DUMMYFUNCTION("""COMPUTED_VALUE"""),0.0)</f>
        <v>0</v>
      </c>
      <c r="D2746" s="79">
        <f>IFERROR(__xludf.DUMMYFUNCTION("""COMPUTED_VALUE"""),0.0)</f>
        <v>0</v>
      </c>
      <c r="E2746" s="69" t="b">
        <f>IFERROR(__xludf.DUMMYFUNCTION("""COMPUTED_VALUE"""),TRUE)</f>
        <v>1</v>
      </c>
    </row>
    <row r="2747" hidden="1">
      <c r="A2747" s="78" t="str">
        <f>IFERROR(__xludf.DUMMYFUNCTION("""COMPUTED_VALUE"""),"Timey-Wimey")</f>
        <v>Timey-Wimey</v>
      </c>
      <c r="B2747" s="78" t="str">
        <f>IFERROR(__xludf.DUMMYFUNCTION("""COMPUTED_VALUE"""),"Squirreled Away")</f>
        <v>Squirreled Away</v>
      </c>
      <c r="C2747" s="79">
        <f>IFERROR(__xludf.DUMMYFUNCTION("""COMPUTED_VALUE"""),0.0)</f>
        <v>0</v>
      </c>
      <c r="D2747" s="79">
        <f>IFERROR(__xludf.DUMMYFUNCTION("""COMPUTED_VALUE"""),0.0)</f>
        <v>0</v>
      </c>
      <c r="E2747" s="69" t="b">
        <f>IFERROR(__xludf.DUMMYFUNCTION("""COMPUTED_VALUE"""),TRUE)</f>
        <v>1</v>
      </c>
    </row>
    <row r="2748" hidden="1">
      <c r="A2748" s="78" t="str">
        <f>IFERROR(__xludf.DUMMYFUNCTION("""COMPUTED_VALUE"""),"Timey-Wimey")</f>
        <v>Timey-Wimey</v>
      </c>
      <c r="B2748" s="78" t="str">
        <f>IFERROR(__xludf.DUMMYFUNCTION("""COMPUTED_VALUE"""),"Sultai Arisen")</f>
        <v>Sultai Arisen</v>
      </c>
      <c r="C2748" s="79">
        <f>IFERROR(__xludf.DUMMYFUNCTION("""COMPUTED_VALUE"""),0.0)</f>
        <v>0</v>
      </c>
      <c r="D2748" s="79">
        <f>IFERROR(__xludf.DUMMYFUNCTION("""COMPUTED_VALUE"""),0.0)</f>
        <v>0</v>
      </c>
      <c r="E2748" s="69" t="b">
        <f>IFERROR(__xludf.DUMMYFUNCTION("""COMPUTED_VALUE"""),TRUE)</f>
        <v>1</v>
      </c>
    </row>
    <row r="2749" hidden="1">
      <c r="A2749" s="78" t="str">
        <f>IFERROR(__xludf.DUMMYFUNCTION("""COMPUTED_VALUE"""),"Timey-Wimey")</f>
        <v>Timey-Wimey</v>
      </c>
      <c r="B2749" s="78" t="str">
        <f>IFERROR(__xludf.DUMMYFUNCTION("""COMPUTED_VALUE"""),"Temur Roar")</f>
        <v>Temur Roar</v>
      </c>
      <c r="C2749" s="79">
        <f>IFERROR(__xludf.DUMMYFUNCTION("""COMPUTED_VALUE"""),0.0)</f>
        <v>0</v>
      </c>
      <c r="D2749" s="79">
        <f>IFERROR(__xludf.DUMMYFUNCTION("""COMPUTED_VALUE"""),0.0)</f>
        <v>0</v>
      </c>
      <c r="E2749" s="69" t="b">
        <f>IFERROR(__xludf.DUMMYFUNCTION("""COMPUTED_VALUE"""),TRUE)</f>
        <v>1</v>
      </c>
    </row>
    <row r="2750" hidden="1">
      <c r="A2750" s="78" t="str">
        <f>IFERROR(__xludf.DUMMYFUNCTION("""COMPUTED_VALUE"""),"Timey-Wimey")</f>
        <v>Timey-Wimey</v>
      </c>
      <c r="B2750" s="78" t="str">
        <f>IFERROR(__xludf.DUMMYFUNCTION("""COMPUTED_VALUE"""),"The Hosts of Mordor")</f>
        <v>The Hosts of Mordor</v>
      </c>
      <c r="C2750" s="79">
        <f>IFERROR(__xludf.DUMMYFUNCTION("""COMPUTED_VALUE"""),0.0)</f>
        <v>0</v>
      </c>
      <c r="D2750" s="79">
        <f>IFERROR(__xludf.DUMMYFUNCTION("""COMPUTED_VALUE"""),0.0)</f>
        <v>0</v>
      </c>
      <c r="E2750" s="69" t="b">
        <f>IFERROR(__xludf.DUMMYFUNCTION("""COMPUTED_VALUE"""),TRUE)</f>
        <v>1</v>
      </c>
    </row>
    <row r="2751" hidden="1">
      <c r="A2751" s="78" t="str">
        <f>IFERROR(__xludf.DUMMYFUNCTION("""COMPUTED_VALUE"""),"Timey-Wimey")</f>
        <v>Timey-Wimey</v>
      </c>
      <c r="B2751" s="78" t="str">
        <f>IFERROR(__xludf.DUMMYFUNCTION("""COMPUTED_VALUE"""),"The Ruinous Powers")</f>
        <v>The Ruinous Powers</v>
      </c>
      <c r="C2751" s="79">
        <f>IFERROR(__xludf.DUMMYFUNCTION("""COMPUTED_VALUE"""),0.0)</f>
        <v>0</v>
      </c>
      <c r="D2751" s="79">
        <f>IFERROR(__xludf.DUMMYFUNCTION("""COMPUTED_VALUE"""),0.0)</f>
        <v>0</v>
      </c>
      <c r="E2751" s="69" t="b">
        <f>IFERROR(__xludf.DUMMYFUNCTION("""COMPUTED_VALUE"""),TRUE)</f>
        <v>1</v>
      </c>
    </row>
    <row r="2752" hidden="1">
      <c r="A2752" s="78" t="str">
        <f>IFERROR(__xludf.DUMMYFUNCTION("""COMPUTED_VALUE"""),"Timey-Wimey")</f>
        <v>Timey-Wimey</v>
      </c>
      <c r="B2752" s="78" t="str">
        <f>IFERROR(__xludf.DUMMYFUNCTION("""COMPUTED_VALUE"""),"Timey-Wimey")</f>
        <v>Timey-Wimey</v>
      </c>
      <c r="C2752" s="79">
        <f>IFERROR(__xludf.DUMMYFUNCTION("""COMPUTED_VALUE"""),0.0)</f>
        <v>0</v>
      </c>
      <c r="D2752" s="79">
        <f>IFERROR(__xludf.DUMMYFUNCTION("""COMPUTED_VALUE"""),0.0)</f>
        <v>0</v>
      </c>
      <c r="E2752" s="69" t="b">
        <f>IFERROR(__xludf.DUMMYFUNCTION("""COMPUTED_VALUE"""),TRUE)</f>
        <v>1</v>
      </c>
    </row>
    <row r="2753" hidden="1">
      <c r="A2753" s="78" t="str">
        <f>IFERROR(__xludf.DUMMYFUNCTION("""COMPUTED_VALUE"""),"Timey-Wimey")</f>
        <v>Timey-Wimey</v>
      </c>
      <c r="B2753" s="78" t="str">
        <f>IFERROR(__xludf.DUMMYFUNCTION("""COMPUTED_VALUE"""),"Tinker Time")</f>
        <v>Tinker Time</v>
      </c>
      <c r="C2753" s="79">
        <f>IFERROR(__xludf.DUMMYFUNCTION("""COMPUTED_VALUE"""),0.0)</f>
        <v>0</v>
      </c>
      <c r="D2753" s="79">
        <f>IFERROR(__xludf.DUMMYFUNCTION("""COMPUTED_VALUE"""),0.0)</f>
        <v>0</v>
      </c>
      <c r="E2753" s="69" t="b">
        <f>IFERROR(__xludf.DUMMYFUNCTION("""COMPUTED_VALUE"""),TRUE)</f>
        <v>1</v>
      </c>
    </row>
    <row r="2754" hidden="1">
      <c r="A2754" s="78" t="str">
        <f>IFERROR(__xludf.DUMMYFUNCTION("""COMPUTED_VALUE"""),"Timey-Wimey")</f>
        <v>Timey-Wimey</v>
      </c>
      <c r="B2754" s="78" t="str">
        <f>IFERROR(__xludf.DUMMYFUNCTION("""COMPUTED_VALUE"""),"Turtle Power!")</f>
        <v>Turtle Power!</v>
      </c>
      <c r="C2754" s="79">
        <f>IFERROR(__xludf.DUMMYFUNCTION("""COMPUTED_VALUE"""),0.0)</f>
        <v>0</v>
      </c>
      <c r="D2754" s="79">
        <f>IFERROR(__xludf.DUMMYFUNCTION("""COMPUTED_VALUE"""),0.0)</f>
        <v>0</v>
      </c>
      <c r="E2754" s="69" t="b">
        <f>IFERROR(__xludf.DUMMYFUNCTION("""COMPUTED_VALUE"""),TRUE)</f>
        <v>1</v>
      </c>
    </row>
    <row r="2755" hidden="1">
      <c r="A2755" s="78" t="str">
        <f>IFERROR(__xludf.DUMMYFUNCTION("""COMPUTED_VALUE"""),"Timey-Wimey")</f>
        <v>Timey-Wimey</v>
      </c>
      <c r="B2755" s="78" t="str">
        <f>IFERROR(__xludf.DUMMYFUNCTION("""COMPUTED_VALUE"""),"Veloci-ramp-tor")</f>
        <v>Veloci-ramp-tor</v>
      </c>
      <c r="C2755" s="79">
        <f>IFERROR(__xludf.DUMMYFUNCTION("""COMPUTED_VALUE"""),0.0)</f>
        <v>0</v>
      </c>
      <c r="D2755" s="79">
        <f>IFERROR(__xludf.DUMMYFUNCTION("""COMPUTED_VALUE"""),0.0)</f>
        <v>0</v>
      </c>
      <c r="E2755" s="69" t="b">
        <f>IFERROR(__xludf.DUMMYFUNCTION("""COMPUTED_VALUE"""),TRUE)</f>
        <v>1</v>
      </c>
    </row>
    <row r="2756" hidden="1">
      <c r="A2756" s="78" t="str">
        <f>IFERROR(__xludf.DUMMYFUNCTION("""COMPUTED_VALUE"""),"Tinker Time")</f>
        <v>Tinker Time</v>
      </c>
      <c r="B2756" s="78" t="str">
        <f>IFERROR(__xludf.DUMMYFUNCTION("""COMPUTED_VALUE"""),"Ahoy Mateys")</f>
        <v>Ahoy Mateys</v>
      </c>
      <c r="C2756" s="79">
        <f>IFERROR(__xludf.DUMMYFUNCTION("""COMPUTED_VALUE"""),0.0)</f>
        <v>0</v>
      </c>
      <c r="D2756" s="79">
        <f>IFERROR(__xludf.DUMMYFUNCTION("""COMPUTED_VALUE"""),0.0)</f>
        <v>0</v>
      </c>
      <c r="E2756" s="69" t="b">
        <f>IFERROR(__xludf.DUMMYFUNCTION("""COMPUTED_VALUE"""),TRUE)</f>
        <v>1</v>
      </c>
    </row>
    <row r="2757" hidden="1">
      <c r="A2757" s="78" t="str">
        <f>IFERROR(__xludf.DUMMYFUNCTION("""COMPUTED_VALUE"""),"Tinker Time")</f>
        <v>Tinker Time</v>
      </c>
      <c r="B2757" s="78" t="str">
        <f>IFERROR(__xludf.DUMMYFUNCTION("""COMPUTED_VALUE"""),"Animated Army")</f>
        <v>Animated Army</v>
      </c>
      <c r="C2757" s="79">
        <f>IFERROR(__xludf.DUMMYFUNCTION("""COMPUTED_VALUE"""),0.0)</f>
        <v>0</v>
      </c>
      <c r="D2757" s="79">
        <f>IFERROR(__xludf.DUMMYFUNCTION("""COMPUTED_VALUE"""),0.0)</f>
        <v>0</v>
      </c>
      <c r="E2757" s="69" t="b">
        <f>IFERROR(__xludf.DUMMYFUNCTION("""COMPUTED_VALUE"""),TRUE)</f>
        <v>1</v>
      </c>
    </row>
    <row r="2758" hidden="1">
      <c r="A2758" s="78" t="str">
        <f>IFERROR(__xludf.DUMMYFUNCTION("""COMPUTED_VALUE"""),"Tinker Time")</f>
        <v>Tinker Time</v>
      </c>
      <c r="B2758" s="78" t="str">
        <f>IFERROR(__xludf.DUMMYFUNCTION("""COMPUTED_VALUE"""),"Arcane Maelstrom")</f>
        <v>Arcane Maelstrom</v>
      </c>
      <c r="C2758" s="79">
        <f>IFERROR(__xludf.DUMMYFUNCTION("""COMPUTED_VALUE"""),0.0)</f>
        <v>0</v>
      </c>
      <c r="D2758" s="79">
        <f>IFERROR(__xludf.DUMMYFUNCTION("""COMPUTED_VALUE"""),0.0)</f>
        <v>0</v>
      </c>
      <c r="E2758" s="69" t="b">
        <f>IFERROR(__xludf.DUMMYFUNCTION("""COMPUTED_VALUE"""),TRUE)</f>
        <v>1</v>
      </c>
    </row>
    <row r="2759" hidden="1">
      <c r="A2759" s="78" t="str">
        <f>IFERROR(__xludf.DUMMYFUNCTION("""COMPUTED_VALUE"""),"Tinker Time")</f>
        <v>Tinker Time</v>
      </c>
      <c r="B2759" s="78" t="str">
        <f>IFERROR(__xludf.DUMMYFUNCTION("""COMPUTED_VALUE"""),"Blame Game")</f>
        <v>Blame Game</v>
      </c>
      <c r="C2759" s="79">
        <f>IFERROR(__xludf.DUMMYFUNCTION("""COMPUTED_VALUE"""),0.0)</f>
        <v>0</v>
      </c>
      <c r="D2759" s="79">
        <f>IFERROR(__xludf.DUMMYFUNCTION("""COMPUTED_VALUE"""),0.0)</f>
        <v>0</v>
      </c>
      <c r="E2759" s="69" t="b">
        <f>IFERROR(__xludf.DUMMYFUNCTION("""COMPUTED_VALUE"""),TRUE)</f>
        <v>1</v>
      </c>
    </row>
    <row r="2760" hidden="1">
      <c r="A2760" s="78" t="str">
        <f>IFERROR(__xludf.DUMMYFUNCTION("""COMPUTED_VALUE"""),"Tinker Time")</f>
        <v>Tinker Time</v>
      </c>
      <c r="B2760" s="78" t="str">
        <f>IFERROR(__xludf.DUMMYFUNCTION("""COMPUTED_VALUE"""),"Blight Curse")</f>
        <v>Blight Curse</v>
      </c>
      <c r="C2760" s="79">
        <f>IFERROR(__xludf.DUMMYFUNCTION("""COMPUTED_VALUE"""),0.0)</f>
        <v>0</v>
      </c>
      <c r="D2760" s="79">
        <f>IFERROR(__xludf.DUMMYFUNCTION("""COMPUTED_VALUE"""),0.0)</f>
        <v>0</v>
      </c>
      <c r="E2760" s="69" t="b">
        <f>IFERROR(__xludf.DUMMYFUNCTION("""COMPUTED_VALUE"""),TRUE)</f>
        <v>1</v>
      </c>
    </row>
    <row r="2761" hidden="1">
      <c r="A2761" s="78" t="str">
        <f>IFERROR(__xludf.DUMMYFUNCTION("""COMPUTED_VALUE"""),"Tinker Time")</f>
        <v>Tinker Time</v>
      </c>
      <c r="B2761" s="78" t="str">
        <f>IFERROR(__xludf.DUMMYFUNCTION("""COMPUTED_VALUE"""),"Blood Rites")</f>
        <v>Blood Rites</v>
      </c>
      <c r="C2761" s="79">
        <f>IFERROR(__xludf.DUMMYFUNCTION("""COMPUTED_VALUE"""),0.0)</f>
        <v>0</v>
      </c>
      <c r="D2761" s="79">
        <f>IFERROR(__xludf.DUMMYFUNCTION("""COMPUTED_VALUE"""),0.0)</f>
        <v>0</v>
      </c>
      <c r="E2761" s="69" t="b">
        <f>IFERROR(__xludf.DUMMYFUNCTION("""COMPUTED_VALUE"""),TRUE)</f>
        <v>1</v>
      </c>
    </row>
    <row r="2762" hidden="1">
      <c r="A2762" s="78" t="str">
        <f>IFERROR(__xludf.DUMMYFUNCTION("""COMPUTED_VALUE"""),"Tinker Time")</f>
        <v>Tinker Time</v>
      </c>
      <c r="B2762" s="78" t="str">
        <f>IFERROR(__xludf.DUMMYFUNCTION("""COMPUTED_VALUE"""),"Buckle Up")</f>
        <v>Buckle Up</v>
      </c>
      <c r="C2762" s="79">
        <f>IFERROR(__xludf.DUMMYFUNCTION("""COMPUTED_VALUE"""),0.0)</f>
        <v>0</v>
      </c>
      <c r="D2762" s="79">
        <f>IFERROR(__xludf.DUMMYFUNCTION("""COMPUTED_VALUE"""),0.0)</f>
        <v>0</v>
      </c>
      <c r="E2762" s="69" t="b">
        <f>IFERROR(__xludf.DUMMYFUNCTION("""COMPUTED_VALUE"""),TRUE)</f>
        <v>1</v>
      </c>
    </row>
    <row r="2763" hidden="1">
      <c r="A2763" s="78" t="str">
        <f>IFERROR(__xludf.DUMMYFUNCTION("""COMPUTED_VALUE"""),"Tinker Time")</f>
        <v>Tinker Time</v>
      </c>
      <c r="B2763" s="78" t="str">
        <f>IFERROR(__xludf.DUMMYFUNCTION("""COMPUTED_VALUE"""),"Cabaretti Cacophony")</f>
        <v>Cabaretti Cacophony</v>
      </c>
      <c r="C2763" s="79">
        <f>IFERROR(__xludf.DUMMYFUNCTION("""COMPUTED_VALUE"""),0.0)</f>
        <v>0</v>
      </c>
      <c r="D2763" s="79">
        <f>IFERROR(__xludf.DUMMYFUNCTION("""COMPUTED_VALUE"""),0.0)</f>
        <v>0</v>
      </c>
      <c r="E2763" s="69" t="b">
        <f>IFERROR(__xludf.DUMMYFUNCTION("""COMPUTED_VALUE"""),TRUE)</f>
        <v>1</v>
      </c>
    </row>
    <row r="2764" hidden="1">
      <c r="A2764" s="78" t="str">
        <f>IFERROR(__xludf.DUMMYFUNCTION("""COMPUTED_VALUE"""),"Tinker Time")</f>
        <v>Tinker Time</v>
      </c>
      <c r="B2764" s="78" t="str">
        <f>IFERROR(__xludf.DUMMYFUNCTION("""COMPUTED_VALUE"""),"Cavalry Charge")</f>
        <v>Cavalry Charge</v>
      </c>
      <c r="C2764" s="79">
        <f>IFERROR(__xludf.DUMMYFUNCTION("""COMPUTED_VALUE"""),0.0)</f>
        <v>0</v>
      </c>
      <c r="D2764" s="79">
        <f>IFERROR(__xludf.DUMMYFUNCTION("""COMPUTED_VALUE"""),0.0)</f>
        <v>0</v>
      </c>
      <c r="E2764" s="69" t="b">
        <f>IFERROR(__xludf.DUMMYFUNCTION("""COMPUTED_VALUE"""),TRUE)</f>
        <v>1</v>
      </c>
    </row>
    <row r="2765" hidden="1">
      <c r="A2765" s="78" t="str">
        <f>IFERROR(__xludf.DUMMYFUNCTION("""COMPUTED_VALUE"""),"Tinker Time")</f>
        <v>Tinker Time</v>
      </c>
      <c r="B2765" s="78" t="str">
        <f>IFERROR(__xludf.DUMMYFUNCTION("""COMPUTED_VALUE"""),"Corrupting Influence")</f>
        <v>Corrupting Influence</v>
      </c>
      <c r="C2765" s="79">
        <f>IFERROR(__xludf.DUMMYFUNCTION("""COMPUTED_VALUE"""),0.0)</f>
        <v>0</v>
      </c>
      <c r="D2765" s="79">
        <f>IFERROR(__xludf.DUMMYFUNCTION("""COMPUTED_VALUE"""),1.0)</f>
        <v>1</v>
      </c>
      <c r="E2765" s="69" t="b">
        <f>IFERROR(__xludf.DUMMYFUNCTION("""COMPUTED_VALUE"""),FALSE)</f>
        <v>0</v>
      </c>
    </row>
    <row r="2766" hidden="1">
      <c r="A2766" s="78" t="str">
        <f>IFERROR(__xludf.DUMMYFUNCTION("""COMPUTED_VALUE"""),"Tinker Time")</f>
        <v>Tinker Time</v>
      </c>
      <c r="B2766" s="78" t="str">
        <f>IFERROR(__xludf.DUMMYFUNCTION("""COMPUTED_VALUE"""),"Counter Blitz")</f>
        <v>Counter Blitz</v>
      </c>
      <c r="C2766" s="79">
        <f>IFERROR(__xludf.DUMMYFUNCTION("""COMPUTED_VALUE"""),0.0)</f>
        <v>0</v>
      </c>
      <c r="D2766" s="79">
        <f>IFERROR(__xludf.DUMMYFUNCTION("""COMPUTED_VALUE"""),0.0)</f>
        <v>0</v>
      </c>
      <c r="E2766" s="69" t="b">
        <f>IFERROR(__xludf.DUMMYFUNCTION("""COMPUTED_VALUE"""),TRUE)</f>
        <v>1</v>
      </c>
    </row>
    <row r="2767" hidden="1">
      <c r="A2767" s="78" t="str">
        <f>IFERROR(__xludf.DUMMYFUNCTION("""COMPUTED_VALUE"""),"Tinker Time")</f>
        <v>Tinker Time</v>
      </c>
      <c r="B2767" s="78" t="str">
        <f>IFERROR(__xludf.DUMMYFUNCTION("""COMPUTED_VALUE"""),"Counter Intelligence")</f>
        <v>Counter Intelligence</v>
      </c>
      <c r="C2767" s="79">
        <f>IFERROR(__xludf.DUMMYFUNCTION("""COMPUTED_VALUE"""),0.0)</f>
        <v>0</v>
      </c>
      <c r="D2767" s="79">
        <f>IFERROR(__xludf.DUMMYFUNCTION("""COMPUTED_VALUE"""),0.0)</f>
        <v>0</v>
      </c>
      <c r="E2767" s="69" t="b">
        <f>IFERROR(__xludf.DUMMYFUNCTION("""COMPUTED_VALUE"""),TRUE)</f>
        <v>1</v>
      </c>
    </row>
    <row r="2768" hidden="1">
      <c r="A2768" s="78" t="str">
        <f>IFERROR(__xludf.DUMMYFUNCTION("""COMPUTED_VALUE"""),"Tinker Time")</f>
        <v>Tinker Time</v>
      </c>
      <c r="B2768" s="78" t="str">
        <f>IFERROR(__xludf.DUMMYFUNCTION("""COMPUTED_VALUE"""),"Creative Energy")</f>
        <v>Creative Energy</v>
      </c>
      <c r="C2768" s="79">
        <f>IFERROR(__xludf.DUMMYFUNCTION("""COMPUTED_VALUE"""),0.0)</f>
        <v>0</v>
      </c>
      <c r="D2768" s="79">
        <f>IFERROR(__xludf.DUMMYFUNCTION("""COMPUTED_VALUE"""),0.0)</f>
        <v>0</v>
      </c>
      <c r="E2768" s="69" t="b">
        <f>IFERROR(__xludf.DUMMYFUNCTION("""COMPUTED_VALUE"""),TRUE)</f>
        <v>1</v>
      </c>
    </row>
    <row r="2769" hidden="1">
      <c r="A2769" s="78" t="str">
        <f>IFERROR(__xludf.DUMMYFUNCTION("""COMPUTED_VALUE"""),"Tinker Time")</f>
        <v>Tinker Time</v>
      </c>
      <c r="B2769" s="78" t="str">
        <f>IFERROR(__xludf.DUMMYFUNCTION("""COMPUTED_VALUE"""),"Dance of the Elements")</f>
        <v>Dance of the Elements</v>
      </c>
      <c r="C2769" s="79">
        <f>IFERROR(__xludf.DUMMYFUNCTION("""COMPUTED_VALUE"""),0.0)</f>
        <v>0</v>
      </c>
      <c r="D2769" s="79">
        <f>IFERROR(__xludf.DUMMYFUNCTION("""COMPUTED_VALUE"""),1.0)</f>
        <v>1</v>
      </c>
      <c r="E2769" s="69" t="b">
        <f>IFERROR(__xludf.DUMMYFUNCTION("""COMPUTED_VALUE"""),FALSE)</f>
        <v>0</v>
      </c>
    </row>
    <row r="2770" hidden="1">
      <c r="A2770" s="78" t="str">
        <f>IFERROR(__xludf.DUMMYFUNCTION("""COMPUTED_VALUE"""),"Tinker Time")</f>
        <v>Tinker Time</v>
      </c>
      <c r="B2770" s="78" t="str">
        <f>IFERROR(__xludf.DUMMYFUNCTION("""COMPUTED_VALUE"""),"Deep Clue Sea")</f>
        <v>Deep Clue Sea</v>
      </c>
      <c r="C2770" s="79">
        <f>IFERROR(__xludf.DUMMYFUNCTION("""COMPUTED_VALUE"""),0.0)</f>
        <v>0</v>
      </c>
      <c r="D2770" s="79">
        <f>IFERROR(__xludf.DUMMYFUNCTION("""COMPUTED_VALUE"""),0.0)</f>
        <v>0</v>
      </c>
      <c r="E2770" s="69" t="b">
        <f>IFERROR(__xludf.DUMMYFUNCTION("""COMPUTED_VALUE"""),TRUE)</f>
        <v>1</v>
      </c>
    </row>
    <row r="2771" hidden="1">
      <c r="A2771" s="78" t="str">
        <f>IFERROR(__xludf.DUMMYFUNCTION("""COMPUTED_VALUE"""),"Tinker Time")</f>
        <v>Tinker Time</v>
      </c>
      <c r="B2771" s="78" t="str">
        <f>IFERROR(__xludf.DUMMYFUNCTION("""COMPUTED_VALUE"""),"Doom Prevails")</f>
        <v>Doom Prevails</v>
      </c>
      <c r="C2771" s="79">
        <f>IFERROR(__xludf.DUMMYFUNCTION("""COMPUTED_VALUE"""),0.0)</f>
        <v>0</v>
      </c>
      <c r="D2771" s="79">
        <f>IFERROR(__xludf.DUMMYFUNCTION("""COMPUTED_VALUE"""),0.0)</f>
        <v>0</v>
      </c>
      <c r="E2771" s="69" t="b">
        <f>IFERROR(__xludf.DUMMYFUNCTION("""COMPUTED_VALUE"""),TRUE)</f>
        <v>1</v>
      </c>
    </row>
    <row r="2772" hidden="1">
      <c r="A2772" s="78" t="str">
        <f>IFERROR(__xludf.DUMMYFUNCTION("""COMPUTED_VALUE"""),"Tinker Time")</f>
        <v>Tinker Time</v>
      </c>
      <c r="B2772" s="78" t="str">
        <f>IFERROR(__xludf.DUMMYFUNCTION("""COMPUTED_VALUE"""),"Eldrazi Incursion")</f>
        <v>Eldrazi Incursion</v>
      </c>
      <c r="C2772" s="79">
        <f>IFERROR(__xludf.DUMMYFUNCTION("""COMPUTED_VALUE"""),0.0)</f>
        <v>0</v>
      </c>
      <c r="D2772" s="79">
        <f>IFERROR(__xludf.DUMMYFUNCTION("""COMPUTED_VALUE"""),0.0)</f>
        <v>0</v>
      </c>
      <c r="E2772" s="69" t="b">
        <f>IFERROR(__xludf.DUMMYFUNCTION("""COMPUTED_VALUE"""),TRUE)</f>
        <v>1</v>
      </c>
    </row>
    <row r="2773" hidden="1">
      <c r="A2773" s="78" t="str">
        <f>IFERROR(__xludf.DUMMYFUNCTION("""COMPUTED_VALUE"""),"Tinker Time")</f>
        <v>Tinker Time</v>
      </c>
      <c r="B2773" s="78" t="str">
        <f>IFERROR(__xludf.DUMMYFUNCTION("""COMPUTED_VALUE"""),"Eldrazi Unbound")</f>
        <v>Eldrazi Unbound</v>
      </c>
      <c r="C2773" s="79">
        <f>IFERROR(__xludf.DUMMYFUNCTION("""COMPUTED_VALUE"""),0.0)</f>
        <v>0</v>
      </c>
      <c r="D2773" s="79">
        <f>IFERROR(__xludf.DUMMYFUNCTION("""COMPUTED_VALUE"""),0.0)</f>
        <v>0</v>
      </c>
      <c r="E2773" s="69" t="b">
        <f>IFERROR(__xludf.DUMMYFUNCTION("""COMPUTED_VALUE"""),TRUE)</f>
        <v>1</v>
      </c>
    </row>
    <row r="2774" hidden="1">
      <c r="A2774" s="78" t="str">
        <f>IFERROR(__xludf.DUMMYFUNCTION("""COMPUTED_VALUE"""),"Tinker Time")</f>
        <v>Tinker Time</v>
      </c>
      <c r="B2774" s="78" t="str">
        <f>IFERROR(__xludf.DUMMYFUNCTION("""COMPUTED_VALUE"""),"Endless Punishment")</f>
        <v>Endless Punishment</v>
      </c>
      <c r="C2774" s="79">
        <f>IFERROR(__xludf.DUMMYFUNCTION("""COMPUTED_VALUE"""),0.0)</f>
        <v>0</v>
      </c>
      <c r="D2774" s="79">
        <f>IFERROR(__xludf.DUMMYFUNCTION("""COMPUTED_VALUE"""),1.0)</f>
        <v>1</v>
      </c>
      <c r="E2774" s="69" t="b">
        <f>IFERROR(__xludf.DUMMYFUNCTION("""COMPUTED_VALUE"""),FALSE)</f>
        <v>0</v>
      </c>
    </row>
    <row r="2775" hidden="1">
      <c r="A2775" s="78" t="str">
        <f>IFERROR(__xludf.DUMMYFUNCTION("""COMPUTED_VALUE"""),"Tinker Time")</f>
        <v>Tinker Time</v>
      </c>
      <c r="B2775" s="78" t="str">
        <f>IFERROR(__xludf.DUMMYFUNCTION("""COMPUTED_VALUE"""),"Enduring Enchantments")</f>
        <v>Enduring Enchantments</v>
      </c>
      <c r="C2775" s="79">
        <f>IFERROR(__xludf.DUMMYFUNCTION("""COMPUTED_VALUE"""),0.0)</f>
        <v>0</v>
      </c>
      <c r="D2775" s="79">
        <f>IFERROR(__xludf.DUMMYFUNCTION("""COMPUTED_VALUE"""),0.0)</f>
        <v>0</v>
      </c>
      <c r="E2775" s="69" t="b">
        <f>IFERROR(__xludf.DUMMYFUNCTION("""COMPUTED_VALUE"""),TRUE)</f>
        <v>1</v>
      </c>
    </row>
    <row r="2776" hidden="1">
      <c r="A2776" s="78" t="str">
        <f>IFERROR(__xludf.DUMMYFUNCTION("""COMPUTED_VALUE"""),"Tinker Time")</f>
        <v>Tinker Time</v>
      </c>
      <c r="B2776" s="78" t="str">
        <f>IFERROR(__xludf.DUMMYFUNCTION("""COMPUTED_VALUE"""),"Explorers of the Deep")</f>
        <v>Explorers of the Deep</v>
      </c>
      <c r="C2776" s="79">
        <f>IFERROR(__xludf.DUMMYFUNCTION("""COMPUTED_VALUE"""),0.0)</f>
        <v>0</v>
      </c>
      <c r="D2776" s="79">
        <f>IFERROR(__xludf.DUMMYFUNCTION("""COMPUTED_VALUE"""),0.0)</f>
        <v>0</v>
      </c>
      <c r="E2776" s="69" t="b">
        <f>IFERROR(__xludf.DUMMYFUNCTION("""COMPUTED_VALUE"""),TRUE)</f>
        <v>1</v>
      </c>
    </row>
    <row r="2777" hidden="1">
      <c r="A2777" s="78" t="str">
        <f>IFERROR(__xludf.DUMMYFUNCTION("""COMPUTED_VALUE"""),"Tinker Time")</f>
        <v>Tinker Time</v>
      </c>
      <c r="B2777" s="78" t="str">
        <f>IFERROR(__xludf.DUMMYFUNCTION("""COMPUTED_VALUE"""),"Family Matters")</f>
        <v>Family Matters</v>
      </c>
      <c r="C2777" s="79">
        <f>IFERROR(__xludf.DUMMYFUNCTION("""COMPUTED_VALUE"""),0.0)</f>
        <v>0</v>
      </c>
      <c r="D2777" s="79">
        <f>IFERROR(__xludf.DUMMYFUNCTION("""COMPUTED_VALUE"""),0.0)</f>
        <v>0</v>
      </c>
      <c r="E2777" s="69" t="b">
        <f>IFERROR(__xludf.DUMMYFUNCTION("""COMPUTED_VALUE"""),TRUE)</f>
        <v>1</v>
      </c>
    </row>
    <row r="2778" hidden="1">
      <c r="A2778" s="78" t="str">
        <f>IFERROR(__xludf.DUMMYFUNCTION("""COMPUTED_VALUE"""),"Tinker Time")</f>
        <v>Tinker Time</v>
      </c>
      <c r="B2778" s="78" t="str">
        <f>IFERROR(__xludf.DUMMYFUNCTION("""COMPUTED_VALUE"""),"Food and Fellowship")</f>
        <v>Food and Fellowship</v>
      </c>
      <c r="C2778" s="79">
        <f>IFERROR(__xludf.DUMMYFUNCTION("""COMPUTED_VALUE"""),0.0)</f>
        <v>0</v>
      </c>
      <c r="D2778" s="79">
        <f>IFERROR(__xludf.DUMMYFUNCTION("""COMPUTED_VALUE"""),0.0)</f>
        <v>0</v>
      </c>
      <c r="E2778" s="69" t="b">
        <f>IFERROR(__xludf.DUMMYFUNCTION("""COMPUTED_VALUE"""),TRUE)</f>
        <v>1</v>
      </c>
    </row>
    <row r="2779" hidden="1">
      <c r="A2779" s="78" t="str">
        <f>IFERROR(__xludf.DUMMYFUNCTION("""COMPUTED_VALUE"""),"Tinker Time")</f>
        <v>Tinker Time</v>
      </c>
      <c r="B2779" s="78" t="str">
        <f>IFERROR(__xludf.DUMMYFUNCTION("""COMPUTED_VALUE"""),"Jeskai Striker")</f>
        <v>Jeskai Striker</v>
      </c>
      <c r="C2779" s="79">
        <f>IFERROR(__xludf.DUMMYFUNCTION("""COMPUTED_VALUE"""),0.0)</f>
        <v>0</v>
      </c>
      <c r="D2779" s="79">
        <f>IFERROR(__xludf.DUMMYFUNCTION("""COMPUTED_VALUE"""),0.0)</f>
        <v>0</v>
      </c>
      <c r="E2779" s="69" t="b">
        <f>IFERROR(__xludf.DUMMYFUNCTION("""COMPUTED_VALUE"""),TRUE)</f>
        <v>1</v>
      </c>
    </row>
    <row r="2780" hidden="1">
      <c r="A2780" s="78" t="str">
        <f>IFERROR(__xludf.DUMMYFUNCTION("""COMPUTED_VALUE"""),"Tinker Time")</f>
        <v>Tinker Time</v>
      </c>
      <c r="B2780" s="78" t="str">
        <f>IFERROR(__xludf.DUMMYFUNCTION("""COMPUTED_VALUE"""),"Legends' Legacy")</f>
        <v>Legends' Legacy</v>
      </c>
      <c r="C2780" s="79">
        <f>IFERROR(__xludf.DUMMYFUNCTION("""COMPUTED_VALUE"""),0.0)</f>
        <v>0</v>
      </c>
      <c r="D2780" s="79">
        <f>IFERROR(__xludf.DUMMYFUNCTION("""COMPUTED_VALUE"""),0.0)</f>
        <v>0</v>
      </c>
      <c r="E2780" s="69" t="b">
        <f>IFERROR(__xludf.DUMMYFUNCTION("""COMPUTED_VALUE"""),TRUE)</f>
        <v>1</v>
      </c>
    </row>
    <row r="2781" hidden="1">
      <c r="A2781" s="78" t="str">
        <f>IFERROR(__xludf.DUMMYFUNCTION("""COMPUTED_VALUE"""),"Tinker Time")</f>
        <v>Tinker Time</v>
      </c>
      <c r="B2781" s="78" t="str">
        <f>IFERROR(__xludf.DUMMYFUNCTION("""COMPUTED_VALUE"""),"Limit Break")</f>
        <v>Limit Break</v>
      </c>
      <c r="C2781" s="79">
        <f>IFERROR(__xludf.DUMMYFUNCTION("""COMPUTED_VALUE"""),0.0)</f>
        <v>0</v>
      </c>
      <c r="D2781" s="79">
        <f>IFERROR(__xludf.DUMMYFUNCTION("""COMPUTED_VALUE"""),0.0)</f>
        <v>0</v>
      </c>
      <c r="E2781" s="69" t="b">
        <f>IFERROR(__xludf.DUMMYFUNCTION("""COMPUTED_VALUE"""),TRUE)</f>
        <v>1</v>
      </c>
    </row>
    <row r="2782" hidden="1">
      <c r="A2782" s="78" t="str">
        <f>IFERROR(__xludf.DUMMYFUNCTION("""COMPUTED_VALUE"""),"Tinker Time")</f>
        <v>Tinker Time</v>
      </c>
      <c r="B2782" s="78" t="str">
        <f>IFERROR(__xludf.DUMMYFUNCTION("""COMPUTED_VALUE"""),"Lorehold Spirit")</f>
        <v>Lorehold Spirit</v>
      </c>
      <c r="C2782" s="79">
        <f>IFERROR(__xludf.DUMMYFUNCTION("""COMPUTED_VALUE"""),0.0)</f>
        <v>0</v>
      </c>
      <c r="D2782" s="79">
        <f>IFERROR(__xludf.DUMMYFUNCTION("""COMPUTED_VALUE"""),0.0)</f>
        <v>0</v>
      </c>
      <c r="E2782" s="69" t="b">
        <f>IFERROR(__xludf.DUMMYFUNCTION("""COMPUTED_VALUE"""),TRUE)</f>
        <v>1</v>
      </c>
    </row>
    <row r="2783" hidden="1">
      <c r="A2783" s="78" t="str">
        <f>IFERROR(__xludf.DUMMYFUNCTION("""COMPUTED_VALUE"""),"Tinker Time")</f>
        <v>Tinker Time</v>
      </c>
      <c r="B2783" s="78" t="str">
        <f>IFERROR(__xludf.DUMMYFUNCTION("""COMPUTED_VALUE"""),"Mutant Menace")</f>
        <v>Mutant Menace</v>
      </c>
      <c r="C2783" s="79">
        <f>IFERROR(__xludf.DUMMYFUNCTION("""COMPUTED_VALUE"""),0.0)</f>
        <v>0</v>
      </c>
      <c r="D2783" s="79">
        <f>IFERROR(__xludf.DUMMYFUNCTION("""COMPUTED_VALUE"""),0.0)</f>
        <v>0</v>
      </c>
      <c r="E2783" s="69" t="b">
        <f>IFERROR(__xludf.DUMMYFUNCTION("""COMPUTED_VALUE"""),TRUE)</f>
        <v>1</v>
      </c>
    </row>
    <row r="2784" hidden="1">
      <c r="A2784" s="78" t="str">
        <f>IFERROR(__xludf.DUMMYFUNCTION("""COMPUTED_VALUE"""),"Tinker Time")</f>
        <v>Tinker Time</v>
      </c>
      <c r="B2784" s="78" t="str">
        <f>IFERROR(__xludf.DUMMYFUNCTION("""COMPUTED_VALUE"""),"Party Time")</f>
        <v>Party Time</v>
      </c>
      <c r="C2784" s="79">
        <f>IFERROR(__xludf.DUMMYFUNCTION("""COMPUTED_VALUE"""),0.0)</f>
        <v>0</v>
      </c>
      <c r="D2784" s="79">
        <f>IFERROR(__xludf.DUMMYFUNCTION("""COMPUTED_VALUE"""),0.0)</f>
        <v>0</v>
      </c>
      <c r="E2784" s="69" t="b">
        <f>IFERROR(__xludf.DUMMYFUNCTION("""COMPUTED_VALUE"""),TRUE)</f>
        <v>1</v>
      </c>
    </row>
    <row r="2785" hidden="1">
      <c r="A2785" s="78" t="str">
        <f>IFERROR(__xludf.DUMMYFUNCTION("""COMPUTED_VALUE"""),"Tinker Time")</f>
        <v>Tinker Time</v>
      </c>
      <c r="B2785" s="78" t="str">
        <f>IFERROR(__xludf.DUMMYFUNCTION("""COMPUTED_VALUE"""),"Peace Offering")</f>
        <v>Peace Offering</v>
      </c>
      <c r="C2785" s="79">
        <f>IFERROR(__xludf.DUMMYFUNCTION("""COMPUTED_VALUE"""),0.0)</f>
        <v>0</v>
      </c>
      <c r="D2785" s="79">
        <f>IFERROR(__xludf.DUMMYFUNCTION("""COMPUTED_VALUE"""),0.0)</f>
        <v>0</v>
      </c>
      <c r="E2785" s="69" t="b">
        <f>IFERROR(__xludf.DUMMYFUNCTION("""COMPUTED_VALUE"""),TRUE)</f>
        <v>1</v>
      </c>
    </row>
    <row r="2786" hidden="1">
      <c r="A2786" s="78" t="str">
        <f>IFERROR(__xludf.DUMMYFUNCTION("""COMPUTED_VALUE"""),"Tinker Time")</f>
        <v>Tinker Time</v>
      </c>
      <c r="B2786" s="78" t="str">
        <f>IFERROR(__xludf.DUMMYFUNCTION("""COMPUTED_VALUE"""),"Power Hungry")</f>
        <v>Power Hungry</v>
      </c>
      <c r="C2786" s="79">
        <f>IFERROR(__xludf.DUMMYFUNCTION("""COMPUTED_VALUE"""),0.0)</f>
        <v>0</v>
      </c>
      <c r="D2786" s="79">
        <f>IFERROR(__xludf.DUMMYFUNCTION("""COMPUTED_VALUE"""),0.0)</f>
        <v>0</v>
      </c>
      <c r="E2786" s="69" t="b">
        <f>IFERROR(__xludf.DUMMYFUNCTION("""COMPUTED_VALUE"""),TRUE)</f>
        <v>1</v>
      </c>
    </row>
    <row r="2787" hidden="1">
      <c r="A2787" s="78" t="str">
        <f>IFERROR(__xludf.DUMMYFUNCTION("""COMPUTED_VALUE"""),"Tinker Time")</f>
        <v>Tinker Time</v>
      </c>
      <c r="B2787" s="78" t="str">
        <f>IFERROR(__xludf.DUMMYFUNCTION("""COMPUTED_VALUE"""),"Primal Genesis")</f>
        <v>Primal Genesis</v>
      </c>
      <c r="C2787" s="79">
        <f>IFERROR(__xludf.DUMMYFUNCTION("""COMPUTED_VALUE"""),0.0)</f>
        <v>0</v>
      </c>
      <c r="D2787" s="79">
        <f>IFERROR(__xludf.DUMMYFUNCTION("""COMPUTED_VALUE"""),0.0)</f>
        <v>0</v>
      </c>
      <c r="E2787" s="69" t="b">
        <f>IFERROR(__xludf.DUMMYFUNCTION("""COMPUTED_VALUE"""),TRUE)</f>
        <v>1</v>
      </c>
    </row>
    <row r="2788" hidden="1">
      <c r="A2788" s="78" t="str">
        <f>IFERROR(__xludf.DUMMYFUNCTION("""COMPUTED_VALUE"""),"Tinker Time")</f>
        <v>Tinker Time</v>
      </c>
      <c r="B2788" s="78" t="str">
        <f>IFERROR(__xludf.DUMMYFUNCTION("""COMPUTED_VALUE"""),"Prismari Artistry")</f>
        <v>Prismari Artistry</v>
      </c>
      <c r="C2788" s="79">
        <f>IFERROR(__xludf.DUMMYFUNCTION("""COMPUTED_VALUE"""),0.0)</f>
        <v>0</v>
      </c>
      <c r="D2788" s="79">
        <f>IFERROR(__xludf.DUMMYFUNCTION("""COMPUTED_VALUE"""),0.0)</f>
        <v>0</v>
      </c>
      <c r="E2788" s="69" t="b">
        <f>IFERROR(__xludf.DUMMYFUNCTION("""COMPUTED_VALUE"""),TRUE)</f>
        <v>1</v>
      </c>
    </row>
    <row r="2789" hidden="1">
      <c r="A2789" s="78" t="str">
        <f>IFERROR(__xludf.DUMMYFUNCTION("""COMPUTED_VALUE"""),"Tinker Time")</f>
        <v>Tinker Time</v>
      </c>
      <c r="B2789" s="78" t="str">
        <f>IFERROR(__xludf.DUMMYFUNCTION("""COMPUTED_VALUE"""),"Prismari Performance")</f>
        <v>Prismari Performance</v>
      </c>
      <c r="C2789" s="79">
        <f>IFERROR(__xludf.DUMMYFUNCTION("""COMPUTED_VALUE"""),0.0)</f>
        <v>0</v>
      </c>
      <c r="D2789" s="79">
        <f>IFERROR(__xludf.DUMMYFUNCTION("""COMPUTED_VALUE"""),0.0)</f>
        <v>0</v>
      </c>
      <c r="E2789" s="69" t="b">
        <f>IFERROR(__xludf.DUMMYFUNCTION("""COMPUTED_VALUE"""),TRUE)</f>
        <v>1</v>
      </c>
    </row>
    <row r="2790" hidden="1">
      <c r="A2790" s="78" t="str">
        <f>IFERROR(__xludf.DUMMYFUNCTION("""COMPUTED_VALUE"""),"Tinker Time")</f>
        <v>Tinker Time</v>
      </c>
      <c r="B2790" s="78" t="str">
        <f>IFERROR(__xludf.DUMMYFUNCTION("""COMPUTED_VALUE"""),"Quandrix Unlimited")</f>
        <v>Quandrix Unlimited</v>
      </c>
      <c r="C2790" s="79">
        <f>IFERROR(__xludf.DUMMYFUNCTION("""COMPUTED_VALUE"""),0.0)</f>
        <v>0</v>
      </c>
      <c r="D2790" s="79">
        <f>IFERROR(__xludf.DUMMYFUNCTION("""COMPUTED_VALUE"""),0.0)</f>
        <v>0</v>
      </c>
      <c r="E2790" s="69" t="b">
        <f>IFERROR(__xludf.DUMMYFUNCTION("""COMPUTED_VALUE"""),TRUE)</f>
        <v>1</v>
      </c>
    </row>
    <row r="2791" hidden="1">
      <c r="A2791" s="78" t="str">
        <f>IFERROR(__xludf.DUMMYFUNCTION("""COMPUTED_VALUE"""),"Tinker Time")</f>
        <v>Tinker Time</v>
      </c>
      <c r="B2791" s="78" t="str">
        <f>IFERROR(__xludf.DUMMYFUNCTION("""COMPUTED_VALUE"""),"Quick Draw")</f>
        <v>Quick Draw</v>
      </c>
      <c r="C2791" s="79">
        <f>IFERROR(__xludf.DUMMYFUNCTION("""COMPUTED_VALUE"""),0.0)</f>
        <v>0</v>
      </c>
      <c r="D2791" s="79">
        <f>IFERROR(__xludf.DUMMYFUNCTION("""COMPUTED_VALUE"""),0.0)</f>
        <v>0</v>
      </c>
      <c r="E2791" s="69" t="b">
        <f>IFERROR(__xludf.DUMMYFUNCTION("""COMPUTED_VALUE"""),TRUE)</f>
        <v>1</v>
      </c>
    </row>
    <row r="2792" hidden="1">
      <c r="A2792" s="78" t="str">
        <f>IFERROR(__xludf.DUMMYFUNCTION("""COMPUTED_VALUE"""),"Tinker Time")</f>
        <v>Tinker Time</v>
      </c>
      <c r="B2792" s="78" t="str">
        <f>IFERROR(__xludf.DUMMYFUNCTION("""COMPUTED_VALUE"""),"Reap the Tides")</f>
        <v>Reap the Tides</v>
      </c>
      <c r="C2792" s="79">
        <f>IFERROR(__xludf.DUMMYFUNCTION("""COMPUTED_VALUE"""),0.0)</f>
        <v>0</v>
      </c>
      <c r="D2792" s="79">
        <f>IFERROR(__xludf.DUMMYFUNCTION("""COMPUTED_VALUE"""),0.0)</f>
        <v>0</v>
      </c>
      <c r="E2792" s="69" t="b">
        <f>IFERROR(__xludf.DUMMYFUNCTION("""COMPUTED_VALUE"""),TRUE)</f>
        <v>1</v>
      </c>
    </row>
    <row r="2793" hidden="1">
      <c r="A2793" s="78" t="str">
        <f>IFERROR(__xludf.DUMMYFUNCTION("""COMPUTED_VALUE"""),"Tinker Time")</f>
        <v>Tinker Time</v>
      </c>
      <c r="B2793" s="78" t="str">
        <f>IFERROR(__xludf.DUMMYFUNCTION("""COMPUTED_VALUE"""),"Rebellion Rising")</f>
        <v>Rebellion Rising</v>
      </c>
      <c r="C2793" s="79">
        <f>IFERROR(__xludf.DUMMYFUNCTION("""COMPUTED_VALUE"""),1.0)</f>
        <v>1</v>
      </c>
      <c r="D2793" s="79">
        <f>IFERROR(__xludf.DUMMYFUNCTION("""COMPUTED_VALUE"""),0.0)</f>
        <v>0</v>
      </c>
      <c r="E2793" s="69" t="b">
        <f>IFERROR(__xludf.DUMMYFUNCTION("""COMPUTED_VALUE"""),FALSE)</f>
        <v>0</v>
      </c>
    </row>
    <row r="2794" hidden="1">
      <c r="A2794" s="78" t="str">
        <f>IFERROR(__xludf.DUMMYFUNCTION("""COMPUTED_VALUE"""),"Tinker Time")</f>
        <v>Tinker Time</v>
      </c>
      <c r="B2794" s="78" t="str">
        <f>IFERROR(__xludf.DUMMYFUNCTION("""COMPUTED_VALUE"""),"Revival Trance")</f>
        <v>Revival Trance</v>
      </c>
      <c r="C2794" s="79">
        <f>IFERROR(__xludf.DUMMYFUNCTION("""COMPUTED_VALUE"""),1.0)</f>
        <v>1</v>
      </c>
      <c r="D2794" s="79">
        <f>IFERROR(__xludf.DUMMYFUNCTION("""COMPUTED_VALUE"""),0.0)</f>
        <v>0</v>
      </c>
      <c r="E2794" s="69" t="b">
        <f>IFERROR(__xludf.DUMMYFUNCTION("""COMPUTED_VALUE"""),FALSE)</f>
        <v>0</v>
      </c>
    </row>
    <row r="2795" hidden="1">
      <c r="A2795" s="78" t="str">
        <f>IFERROR(__xludf.DUMMYFUNCTION("""COMPUTED_VALUE"""),"Tinker Time")</f>
        <v>Tinker Time</v>
      </c>
      <c r="B2795" s="78" t="str">
        <f>IFERROR(__xludf.DUMMYFUNCTION("""COMPUTED_VALUE"""),"Riders of Rohan")</f>
        <v>Riders of Rohan</v>
      </c>
      <c r="C2795" s="79">
        <f>IFERROR(__xludf.DUMMYFUNCTION("""COMPUTED_VALUE"""),0.0)</f>
        <v>0</v>
      </c>
      <c r="D2795" s="79">
        <f>IFERROR(__xludf.DUMMYFUNCTION("""COMPUTED_VALUE"""),0.0)</f>
        <v>0</v>
      </c>
      <c r="E2795" s="69" t="b">
        <f>IFERROR(__xludf.DUMMYFUNCTION("""COMPUTED_VALUE"""),TRUE)</f>
        <v>1</v>
      </c>
    </row>
    <row r="2796" hidden="1">
      <c r="A2796" s="78" t="str">
        <f>IFERROR(__xludf.DUMMYFUNCTION("""COMPUTED_VALUE"""),"Tinker Time")</f>
        <v>Tinker Time</v>
      </c>
      <c r="B2796" s="78" t="str">
        <f>IFERROR(__xludf.DUMMYFUNCTION("""COMPUTED_VALUE"""),"Science!")</f>
        <v>Science!</v>
      </c>
      <c r="C2796" s="79">
        <f>IFERROR(__xludf.DUMMYFUNCTION("""COMPUTED_VALUE"""),0.0)</f>
        <v>0</v>
      </c>
      <c r="D2796" s="79">
        <f>IFERROR(__xludf.DUMMYFUNCTION("""COMPUTED_VALUE"""),0.0)</f>
        <v>0</v>
      </c>
      <c r="E2796" s="69" t="b">
        <f>IFERROR(__xludf.DUMMYFUNCTION("""COMPUTED_VALUE"""),TRUE)</f>
        <v>1</v>
      </c>
    </row>
    <row r="2797" hidden="1">
      <c r="A2797" s="78" t="str">
        <f>IFERROR(__xludf.DUMMYFUNCTION("""COMPUTED_VALUE"""),"Tinker Time")</f>
        <v>Tinker Time</v>
      </c>
      <c r="B2797" s="78" t="str">
        <f>IFERROR(__xludf.DUMMYFUNCTION("""COMPUTED_VALUE"""),"Scions &amp; Spellcraft")</f>
        <v>Scions &amp; Spellcraft</v>
      </c>
      <c r="C2797" s="79">
        <f>IFERROR(__xludf.DUMMYFUNCTION("""COMPUTED_VALUE"""),1.0)</f>
        <v>1</v>
      </c>
      <c r="D2797" s="79">
        <f>IFERROR(__xludf.DUMMYFUNCTION("""COMPUTED_VALUE"""),0.0)</f>
        <v>0</v>
      </c>
      <c r="E2797" s="69" t="b">
        <f>IFERROR(__xludf.DUMMYFUNCTION("""COMPUTED_VALUE"""),FALSE)</f>
        <v>0</v>
      </c>
    </row>
    <row r="2798" hidden="1">
      <c r="A2798" s="78" t="str">
        <f>IFERROR(__xludf.DUMMYFUNCTION("""COMPUTED_VALUE"""),"Tinker Time")</f>
        <v>Tinker Time</v>
      </c>
      <c r="B2798" s="78" t="str">
        <f>IFERROR(__xludf.DUMMYFUNCTION("""COMPUTED_VALUE"""),"Scrappy Survivors")</f>
        <v>Scrappy Survivors</v>
      </c>
      <c r="C2798" s="79">
        <f>IFERROR(__xludf.DUMMYFUNCTION("""COMPUTED_VALUE"""),0.0)</f>
        <v>0</v>
      </c>
      <c r="D2798" s="79">
        <f>IFERROR(__xludf.DUMMYFUNCTION("""COMPUTED_VALUE"""),0.0)</f>
        <v>0</v>
      </c>
      <c r="E2798" s="69" t="b">
        <f>IFERROR(__xludf.DUMMYFUNCTION("""COMPUTED_VALUE"""),TRUE)</f>
        <v>1</v>
      </c>
    </row>
    <row r="2799" hidden="1">
      <c r="A2799" s="78" t="str">
        <f>IFERROR(__xludf.DUMMYFUNCTION("""COMPUTED_VALUE"""),"Tinker Time")</f>
        <v>Tinker Time</v>
      </c>
      <c r="B2799" s="78" t="str">
        <f>IFERROR(__xludf.DUMMYFUNCTION("""COMPUTED_VALUE"""),"Silverquill Influence")</f>
        <v>Silverquill Influence</v>
      </c>
      <c r="C2799" s="79">
        <f>IFERROR(__xludf.DUMMYFUNCTION("""COMPUTED_VALUE"""),0.0)</f>
        <v>0</v>
      </c>
      <c r="D2799" s="79">
        <f>IFERROR(__xludf.DUMMYFUNCTION("""COMPUTED_VALUE"""),0.0)</f>
        <v>0</v>
      </c>
      <c r="E2799" s="69" t="b">
        <f>IFERROR(__xludf.DUMMYFUNCTION("""COMPUTED_VALUE"""),TRUE)</f>
        <v>1</v>
      </c>
    </row>
    <row r="2800" hidden="1">
      <c r="A2800" s="78" t="str">
        <f>IFERROR(__xludf.DUMMYFUNCTION("""COMPUTED_VALUE"""),"Tinker Time")</f>
        <v>Tinker Time</v>
      </c>
      <c r="B2800" s="78" t="str">
        <f>IFERROR(__xludf.DUMMYFUNCTION("""COMPUTED_VALUE"""),"Spirit Squadron")</f>
        <v>Spirit Squadron</v>
      </c>
      <c r="C2800" s="79">
        <f>IFERROR(__xludf.DUMMYFUNCTION("""COMPUTED_VALUE"""),0.0)</f>
        <v>0</v>
      </c>
      <c r="D2800" s="79">
        <f>IFERROR(__xludf.DUMMYFUNCTION("""COMPUTED_VALUE"""),0.0)</f>
        <v>0</v>
      </c>
      <c r="E2800" s="69" t="b">
        <f>IFERROR(__xludf.DUMMYFUNCTION("""COMPUTED_VALUE"""),TRUE)</f>
        <v>1</v>
      </c>
    </row>
    <row r="2801" hidden="1">
      <c r="A2801" s="78" t="str">
        <f>IFERROR(__xludf.DUMMYFUNCTION("""COMPUTED_VALUE"""),"Tinker Time")</f>
        <v>Tinker Time</v>
      </c>
      <c r="B2801" s="78" t="str">
        <f>IFERROR(__xludf.DUMMYFUNCTION("""COMPUTED_VALUE"""),"Squirreled Away")</f>
        <v>Squirreled Away</v>
      </c>
      <c r="C2801" s="79">
        <f>IFERROR(__xludf.DUMMYFUNCTION("""COMPUTED_VALUE"""),0.0)</f>
        <v>0</v>
      </c>
      <c r="D2801" s="79">
        <f>IFERROR(__xludf.DUMMYFUNCTION("""COMPUTED_VALUE"""),0.0)</f>
        <v>0</v>
      </c>
      <c r="E2801" s="69" t="b">
        <f>IFERROR(__xludf.DUMMYFUNCTION("""COMPUTED_VALUE"""),TRUE)</f>
        <v>1</v>
      </c>
    </row>
    <row r="2802" hidden="1">
      <c r="A2802" s="78" t="str">
        <f>IFERROR(__xludf.DUMMYFUNCTION("""COMPUTED_VALUE"""),"Tinker Time")</f>
        <v>Tinker Time</v>
      </c>
      <c r="B2802" s="78" t="str">
        <f>IFERROR(__xludf.DUMMYFUNCTION("""COMPUTED_VALUE"""),"Sultai Arisen")</f>
        <v>Sultai Arisen</v>
      </c>
      <c r="C2802" s="79">
        <f>IFERROR(__xludf.DUMMYFUNCTION("""COMPUTED_VALUE"""),0.0)</f>
        <v>0</v>
      </c>
      <c r="D2802" s="79">
        <f>IFERROR(__xludf.DUMMYFUNCTION("""COMPUTED_VALUE"""),0.0)</f>
        <v>0</v>
      </c>
      <c r="E2802" s="69" t="b">
        <f>IFERROR(__xludf.DUMMYFUNCTION("""COMPUTED_VALUE"""),TRUE)</f>
        <v>1</v>
      </c>
    </row>
    <row r="2803" hidden="1">
      <c r="A2803" s="78" t="str">
        <f>IFERROR(__xludf.DUMMYFUNCTION("""COMPUTED_VALUE"""),"Tinker Time")</f>
        <v>Tinker Time</v>
      </c>
      <c r="B2803" s="78" t="str">
        <f>IFERROR(__xludf.DUMMYFUNCTION("""COMPUTED_VALUE"""),"Temur Roar")</f>
        <v>Temur Roar</v>
      </c>
      <c r="C2803" s="79">
        <f>IFERROR(__xludf.DUMMYFUNCTION("""COMPUTED_VALUE"""),0.0)</f>
        <v>0</v>
      </c>
      <c r="D2803" s="79">
        <f>IFERROR(__xludf.DUMMYFUNCTION("""COMPUTED_VALUE"""),0.0)</f>
        <v>0</v>
      </c>
      <c r="E2803" s="69" t="b">
        <f>IFERROR(__xludf.DUMMYFUNCTION("""COMPUTED_VALUE"""),TRUE)</f>
        <v>1</v>
      </c>
    </row>
    <row r="2804" hidden="1">
      <c r="A2804" s="78" t="str">
        <f>IFERROR(__xludf.DUMMYFUNCTION("""COMPUTED_VALUE"""),"Tinker Time")</f>
        <v>Tinker Time</v>
      </c>
      <c r="B2804" s="78" t="str">
        <f>IFERROR(__xludf.DUMMYFUNCTION("""COMPUTED_VALUE"""),"The Hosts of Mordor")</f>
        <v>The Hosts of Mordor</v>
      </c>
      <c r="C2804" s="79">
        <f>IFERROR(__xludf.DUMMYFUNCTION("""COMPUTED_VALUE"""),0.0)</f>
        <v>0</v>
      </c>
      <c r="D2804" s="79">
        <f>IFERROR(__xludf.DUMMYFUNCTION("""COMPUTED_VALUE"""),0.0)</f>
        <v>0</v>
      </c>
      <c r="E2804" s="69" t="b">
        <f>IFERROR(__xludf.DUMMYFUNCTION("""COMPUTED_VALUE"""),TRUE)</f>
        <v>1</v>
      </c>
    </row>
    <row r="2805" hidden="1">
      <c r="A2805" s="78" t="str">
        <f>IFERROR(__xludf.DUMMYFUNCTION("""COMPUTED_VALUE"""),"Tinker Time")</f>
        <v>Tinker Time</v>
      </c>
      <c r="B2805" s="78" t="str">
        <f>IFERROR(__xludf.DUMMYFUNCTION("""COMPUTED_VALUE"""),"The Ruinous Powers")</f>
        <v>The Ruinous Powers</v>
      </c>
      <c r="C2805" s="79">
        <f>IFERROR(__xludf.DUMMYFUNCTION("""COMPUTED_VALUE"""),0.0)</f>
        <v>0</v>
      </c>
      <c r="D2805" s="79">
        <f>IFERROR(__xludf.DUMMYFUNCTION("""COMPUTED_VALUE"""),0.0)</f>
        <v>0</v>
      </c>
      <c r="E2805" s="69" t="b">
        <f>IFERROR(__xludf.DUMMYFUNCTION("""COMPUTED_VALUE"""),TRUE)</f>
        <v>1</v>
      </c>
    </row>
    <row r="2806" hidden="1">
      <c r="A2806" s="78" t="str">
        <f>IFERROR(__xludf.DUMMYFUNCTION("""COMPUTED_VALUE"""),"Tinker Time")</f>
        <v>Tinker Time</v>
      </c>
      <c r="B2806" s="78" t="str">
        <f>IFERROR(__xludf.DUMMYFUNCTION("""COMPUTED_VALUE"""),"Timey-Wimey")</f>
        <v>Timey-Wimey</v>
      </c>
      <c r="C2806" s="79">
        <f>IFERROR(__xludf.DUMMYFUNCTION("""COMPUTED_VALUE"""),0.0)</f>
        <v>0</v>
      </c>
      <c r="D2806" s="79">
        <f>IFERROR(__xludf.DUMMYFUNCTION("""COMPUTED_VALUE"""),0.0)</f>
        <v>0</v>
      </c>
      <c r="E2806" s="69" t="b">
        <f>IFERROR(__xludf.DUMMYFUNCTION("""COMPUTED_VALUE"""),TRUE)</f>
        <v>1</v>
      </c>
    </row>
    <row r="2807" hidden="1">
      <c r="A2807" s="78" t="str">
        <f>IFERROR(__xludf.DUMMYFUNCTION("""COMPUTED_VALUE"""),"Tinker Time")</f>
        <v>Tinker Time</v>
      </c>
      <c r="B2807" s="78" t="str">
        <f>IFERROR(__xludf.DUMMYFUNCTION("""COMPUTED_VALUE"""),"Tinker Time")</f>
        <v>Tinker Time</v>
      </c>
      <c r="C2807" s="79">
        <f>IFERROR(__xludf.DUMMYFUNCTION("""COMPUTED_VALUE"""),1.0)</f>
        <v>1</v>
      </c>
      <c r="D2807" s="79">
        <f>IFERROR(__xludf.DUMMYFUNCTION("""COMPUTED_VALUE"""),1.0)</f>
        <v>1</v>
      </c>
      <c r="E2807" s="69" t="b">
        <f>IFERROR(__xludf.DUMMYFUNCTION("""COMPUTED_VALUE"""),TRUE)</f>
        <v>1</v>
      </c>
    </row>
    <row r="2808" hidden="1">
      <c r="A2808" s="78" t="str">
        <f>IFERROR(__xludf.DUMMYFUNCTION("""COMPUTED_VALUE"""),"Tinker Time")</f>
        <v>Tinker Time</v>
      </c>
      <c r="B2808" s="78" t="str">
        <f>IFERROR(__xludf.DUMMYFUNCTION("""COMPUTED_VALUE"""),"Turtle Power!")</f>
        <v>Turtle Power!</v>
      </c>
      <c r="C2808" s="79">
        <f>IFERROR(__xludf.DUMMYFUNCTION("""COMPUTED_VALUE"""),0.0)</f>
        <v>0</v>
      </c>
      <c r="D2808" s="79">
        <f>IFERROR(__xludf.DUMMYFUNCTION("""COMPUTED_VALUE"""),0.0)</f>
        <v>0</v>
      </c>
      <c r="E2808" s="69" t="b">
        <f>IFERROR(__xludf.DUMMYFUNCTION("""COMPUTED_VALUE"""),TRUE)</f>
        <v>1</v>
      </c>
    </row>
    <row r="2809" hidden="1">
      <c r="A2809" s="78" t="str">
        <f>IFERROR(__xludf.DUMMYFUNCTION("""COMPUTED_VALUE"""),"Tinker Time")</f>
        <v>Tinker Time</v>
      </c>
      <c r="B2809" s="78" t="str">
        <f>IFERROR(__xludf.DUMMYFUNCTION("""COMPUTED_VALUE"""),"Veloci-ramp-tor")</f>
        <v>Veloci-ramp-tor</v>
      </c>
      <c r="C2809" s="79">
        <f>IFERROR(__xludf.DUMMYFUNCTION("""COMPUTED_VALUE"""),0.0)</f>
        <v>0</v>
      </c>
      <c r="D2809" s="79">
        <f>IFERROR(__xludf.DUMMYFUNCTION("""COMPUTED_VALUE"""),0.0)</f>
        <v>0</v>
      </c>
      <c r="E2809" s="69" t="b">
        <f>IFERROR(__xludf.DUMMYFUNCTION("""COMPUTED_VALUE"""),TRUE)</f>
        <v>1</v>
      </c>
    </row>
    <row r="2810" hidden="1">
      <c r="A2810" s="78" t="str">
        <f>IFERROR(__xludf.DUMMYFUNCTION("""COMPUTED_VALUE"""),"Turtle Power!")</f>
        <v>Turtle Power!</v>
      </c>
      <c r="B2810" s="78" t="str">
        <f>IFERROR(__xludf.DUMMYFUNCTION("""COMPUTED_VALUE"""),"Ahoy Mateys")</f>
        <v>Ahoy Mateys</v>
      </c>
      <c r="C2810" s="79">
        <f>IFERROR(__xludf.DUMMYFUNCTION("""COMPUTED_VALUE"""),0.0)</f>
        <v>0</v>
      </c>
      <c r="D2810" s="79">
        <f>IFERROR(__xludf.DUMMYFUNCTION("""COMPUTED_VALUE"""),0.0)</f>
        <v>0</v>
      </c>
      <c r="E2810" s="69" t="b">
        <f>IFERROR(__xludf.DUMMYFUNCTION("""COMPUTED_VALUE"""),TRUE)</f>
        <v>1</v>
      </c>
    </row>
    <row r="2811" hidden="1">
      <c r="A2811" s="78" t="str">
        <f>IFERROR(__xludf.DUMMYFUNCTION("""COMPUTED_VALUE"""),"Turtle Power!")</f>
        <v>Turtle Power!</v>
      </c>
      <c r="B2811" s="78" t="str">
        <f>IFERROR(__xludf.DUMMYFUNCTION("""COMPUTED_VALUE"""),"Animated Army")</f>
        <v>Animated Army</v>
      </c>
      <c r="C2811" s="79">
        <f>IFERROR(__xludf.DUMMYFUNCTION("""COMPUTED_VALUE"""),0.0)</f>
        <v>0</v>
      </c>
      <c r="D2811" s="79">
        <f>IFERROR(__xludf.DUMMYFUNCTION("""COMPUTED_VALUE"""),0.0)</f>
        <v>0</v>
      </c>
      <c r="E2811" s="69" t="b">
        <f>IFERROR(__xludf.DUMMYFUNCTION("""COMPUTED_VALUE"""),TRUE)</f>
        <v>1</v>
      </c>
    </row>
    <row r="2812" hidden="1">
      <c r="A2812" s="78" t="str">
        <f>IFERROR(__xludf.DUMMYFUNCTION("""COMPUTED_VALUE"""),"Turtle Power!")</f>
        <v>Turtle Power!</v>
      </c>
      <c r="B2812" s="78" t="str">
        <f>IFERROR(__xludf.DUMMYFUNCTION("""COMPUTED_VALUE"""),"Arcane Maelstrom")</f>
        <v>Arcane Maelstrom</v>
      </c>
      <c r="C2812" s="79">
        <f>IFERROR(__xludf.DUMMYFUNCTION("""COMPUTED_VALUE"""),0.0)</f>
        <v>0</v>
      </c>
      <c r="D2812" s="79">
        <f>IFERROR(__xludf.DUMMYFUNCTION("""COMPUTED_VALUE"""),0.0)</f>
        <v>0</v>
      </c>
      <c r="E2812" s="69" t="b">
        <f>IFERROR(__xludf.DUMMYFUNCTION("""COMPUTED_VALUE"""),TRUE)</f>
        <v>1</v>
      </c>
    </row>
    <row r="2813" hidden="1">
      <c r="A2813" s="78" t="str">
        <f>IFERROR(__xludf.DUMMYFUNCTION("""COMPUTED_VALUE"""),"Turtle Power!")</f>
        <v>Turtle Power!</v>
      </c>
      <c r="B2813" s="78" t="str">
        <f>IFERROR(__xludf.DUMMYFUNCTION("""COMPUTED_VALUE"""),"Blame Game")</f>
        <v>Blame Game</v>
      </c>
      <c r="C2813" s="79">
        <f>IFERROR(__xludf.DUMMYFUNCTION("""COMPUTED_VALUE"""),0.0)</f>
        <v>0</v>
      </c>
      <c r="D2813" s="79">
        <f>IFERROR(__xludf.DUMMYFUNCTION("""COMPUTED_VALUE"""),0.0)</f>
        <v>0</v>
      </c>
      <c r="E2813" s="69" t="b">
        <f>IFERROR(__xludf.DUMMYFUNCTION("""COMPUTED_VALUE"""),TRUE)</f>
        <v>1</v>
      </c>
    </row>
    <row r="2814" hidden="1">
      <c r="A2814" s="78" t="str">
        <f>IFERROR(__xludf.DUMMYFUNCTION("""COMPUTED_VALUE"""),"Turtle Power!")</f>
        <v>Turtle Power!</v>
      </c>
      <c r="B2814" s="78" t="str">
        <f>IFERROR(__xludf.DUMMYFUNCTION("""COMPUTED_VALUE"""),"Blight Curse")</f>
        <v>Blight Curse</v>
      </c>
      <c r="C2814" s="79">
        <f>IFERROR(__xludf.DUMMYFUNCTION("""COMPUTED_VALUE"""),0.0)</f>
        <v>0</v>
      </c>
      <c r="D2814" s="79">
        <f>IFERROR(__xludf.DUMMYFUNCTION("""COMPUTED_VALUE"""),0.0)</f>
        <v>0</v>
      </c>
      <c r="E2814" s="69" t="b">
        <f>IFERROR(__xludf.DUMMYFUNCTION("""COMPUTED_VALUE"""),TRUE)</f>
        <v>1</v>
      </c>
    </row>
    <row r="2815" hidden="1">
      <c r="A2815" s="78" t="str">
        <f>IFERROR(__xludf.DUMMYFUNCTION("""COMPUTED_VALUE"""),"Turtle Power!")</f>
        <v>Turtle Power!</v>
      </c>
      <c r="B2815" s="78" t="str">
        <f>IFERROR(__xludf.DUMMYFUNCTION("""COMPUTED_VALUE"""),"Blood Rites")</f>
        <v>Blood Rites</v>
      </c>
      <c r="C2815" s="79">
        <f>IFERROR(__xludf.DUMMYFUNCTION("""COMPUTED_VALUE"""),0.0)</f>
        <v>0</v>
      </c>
      <c r="D2815" s="79">
        <f>IFERROR(__xludf.DUMMYFUNCTION("""COMPUTED_VALUE"""),0.0)</f>
        <v>0</v>
      </c>
      <c r="E2815" s="69" t="b">
        <f>IFERROR(__xludf.DUMMYFUNCTION("""COMPUTED_VALUE"""),TRUE)</f>
        <v>1</v>
      </c>
    </row>
    <row r="2816">
      <c r="A2816" s="78" t="str">
        <f>IFERROR(__xludf.DUMMYFUNCTION("""COMPUTED_VALUE"""),"Turtle Power!")</f>
        <v>Turtle Power!</v>
      </c>
      <c r="B2816" s="78" t="str">
        <f>IFERROR(__xludf.DUMMYFUNCTION("""COMPUTED_VALUE"""),"Buckle Up")</f>
        <v>Buckle Up</v>
      </c>
      <c r="C2816" s="79">
        <f>IFERROR(__xludf.DUMMYFUNCTION("""COMPUTED_VALUE"""),0.0)</f>
        <v>0</v>
      </c>
      <c r="D2816" s="79">
        <f>IFERROR(__xludf.DUMMYFUNCTION("""COMPUTED_VALUE"""),0.0)</f>
        <v>0</v>
      </c>
      <c r="E2816" s="69" t="b">
        <f>IFERROR(__xludf.DUMMYFUNCTION("""COMPUTED_VALUE"""),TRUE)</f>
        <v>1</v>
      </c>
    </row>
    <row r="2817" hidden="1">
      <c r="A2817" s="78" t="str">
        <f>IFERROR(__xludf.DUMMYFUNCTION("""COMPUTED_VALUE"""),"Turtle Power!")</f>
        <v>Turtle Power!</v>
      </c>
      <c r="B2817" s="78" t="str">
        <f>IFERROR(__xludf.DUMMYFUNCTION("""COMPUTED_VALUE"""),"Cabaretti Cacophony")</f>
        <v>Cabaretti Cacophony</v>
      </c>
      <c r="C2817" s="79">
        <f>IFERROR(__xludf.DUMMYFUNCTION("""COMPUTED_VALUE"""),0.0)</f>
        <v>0</v>
      </c>
      <c r="D2817" s="79">
        <f>IFERROR(__xludf.DUMMYFUNCTION("""COMPUTED_VALUE"""),0.0)</f>
        <v>0</v>
      </c>
      <c r="E2817" s="69" t="b">
        <f>IFERROR(__xludf.DUMMYFUNCTION("""COMPUTED_VALUE"""),TRUE)</f>
        <v>1</v>
      </c>
    </row>
    <row r="2818" hidden="1">
      <c r="A2818" s="78" t="str">
        <f>IFERROR(__xludf.DUMMYFUNCTION("""COMPUTED_VALUE"""),"Turtle Power!")</f>
        <v>Turtle Power!</v>
      </c>
      <c r="B2818" s="78" t="str">
        <f>IFERROR(__xludf.DUMMYFUNCTION("""COMPUTED_VALUE"""),"Cavalry Charge")</f>
        <v>Cavalry Charge</v>
      </c>
      <c r="C2818" s="79">
        <f>IFERROR(__xludf.DUMMYFUNCTION("""COMPUTED_VALUE"""),0.0)</f>
        <v>0</v>
      </c>
      <c r="D2818" s="79">
        <f>IFERROR(__xludf.DUMMYFUNCTION("""COMPUTED_VALUE"""),0.0)</f>
        <v>0</v>
      </c>
      <c r="E2818" s="69" t="b">
        <f>IFERROR(__xludf.DUMMYFUNCTION("""COMPUTED_VALUE"""),TRUE)</f>
        <v>1</v>
      </c>
    </row>
    <row r="2819" hidden="1">
      <c r="A2819" s="78" t="str">
        <f>IFERROR(__xludf.DUMMYFUNCTION("""COMPUTED_VALUE"""),"Turtle Power!")</f>
        <v>Turtle Power!</v>
      </c>
      <c r="B2819" s="78" t="str">
        <f>IFERROR(__xludf.DUMMYFUNCTION("""COMPUTED_VALUE"""),"Corrupting Influence")</f>
        <v>Corrupting Influence</v>
      </c>
      <c r="C2819" s="79">
        <f>IFERROR(__xludf.DUMMYFUNCTION("""COMPUTED_VALUE"""),0.0)</f>
        <v>0</v>
      </c>
      <c r="D2819" s="79">
        <f>IFERROR(__xludf.DUMMYFUNCTION("""COMPUTED_VALUE"""),1.0)</f>
        <v>1</v>
      </c>
      <c r="E2819" s="69" t="b">
        <f>IFERROR(__xludf.DUMMYFUNCTION("""COMPUTED_VALUE"""),FALSE)</f>
        <v>0</v>
      </c>
    </row>
    <row r="2820">
      <c r="A2820" s="78" t="str">
        <f>IFERROR(__xludf.DUMMYFUNCTION("""COMPUTED_VALUE"""),"Turtle Power!")</f>
        <v>Turtle Power!</v>
      </c>
      <c r="B2820" s="78" t="str">
        <f>IFERROR(__xludf.DUMMYFUNCTION("""COMPUTED_VALUE"""),"Counter Blitz")</f>
        <v>Counter Blitz</v>
      </c>
      <c r="C2820" s="79">
        <f>IFERROR(__xludf.DUMMYFUNCTION("""COMPUTED_VALUE"""),0.0)</f>
        <v>0</v>
      </c>
      <c r="D2820" s="79">
        <f>IFERROR(__xludf.DUMMYFUNCTION("""COMPUTED_VALUE"""),1.0)</f>
        <v>1</v>
      </c>
      <c r="E2820" s="69" t="b">
        <f>IFERROR(__xludf.DUMMYFUNCTION("""COMPUTED_VALUE"""),FALSE)</f>
        <v>0</v>
      </c>
    </row>
    <row r="2821" hidden="1">
      <c r="A2821" s="78" t="str">
        <f>IFERROR(__xludf.DUMMYFUNCTION("""COMPUTED_VALUE"""),"Turtle Power!")</f>
        <v>Turtle Power!</v>
      </c>
      <c r="B2821" s="78" t="str">
        <f>IFERROR(__xludf.DUMMYFUNCTION("""COMPUTED_VALUE"""),"Counter Intelligence")</f>
        <v>Counter Intelligence</v>
      </c>
      <c r="C2821" s="79">
        <f>IFERROR(__xludf.DUMMYFUNCTION("""COMPUTED_VALUE"""),0.0)</f>
        <v>0</v>
      </c>
      <c r="D2821" s="79">
        <f>IFERROR(__xludf.DUMMYFUNCTION("""COMPUTED_VALUE"""),0.0)</f>
        <v>0</v>
      </c>
      <c r="E2821" s="69" t="b">
        <f>IFERROR(__xludf.DUMMYFUNCTION("""COMPUTED_VALUE"""),TRUE)</f>
        <v>1</v>
      </c>
    </row>
    <row r="2822" hidden="1">
      <c r="A2822" s="78" t="str">
        <f>IFERROR(__xludf.DUMMYFUNCTION("""COMPUTED_VALUE"""),"Turtle Power!")</f>
        <v>Turtle Power!</v>
      </c>
      <c r="B2822" s="78" t="str">
        <f>IFERROR(__xludf.DUMMYFUNCTION("""COMPUTED_VALUE"""),"Creative Energy")</f>
        <v>Creative Energy</v>
      </c>
      <c r="C2822" s="79">
        <f>IFERROR(__xludf.DUMMYFUNCTION("""COMPUTED_VALUE"""),0.0)</f>
        <v>0</v>
      </c>
      <c r="D2822" s="79">
        <f>IFERROR(__xludf.DUMMYFUNCTION("""COMPUTED_VALUE"""),1.0)</f>
        <v>1</v>
      </c>
      <c r="E2822" s="69" t="b">
        <f>IFERROR(__xludf.DUMMYFUNCTION("""COMPUTED_VALUE"""),FALSE)</f>
        <v>0</v>
      </c>
    </row>
    <row r="2823">
      <c r="A2823" s="78" t="str">
        <f>IFERROR(__xludf.DUMMYFUNCTION("""COMPUTED_VALUE"""),"Turtle Power!")</f>
        <v>Turtle Power!</v>
      </c>
      <c r="B2823" s="78" t="str">
        <f>IFERROR(__xludf.DUMMYFUNCTION("""COMPUTED_VALUE"""),"Dance of the Elements")</f>
        <v>Dance of the Elements</v>
      </c>
      <c r="C2823" s="79">
        <f>IFERROR(__xludf.DUMMYFUNCTION("""COMPUTED_VALUE"""),0.0)</f>
        <v>0</v>
      </c>
      <c r="D2823" s="79">
        <f>IFERROR(__xludf.DUMMYFUNCTION("""COMPUTED_VALUE"""),0.0)</f>
        <v>0</v>
      </c>
      <c r="E2823" s="69" t="b">
        <f>IFERROR(__xludf.DUMMYFUNCTION("""COMPUTED_VALUE"""),TRUE)</f>
        <v>1</v>
      </c>
    </row>
    <row r="2824" hidden="1">
      <c r="A2824" s="78" t="str">
        <f>IFERROR(__xludf.DUMMYFUNCTION("""COMPUTED_VALUE"""),"Turtle Power!")</f>
        <v>Turtle Power!</v>
      </c>
      <c r="B2824" s="78" t="str">
        <f>IFERROR(__xludf.DUMMYFUNCTION("""COMPUTED_VALUE"""),"Deep Clue Sea")</f>
        <v>Deep Clue Sea</v>
      </c>
      <c r="C2824" s="79">
        <f>IFERROR(__xludf.DUMMYFUNCTION("""COMPUTED_VALUE"""),0.0)</f>
        <v>0</v>
      </c>
      <c r="D2824" s="79">
        <f>IFERROR(__xludf.DUMMYFUNCTION("""COMPUTED_VALUE"""),2.0)</f>
        <v>2</v>
      </c>
      <c r="E2824" s="69" t="b">
        <f>IFERROR(__xludf.DUMMYFUNCTION("""COMPUTED_VALUE"""),FALSE)</f>
        <v>0</v>
      </c>
    </row>
    <row r="2825" hidden="1">
      <c r="A2825" s="78" t="str">
        <f>IFERROR(__xludf.DUMMYFUNCTION("""COMPUTED_VALUE"""),"Turtle Power!")</f>
        <v>Turtle Power!</v>
      </c>
      <c r="B2825" s="78" t="str">
        <f>IFERROR(__xludf.DUMMYFUNCTION("""COMPUTED_VALUE"""),"Doom Prevails")</f>
        <v>Doom Prevails</v>
      </c>
      <c r="C2825" s="79">
        <f>IFERROR(__xludf.DUMMYFUNCTION("""COMPUTED_VALUE"""),0.0)</f>
        <v>0</v>
      </c>
      <c r="D2825" s="79">
        <f>IFERROR(__xludf.DUMMYFUNCTION("""COMPUTED_VALUE"""),0.0)</f>
        <v>0</v>
      </c>
      <c r="E2825" s="69" t="b">
        <f>IFERROR(__xludf.DUMMYFUNCTION("""COMPUTED_VALUE"""),TRUE)</f>
        <v>1</v>
      </c>
    </row>
    <row r="2826" hidden="1">
      <c r="A2826" s="78" t="str">
        <f>IFERROR(__xludf.DUMMYFUNCTION("""COMPUTED_VALUE"""),"Turtle Power!")</f>
        <v>Turtle Power!</v>
      </c>
      <c r="B2826" s="78" t="str">
        <f>IFERROR(__xludf.DUMMYFUNCTION("""COMPUTED_VALUE"""),"Eldrazi Incursion")</f>
        <v>Eldrazi Incursion</v>
      </c>
      <c r="C2826" s="79">
        <f>IFERROR(__xludf.DUMMYFUNCTION("""COMPUTED_VALUE"""),0.0)</f>
        <v>0</v>
      </c>
      <c r="D2826" s="79">
        <f>IFERROR(__xludf.DUMMYFUNCTION("""COMPUTED_VALUE"""),0.0)</f>
        <v>0</v>
      </c>
      <c r="E2826" s="69" t="b">
        <f>IFERROR(__xludf.DUMMYFUNCTION("""COMPUTED_VALUE"""),TRUE)</f>
        <v>1</v>
      </c>
    </row>
    <row r="2827" hidden="1">
      <c r="A2827" s="78" t="str">
        <f>IFERROR(__xludf.DUMMYFUNCTION("""COMPUTED_VALUE"""),"Turtle Power!")</f>
        <v>Turtle Power!</v>
      </c>
      <c r="B2827" s="78" t="str">
        <f>IFERROR(__xludf.DUMMYFUNCTION("""COMPUTED_VALUE"""),"Eldrazi Unbound")</f>
        <v>Eldrazi Unbound</v>
      </c>
      <c r="C2827" s="79">
        <f>IFERROR(__xludf.DUMMYFUNCTION("""COMPUTED_VALUE"""),0.0)</f>
        <v>0</v>
      </c>
      <c r="D2827" s="79">
        <f>IFERROR(__xludf.DUMMYFUNCTION("""COMPUTED_VALUE"""),0.0)</f>
        <v>0</v>
      </c>
      <c r="E2827" s="69" t="b">
        <f>IFERROR(__xludf.DUMMYFUNCTION("""COMPUTED_VALUE"""),TRUE)</f>
        <v>1</v>
      </c>
    </row>
    <row r="2828" hidden="1">
      <c r="A2828" s="78" t="str">
        <f>IFERROR(__xludf.DUMMYFUNCTION("""COMPUTED_VALUE"""),"Turtle Power!")</f>
        <v>Turtle Power!</v>
      </c>
      <c r="B2828" s="78" t="str">
        <f>IFERROR(__xludf.DUMMYFUNCTION("""COMPUTED_VALUE"""),"Endless Punishment")</f>
        <v>Endless Punishment</v>
      </c>
      <c r="C2828" s="79">
        <f>IFERROR(__xludf.DUMMYFUNCTION("""COMPUTED_VALUE"""),0.0)</f>
        <v>0</v>
      </c>
      <c r="D2828" s="79">
        <f>IFERROR(__xludf.DUMMYFUNCTION("""COMPUTED_VALUE"""),1.0)</f>
        <v>1</v>
      </c>
      <c r="E2828" s="69" t="b">
        <f>IFERROR(__xludf.DUMMYFUNCTION("""COMPUTED_VALUE"""),FALSE)</f>
        <v>0</v>
      </c>
    </row>
    <row r="2829" hidden="1">
      <c r="A2829" s="78" t="str">
        <f>IFERROR(__xludf.DUMMYFUNCTION("""COMPUTED_VALUE"""),"Turtle Power!")</f>
        <v>Turtle Power!</v>
      </c>
      <c r="B2829" s="78" t="str">
        <f>IFERROR(__xludf.DUMMYFUNCTION("""COMPUTED_VALUE"""),"Enduring Enchantments")</f>
        <v>Enduring Enchantments</v>
      </c>
      <c r="C2829" s="79">
        <f>IFERROR(__xludf.DUMMYFUNCTION("""COMPUTED_VALUE"""),0.0)</f>
        <v>0</v>
      </c>
      <c r="D2829" s="79">
        <f>IFERROR(__xludf.DUMMYFUNCTION("""COMPUTED_VALUE"""),0.0)</f>
        <v>0</v>
      </c>
      <c r="E2829" s="69" t="b">
        <f>IFERROR(__xludf.DUMMYFUNCTION("""COMPUTED_VALUE"""),TRUE)</f>
        <v>1</v>
      </c>
    </row>
    <row r="2830">
      <c r="A2830" s="78" t="str">
        <f>IFERROR(__xludf.DUMMYFUNCTION("""COMPUTED_VALUE"""),"Turtle Power!")</f>
        <v>Turtle Power!</v>
      </c>
      <c r="B2830" s="78" t="str">
        <f>IFERROR(__xludf.DUMMYFUNCTION("""COMPUTED_VALUE"""),"Explorers of the Deep")</f>
        <v>Explorers of the Deep</v>
      </c>
      <c r="C2830" s="79">
        <f>IFERROR(__xludf.DUMMYFUNCTION("""COMPUTED_VALUE"""),0.0)</f>
        <v>0</v>
      </c>
      <c r="D2830" s="79">
        <f>IFERROR(__xludf.DUMMYFUNCTION("""COMPUTED_VALUE"""),0.0)</f>
        <v>0</v>
      </c>
      <c r="E2830" s="69" t="b">
        <f>IFERROR(__xludf.DUMMYFUNCTION("""COMPUTED_VALUE"""),TRUE)</f>
        <v>1</v>
      </c>
    </row>
    <row r="2831" hidden="1">
      <c r="A2831" s="78" t="str">
        <f>IFERROR(__xludf.DUMMYFUNCTION("""COMPUTED_VALUE"""),"Turtle Power!")</f>
        <v>Turtle Power!</v>
      </c>
      <c r="B2831" s="78" t="str">
        <f>IFERROR(__xludf.DUMMYFUNCTION("""COMPUTED_VALUE"""),"Family Matters")</f>
        <v>Family Matters</v>
      </c>
      <c r="C2831" s="79">
        <f>IFERROR(__xludf.DUMMYFUNCTION("""COMPUTED_VALUE"""),0.0)</f>
        <v>0</v>
      </c>
      <c r="D2831" s="79">
        <f>IFERROR(__xludf.DUMMYFUNCTION("""COMPUTED_VALUE"""),0.0)</f>
        <v>0</v>
      </c>
      <c r="E2831" s="69" t="b">
        <f>IFERROR(__xludf.DUMMYFUNCTION("""COMPUTED_VALUE"""),TRUE)</f>
        <v>1</v>
      </c>
    </row>
    <row r="2832" hidden="1">
      <c r="A2832" s="78" t="str">
        <f>IFERROR(__xludf.DUMMYFUNCTION("""COMPUTED_VALUE"""),"Turtle Power!")</f>
        <v>Turtle Power!</v>
      </c>
      <c r="B2832" s="78" t="str">
        <f>IFERROR(__xludf.DUMMYFUNCTION("""COMPUTED_VALUE"""),"Food and Fellowship")</f>
        <v>Food and Fellowship</v>
      </c>
      <c r="C2832" s="79">
        <f>IFERROR(__xludf.DUMMYFUNCTION("""COMPUTED_VALUE"""),0.0)</f>
        <v>0</v>
      </c>
      <c r="D2832" s="79">
        <f>IFERROR(__xludf.DUMMYFUNCTION("""COMPUTED_VALUE"""),0.0)</f>
        <v>0</v>
      </c>
      <c r="E2832" s="69" t="b">
        <f>IFERROR(__xludf.DUMMYFUNCTION("""COMPUTED_VALUE"""),TRUE)</f>
        <v>1</v>
      </c>
    </row>
    <row r="2833" hidden="1">
      <c r="A2833" s="78" t="str">
        <f>IFERROR(__xludf.DUMMYFUNCTION("""COMPUTED_VALUE"""),"Turtle Power!")</f>
        <v>Turtle Power!</v>
      </c>
      <c r="B2833" s="78" t="str">
        <f>IFERROR(__xludf.DUMMYFUNCTION("""COMPUTED_VALUE"""),"Jeskai Striker")</f>
        <v>Jeskai Striker</v>
      </c>
      <c r="C2833" s="79">
        <f>IFERROR(__xludf.DUMMYFUNCTION("""COMPUTED_VALUE"""),0.0)</f>
        <v>0</v>
      </c>
      <c r="D2833" s="79">
        <f>IFERROR(__xludf.DUMMYFUNCTION("""COMPUTED_VALUE"""),1.0)</f>
        <v>1</v>
      </c>
      <c r="E2833" s="69" t="b">
        <f>IFERROR(__xludf.DUMMYFUNCTION("""COMPUTED_VALUE"""),FALSE)</f>
        <v>0</v>
      </c>
    </row>
    <row r="2834" hidden="1">
      <c r="A2834" s="78" t="str">
        <f>IFERROR(__xludf.DUMMYFUNCTION("""COMPUTED_VALUE"""),"Turtle Power!")</f>
        <v>Turtle Power!</v>
      </c>
      <c r="B2834" s="78" t="str">
        <f>IFERROR(__xludf.DUMMYFUNCTION("""COMPUTED_VALUE"""),"Legends' Legacy")</f>
        <v>Legends' Legacy</v>
      </c>
      <c r="C2834" s="79">
        <f>IFERROR(__xludf.DUMMYFUNCTION("""COMPUTED_VALUE"""),0.0)</f>
        <v>0</v>
      </c>
      <c r="D2834" s="79">
        <f>IFERROR(__xludf.DUMMYFUNCTION("""COMPUTED_VALUE"""),0.0)</f>
        <v>0</v>
      </c>
      <c r="E2834" s="69" t="b">
        <f>IFERROR(__xludf.DUMMYFUNCTION("""COMPUTED_VALUE"""),TRUE)</f>
        <v>1</v>
      </c>
    </row>
    <row r="2835" hidden="1">
      <c r="A2835" s="78" t="str">
        <f>IFERROR(__xludf.DUMMYFUNCTION("""COMPUTED_VALUE"""),"Turtle Power!")</f>
        <v>Turtle Power!</v>
      </c>
      <c r="B2835" s="78" t="str">
        <f>IFERROR(__xludf.DUMMYFUNCTION("""COMPUTED_VALUE"""),"Limit Break")</f>
        <v>Limit Break</v>
      </c>
      <c r="C2835" s="79">
        <f>IFERROR(__xludf.DUMMYFUNCTION("""COMPUTED_VALUE"""),0.0)</f>
        <v>0</v>
      </c>
      <c r="D2835" s="79">
        <f>IFERROR(__xludf.DUMMYFUNCTION("""COMPUTED_VALUE"""),0.0)</f>
        <v>0</v>
      </c>
      <c r="E2835" s="69" t="b">
        <f>IFERROR(__xludf.DUMMYFUNCTION("""COMPUTED_VALUE"""),TRUE)</f>
        <v>1</v>
      </c>
    </row>
    <row r="2836" hidden="1">
      <c r="A2836" s="78" t="str">
        <f>IFERROR(__xludf.DUMMYFUNCTION("""COMPUTED_VALUE"""),"Turtle Power!")</f>
        <v>Turtle Power!</v>
      </c>
      <c r="B2836" s="78" t="str">
        <f>IFERROR(__xludf.DUMMYFUNCTION("""COMPUTED_VALUE"""),"Lorehold Spirit")</f>
        <v>Lorehold Spirit</v>
      </c>
      <c r="C2836" s="79">
        <f>IFERROR(__xludf.DUMMYFUNCTION("""COMPUTED_VALUE"""),0.0)</f>
        <v>0</v>
      </c>
      <c r="D2836" s="79">
        <f>IFERROR(__xludf.DUMMYFUNCTION("""COMPUTED_VALUE"""),2.0)</f>
        <v>2</v>
      </c>
      <c r="E2836" s="69" t="b">
        <f>IFERROR(__xludf.DUMMYFUNCTION("""COMPUTED_VALUE"""),FALSE)</f>
        <v>0</v>
      </c>
    </row>
    <row r="2837" hidden="1">
      <c r="A2837" s="78" t="str">
        <f>IFERROR(__xludf.DUMMYFUNCTION("""COMPUTED_VALUE"""),"Turtle Power!")</f>
        <v>Turtle Power!</v>
      </c>
      <c r="B2837" s="78" t="str">
        <f>IFERROR(__xludf.DUMMYFUNCTION("""COMPUTED_VALUE"""),"Mutant Menace")</f>
        <v>Mutant Menace</v>
      </c>
      <c r="C2837" s="79">
        <f>IFERROR(__xludf.DUMMYFUNCTION("""COMPUTED_VALUE"""),0.0)</f>
        <v>0</v>
      </c>
      <c r="D2837" s="79">
        <f>IFERROR(__xludf.DUMMYFUNCTION("""COMPUTED_VALUE"""),0.0)</f>
        <v>0</v>
      </c>
      <c r="E2837" s="69" t="b">
        <f>IFERROR(__xludf.DUMMYFUNCTION("""COMPUTED_VALUE"""),TRUE)</f>
        <v>1</v>
      </c>
    </row>
    <row r="2838" hidden="1">
      <c r="A2838" s="78" t="str">
        <f>IFERROR(__xludf.DUMMYFUNCTION("""COMPUTED_VALUE"""),"Turtle Power!")</f>
        <v>Turtle Power!</v>
      </c>
      <c r="B2838" s="78" t="str">
        <f>IFERROR(__xludf.DUMMYFUNCTION("""COMPUTED_VALUE"""),"Party Time")</f>
        <v>Party Time</v>
      </c>
      <c r="C2838" s="79">
        <f>IFERROR(__xludf.DUMMYFUNCTION("""COMPUTED_VALUE"""),0.0)</f>
        <v>0</v>
      </c>
      <c r="D2838" s="79">
        <f>IFERROR(__xludf.DUMMYFUNCTION("""COMPUTED_VALUE"""),0.0)</f>
        <v>0</v>
      </c>
      <c r="E2838" s="69" t="b">
        <f>IFERROR(__xludf.DUMMYFUNCTION("""COMPUTED_VALUE"""),TRUE)</f>
        <v>1</v>
      </c>
    </row>
    <row r="2839" hidden="1">
      <c r="A2839" s="78" t="str">
        <f>IFERROR(__xludf.DUMMYFUNCTION("""COMPUTED_VALUE"""),"Turtle Power!")</f>
        <v>Turtle Power!</v>
      </c>
      <c r="B2839" s="78" t="str">
        <f>IFERROR(__xludf.DUMMYFUNCTION("""COMPUTED_VALUE"""),"Peace Offering")</f>
        <v>Peace Offering</v>
      </c>
      <c r="C2839" s="79">
        <f>IFERROR(__xludf.DUMMYFUNCTION("""COMPUTED_VALUE"""),0.0)</f>
        <v>0</v>
      </c>
      <c r="D2839" s="79">
        <f>IFERROR(__xludf.DUMMYFUNCTION("""COMPUTED_VALUE"""),0.0)</f>
        <v>0</v>
      </c>
      <c r="E2839" s="69" t="b">
        <f>IFERROR(__xludf.DUMMYFUNCTION("""COMPUTED_VALUE"""),TRUE)</f>
        <v>1</v>
      </c>
    </row>
    <row r="2840" hidden="1">
      <c r="A2840" s="78" t="str">
        <f>IFERROR(__xludf.DUMMYFUNCTION("""COMPUTED_VALUE"""),"Turtle Power!")</f>
        <v>Turtle Power!</v>
      </c>
      <c r="B2840" s="78" t="str">
        <f>IFERROR(__xludf.DUMMYFUNCTION("""COMPUTED_VALUE"""),"Power Hungry")</f>
        <v>Power Hungry</v>
      </c>
      <c r="C2840" s="79">
        <f>IFERROR(__xludf.DUMMYFUNCTION("""COMPUTED_VALUE"""),0.0)</f>
        <v>0</v>
      </c>
      <c r="D2840" s="79">
        <f>IFERROR(__xludf.DUMMYFUNCTION("""COMPUTED_VALUE"""),0.0)</f>
        <v>0</v>
      </c>
      <c r="E2840" s="69" t="b">
        <f>IFERROR(__xludf.DUMMYFUNCTION("""COMPUTED_VALUE"""),TRUE)</f>
        <v>1</v>
      </c>
    </row>
    <row r="2841">
      <c r="A2841" s="78" t="str">
        <f>IFERROR(__xludf.DUMMYFUNCTION("""COMPUTED_VALUE"""),"Turtle Power!")</f>
        <v>Turtle Power!</v>
      </c>
      <c r="B2841" s="78" t="str">
        <f>IFERROR(__xludf.DUMMYFUNCTION("""COMPUTED_VALUE"""),"Primal Genesis")</f>
        <v>Primal Genesis</v>
      </c>
      <c r="C2841" s="79">
        <f>IFERROR(__xludf.DUMMYFUNCTION("""COMPUTED_VALUE"""),0.0)</f>
        <v>0</v>
      </c>
      <c r="D2841" s="79">
        <f>IFERROR(__xludf.DUMMYFUNCTION("""COMPUTED_VALUE"""),0.0)</f>
        <v>0</v>
      </c>
      <c r="E2841" s="69" t="b">
        <f>IFERROR(__xludf.DUMMYFUNCTION("""COMPUTED_VALUE"""),TRUE)</f>
        <v>1</v>
      </c>
    </row>
    <row r="2842" hidden="1">
      <c r="A2842" s="78" t="str">
        <f>IFERROR(__xludf.DUMMYFUNCTION("""COMPUTED_VALUE"""),"Turtle Power!")</f>
        <v>Turtle Power!</v>
      </c>
      <c r="B2842" s="78" t="str">
        <f>IFERROR(__xludf.DUMMYFUNCTION("""COMPUTED_VALUE"""),"Prismari Artistry")</f>
        <v>Prismari Artistry</v>
      </c>
      <c r="C2842" s="79">
        <f>IFERROR(__xludf.DUMMYFUNCTION("""COMPUTED_VALUE"""),0.0)</f>
        <v>0</v>
      </c>
      <c r="D2842" s="79">
        <f>IFERROR(__xludf.DUMMYFUNCTION("""COMPUTED_VALUE"""),1.0)</f>
        <v>1</v>
      </c>
      <c r="E2842" s="69" t="b">
        <f>IFERROR(__xludf.DUMMYFUNCTION("""COMPUTED_VALUE"""),FALSE)</f>
        <v>0</v>
      </c>
    </row>
    <row r="2843" hidden="1">
      <c r="A2843" s="78" t="str">
        <f>IFERROR(__xludf.DUMMYFUNCTION("""COMPUTED_VALUE"""),"Turtle Power!")</f>
        <v>Turtle Power!</v>
      </c>
      <c r="B2843" s="78" t="str">
        <f>IFERROR(__xludf.DUMMYFUNCTION("""COMPUTED_VALUE"""),"Prismari Performance")</f>
        <v>Prismari Performance</v>
      </c>
      <c r="C2843" s="79">
        <f>IFERROR(__xludf.DUMMYFUNCTION("""COMPUTED_VALUE"""),0.0)</f>
        <v>0</v>
      </c>
      <c r="D2843" s="79">
        <f>IFERROR(__xludf.DUMMYFUNCTION("""COMPUTED_VALUE"""),0.0)</f>
        <v>0</v>
      </c>
      <c r="E2843" s="69" t="b">
        <f>IFERROR(__xludf.DUMMYFUNCTION("""COMPUTED_VALUE"""),TRUE)</f>
        <v>1</v>
      </c>
    </row>
    <row r="2844" hidden="1">
      <c r="A2844" s="78" t="str">
        <f>IFERROR(__xludf.DUMMYFUNCTION("""COMPUTED_VALUE"""),"Turtle Power!")</f>
        <v>Turtle Power!</v>
      </c>
      <c r="B2844" s="78" t="str">
        <f>IFERROR(__xludf.DUMMYFUNCTION("""COMPUTED_VALUE"""),"Quandrix Unlimited")</f>
        <v>Quandrix Unlimited</v>
      </c>
      <c r="C2844" s="79">
        <f>IFERROR(__xludf.DUMMYFUNCTION("""COMPUTED_VALUE"""),0.0)</f>
        <v>0</v>
      </c>
      <c r="D2844" s="79">
        <f>IFERROR(__xludf.DUMMYFUNCTION("""COMPUTED_VALUE"""),1.0)</f>
        <v>1</v>
      </c>
      <c r="E2844" s="69" t="b">
        <f>IFERROR(__xludf.DUMMYFUNCTION("""COMPUTED_VALUE"""),FALSE)</f>
        <v>0</v>
      </c>
    </row>
    <row r="2845" hidden="1">
      <c r="A2845" s="78" t="str">
        <f>IFERROR(__xludf.DUMMYFUNCTION("""COMPUTED_VALUE"""),"Turtle Power!")</f>
        <v>Turtle Power!</v>
      </c>
      <c r="B2845" s="78" t="str">
        <f>IFERROR(__xludf.DUMMYFUNCTION("""COMPUTED_VALUE"""),"Quick Draw")</f>
        <v>Quick Draw</v>
      </c>
      <c r="C2845" s="79">
        <f>IFERROR(__xludf.DUMMYFUNCTION("""COMPUTED_VALUE"""),0.0)</f>
        <v>0</v>
      </c>
      <c r="D2845" s="79">
        <f>IFERROR(__xludf.DUMMYFUNCTION("""COMPUTED_VALUE"""),0.0)</f>
        <v>0</v>
      </c>
      <c r="E2845" s="69" t="b">
        <f>IFERROR(__xludf.DUMMYFUNCTION("""COMPUTED_VALUE"""),TRUE)</f>
        <v>1</v>
      </c>
    </row>
    <row r="2846">
      <c r="A2846" s="78" t="str">
        <f>IFERROR(__xludf.DUMMYFUNCTION("""COMPUTED_VALUE"""),"Turtle Power!")</f>
        <v>Turtle Power!</v>
      </c>
      <c r="B2846" s="78" t="str">
        <f>IFERROR(__xludf.DUMMYFUNCTION("""COMPUTED_VALUE"""),"Reap the Tides")</f>
        <v>Reap the Tides</v>
      </c>
      <c r="C2846" s="79">
        <f>IFERROR(__xludf.DUMMYFUNCTION("""COMPUTED_VALUE"""),0.0)</f>
        <v>0</v>
      </c>
      <c r="D2846" s="79">
        <f>IFERROR(__xludf.DUMMYFUNCTION("""COMPUTED_VALUE"""),0.0)</f>
        <v>0</v>
      </c>
      <c r="E2846" s="69" t="b">
        <f>IFERROR(__xludf.DUMMYFUNCTION("""COMPUTED_VALUE"""),TRUE)</f>
        <v>1</v>
      </c>
    </row>
    <row r="2847" hidden="1">
      <c r="A2847" s="78" t="str">
        <f>IFERROR(__xludf.DUMMYFUNCTION("""COMPUTED_VALUE"""),"Turtle Power!")</f>
        <v>Turtle Power!</v>
      </c>
      <c r="B2847" s="78" t="str">
        <f>IFERROR(__xludf.DUMMYFUNCTION("""COMPUTED_VALUE"""),"Rebellion Rising")</f>
        <v>Rebellion Rising</v>
      </c>
      <c r="C2847" s="79">
        <f>IFERROR(__xludf.DUMMYFUNCTION("""COMPUTED_VALUE"""),0.0)</f>
        <v>0</v>
      </c>
      <c r="D2847" s="79">
        <f>IFERROR(__xludf.DUMMYFUNCTION("""COMPUTED_VALUE"""),0.0)</f>
        <v>0</v>
      </c>
      <c r="E2847" s="69" t="b">
        <f>IFERROR(__xludf.DUMMYFUNCTION("""COMPUTED_VALUE"""),TRUE)</f>
        <v>1</v>
      </c>
    </row>
    <row r="2848" hidden="1">
      <c r="A2848" s="78" t="str">
        <f>IFERROR(__xludf.DUMMYFUNCTION("""COMPUTED_VALUE"""),"Turtle Power!")</f>
        <v>Turtle Power!</v>
      </c>
      <c r="B2848" s="78" t="str">
        <f>IFERROR(__xludf.DUMMYFUNCTION("""COMPUTED_VALUE"""),"Revival Trance")</f>
        <v>Revival Trance</v>
      </c>
      <c r="C2848" s="79">
        <f>IFERROR(__xludf.DUMMYFUNCTION("""COMPUTED_VALUE"""),0.0)</f>
        <v>0</v>
      </c>
      <c r="D2848" s="79">
        <f>IFERROR(__xludf.DUMMYFUNCTION("""COMPUTED_VALUE"""),0.0)</f>
        <v>0</v>
      </c>
      <c r="E2848" s="69" t="b">
        <f>IFERROR(__xludf.DUMMYFUNCTION("""COMPUTED_VALUE"""),TRUE)</f>
        <v>1</v>
      </c>
    </row>
    <row r="2849" hidden="1">
      <c r="A2849" s="78" t="str">
        <f>IFERROR(__xludf.DUMMYFUNCTION("""COMPUTED_VALUE"""),"Turtle Power!")</f>
        <v>Turtle Power!</v>
      </c>
      <c r="B2849" s="78" t="str">
        <f>IFERROR(__xludf.DUMMYFUNCTION("""COMPUTED_VALUE"""),"Riders of Rohan")</f>
        <v>Riders of Rohan</v>
      </c>
      <c r="C2849" s="79">
        <f>IFERROR(__xludf.DUMMYFUNCTION("""COMPUTED_VALUE"""),0.0)</f>
        <v>0</v>
      </c>
      <c r="D2849" s="79">
        <f>IFERROR(__xludf.DUMMYFUNCTION("""COMPUTED_VALUE"""),0.0)</f>
        <v>0</v>
      </c>
      <c r="E2849" s="69" t="b">
        <f>IFERROR(__xludf.DUMMYFUNCTION("""COMPUTED_VALUE"""),TRUE)</f>
        <v>1</v>
      </c>
    </row>
    <row r="2850" hidden="1">
      <c r="A2850" s="78" t="str">
        <f>IFERROR(__xludf.DUMMYFUNCTION("""COMPUTED_VALUE"""),"Turtle Power!")</f>
        <v>Turtle Power!</v>
      </c>
      <c r="B2850" s="78" t="str">
        <f>IFERROR(__xludf.DUMMYFUNCTION("""COMPUTED_VALUE"""),"Science!")</f>
        <v>Science!</v>
      </c>
      <c r="C2850" s="79">
        <f>IFERROR(__xludf.DUMMYFUNCTION("""COMPUTED_VALUE"""),0.0)</f>
        <v>0</v>
      </c>
      <c r="D2850" s="79">
        <f>IFERROR(__xludf.DUMMYFUNCTION("""COMPUTED_VALUE"""),0.0)</f>
        <v>0</v>
      </c>
      <c r="E2850" s="69" t="b">
        <f>IFERROR(__xludf.DUMMYFUNCTION("""COMPUTED_VALUE"""),TRUE)</f>
        <v>1</v>
      </c>
    </row>
    <row r="2851" hidden="1">
      <c r="A2851" s="78" t="str">
        <f>IFERROR(__xludf.DUMMYFUNCTION("""COMPUTED_VALUE"""),"Turtle Power!")</f>
        <v>Turtle Power!</v>
      </c>
      <c r="B2851" s="78" t="str">
        <f>IFERROR(__xludf.DUMMYFUNCTION("""COMPUTED_VALUE"""),"Scions &amp; Spellcraft")</f>
        <v>Scions &amp; Spellcraft</v>
      </c>
      <c r="C2851" s="79">
        <f>IFERROR(__xludf.DUMMYFUNCTION("""COMPUTED_VALUE"""),0.0)</f>
        <v>0</v>
      </c>
      <c r="D2851" s="79">
        <f>IFERROR(__xludf.DUMMYFUNCTION("""COMPUTED_VALUE"""),0.0)</f>
        <v>0</v>
      </c>
      <c r="E2851" s="69" t="b">
        <f>IFERROR(__xludf.DUMMYFUNCTION("""COMPUTED_VALUE"""),TRUE)</f>
        <v>1</v>
      </c>
    </row>
    <row r="2852">
      <c r="A2852" s="78" t="str">
        <f>IFERROR(__xludf.DUMMYFUNCTION("""COMPUTED_VALUE"""),"Turtle Power!")</f>
        <v>Turtle Power!</v>
      </c>
      <c r="B2852" s="78" t="str">
        <f>IFERROR(__xludf.DUMMYFUNCTION("""COMPUTED_VALUE"""),"Scrappy Survivors")</f>
        <v>Scrappy Survivors</v>
      </c>
      <c r="C2852" s="79">
        <f>IFERROR(__xludf.DUMMYFUNCTION("""COMPUTED_VALUE"""),0.0)</f>
        <v>0</v>
      </c>
      <c r="D2852" s="79">
        <f>IFERROR(__xludf.DUMMYFUNCTION("""COMPUTED_VALUE"""),0.0)</f>
        <v>0</v>
      </c>
      <c r="E2852" s="69" t="b">
        <f>IFERROR(__xludf.DUMMYFUNCTION("""COMPUTED_VALUE"""),TRUE)</f>
        <v>1</v>
      </c>
    </row>
    <row r="2853">
      <c r="A2853" s="78" t="str">
        <f>IFERROR(__xludf.DUMMYFUNCTION("""COMPUTED_VALUE"""),"Turtle Power!")</f>
        <v>Turtle Power!</v>
      </c>
      <c r="B2853" s="78" t="str">
        <f>IFERROR(__xludf.DUMMYFUNCTION("""COMPUTED_VALUE"""),"Silverquill Influence")</f>
        <v>Silverquill Influence</v>
      </c>
      <c r="C2853" s="79">
        <f>IFERROR(__xludf.DUMMYFUNCTION("""COMPUTED_VALUE"""),0.0)</f>
        <v>0</v>
      </c>
      <c r="D2853" s="79">
        <f>IFERROR(__xludf.DUMMYFUNCTION("""COMPUTED_VALUE"""),0.0)</f>
        <v>0</v>
      </c>
      <c r="E2853" s="69" t="b">
        <f>IFERROR(__xludf.DUMMYFUNCTION("""COMPUTED_VALUE"""),TRUE)</f>
        <v>1</v>
      </c>
    </row>
    <row r="2854" hidden="1">
      <c r="A2854" s="78" t="str">
        <f>IFERROR(__xludf.DUMMYFUNCTION("""COMPUTED_VALUE"""),"Turtle Power!")</f>
        <v>Turtle Power!</v>
      </c>
      <c r="B2854" s="78" t="str">
        <f>IFERROR(__xludf.DUMMYFUNCTION("""COMPUTED_VALUE"""),"Spirit Squadron")</f>
        <v>Spirit Squadron</v>
      </c>
      <c r="C2854" s="79">
        <f>IFERROR(__xludf.DUMMYFUNCTION("""COMPUTED_VALUE"""),0.0)</f>
        <v>0</v>
      </c>
      <c r="D2854" s="79">
        <f>IFERROR(__xludf.DUMMYFUNCTION("""COMPUTED_VALUE"""),0.0)</f>
        <v>0</v>
      </c>
      <c r="E2854" s="69" t="b">
        <f>IFERROR(__xludf.DUMMYFUNCTION("""COMPUTED_VALUE"""),TRUE)</f>
        <v>1</v>
      </c>
    </row>
    <row r="2855" hidden="1">
      <c r="A2855" s="78" t="str">
        <f>IFERROR(__xludf.DUMMYFUNCTION("""COMPUTED_VALUE"""),"Turtle Power!")</f>
        <v>Turtle Power!</v>
      </c>
      <c r="B2855" s="78" t="str">
        <f>IFERROR(__xludf.DUMMYFUNCTION("""COMPUTED_VALUE"""),"Squirreled Away")</f>
        <v>Squirreled Away</v>
      </c>
      <c r="C2855" s="79">
        <f>IFERROR(__xludf.DUMMYFUNCTION("""COMPUTED_VALUE"""),0.0)</f>
        <v>0</v>
      </c>
      <c r="D2855" s="79">
        <f>IFERROR(__xludf.DUMMYFUNCTION("""COMPUTED_VALUE"""),0.0)</f>
        <v>0</v>
      </c>
      <c r="E2855" s="69" t="b">
        <f>IFERROR(__xludf.DUMMYFUNCTION("""COMPUTED_VALUE"""),TRUE)</f>
        <v>1</v>
      </c>
    </row>
    <row r="2856" hidden="1">
      <c r="A2856" s="78" t="str">
        <f>IFERROR(__xludf.DUMMYFUNCTION("""COMPUTED_VALUE"""),"Turtle Power!")</f>
        <v>Turtle Power!</v>
      </c>
      <c r="B2856" s="78" t="str">
        <f>IFERROR(__xludf.DUMMYFUNCTION("""COMPUTED_VALUE"""),"Sultai Arisen")</f>
        <v>Sultai Arisen</v>
      </c>
      <c r="C2856" s="79">
        <f>IFERROR(__xludf.DUMMYFUNCTION("""COMPUTED_VALUE"""),0.0)</f>
        <v>0</v>
      </c>
      <c r="D2856" s="79">
        <f>IFERROR(__xludf.DUMMYFUNCTION("""COMPUTED_VALUE"""),0.0)</f>
        <v>0</v>
      </c>
      <c r="E2856" s="69" t="b">
        <f>IFERROR(__xludf.DUMMYFUNCTION("""COMPUTED_VALUE"""),TRUE)</f>
        <v>1</v>
      </c>
    </row>
    <row r="2857" hidden="1">
      <c r="A2857" s="78" t="str">
        <f>IFERROR(__xludf.DUMMYFUNCTION("""COMPUTED_VALUE"""),"Turtle Power!")</f>
        <v>Turtle Power!</v>
      </c>
      <c r="B2857" s="78" t="str">
        <f>IFERROR(__xludf.DUMMYFUNCTION("""COMPUTED_VALUE"""),"Temur Roar")</f>
        <v>Temur Roar</v>
      </c>
      <c r="C2857" s="79">
        <f>IFERROR(__xludf.DUMMYFUNCTION("""COMPUTED_VALUE"""),0.0)</f>
        <v>0</v>
      </c>
      <c r="D2857" s="79">
        <f>IFERROR(__xludf.DUMMYFUNCTION("""COMPUTED_VALUE"""),0.0)</f>
        <v>0</v>
      </c>
      <c r="E2857" s="69" t="b">
        <f>IFERROR(__xludf.DUMMYFUNCTION("""COMPUTED_VALUE"""),TRUE)</f>
        <v>1</v>
      </c>
    </row>
    <row r="2858" hidden="1">
      <c r="A2858" s="78" t="str">
        <f>IFERROR(__xludf.DUMMYFUNCTION("""COMPUTED_VALUE"""),"Turtle Power!")</f>
        <v>Turtle Power!</v>
      </c>
      <c r="B2858" s="78" t="str">
        <f>IFERROR(__xludf.DUMMYFUNCTION("""COMPUTED_VALUE"""),"The Hosts of Mordor")</f>
        <v>The Hosts of Mordor</v>
      </c>
      <c r="C2858" s="79">
        <f>IFERROR(__xludf.DUMMYFUNCTION("""COMPUTED_VALUE"""),0.0)</f>
        <v>0</v>
      </c>
      <c r="D2858" s="79">
        <f>IFERROR(__xludf.DUMMYFUNCTION("""COMPUTED_VALUE"""),0.0)</f>
        <v>0</v>
      </c>
      <c r="E2858" s="69" t="b">
        <f>IFERROR(__xludf.DUMMYFUNCTION("""COMPUTED_VALUE"""),TRUE)</f>
        <v>1</v>
      </c>
    </row>
    <row r="2859" hidden="1">
      <c r="A2859" s="78" t="str">
        <f>IFERROR(__xludf.DUMMYFUNCTION("""COMPUTED_VALUE"""),"Turtle Power!")</f>
        <v>Turtle Power!</v>
      </c>
      <c r="B2859" s="78" t="str">
        <f>IFERROR(__xludf.DUMMYFUNCTION("""COMPUTED_VALUE"""),"The Ruinous Powers")</f>
        <v>The Ruinous Powers</v>
      </c>
      <c r="C2859" s="79">
        <f>IFERROR(__xludf.DUMMYFUNCTION("""COMPUTED_VALUE"""),0.0)</f>
        <v>0</v>
      </c>
      <c r="D2859" s="79">
        <f>IFERROR(__xludf.DUMMYFUNCTION("""COMPUTED_VALUE"""),0.0)</f>
        <v>0</v>
      </c>
      <c r="E2859" s="69" t="b">
        <f>IFERROR(__xludf.DUMMYFUNCTION("""COMPUTED_VALUE"""),TRUE)</f>
        <v>1</v>
      </c>
    </row>
    <row r="2860" hidden="1">
      <c r="A2860" s="78" t="str">
        <f>IFERROR(__xludf.DUMMYFUNCTION("""COMPUTED_VALUE"""),"Turtle Power!")</f>
        <v>Turtle Power!</v>
      </c>
      <c r="B2860" s="78" t="str">
        <f>IFERROR(__xludf.DUMMYFUNCTION("""COMPUTED_VALUE"""),"Timey-Wimey")</f>
        <v>Timey-Wimey</v>
      </c>
      <c r="C2860" s="79">
        <f>IFERROR(__xludf.DUMMYFUNCTION("""COMPUTED_VALUE"""),0.0)</f>
        <v>0</v>
      </c>
      <c r="D2860" s="79">
        <f>IFERROR(__xludf.DUMMYFUNCTION("""COMPUTED_VALUE"""),0.0)</f>
        <v>0</v>
      </c>
      <c r="E2860" s="69" t="b">
        <f>IFERROR(__xludf.DUMMYFUNCTION("""COMPUTED_VALUE"""),TRUE)</f>
        <v>1</v>
      </c>
    </row>
    <row r="2861" hidden="1">
      <c r="A2861" s="78" t="str">
        <f>IFERROR(__xludf.DUMMYFUNCTION("""COMPUTED_VALUE"""),"Turtle Power!")</f>
        <v>Turtle Power!</v>
      </c>
      <c r="B2861" s="78" t="str">
        <f>IFERROR(__xludf.DUMMYFUNCTION("""COMPUTED_VALUE"""),"Tinker Time")</f>
        <v>Tinker Time</v>
      </c>
      <c r="C2861" s="79">
        <f>IFERROR(__xludf.DUMMYFUNCTION("""COMPUTED_VALUE"""),0.0)</f>
        <v>0</v>
      </c>
      <c r="D2861" s="79">
        <f>IFERROR(__xludf.DUMMYFUNCTION("""COMPUTED_VALUE"""),0.0)</f>
        <v>0</v>
      </c>
      <c r="E2861" s="69" t="b">
        <f>IFERROR(__xludf.DUMMYFUNCTION("""COMPUTED_VALUE"""),TRUE)</f>
        <v>1</v>
      </c>
    </row>
    <row r="2862" hidden="1">
      <c r="A2862" s="78" t="str">
        <f>IFERROR(__xludf.DUMMYFUNCTION("""COMPUTED_VALUE"""),"Turtle Power!")</f>
        <v>Turtle Power!</v>
      </c>
      <c r="B2862" s="78" t="str">
        <f>IFERROR(__xludf.DUMMYFUNCTION("""COMPUTED_VALUE"""),"Turtle Power!")</f>
        <v>Turtle Power!</v>
      </c>
      <c r="C2862" s="79">
        <f>IFERROR(__xludf.DUMMYFUNCTION("""COMPUTED_VALUE"""),0.0)</f>
        <v>0</v>
      </c>
      <c r="D2862" s="79">
        <f>IFERROR(__xludf.DUMMYFUNCTION("""COMPUTED_VALUE"""),0.0)</f>
        <v>0</v>
      </c>
      <c r="E2862" s="69" t="b">
        <f>IFERROR(__xludf.DUMMYFUNCTION("""COMPUTED_VALUE"""),TRUE)</f>
        <v>1</v>
      </c>
    </row>
    <row r="2863" hidden="1">
      <c r="A2863" s="78" t="str">
        <f>IFERROR(__xludf.DUMMYFUNCTION("""COMPUTED_VALUE"""),"Turtle Power!")</f>
        <v>Turtle Power!</v>
      </c>
      <c r="B2863" s="78" t="str">
        <f>IFERROR(__xludf.DUMMYFUNCTION("""COMPUTED_VALUE"""),"Veloci-ramp-tor")</f>
        <v>Veloci-ramp-tor</v>
      </c>
      <c r="C2863" s="79">
        <f>IFERROR(__xludf.DUMMYFUNCTION("""COMPUTED_VALUE"""),0.0)</f>
        <v>0</v>
      </c>
      <c r="D2863" s="79">
        <f>IFERROR(__xludf.DUMMYFUNCTION("""COMPUTED_VALUE"""),0.0)</f>
        <v>0</v>
      </c>
      <c r="E2863" s="69" t="b">
        <f>IFERROR(__xludf.DUMMYFUNCTION("""COMPUTED_VALUE"""),TRUE)</f>
        <v>1</v>
      </c>
    </row>
    <row r="2864" hidden="1">
      <c r="A2864" s="78" t="str">
        <f>IFERROR(__xludf.DUMMYFUNCTION("""COMPUTED_VALUE"""),"Veloci-ramp-tor")</f>
        <v>Veloci-ramp-tor</v>
      </c>
      <c r="B2864" s="78" t="str">
        <f>IFERROR(__xludf.DUMMYFUNCTION("""COMPUTED_VALUE"""),"Ahoy Mateys")</f>
        <v>Ahoy Mateys</v>
      </c>
      <c r="C2864" s="79">
        <f>IFERROR(__xludf.DUMMYFUNCTION("""COMPUTED_VALUE"""),0.0)</f>
        <v>0</v>
      </c>
      <c r="D2864" s="79">
        <f>IFERROR(__xludf.DUMMYFUNCTION("""COMPUTED_VALUE"""),0.0)</f>
        <v>0</v>
      </c>
      <c r="E2864" s="69" t="b">
        <f>IFERROR(__xludf.DUMMYFUNCTION("""COMPUTED_VALUE"""),TRUE)</f>
        <v>1</v>
      </c>
    </row>
    <row r="2865" hidden="1">
      <c r="A2865" s="78" t="str">
        <f>IFERROR(__xludf.DUMMYFUNCTION("""COMPUTED_VALUE"""),"Veloci-ramp-tor")</f>
        <v>Veloci-ramp-tor</v>
      </c>
      <c r="B2865" s="78" t="str">
        <f>IFERROR(__xludf.DUMMYFUNCTION("""COMPUTED_VALUE"""),"Animated Army")</f>
        <v>Animated Army</v>
      </c>
      <c r="C2865" s="79">
        <f>IFERROR(__xludf.DUMMYFUNCTION("""COMPUTED_VALUE"""),0.0)</f>
        <v>0</v>
      </c>
      <c r="D2865" s="79">
        <f>IFERROR(__xludf.DUMMYFUNCTION("""COMPUTED_VALUE"""),0.0)</f>
        <v>0</v>
      </c>
      <c r="E2865" s="69" t="b">
        <f>IFERROR(__xludf.DUMMYFUNCTION("""COMPUTED_VALUE"""),TRUE)</f>
        <v>1</v>
      </c>
    </row>
    <row r="2866" hidden="1">
      <c r="A2866" s="78" t="str">
        <f>IFERROR(__xludf.DUMMYFUNCTION("""COMPUTED_VALUE"""),"Veloci-ramp-tor")</f>
        <v>Veloci-ramp-tor</v>
      </c>
      <c r="B2866" s="78" t="str">
        <f>IFERROR(__xludf.DUMMYFUNCTION("""COMPUTED_VALUE"""),"Arcane Maelstrom")</f>
        <v>Arcane Maelstrom</v>
      </c>
      <c r="C2866" s="79">
        <f>IFERROR(__xludf.DUMMYFUNCTION("""COMPUTED_VALUE"""),0.0)</f>
        <v>0</v>
      </c>
      <c r="D2866" s="79">
        <f>IFERROR(__xludf.DUMMYFUNCTION("""COMPUTED_VALUE"""),0.0)</f>
        <v>0</v>
      </c>
      <c r="E2866" s="69" t="b">
        <f>IFERROR(__xludf.DUMMYFUNCTION("""COMPUTED_VALUE"""),TRUE)</f>
        <v>1</v>
      </c>
    </row>
    <row r="2867" hidden="1">
      <c r="A2867" s="78" t="str">
        <f>IFERROR(__xludf.DUMMYFUNCTION("""COMPUTED_VALUE"""),"Veloci-ramp-tor")</f>
        <v>Veloci-ramp-tor</v>
      </c>
      <c r="B2867" s="78" t="str">
        <f>IFERROR(__xludf.DUMMYFUNCTION("""COMPUTED_VALUE"""),"Blame Game")</f>
        <v>Blame Game</v>
      </c>
      <c r="C2867" s="79">
        <f>IFERROR(__xludf.DUMMYFUNCTION("""COMPUTED_VALUE"""),0.0)</f>
        <v>0</v>
      </c>
      <c r="D2867" s="79">
        <f>IFERROR(__xludf.DUMMYFUNCTION("""COMPUTED_VALUE"""),0.0)</f>
        <v>0</v>
      </c>
      <c r="E2867" s="69" t="b">
        <f>IFERROR(__xludf.DUMMYFUNCTION("""COMPUTED_VALUE"""),TRUE)</f>
        <v>1</v>
      </c>
    </row>
    <row r="2868" hidden="1">
      <c r="A2868" s="78" t="str">
        <f>IFERROR(__xludf.DUMMYFUNCTION("""COMPUTED_VALUE"""),"Veloci-ramp-tor")</f>
        <v>Veloci-ramp-tor</v>
      </c>
      <c r="B2868" s="78" t="str">
        <f>IFERROR(__xludf.DUMMYFUNCTION("""COMPUTED_VALUE"""),"Blight Curse")</f>
        <v>Blight Curse</v>
      </c>
      <c r="C2868" s="79">
        <f>IFERROR(__xludf.DUMMYFUNCTION("""COMPUTED_VALUE"""),0.0)</f>
        <v>0</v>
      </c>
      <c r="D2868" s="79">
        <f>IFERROR(__xludf.DUMMYFUNCTION("""COMPUTED_VALUE"""),0.0)</f>
        <v>0</v>
      </c>
      <c r="E2868" s="69" t="b">
        <f>IFERROR(__xludf.DUMMYFUNCTION("""COMPUTED_VALUE"""),TRUE)</f>
        <v>1</v>
      </c>
    </row>
    <row r="2869" hidden="1">
      <c r="A2869" s="78" t="str">
        <f>IFERROR(__xludf.DUMMYFUNCTION("""COMPUTED_VALUE"""),"Veloci-ramp-tor")</f>
        <v>Veloci-ramp-tor</v>
      </c>
      <c r="B2869" s="78" t="str">
        <f>IFERROR(__xludf.DUMMYFUNCTION("""COMPUTED_VALUE"""),"Blood Rites")</f>
        <v>Blood Rites</v>
      </c>
      <c r="C2869" s="79">
        <f>IFERROR(__xludf.DUMMYFUNCTION("""COMPUTED_VALUE"""),0.0)</f>
        <v>0</v>
      </c>
      <c r="D2869" s="79">
        <f>IFERROR(__xludf.DUMMYFUNCTION("""COMPUTED_VALUE"""),0.0)</f>
        <v>0</v>
      </c>
      <c r="E2869" s="69" t="b">
        <f>IFERROR(__xludf.DUMMYFUNCTION("""COMPUTED_VALUE"""),TRUE)</f>
        <v>1</v>
      </c>
    </row>
    <row r="2870" hidden="1">
      <c r="A2870" s="78" t="str">
        <f>IFERROR(__xludf.DUMMYFUNCTION("""COMPUTED_VALUE"""),"Veloci-ramp-tor")</f>
        <v>Veloci-ramp-tor</v>
      </c>
      <c r="B2870" s="78" t="str">
        <f>IFERROR(__xludf.DUMMYFUNCTION("""COMPUTED_VALUE"""),"Buckle Up")</f>
        <v>Buckle Up</v>
      </c>
      <c r="C2870" s="79">
        <f>IFERROR(__xludf.DUMMYFUNCTION("""COMPUTED_VALUE"""),0.0)</f>
        <v>0</v>
      </c>
      <c r="D2870" s="79">
        <f>IFERROR(__xludf.DUMMYFUNCTION("""COMPUTED_VALUE"""),0.0)</f>
        <v>0</v>
      </c>
      <c r="E2870" s="69" t="b">
        <f>IFERROR(__xludf.DUMMYFUNCTION("""COMPUTED_VALUE"""),TRUE)</f>
        <v>1</v>
      </c>
    </row>
    <row r="2871" hidden="1">
      <c r="A2871" s="78" t="str">
        <f>IFERROR(__xludf.DUMMYFUNCTION("""COMPUTED_VALUE"""),"Veloci-ramp-tor")</f>
        <v>Veloci-ramp-tor</v>
      </c>
      <c r="B2871" s="78" t="str">
        <f>IFERROR(__xludf.DUMMYFUNCTION("""COMPUTED_VALUE"""),"Cabaretti Cacophony")</f>
        <v>Cabaretti Cacophony</v>
      </c>
      <c r="C2871" s="79">
        <f>IFERROR(__xludf.DUMMYFUNCTION("""COMPUTED_VALUE"""),0.0)</f>
        <v>0</v>
      </c>
      <c r="D2871" s="79">
        <f>IFERROR(__xludf.DUMMYFUNCTION("""COMPUTED_VALUE"""),0.0)</f>
        <v>0</v>
      </c>
      <c r="E2871" s="69" t="b">
        <f>IFERROR(__xludf.DUMMYFUNCTION("""COMPUTED_VALUE"""),TRUE)</f>
        <v>1</v>
      </c>
    </row>
    <row r="2872" hidden="1">
      <c r="A2872" s="78" t="str">
        <f>IFERROR(__xludf.DUMMYFUNCTION("""COMPUTED_VALUE"""),"Veloci-ramp-tor")</f>
        <v>Veloci-ramp-tor</v>
      </c>
      <c r="B2872" s="78" t="str">
        <f>IFERROR(__xludf.DUMMYFUNCTION("""COMPUTED_VALUE"""),"Cavalry Charge")</f>
        <v>Cavalry Charge</v>
      </c>
      <c r="C2872" s="79">
        <f>IFERROR(__xludf.DUMMYFUNCTION("""COMPUTED_VALUE"""),0.0)</f>
        <v>0</v>
      </c>
      <c r="D2872" s="79">
        <f>IFERROR(__xludf.DUMMYFUNCTION("""COMPUTED_VALUE"""),0.0)</f>
        <v>0</v>
      </c>
      <c r="E2872" s="69" t="b">
        <f>IFERROR(__xludf.DUMMYFUNCTION("""COMPUTED_VALUE"""),TRUE)</f>
        <v>1</v>
      </c>
    </row>
    <row r="2873" hidden="1">
      <c r="A2873" s="78" t="str">
        <f>IFERROR(__xludf.DUMMYFUNCTION("""COMPUTED_VALUE"""),"Veloci-ramp-tor")</f>
        <v>Veloci-ramp-tor</v>
      </c>
      <c r="B2873" s="78" t="str">
        <f>IFERROR(__xludf.DUMMYFUNCTION("""COMPUTED_VALUE"""),"Corrupting Influence")</f>
        <v>Corrupting Influence</v>
      </c>
      <c r="C2873" s="79">
        <f>IFERROR(__xludf.DUMMYFUNCTION("""COMPUTED_VALUE"""),0.0)</f>
        <v>0</v>
      </c>
      <c r="D2873" s="79">
        <f>IFERROR(__xludf.DUMMYFUNCTION("""COMPUTED_VALUE"""),0.0)</f>
        <v>0</v>
      </c>
      <c r="E2873" s="69" t="b">
        <f>IFERROR(__xludf.DUMMYFUNCTION("""COMPUTED_VALUE"""),TRUE)</f>
        <v>1</v>
      </c>
    </row>
    <row r="2874">
      <c r="A2874" s="78" t="str">
        <f>IFERROR(__xludf.DUMMYFUNCTION("""COMPUTED_VALUE"""),"Veloci-ramp-tor")</f>
        <v>Veloci-ramp-tor</v>
      </c>
      <c r="B2874" s="78" t="str">
        <f>IFERROR(__xludf.DUMMYFUNCTION("""COMPUTED_VALUE"""),"Counter Blitz")</f>
        <v>Counter Blitz</v>
      </c>
      <c r="C2874" s="79">
        <f>IFERROR(__xludf.DUMMYFUNCTION("""COMPUTED_VALUE"""),0.0)</f>
        <v>0</v>
      </c>
      <c r="D2874" s="79">
        <f>IFERROR(__xludf.DUMMYFUNCTION("""COMPUTED_VALUE"""),1.0)</f>
        <v>1</v>
      </c>
      <c r="E2874" s="69" t="b">
        <f>IFERROR(__xludf.DUMMYFUNCTION("""COMPUTED_VALUE"""),FALSE)</f>
        <v>0</v>
      </c>
    </row>
    <row r="2875">
      <c r="A2875" s="78" t="str">
        <f>IFERROR(__xludf.DUMMYFUNCTION("""COMPUTED_VALUE"""),"Veloci-ramp-tor")</f>
        <v>Veloci-ramp-tor</v>
      </c>
      <c r="B2875" s="78" t="str">
        <f>IFERROR(__xludf.DUMMYFUNCTION("""COMPUTED_VALUE"""),"Counter Intelligence")</f>
        <v>Counter Intelligence</v>
      </c>
      <c r="C2875" s="79">
        <f>IFERROR(__xludf.DUMMYFUNCTION("""COMPUTED_VALUE"""),0.0)</f>
        <v>0</v>
      </c>
      <c r="D2875" s="79">
        <f>IFERROR(__xludf.DUMMYFUNCTION("""COMPUTED_VALUE"""),0.0)</f>
        <v>0</v>
      </c>
      <c r="E2875" s="69" t="b">
        <f>IFERROR(__xludf.DUMMYFUNCTION("""COMPUTED_VALUE"""),TRUE)</f>
        <v>1</v>
      </c>
    </row>
    <row r="2876">
      <c r="A2876" s="78" t="str">
        <f>IFERROR(__xludf.DUMMYFUNCTION("""COMPUTED_VALUE"""),"Veloci-ramp-tor")</f>
        <v>Veloci-ramp-tor</v>
      </c>
      <c r="B2876" s="78" t="str">
        <f>IFERROR(__xludf.DUMMYFUNCTION("""COMPUTED_VALUE"""),"Creative Energy")</f>
        <v>Creative Energy</v>
      </c>
      <c r="C2876" s="79">
        <f>IFERROR(__xludf.DUMMYFUNCTION("""COMPUTED_VALUE"""),0.0)</f>
        <v>0</v>
      </c>
      <c r="D2876" s="79">
        <f>IFERROR(__xludf.DUMMYFUNCTION("""COMPUTED_VALUE"""),0.0)</f>
        <v>0</v>
      </c>
      <c r="E2876" s="69" t="b">
        <f>IFERROR(__xludf.DUMMYFUNCTION("""COMPUTED_VALUE"""),TRUE)</f>
        <v>1</v>
      </c>
    </row>
    <row r="2877" hidden="1">
      <c r="A2877" s="78" t="str">
        <f>IFERROR(__xludf.DUMMYFUNCTION("""COMPUTED_VALUE"""),"Veloci-ramp-tor")</f>
        <v>Veloci-ramp-tor</v>
      </c>
      <c r="B2877" s="78" t="str">
        <f>IFERROR(__xludf.DUMMYFUNCTION("""COMPUTED_VALUE"""),"Dance of the Elements")</f>
        <v>Dance of the Elements</v>
      </c>
      <c r="C2877" s="79">
        <f>IFERROR(__xludf.DUMMYFUNCTION("""COMPUTED_VALUE"""),0.0)</f>
        <v>0</v>
      </c>
      <c r="D2877" s="79">
        <f>IFERROR(__xludf.DUMMYFUNCTION("""COMPUTED_VALUE"""),0.0)</f>
        <v>0</v>
      </c>
      <c r="E2877" s="69" t="b">
        <f>IFERROR(__xludf.DUMMYFUNCTION("""COMPUTED_VALUE"""),TRUE)</f>
        <v>1</v>
      </c>
    </row>
    <row r="2878" hidden="1">
      <c r="A2878" s="78" t="str">
        <f>IFERROR(__xludf.DUMMYFUNCTION("""COMPUTED_VALUE"""),"Veloci-ramp-tor")</f>
        <v>Veloci-ramp-tor</v>
      </c>
      <c r="B2878" s="78" t="str">
        <f>IFERROR(__xludf.DUMMYFUNCTION("""COMPUTED_VALUE"""),"Deep Clue Sea")</f>
        <v>Deep Clue Sea</v>
      </c>
      <c r="C2878" s="79">
        <f>IFERROR(__xludf.DUMMYFUNCTION("""COMPUTED_VALUE"""),0.0)</f>
        <v>0</v>
      </c>
      <c r="D2878" s="79">
        <f>IFERROR(__xludf.DUMMYFUNCTION("""COMPUTED_VALUE"""),0.0)</f>
        <v>0</v>
      </c>
      <c r="E2878" s="69" t="b">
        <f>IFERROR(__xludf.DUMMYFUNCTION("""COMPUTED_VALUE"""),TRUE)</f>
        <v>1</v>
      </c>
    </row>
    <row r="2879" hidden="1">
      <c r="A2879" s="78" t="str">
        <f>IFERROR(__xludf.DUMMYFUNCTION("""COMPUTED_VALUE"""),"Veloci-ramp-tor")</f>
        <v>Veloci-ramp-tor</v>
      </c>
      <c r="B2879" s="78" t="str">
        <f>IFERROR(__xludf.DUMMYFUNCTION("""COMPUTED_VALUE"""),"Doom Prevails")</f>
        <v>Doom Prevails</v>
      </c>
      <c r="C2879" s="79">
        <f>IFERROR(__xludf.DUMMYFUNCTION("""COMPUTED_VALUE"""),0.0)</f>
        <v>0</v>
      </c>
      <c r="D2879" s="79">
        <f>IFERROR(__xludf.DUMMYFUNCTION("""COMPUTED_VALUE"""),0.0)</f>
        <v>0</v>
      </c>
      <c r="E2879" s="69" t="b">
        <f>IFERROR(__xludf.DUMMYFUNCTION("""COMPUTED_VALUE"""),TRUE)</f>
        <v>1</v>
      </c>
    </row>
    <row r="2880">
      <c r="A2880" s="78" t="str">
        <f>IFERROR(__xludf.DUMMYFUNCTION("""COMPUTED_VALUE"""),"Veloci-ramp-tor")</f>
        <v>Veloci-ramp-tor</v>
      </c>
      <c r="B2880" s="78" t="str">
        <f>IFERROR(__xludf.DUMMYFUNCTION("""COMPUTED_VALUE"""),"Eldrazi Incursion")</f>
        <v>Eldrazi Incursion</v>
      </c>
      <c r="C2880" s="79">
        <f>IFERROR(__xludf.DUMMYFUNCTION("""COMPUTED_VALUE"""),0.0)</f>
        <v>0</v>
      </c>
      <c r="D2880" s="79">
        <f>IFERROR(__xludf.DUMMYFUNCTION("""COMPUTED_VALUE"""),0.0)</f>
        <v>0</v>
      </c>
      <c r="E2880" s="69" t="b">
        <f>IFERROR(__xludf.DUMMYFUNCTION("""COMPUTED_VALUE"""),TRUE)</f>
        <v>1</v>
      </c>
    </row>
    <row r="2881" hidden="1">
      <c r="A2881" s="78" t="str">
        <f>IFERROR(__xludf.DUMMYFUNCTION("""COMPUTED_VALUE"""),"Veloci-ramp-tor")</f>
        <v>Veloci-ramp-tor</v>
      </c>
      <c r="B2881" s="78" t="str">
        <f>IFERROR(__xludf.DUMMYFUNCTION("""COMPUTED_VALUE"""),"Eldrazi Unbound")</f>
        <v>Eldrazi Unbound</v>
      </c>
      <c r="C2881" s="79">
        <f>IFERROR(__xludf.DUMMYFUNCTION("""COMPUTED_VALUE"""),0.0)</f>
        <v>0</v>
      </c>
      <c r="D2881" s="79">
        <f>IFERROR(__xludf.DUMMYFUNCTION("""COMPUTED_VALUE"""),0.0)</f>
        <v>0</v>
      </c>
      <c r="E2881" s="69" t="b">
        <f>IFERROR(__xludf.DUMMYFUNCTION("""COMPUTED_VALUE"""),TRUE)</f>
        <v>1</v>
      </c>
    </row>
    <row r="2882" hidden="1">
      <c r="A2882" s="78" t="str">
        <f>IFERROR(__xludf.DUMMYFUNCTION("""COMPUTED_VALUE"""),"Veloci-ramp-tor")</f>
        <v>Veloci-ramp-tor</v>
      </c>
      <c r="B2882" s="78" t="str">
        <f>IFERROR(__xludf.DUMMYFUNCTION("""COMPUTED_VALUE"""),"Endless Punishment")</f>
        <v>Endless Punishment</v>
      </c>
      <c r="C2882" s="79">
        <f>IFERROR(__xludf.DUMMYFUNCTION("""COMPUTED_VALUE"""),0.0)</f>
        <v>0</v>
      </c>
      <c r="D2882" s="79">
        <f>IFERROR(__xludf.DUMMYFUNCTION("""COMPUTED_VALUE"""),0.0)</f>
        <v>0</v>
      </c>
      <c r="E2882" s="69" t="b">
        <f>IFERROR(__xludf.DUMMYFUNCTION("""COMPUTED_VALUE"""),TRUE)</f>
        <v>1</v>
      </c>
    </row>
    <row r="2883">
      <c r="A2883" s="78" t="str">
        <f>IFERROR(__xludf.DUMMYFUNCTION("""COMPUTED_VALUE"""),"Veloci-ramp-tor")</f>
        <v>Veloci-ramp-tor</v>
      </c>
      <c r="B2883" s="78" t="str">
        <f>IFERROR(__xludf.DUMMYFUNCTION("""COMPUTED_VALUE"""),"Enduring Enchantments")</f>
        <v>Enduring Enchantments</v>
      </c>
      <c r="C2883" s="79">
        <f>IFERROR(__xludf.DUMMYFUNCTION("""COMPUTED_VALUE"""),0.0)</f>
        <v>0</v>
      </c>
      <c r="D2883" s="79">
        <f>IFERROR(__xludf.DUMMYFUNCTION("""COMPUTED_VALUE"""),0.0)</f>
        <v>0</v>
      </c>
      <c r="E2883" s="69" t="b">
        <f>IFERROR(__xludf.DUMMYFUNCTION("""COMPUTED_VALUE"""),TRUE)</f>
        <v>1</v>
      </c>
    </row>
    <row r="2884" hidden="1">
      <c r="A2884" s="78" t="str">
        <f>IFERROR(__xludf.DUMMYFUNCTION("""COMPUTED_VALUE"""),"Veloci-ramp-tor")</f>
        <v>Veloci-ramp-tor</v>
      </c>
      <c r="B2884" s="78" t="str">
        <f>IFERROR(__xludf.DUMMYFUNCTION("""COMPUTED_VALUE"""),"Explorers of the Deep")</f>
        <v>Explorers of the Deep</v>
      </c>
      <c r="C2884" s="79">
        <f>IFERROR(__xludf.DUMMYFUNCTION("""COMPUTED_VALUE"""),0.0)</f>
        <v>0</v>
      </c>
      <c r="D2884" s="79">
        <f>IFERROR(__xludf.DUMMYFUNCTION("""COMPUTED_VALUE"""),1.0)</f>
        <v>1</v>
      </c>
      <c r="E2884" s="69" t="b">
        <f>IFERROR(__xludf.DUMMYFUNCTION("""COMPUTED_VALUE"""),FALSE)</f>
        <v>0</v>
      </c>
    </row>
    <row r="2885" hidden="1">
      <c r="A2885" s="78" t="str">
        <f>IFERROR(__xludf.DUMMYFUNCTION("""COMPUTED_VALUE"""),"Veloci-ramp-tor")</f>
        <v>Veloci-ramp-tor</v>
      </c>
      <c r="B2885" s="78" t="str">
        <f>IFERROR(__xludf.DUMMYFUNCTION("""COMPUTED_VALUE"""),"Family Matters")</f>
        <v>Family Matters</v>
      </c>
      <c r="C2885" s="79">
        <f>IFERROR(__xludf.DUMMYFUNCTION("""COMPUTED_VALUE"""),0.0)</f>
        <v>0</v>
      </c>
      <c r="D2885" s="79">
        <f>IFERROR(__xludf.DUMMYFUNCTION("""COMPUTED_VALUE"""),0.0)</f>
        <v>0</v>
      </c>
      <c r="E2885" s="69" t="b">
        <f>IFERROR(__xludf.DUMMYFUNCTION("""COMPUTED_VALUE"""),TRUE)</f>
        <v>1</v>
      </c>
    </row>
    <row r="2886" hidden="1">
      <c r="A2886" s="78" t="str">
        <f>IFERROR(__xludf.DUMMYFUNCTION("""COMPUTED_VALUE"""),"Veloci-ramp-tor")</f>
        <v>Veloci-ramp-tor</v>
      </c>
      <c r="B2886" s="78" t="str">
        <f>IFERROR(__xludf.DUMMYFUNCTION("""COMPUTED_VALUE"""),"Food and Fellowship")</f>
        <v>Food and Fellowship</v>
      </c>
      <c r="C2886" s="79">
        <f>IFERROR(__xludf.DUMMYFUNCTION("""COMPUTED_VALUE"""),0.0)</f>
        <v>0</v>
      </c>
      <c r="D2886" s="79">
        <f>IFERROR(__xludf.DUMMYFUNCTION("""COMPUTED_VALUE"""),0.0)</f>
        <v>0</v>
      </c>
      <c r="E2886" s="69" t="b">
        <f>IFERROR(__xludf.DUMMYFUNCTION("""COMPUTED_VALUE"""),TRUE)</f>
        <v>1</v>
      </c>
    </row>
    <row r="2887" hidden="1">
      <c r="A2887" s="78" t="str">
        <f>IFERROR(__xludf.DUMMYFUNCTION("""COMPUTED_VALUE"""),"Veloci-ramp-tor")</f>
        <v>Veloci-ramp-tor</v>
      </c>
      <c r="B2887" s="78" t="str">
        <f>IFERROR(__xludf.DUMMYFUNCTION("""COMPUTED_VALUE"""),"Jeskai Striker")</f>
        <v>Jeskai Striker</v>
      </c>
      <c r="C2887" s="79">
        <f>IFERROR(__xludf.DUMMYFUNCTION("""COMPUTED_VALUE"""),0.0)</f>
        <v>0</v>
      </c>
      <c r="D2887" s="79">
        <f>IFERROR(__xludf.DUMMYFUNCTION("""COMPUTED_VALUE"""),0.0)</f>
        <v>0</v>
      </c>
      <c r="E2887" s="69" t="b">
        <f>IFERROR(__xludf.DUMMYFUNCTION("""COMPUTED_VALUE"""),TRUE)</f>
        <v>1</v>
      </c>
    </row>
    <row r="2888" hidden="1">
      <c r="A2888" s="78" t="str">
        <f>IFERROR(__xludf.DUMMYFUNCTION("""COMPUTED_VALUE"""),"Veloci-ramp-tor")</f>
        <v>Veloci-ramp-tor</v>
      </c>
      <c r="B2888" s="78" t="str">
        <f>IFERROR(__xludf.DUMMYFUNCTION("""COMPUTED_VALUE"""),"Legends' Legacy")</f>
        <v>Legends' Legacy</v>
      </c>
      <c r="C2888" s="79">
        <f>IFERROR(__xludf.DUMMYFUNCTION("""COMPUTED_VALUE"""),0.0)</f>
        <v>0</v>
      </c>
      <c r="D2888" s="79">
        <f>IFERROR(__xludf.DUMMYFUNCTION("""COMPUTED_VALUE"""),0.0)</f>
        <v>0</v>
      </c>
      <c r="E2888" s="69" t="b">
        <f>IFERROR(__xludf.DUMMYFUNCTION("""COMPUTED_VALUE"""),TRUE)</f>
        <v>1</v>
      </c>
    </row>
    <row r="2889" hidden="1">
      <c r="A2889" s="78" t="str">
        <f>IFERROR(__xludf.DUMMYFUNCTION("""COMPUTED_VALUE"""),"Veloci-ramp-tor")</f>
        <v>Veloci-ramp-tor</v>
      </c>
      <c r="B2889" s="78" t="str">
        <f>IFERROR(__xludf.DUMMYFUNCTION("""COMPUTED_VALUE"""),"Limit Break")</f>
        <v>Limit Break</v>
      </c>
      <c r="C2889" s="79">
        <f>IFERROR(__xludf.DUMMYFUNCTION("""COMPUTED_VALUE"""),0.0)</f>
        <v>0</v>
      </c>
      <c r="D2889" s="79">
        <f>IFERROR(__xludf.DUMMYFUNCTION("""COMPUTED_VALUE"""),0.0)</f>
        <v>0</v>
      </c>
      <c r="E2889" s="69" t="b">
        <f>IFERROR(__xludf.DUMMYFUNCTION("""COMPUTED_VALUE"""),TRUE)</f>
        <v>1</v>
      </c>
    </row>
    <row r="2890" hidden="1">
      <c r="A2890" s="78" t="str">
        <f>IFERROR(__xludf.DUMMYFUNCTION("""COMPUTED_VALUE"""),"Veloci-ramp-tor")</f>
        <v>Veloci-ramp-tor</v>
      </c>
      <c r="B2890" s="78" t="str">
        <f>IFERROR(__xludf.DUMMYFUNCTION("""COMPUTED_VALUE"""),"Lorehold Spirit")</f>
        <v>Lorehold Spirit</v>
      </c>
      <c r="C2890" s="79">
        <f>IFERROR(__xludf.DUMMYFUNCTION("""COMPUTED_VALUE"""),0.0)</f>
        <v>0</v>
      </c>
      <c r="D2890" s="79">
        <f>IFERROR(__xludf.DUMMYFUNCTION("""COMPUTED_VALUE"""),0.0)</f>
        <v>0</v>
      </c>
      <c r="E2890" s="69" t="b">
        <f>IFERROR(__xludf.DUMMYFUNCTION("""COMPUTED_VALUE"""),TRUE)</f>
        <v>1</v>
      </c>
    </row>
    <row r="2891" hidden="1">
      <c r="A2891" s="78" t="str">
        <f>IFERROR(__xludf.DUMMYFUNCTION("""COMPUTED_VALUE"""),"Veloci-ramp-tor")</f>
        <v>Veloci-ramp-tor</v>
      </c>
      <c r="B2891" s="78" t="str">
        <f>IFERROR(__xludf.DUMMYFUNCTION("""COMPUTED_VALUE"""),"Mutant Menace")</f>
        <v>Mutant Menace</v>
      </c>
      <c r="C2891" s="79">
        <f>IFERROR(__xludf.DUMMYFUNCTION("""COMPUTED_VALUE"""),0.0)</f>
        <v>0</v>
      </c>
      <c r="D2891" s="79">
        <f>IFERROR(__xludf.DUMMYFUNCTION("""COMPUTED_VALUE"""),0.0)</f>
        <v>0</v>
      </c>
      <c r="E2891" s="69" t="b">
        <f>IFERROR(__xludf.DUMMYFUNCTION("""COMPUTED_VALUE"""),TRUE)</f>
        <v>1</v>
      </c>
    </row>
    <row r="2892" hidden="1">
      <c r="A2892" s="78" t="str">
        <f>IFERROR(__xludf.DUMMYFUNCTION("""COMPUTED_VALUE"""),"Veloci-ramp-tor")</f>
        <v>Veloci-ramp-tor</v>
      </c>
      <c r="B2892" s="78" t="str">
        <f>IFERROR(__xludf.DUMMYFUNCTION("""COMPUTED_VALUE"""),"Party Time")</f>
        <v>Party Time</v>
      </c>
      <c r="C2892" s="79">
        <f>IFERROR(__xludf.DUMMYFUNCTION("""COMPUTED_VALUE"""),0.0)</f>
        <v>0</v>
      </c>
      <c r="D2892" s="79">
        <f>IFERROR(__xludf.DUMMYFUNCTION("""COMPUTED_VALUE"""),0.0)</f>
        <v>0</v>
      </c>
      <c r="E2892" s="69" t="b">
        <f>IFERROR(__xludf.DUMMYFUNCTION("""COMPUTED_VALUE"""),TRUE)</f>
        <v>1</v>
      </c>
    </row>
    <row r="2893" hidden="1">
      <c r="A2893" s="78" t="str">
        <f>IFERROR(__xludf.DUMMYFUNCTION("""COMPUTED_VALUE"""),"Veloci-ramp-tor")</f>
        <v>Veloci-ramp-tor</v>
      </c>
      <c r="B2893" s="78" t="str">
        <f>IFERROR(__xludf.DUMMYFUNCTION("""COMPUTED_VALUE"""),"Peace Offering")</f>
        <v>Peace Offering</v>
      </c>
      <c r="C2893" s="79">
        <f>IFERROR(__xludf.DUMMYFUNCTION("""COMPUTED_VALUE"""),0.0)</f>
        <v>0</v>
      </c>
      <c r="D2893" s="79">
        <f>IFERROR(__xludf.DUMMYFUNCTION("""COMPUTED_VALUE"""),0.0)</f>
        <v>0</v>
      </c>
      <c r="E2893" s="69" t="b">
        <f>IFERROR(__xludf.DUMMYFUNCTION("""COMPUTED_VALUE"""),TRUE)</f>
        <v>1</v>
      </c>
    </row>
    <row r="2894" hidden="1">
      <c r="A2894" s="78" t="str">
        <f>IFERROR(__xludf.DUMMYFUNCTION("""COMPUTED_VALUE"""),"Veloci-ramp-tor")</f>
        <v>Veloci-ramp-tor</v>
      </c>
      <c r="B2894" s="78" t="str">
        <f>IFERROR(__xludf.DUMMYFUNCTION("""COMPUTED_VALUE"""),"Power Hungry")</f>
        <v>Power Hungry</v>
      </c>
      <c r="C2894" s="79">
        <f>IFERROR(__xludf.DUMMYFUNCTION("""COMPUTED_VALUE"""),0.0)</f>
        <v>0</v>
      </c>
      <c r="D2894" s="79">
        <f>IFERROR(__xludf.DUMMYFUNCTION("""COMPUTED_VALUE"""),0.0)</f>
        <v>0</v>
      </c>
      <c r="E2894" s="69" t="b">
        <f>IFERROR(__xludf.DUMMYFUNCTION("""COMPUTED_VALUE"""),TRUE)</f>
        <v>1</v>
      </c>
    </row>
    <row r="2895" hidden="1">
      <c r="A2895" s="78" t="str">
        <f>IFERROR(__xludf.DUMMYFUNCTION("""COMPUTED_VALUE"""),"Veloci-ramp-tor")</f>
        <v>Veloci-ramp-tor</v>
      </c>
      <c r="B2895" s="78" t="str">
        <f>IFERROR(__xludf.DUMMYFUNCTION("""COMPUTED_VALUE"""),"Primal Genesis")</f>
        <v>Primal Genesis</v>
      </c>
      <c r="C2895" s="79">
        <f>IFERROR(__xludf.DUMMYFUNCTION("""COMPUTED_VALUE"""),0.0)</f>
        <v>0</v>
      </c>
      <c r="D2895" s="79">
        <f>IFERROR(__xludf.DUMMYFUNCTION("""COMPUTED_VALUE"""),0.0)</f>
        <v>0</v>
      </c>
      <c r="E2895" s="69" t="b">
        <f>IFERROR(__xludf.DUMMYFUNCTION("""COMPUTED_VALUE"""),TRUE)</f>
        <v>1</v>
      </c>
    </row>
    <row r="2896" hidden="1">
      <c r="A2896" s="78" t="str">
        <f>IFERROR(__xludf.DUMMYFUNCTION("""COMPUTED_VALUE"""),"Veloci-ramp-tor")</f>
        <v>Veloci-ramp-tor</v>
      </c>
      <c r="B2896" s="78" t="str">
        <f>IFERROR(__xludf.DUMMYFUNCTION("""COMPUTED_VALUE"""),"Prismari Artistry")</f>
        <v>Prismari Artistry</v>
      </c>
      <c r="C2896" s="79">
        <f>IFERROR(__xludf.DUMMYFUNCTION("""COMPUTED_VALUE"""),0.0)</f>
        <v>0</v>
      </c>
      <c r="D2896" s="79">
        <f>IFERROR(__xludf.DUMMYFUNCTION("""COMPUTED_VALUE"""),0.0)</f>
        <v>0</v>
      </c>
      <c r="E2896" s="69" t="b">
        <f>IFERROR(__xludf.DUMMYFUNCTION("""COMPUTED_VALUE"""),TRUE)</f>
        <v>1</v>
      </c>
    </row>
    <row r="2897" hidden="1">
      <c r="A2897" s="78" t="str">
        <f>IFERROR(__xludf.DUMMYFUNCTION("""COMPUTED_VALUE"""),"Veloci-ramp-tor")</f>
        <v>Veloci-ramp-tor</v>
      </c>
      <c r="B2897" s="78" t="str">
        <f>IFERROR(__xludf.DUMMYFUNCTION("""COMPUTED_VALUE"""),"Prismari Performance")</f>
        <v>Prismari Performance</v>
      </c>
      <c r="C2897" s="79">
        <f>IFERROR(__xludf.DUMMYFUNCTION("""COMPUTED_VALUE"""),0.0)</f>
        <v>0</v>
      </c>
      <c r="D2897" s="79">
        <f>IFERROR(__xludf.DUMMYFUNCTION("""COMPUTED_VALUE"""),0.0)</f>
        <v>0</v>
      </c>
      <c r="E2897" s="69" t="b">
        <f>IFERROR(__xludf.DUMMYFUNCTION("""COMPUTED_VALUE"""),TRUE)</f>
        <v>1</v>
      </c>
    </row>
    <row r="2898">
      <c r="A2898" s="78" t="str">
        <f>IFERROR(__xludf.DUMMYFUNCTION("""COMPUTED_VALUE"""),"Veloci-ramp-tor")</f>
        <v>Veloci-ramp-tor</v>
      </c>
      <c r="B2898" s="78" t="str">
        <f>IFERROR(__xludf.DUMMYFUNCTION("""COMPUTED_VALUE"""),"Quandrix Unlimited")</f>
        <v>Quandrix Unlimited</v>
      </c>
      <c r="C2898" s="79">
        <f>IFERROR(__xludf.DUMMYFUNCTION("""COMPUTED_VALUE"""),0.0)</f>
        <v>0</v>
      </c>
      <c r="D2898" s="79">
        <f>IFERROR(__xludf.DUMMYFUNCTION("""COMPUTED_VALUE"""),1.0)</f>
        <v>1</v>
      </c>
      <c r="E2898" s="69" t="b">
        <f>IFERROR(__xludf.DUMMYFUNCTION("""COMPUTED_VALUE"""),FALSE)</f>
        <v>0</v>
      </c>
    </row>
    <row r="2899" hidden="1">
      <c r="A2899" s="78" t="str">
        <f>IFERROR(__xludf.DUMMYFUNCTION("""COMPUTED_VALUE"""),"Veloci-ramp-tor")</f>
        <v>Veloci-ramp-tor</v>
      </c>
      <c r="B2899" s="78" t="str">
        <f>IFERROR(__xludf.DUMMYFUNCTION("""COMPUTED_VALUE"""),"Quick Draw")</f>
        <v>Quick Draw</v>
      </c>
      <c r="C2899" s="79">
        <f>IFERROR(__xludf.DUMMYFUNCTION("""COMPUTED_VALUE"""),0.0)</f>
        <v>0</v>
      </c>
      <c r="D2899" s="79">
        <f>IFERROR(__xludf.DUMMYFUNCTION("""COMPUTED_VALUE"""),0.0)</f>
        <v>0</v>
      </c>
      <c r="E2899" s="69" t="b">
        <f>IFERROR(__xludf.DUMMYFUNCTION("""COMPUTED_VALUE"""),TRUE)</f>
        <v>1</v>
      </c>
    </row>
    <row r="2900" hidden="1">
      <c r="A2900" s="78" t="str">
        <f>IFERROR(__xludf.DUMMYFUNCTION("""COMPUTED_VALUE"""),"Veloci-ramp-tor")</f>
        <v>Veloci-ramp-tor</v>
      </c>
      <c r="B2900" s="78" t="str">
        <f>IFERROR(__xludf.DUMMYFUNCTION("""COMPUTED_VALUE"""),"Reap the Tides")</f>
        <v>Reap the Tides</v>
      </c>
      <c r="C2900" s="79">
        <f>IFERROR(__xludf.DUMMYFUNCTION("""COMPUTED_VALUE"""),0.0)</f>
        <v>0</v>
      </c>
      <c r="D2900" s="79">
        <f>IFERROR(__xludf.DUMMYFUNCTION("""COMPUTED_VALUE"""),1.0)</f>
        <v>1</v>
      </c>
      <c r="E2900" s="69" t="b">
        <f>IFERROR(__xludf.DUMMYFUNCTION("""COMPUTED_VALUE"""),FALSE)</f>
        <v>0</v>
      </c>
    </row>
    <row r="2901" hidden="1">
      <c r="A2901" s="78" t="str">
        <f>IFERROR(__xludf.DUMMYFUNCTION("""COMPUTED_VALUE"""),"Veloci-ramp-tor")</f>
        <v>Veloci-ramp-tor</v>
      </c>
      <c r="B2901" s="78" t="str">
        <f>IFERROR(__xludf.DUMMYFUNCTION("""COMPUTED_VALUE"""),"Rebellion Rising")</f>
        <v>Rebellion Rising</v>
      </c>
      <c r="C2901" s="79">
        <f>IFERROR(__xludf.DUMMYFUNCTION("""COMPUTED_VALUE"""),0.0)</f>
        <v>0</v>
      </c>
      <c r="D2901" s="79">
        <f>IFERROR(__xludf.DUMMYFUNCTION("""COMPUTED_VALUE"""),0.0)</f>
        <v>0</v>
      </c>
      <c r="E2901" s="69" t="b">
        <f>IFERROR(__xludf.DUMMYFUNCTION("""COMPUTED_VALUE"""),TRUE)</f>
        <v>1</v>
      </c>
    </row>
    <row r="2902" hidden="1">
      <c r="A2902" s="78" t="str">
        <f>IFERROR(__xludf.DUMMYFUNCTION("""COMPUTED_VALUE"""),"Veloci-ramp-tor")</f>
        <v>Veloci-ramp-tor</v>
      </c>
      <c r="B2902" s="78" t="str">
        <f>IFERROR(__xludf.DUMMYFUNCTION("""COMPUTED_VALUE"""),"Revival Trance")</f>
        <v>Revival Trance</v>
      </c>
      <c r="C2902" s="79">
        <f>IFERROR(__xludf.DUMMYFUNCTION("""COMPUTED_VALUE"""),0.0)</f>
        <v>0</v>
      </c>
      <c r="D2902" s="79">
        <f>IFERROR(__xludf.DUMMYFUNCTION("""COMPUTED_VALUE"""),0.0)</f>
        <v>0</v>
      </c>
      <c r="E2902" s="69" t="b">
        <f>IFERROR(__xludf.DUMMYFUNCTION("""COMPUTED_VALUE"""),TRUE)</f>
        <v>1</v>
      </c>
    </row>
    <row r="2903" hidden="1">
      <c r="A2903" s="78" t="str">
        <f>IFERROR(__xludf.DUMMYFUNCTION("""COMPUTED_VALUE"""),"Veloci-ramp-tor")</f>
        <v>Veloci-ramp-tor</v>
      </c>
      <c r="B2903" s="78" t="str">
        <f>IFERROR(__xludf.DUMMYFUNCTION("""COMPUTED_VALUE"""),"Riders of Rohan")</f>
        <v>Riders of Rohan</v>
      </c>
      <c r="C2903" s="79">
        <f>IFERROR(__xludf.DUMMYFUNCTION("""COMPUTED_VALUE"""),0.0)</f>
        <v>0</v>
      </c>
      <c r="D2903" s="79">
        <f>IFERROR(__xludf.DUMMYFUNCTION("""COMPUTED_VALUE"""),0.0)</f>
        <v>0</v>
      </c>
      <c r="E2903" s="69" t="b">
        <f>IFERROR(__xludf.DUMMYFUNCTION("""COMPUTED_VALUE"""),TRUE)</f>
        <v>1</v>
      </c>
    </row>
    <row r="2904" hidden="1">
      <c r="A2904" s="78" t="str">
        <f>IFERROR(__xludf.DUMMYFUNCTION("""COMPUTED_VALUE"""),"Veloci-ramp-tor")</f>
        <v>Veloci-ramp-tor</v>
      </c>
      <c r="B2904" s="78" t="str">
        <f>IFERROR(__xludf.DUMMYFUNCTION("""COMPUTED_VALUE"""),"Science!")</f>
        <v>Science!</v>
      </c>
      <c r="C2904" s="79">
        <f>IFERROR(__xludf.DUMMYFUNCTION("""COMPUTED_VALUE"""),0.0)</f>
        <v>0</v>
      </c>
      <c r="D2904" s="79">
        <f>IFERROR(__xludf.DUMMYFUNCTION("""COMPUTED_VALUE"""),0.0)</f>
        <v>0</v>
      </c>
      <c r="E2904" s="69" t="b">
        <f>IFERROR(__xludf.DUMMYFUNCTION("""COMPUTED_VALUE"""),TRUE)</f>
        <v>1</v>
      </c>
    </row>
    <row r="2905" hidden="1">
      <c r="A2905" s="78" t="str">
        <f>IFERROR(__xludf.DUMMYFUNCTION("""COMPUTED_VALUE"""),"Veloci-ramp-tor")</f>
        <v>Veloci-ramp-tor</v>
      </c>
      <c r="B2905" s="78" t="str">
        <f>IFERROR(__xludf.DUMMYFUNCTION("""COMPUTED_VALUE"""),"Scions &amp; Spellcraft")</f>
        <v>Scions &amp; Spellcraft</v>
      </c>
      <c r="C2905" s="79">
        <f>IFERROR(__xludf.DUMMYFUNCTION("""COMPUTED_VALUE"""),0.0)</f>
        <v>0</v>
      </c>
      <c r="D2905" s="79">
        <f>IFERROR(__xludf.DUMMYFUNCTION("""COMPUTED_VALUE"""),1.0)</f>
        <v>1</v>
      </c>
      <c r="E2905" s="69" t="b">
        <f>IFERROR(__xludf.DUMMYFUNCTION("""COMPUTED_VALUE"""),FALSE)</f>
        <v>0</v>
      </c>
    </row>
    <row r="2906">
      <c r="A2906" s="78" t="str">
        <f>IFERROR(__xludf.DUMMYFUNCTION("""COMPUTED_VALUE"""),"Veloci-ramp-tor")</f>
        <v>Veloci-ramp-tor</v>
      </c>
      <c r="B2906" s="78" t="str">
        <f>IFERROR(__xludf.DUMMYFUNCTION("""COMPUTED_VALUE"""),"Scrappy Survivors")</f>
        <v>Scrappy Survivors</v>
      </c>
      <c r="C2906" s="79">
        <f>IFERROR(__xludf.DUMMYFUNCTION("""COMPUTED_VALUE"""),0.0)</f>
        <v>0</v>
      </c>
      <c r="D2906" s="79">
        <f>IFERROR(__xludf.DUMMYFUNCTION("""COMPUTED_VALUE"""),0.0)</f>
        <v>0</v>
      </c>
      <c r="E2906" s="69" t="b">
        <f>IFERROR(__xludf.DUMMYFUNCTION("""COMPUTED_VALUE"""),TRUE)</f>
        <v>1</v>
      </c>
    </row>
    <row r="2907" hidden="1">
      <c r="A2907" s="78" t="str">
        <f>IFERROR(__xludf.DUMMYFUNCTION("""COMPUTED_VALUE"""),"Veloci-ramp-tor")</f>
        <v>Veloci-ramp-tor</v>
      </c>
      <c r="B2907" s="78" t="str">
        <f>IFERROR(__xludf.DUMMYFUNCTION("""COMPUTED_VALUE"""),"Silverquill Influence")</f>
        <v>Silverquill Influence</v>
      </c>
      <c r="C2907" s="79">
        <f>IFERROR(__xludf.DUMMYFUNCTION("""COMPUTED_VALUE"""),0.0)</f>
        <v>0</v>
      </c>
      <c r="D2907" s="79">
        <f>IFERROR(__xludf.DUMMYFUNCTION("""COMPUTED_VALUE"""),0.0)</f>
        <v>0</v>
      </c>
      <c r="E2907" s="69" t="b">
        <f>IFERROR(__xludf.DUMMYFUNCTION("""COMPUTED_VALUE"""),TRUE)</f>
        <v>1</v>
      </c>
    </row>
    <row r="2908">
      <c r="A2908" s="78" t="str">
        <f>IFERROR(__xludf.DUMMYFUNCTION("""COMPUTED_VALUE"""),"Veloci-ramp-tor")</f>
        <v>Veloci-ramp-tor</v>
      </c>
      <c r="B2908" s="78" t="str">
        <f>IFERROR(__xludf.DUMMYFUNCTION("""COMPUTED_VALUE"""),"Spirit Squadron")</f>
        <v>Spirit Squadron</v>
      </c>
      <c r="C2908" s="79">
        <f>IFERROR(__xludf.DUMMYFUNCTION("""COMPUTED_VALUE"""),0.0)</f>
        <v>0</v>
      </c>
      <c r="D2908" s="79">
        <f>IFERROR(__xludf.DUMMYFUNCTION("""COMPUTED_VALUE"""),0.0)</f>
        <v>0</v>
      </c>
      <c r="E2908" s="69" t="b">
        <f>IFERROR(__xludf.DUMMYFUNCTION("""COMPUTED_VALUE"""),TRUE)</f>
        <v>1</v>
      </c>
    </row>
    <row r="2909" hidden="1">
      <c r="A2909" s="78" t="str">
        <f>IFERROR(__xludf.DUMMYFUNCTION("""COMPUTED_VALUE"""),"Veloci-ramp-tor")</f>
        <v>Veloci-ramp-tor</v>
      </c>
      <c r="B2909" s="78" t="str">
        <f>IFERROR(__xludf.DUMMYFUNCTION("""COMPUTED_VALUE"""),"Squirreled Away")</f>
        <v>Squirreled Away</v>
      </c>
      <c r="C2909" s="79">
        <f>IFERROR(__xludf.DUMMYFUNCTION("""COMPUTED_VALUE"""),0.0)</f>
        <v>0</v>
      </c>
      <c r="D2909" s="79">
        <f>IFERROR(__xludf.DUMMYFUNCTION("""COMPUTED_VALUE"""),0.0)</f>
        <v>0</v>
      </c>
      <c r="E2909" s="69" t="b">
        <f>IFERROR(__xludf.DUMMYFUNCTION("""COMPUTED_VALUE"""),TRUE)</f>
        <v>1</v>
      </c>
    </row>
    <row r="2910" hidden="1">
      <c r="A2910" s="78" t="str">
        <f>IFERROR(__xludf.DUMMYFUNCTION("""COMPUTED_VALUE"""),"Veloci-ramp-tor")</f>
        <v>Veloci-ramp-tor</v>
      </c>
      <c r="B2910" s="78" t="str">
        <f>IFERROR(__xludf.DUMMYFUNCTION("""COMPUTED_VALUE"""),"Sultai Arisen")</f>
        <v>Sultai Arisen</v>
      </c>
      <c r="C2910" s="79">
        <f>IFERROR(__xludf.DUMMYFUNCTION("""COMPUTED_VALUE"""),0.0)</f>
        <v>0</v>
      </c>
      <c r="D2910" s="79">
        <f>IFERROR(__xludf.DUMMYFUNCTION("""COMPUTED_VALUE"""),0.0)</f>
        <v>0</v>
      </c>
      <c r="E2910" s="69" t="b">
        <f>IFERROR(__xludf.DUMMYFUNCTION("""COMPUTED_VALUE"""),TRUE)</f>
        <v>1</v>
      </c>
    </row>
    <row r="2911" hidden="1">
      <c r="A2911" s="78" t="str">
        <f>IFERROR(__xludf.DUMMYFUNCTION("""COMPUTED_VALUE"""),"Veloci-ramp-tor")</f>
        <v>Veloci-ramp-tor</v>
      </c>
      <c r="B2911" s="78" t="str">
        <f>IFERROR(__xludf.DUMMYFUNCTION("""COMPUTED_VALUE"""),"Temur Roar")</f>
        <v>Temur Roar</v>
      </c>
      <c r="C2911" s="79">
        <f>IFERROR(__xludf.DUMMYFUNCTION("""COMPUTED_VALUE"""),0.0)</f>
        <v>0</v>
      </c>
      <c r="D2911" s="79">
        <f>IFERROR(__xludf.DUMMYFUNCTION("""COMPUTED_VALUE"""),0.0)</f>
        <v>0</v>
      </c>
      <c r="E2911" s="69" t="b">
        <f>IFERROR(__xludf.DUMMYFUNCTION("""COMPUTED_VALUE"""),TRUE)</f>
        <v>1</v>
      </c>
    </row>
    <row r="2912" hidden="1">
      <c r="A2912" s="78" t="str">
        <f>IFERROR(__xludf.DUMMYFUNCTION("""COMPUTED_VALUE"""),"Veloci-ramp-tor")</f>
        <v>Veloci-ramp-tor</v>
      </c>
      <c r="B2912" s="78" t="str">
        <f>IFERROR(__xludf.DUMMYFUNCTION("""COMPUTED_VALUE"""),"The Hosts of Mordor")</f>
        <v>The Hosts of Mordor</v>
      </c>
      <c r="C2912" s="79">
        <f>IFERROR(__xludf.DUMMYFUNCTION("""COMPUTED_VALUE"""),0.0)</f>
        <v>0</v>
      </c>
      <c r="D2912" s="79">
        <f>IFERROR(__xludf.DUMMYFUNCTION("""COMPUTED_VALUE"""),0.0)</f>
        <v>0</v>
      </c>
      <c r="E2912" s="69" t="b">
        <f>IFERROR(__xludf.DUMMYFUNCTION("""COMPUTED_VALUE"""),TRUE)</f>
        <v>1</v>
      </c>
    </row>
    <row r="2913" hidden="1">
      <c r="A2913" s="78" t="str">
        <f>IFERROR(__xludf.DUMMYFUNCTION("""COMPUTED_VALUE"""),"Veloci-ramp-tor")</f>
        <v>Veloci-ramp-tor</v>
      </c>
      <c r="B2913" s="78" t="str">
        <f>IFERROR(__xludf.DUMMYFUNCTION("""COMPUTED_VALUE"""),"The Ruinous Powers")</f>
        <v>The Ruinous Powers</v>
      </c>
      <c r="C2913" s="79">
        <f>IFERROR(__xludf.DUMMYFUNCTION("""COMPUTED_VALUE"""),0.0)</f>
        <v>0</v>
      </c>
      <c r="D2913" s="79">
        <f>IFERROR(__xludf.DUMMYFUNCTION("""COMPUTED_VALUE"""),0.0)</f>
        <v>0</v>
      </c>
      <c r="E2913" s="69" t="b">
        <f>IFERROR(__xludf.DUMMYFUNCTION("""COMPUTED_VALUE"""),TRUE)</f>
        <v>1</v>
      </c>
    </row>
    <row r="2914" hidden="1">
      <c r="A2914" s="78" t="str">
        <f>IFERROR(__xludf.DUMMYFUNCTION("""COMPUTED_VALUE"""),"Veloci-ramp-tor")</f>
        <v>Veloci-ramp-tor</v>
      </c>
      <c r="B2914" s="78" t="str">
        <f>IFERROR(__xludf.DUMMYFUNCTION("""COMPUTED_VALUE"""),"Timey-Wimey")</f>
        <v>Timey-Wimey</v>
      </c>
      <c r="C2914" s="79">
        <f>IFERROR(__xludf.DUMMYFUNCTION("""COMPUTED_VALUE"""),0.0)</f>
        <v>0</v>
      </c>
      <c r="D2914" s="79">
        <f>IFERROR(__xludf.DUMMYFUNCTION("""COMPUTED_VALUE"""),0.0)</f>
        <v>0</v>
      </c>
      <c r="E2914" s="69" t="b">
        <f>IFERROR(__xludf.DUMMYFUNCTION("""COMPUTED_VALUE"""),TRUE)</f>
        <v>1</v>
      </c>
    </row>
    <row r="2915" hidden="1">
      <c r="A2915" s="78" t="str">
        <f>IFERROR(__xludf.DUMMYFUNCTION("""COMPUTED_VALUE"""),"Veloci-ramp-tor")</f>
        <v>Veloci-ramp-tor</v>
      </c>
      <c r="B2915" s="78" t="str">
        <f>IFERROR(__xludf.DUMMYFUNCTION("""COMPUTED_VALUE"""),"Tinker Time")</f>
        <v>Tinker Time</v>
      </c>
      <c r="C2915" s="79">
        <f>IFERROR(__xludf.DUMMYFUNCTION("""COMPUTED_VALUE"""),0.0)</f>
        <v>0</v>
      </c>
      <c r="D2915" s="79">
        <f>IFERROR(__xludf.DUMMYFUNCTION("""COMPUTED_VALUE"""),0.0)</f>
        <v>0</v>
      </c>
      <c r="E2915" s="69" t="b">
        <f>IFERROR(__xludf.DUMMYFUNCTION("""COMPUTED_VALUE"""),TRUE)</f>
        <v>1</v>
      </c>
    </row>
    <row r="2916" hidden="1">
      <c r="A2916" s="78" t="str">
        <f>IFERROR(__xludf.DUMMYFUNCTION("""COMPUTED_VALUE"""),"Veloci-ramp-tor")</f>
        <v>Veloci-ramp-tor</v>
      </c>
      <c r="B2916" s="78" t="str">
        <f>IFERROR(__xludf.DUMMYFUNCTION("""COMPUTED_VALUE"""),"Turtle Power!")</f>
        <v>Turtle Power!</v>
      </c>
      <c r="C2916" s="79">
        <f>IFERROR(__xludf.DUMMYFUNCTION("""COMPUTED_VALUE"""),0.0)</f>
        <v>0</v>
      </c>
      <c r="D2916" s="79">
        <f>IFERROR(__xludf.DUMMYFUNCTION("""COMPUTED_VALUE"""),0.0)</f>
        <v>0</v>
      </c>
      <c r="E2916" s="69" t="b">
        <f>IFERROR(__xludf.DUMMYFUNCTION("""COMPUTED_VALUE"""),TRUE)</f>
        <v>1</v>
      </c>
    </row>
    <row r="2917" hidden="1">
      <c r="A2917" s="78" t="str">
        <f>IFERROR(__xludf.DUMMYFUNCTION("""COMPUTED_VALUE"""),"Veloci-ramp-tor")</f>
        <v>Veloci-ramp-tor</v>
      </c>
      <c r="B2917" s="78" t="str">
        <f>IFERROR(__xludf.DUMMYFUNCTION("""COMPUTED_VALUE"""),"Veloci-ramp-tor")</f>
        <v>Veloci-ramp-tor</v>
      </c>
      <c r="C2917" s="79">
        <f>IFERROR(__xludf.DUMMYFUNCTION("""COMPUTED_VALUE"""),0.0)</f>
        <v>0</v>
      </c>
      <c r="D2917" s="79">
        <f>IFERROR(__xludf.DUMMYFUNCTION("""COMPUTED_VALUE"""),0.0)</f>
        <v>0</v>
      </c>
      <c r="E2917" s="69" t="b">
        <f>IFERROR(__xludf.DUMMYFUNCTION("""COMPUTED_VALUE"""),TRUE)</f>
        <v>1</v>
      </c>
    </row>
    <row r="2918" hidden="1">
      <c r="A2918" s="78"/>
      <c r="B2918" s="78"/>
      <c r="C2918" s="79" t="str">
        <f>IFERROR(__xludf.DUMMYFUNCTION("""COMPUTED_VALUE"""),"")</f>
        <v/>
      </c>
      <c r="D2918" s="79" t="str">
        <f>IFERROR(__xludf.DUMMYFUNCTION("""COMPUTED_VALUE"""),"")</f>
        <v/>
      </c>
      <c r="E2918" s="69" t="b">
        <f>IFERROR(__xludf.DUMMYFUNCTION("""COMPUTED_VALUE"""),TRUE)</f>
        <v>1</v>
      </c>
    </row>
    <row r="2919" hidden="1">
      <c r="A2919" s="78"/>
      <c r="B2919" s="78"/>
      <c r="C2919" s="79" t="str">
        <f>IFERROR(__xludf.DUMMYFUNCTION("""COMPUTED_VALUE"""),"")</f>
        <v/>
      </c>
      <c r="D2919" s="79" t="str">
        <f>IFERROR(__xludf.DUMMYFUNCTION("""COMPUTED_VALUE"""),"")</f>
        <v/>
      </c>
      <c r="E2919" s="69" t="b">
        <f>IFERROR(__xludf.DUMMYFUNCTION("""COMPUTED_VALUE"""),TRUE)</f>
        <v>1</v>
      </c>
    </row>
    <row r="2920" hidden="1">
      <c r="A2920" s="78"/>
      <c r="B2920" s="78"/>
      <c r="C2920" s="79" t="str">
        <f>IFERROR(__xludf.DUMMYFUNCTION("""COMPUTED_VALUE"""),"")</f>
        <v/>
      </c>
      <c r="D2920" s="79" t="str">
        <f>IFERROR(__xludf.DUMMYFUNCTION("""COMPUTED_VALUE"""),"")</f>
        <v/>
      </c>
      <c r="E2920" s="69" t="b">
        <f>IFERROR(__xludf.DUMMYFUNCTION("""COMPUTED_VALUE"""),TRUE)</f>
        <v>1</v>
      </c>
    </row>
    <row r="2921" hidden="1">
      <c r="A2921" s="78"/>
      <c r="B2921" s="78"/>
      <c r="C2921" s="79" t="str">
        <f>IFERROR(__xludf.DUMMYFUNCTION("""COMPUTED_VALUE"""),"")</f>
        <v/>
      </c>
      <c r="D2921" s="79" t="str">
        <f>IFERROR(__xludf.DUMMYFUNCTION("""COMPUTED_VALUE"""),"")</f>
        <v/>
      </c>
      <c r="E2921" s="69" t="b">
        <f>IFERROR(__xludf.DUMMYFUNCTION("""COMPUTED_VALUE"""),TRUE)</f>
        <v>1</v>
      </c>
    </row>
    <row r="2922" hidden="1">
      <c r="A2922" s="78"/>
      <c r="B2922" s="78"/>
      <c r="C2922" s="79" t="str">
        <f>IFERROR(__xludf.DUMMYFUNCTION("""COMPUTED_VALUE"""),"")</f>
        <v/>
      </c>
      <c r="D2922" s="79" t="str">
        <f>IFERROR(__xludf.DUMMYFUNCTION("""COMPUTED_VALUE"""),"")</f>
        <v/>
      </c>
      <c r="E2922" s="69" t="b">
        <f>IFERROR(__xludf.DUMMYFUNCTION("""COMPUTED_VALUE"""),TRUE)</f>
        <v>1</v>
      </c>
    </row>
    <row r="2923" hidden="1">
      <c r="A2923" s="78"/>
      <c r="B2923" s="78"/>
      <c r="C2923" s="79" t="str">
        <f>IFERROR(__xludf.DUMMYFUNCTION("""COMPUTED_VALUE"""),"")</f>
        <v/>
      </c>
      <c r="D2923" s="79" t="str">
        <f>IFERROR(__xludf.DUMMYFUNCTION("""COMPUTED_VALUE"""),"")</f>
        <v/>
      </c>
      <c r="E2923" s="69" t="b">
        <f>IFERROR(__xludf.DUMMYFUNCTION("""COMPUTED_VALUE"""),TRUE)</f>
        <v>1</v>
      </c>
    </row>
    <row r="2924" hidden="1">
      <c r="A2924" s="78"/>
      <c r="B2924" s="78"/>
      <c r="C2924" s="79" t="str">
        <f>IFERROR(__xludf.DUMMYFUNCTION("""COMPUTED_VALUE"""),"")</f>
        <v/>
      </c>
      <c r="D2924" s="79" t="str">
        <f>IFERROR(__xludf.DUMMYFUNCTION("""COMPUTED_VALUE"""),"")</f>
        <v/>
      </c>
      <c r="E2924" s="69" t="b">
        <f>IFERROR(__xludf.DUMMYFUNCTION("""COMPUTED_VALUE"""),TRUE)</f>
        <v>1</v>
      </c>
    </row>
    <row r="2925" hidden="1">
      <c r="A2925" s="78"/>
      <c r="B2925" s="78"/>
      <c r="C2925" s="79" t="str">
        <f>IFERROR(__xludf.DUMMYFUNCTION("""COMPUTED_VALUE"""),"")</f>
        <v/>
      </c>
      <c r="D2925" s="79" t="str">
        <f>IFERROR(__xludf.DUMMYFUNCTION("""COMPUTED_VALUE"""),"")</f>
        <v/>
      </c>
      <c r="E2925" s="69" t="b">
        <f>IFERROR(__xludf.DUMMYFUNCTION("""COMPUTED_VALUE"""),TRUE)</f>
        <v>1</v>
      </c>
    </row>
    <row r="2926" hidden="1">
      <c r="A2926" s="78"/>
      <c r="B2926" s="78"/>
      <c r="C2926" s="79" t="str">
        <f>IFERROR(__xludf.DUMMYFUNCTION("""COMPUTED_VALUE"""),"")</f>
        <v/>
      </c>
      <c r="D2926" s="79" t="str">
        <f>IFERROR(__xludf.DUMMYFUNCTION("""COMPUTED_VALUE"""),"")</f>
        <v/>
      </c>
      <c r="E2926" s="69" t="b">
        <f>IFERROR(__xludf.DUMMYFUNCTION("""COMPUTED_VALUE"""),TRUE)</f>
        <v>1</v>
      </c>
    </row>
    <row r="2927" hidden="1">
      <c r="A2927" s="78"/>
      <c r="B2927" s="78"/>
      <c r="C2927" s="79" t="str">
        <f>IFERROR(__xludf.DUMMYFUNCTION("""COMPUTED_VALUE"""),"")</f>
        <v/>
      </c>
      <c r="D2927" s="79" t="str">
        <f>IFERROR(__xludf.DUMMYFUNCTION("""COMPUTED_VALUE"""),"")</f>
        <v/>
      </c>
      <c r="E2927" s="69" t="b">
        <f>IFERROR(__xludf.DUMMYFUNCTION("""COMPUTED_VALUE"""),TRUE)</f>
        <v>1</v>
      </c>
    </row>
    <row r="2928" hidden="1">
      <c r="A2928" s="78"/>
      <c r="B2928" s="78"/>
      <c r="C2928" s="79" t="str">
        <f>IFERROR(__xludf.DUMMYFUNCTION("""COMPUTED_VALUE"""),"")</f>
        <v/>
      </c>
      <c r="D2928" s="79" t="str">
        <f>IFERROR(__xludf.DUMMYFUNCTION("""COMPUTED_VALUE"""),"")</f>
        <v/>
      </c>
      <c r="E2928" s="69" t="b">
        <f>IFERROR(__xludf.DUMMYFUNCTION("""COMPUTED_VALUE"""),TRUE)</f>
        <v>1</v>
      </c>
    </row>
    <row r="2929" hidden="1">
      <c r="A2929" s="78"/>
      <c r="B2929" s="78"/>
      <c r="C2929" s="79" t="str">
        <f>IFERROR(__xludf.DUMMYFUNCTION("""COMPUTED_VALUE"""),"")</f>
        <v/>
      </c>
      <c r="D2929" s="79" t="str">
        <f>IFERROR(__xludf.DUMMYFUNCTION("""COMPUTED_VALUE"""),"")</f>
        <v/>
      </c>
      <c r="E2929" s="69" t="b">
        <f>IFERROR(__xludf.DUMMYFUNCTION("""COMPUTED_VALUE"""),TRUE)</f>
        <v>1</v>
      </c>
    </row>
    <row r="2930" hidden="1">
      <c r="A2930" s="78"/>
      <c r="B2930" s="78"/>
      <c r="C2930" s="79" t="str">
        <f>IFERROR(__xludf.DUMMYFUNCTION("""COMPUTED_VALUE"""),"")</f>
        <v/>
      </c>
      <c r="D2930" s="79" t="str">
        <f>IFERROR(__xludf.DUMMYFUNCTION("""COMPUTED_VALUE"""),"")</f>
        <v/>
      </c>
      <c r="E2930" s="69" t="b">
        <f>IFERROR(__xludf.DUMMYFUNCTION("""COMPUTED_VALUE"""),TRUE)</f>
        <v>1</v>
      </c>
    </row>
    <row r="2931" hidden="1">
      <c r="A2931" s="78"/>
      <c r="B2931" s="78"/>
      <c r="C2931" s="79" t="str">
        <f>IFERROR(__xludf.DUMMYFUNCTION("""COMPUTED_VALUE"""),"")</f>
        <v/>
      </c>
      <c r="D2931" s="79" t="str">
        <f>IFERROR(__xludf.DUMMYFUNCTION("""COMPUTED_VALUE"""),"")</f>
        <v/>
      </c>
      <c r="E2931" s="69" t="b">
        <f>IFERROR(__xludf.DUMMYFUNCTION("""COMPUTED_VALUE"""),TRUE)</f>
        <v>1</v>
      </c>
    </row>
    <row r="2932" hidden="1">
      <c r="A2932" s="78"/>
      <c r="B2932" s="78"/>
      <c r="C2932" s="79" t="str">
        <f>IFERROR(__xludf.DUMMYFUNCTION("""COMPUTED_VALUE"""),"")</f>
        <v/>
      </c>
      <c r="D2932" s="79" t="str">
        <f>IFERROR(__xludf.DUMMYFUNCTION("""COMPUTED_VALUE"""),"")</f>
        <v/>
      </c>
      <c r="E2932" s="69" t="b">
        <f>IFERROR(__xludf.DUMMYFUNCTION("""COMPUTED_VALUE"""),TRUE)</f>
        <v>1</v>
      </c>
    </row>
    <row r="2933" hidden="1">
      <c r="A2933" s="78"/>
      <c r="B2933" s="78"/>
      <c r="C2933" s="79" t="str">
        <f>IFERROR(__xludf.DUMMYFUNCTION("""COMPUTED_VALUE"""),"")</f>
        <v/>
      </c>
      <c r="D2933" s="79" t="str">
        <f>IFERROR(__xludf.DUMMYFUNCTION("""COMPUTED_VALUE"""),"")</f>
        <v/>
      </c>
      <c r="E2933" s="69" t="b">
        <f>IFERROR(__xludf.DUMMYFUNCTION("""COMPUTED_VALUE"""),TRUE)</f>
        <v>1</v>
      </c>
    </row>
    <row r="2934" hidden="1">
      <c r="A2934" s="78"/>
      <c r="B2934" s="78"/>
      <c r="C2934" s="79" t="str">
        <f>IFERROR(__xludf.DUMMYFUNCTION("""COMPUTED_VALUE"""),"")</f>
        <v/>
      </c>
      <c r="D2934" s="79" t="str">
        <f>IFERROR(__xludf.DUMMYFUNCTION("""COMPUTED_VALUE"""),"")</f>
        <v/>
      </c>
      <c r="E2934" s="69" t="b">
        <f>IFERROR(__xludf.DUMMYFUNCTION("""COMPUTED_VALUE"""),TRUE)</f>
        <v>1</v>
      </c>
    </row>
    <row r="2935" hidden="1">
      <c r="A2935" s="78"/>
      <c r="B2935" s="78"/>
      <c r="C2935" s="79" t="str">
        <f>IFERROR(__xludf.DUMMYFUNCTION("""COMPUTED_VALUE"""),"")</f>
        <v/>
      </c>
      <c r="D2935" s="79" t="str">
        <f>IFERROR(__xludf.DUMMYFUNCTION("""COMPUTED_VALUE"""),"")</f>
        <v/>
      </c>
      <c r="E2935" s="69" t="b">
        <f>IFERROR(__xludf.DUMMYFUNCTION("""COMPUTED_VALUE"""),TRUE)</f>
        <v>1</v>
      </c>
    </row>
    <row r="2936" hidden="1">
      <c r="A2936" s="78"/>
      <c r="B2936" s="78"/>
      <c r="C2936" s="79" t="str">
        <f>IFERROR(__xludf.DUMMYFUNCTION("""COMPUTED_VALUE"""),"")</f>
        <v/>
      </c>
      <c r="D2936" s="79" t="str">
        <f>IFERROR(__xludf.DUMMYFUNCTION("""COMPUTED_VALUE"""),"")</f>
        <v/>
      </c>
      <c r="E2936" s="69" t="b">
        <f>IFERROR(__xludf.DUMMYFUNCTION("""COMPUTED_VALUE"""),TRUE)</f>
        <v>1</v>
      </c>
    </row>
    <row r="2937" hidden="1">
      <c r="A2937" s="78"/>
      <c r="B2937" s="78"/>
      <c r="C2937" s="79" t="str">
        <f>IFERROR(__xludf.DUMMYFUNCTION("""COMPUTED_VALUE"""),"")</f>
        <v/>
      </c>
      <c r="D2937" s="79" t="str">
        <f>IFERROR(__xludf.DUMMYFUNCTION("""COMPUTED_VALUE"""),"")</f>
        <v/>
      </c>
      <c r="E2937" s="69" t="b">
        <f>IFERROR(__xludf.DUMMYFUNCTION("""COMPUTED_VALUE"""),TRUE)</f>
        <v>1</v>
      </c>
    </row>
    <row r="2938" hidden="1">
      <c r="A2938" s="78"/>
      <c r="B2938" s="78"/>
      <c r="C2938" s="79" t="str">
        <f>IFERROR(__xludf.DUMMYFUNCTION("""COMPUTED_VALUE"""),"")</f>
        <v/>
      </c>
      <c r="D2938" s="79" t="str">
        <f>IFERROR(__xludf.DUMMYFUNCTION("""COMPUTED_VALUE"""),"")</f>
        <v/>
      </c>
      <c r="E2938" s="69" t="b">
        <f>IFERROR(__xludf.DUMMYFUNCTION("""COMPUTED_VALUE"""),TRUE)</f>
        <v>1</v>
      </c>
    </row>
    <row r="2939" hidden="1">
      <c r="A2939" s="78"/>
      <c r="B2939" s="78"/>
      <c r="C2939" s="79" t="str">
        <f>IFERROR(__xludf.DUMMYFUNCTION("""COMPUTED_VALUE"""),"")</f>
        <v/>
      </c>
      <c r="D2939" s="79" t="str">
        <f>IFERROR(__xludf.DUMMYFUNCTION("""COMPUTED_VALUE"""),"")</f>
        <v/>
      </c>
      <c r="E2939" s="69" t="b">
        <f>IFERROR(__xludf.DUMMYFUNCTION("""COMPUTED_VALUE"""),TRUE)</f>
        <v>1</v>
      </c>
    </row>
    <row r="2940" hidden="1">
      <c r="A2940" s="78"/>
      <c r="B2940" s="78"/>
      <c r="C2940" s="79" t="str">
        <f>IFERROR(__xludf.DUMMYFUNCTION("""COMPUTED_VALUE"""),"")</f>
        <v/>
      </c>
      <c r="D2940" s="79" t="str">
        <f>IFERROR(__xludf.DUMMYFUNCTION("""COMPUTED_VALUE"""),"")</f>
        <v/>
      </c>
      <c r="E2940" s="69" t="b">
        <f>IFERROR(__xludf.DUMMYFUNCTION("""COMPUTED_VALUE"""),TRUE)</f>
        <v>1</v>
      </c>
    </row>
    <row r="2941" hidden="1">
      <c r="A2941" s="78"/>
      <c r="B2941" s="78"/>
      <c r="C2941" s="79" t="str">
        <f>IFERROR(__xludf.DUMMYFUNCTION("""COMPUTED_VALUE"""),"")</f>
        <v/>
      </c>
      <c r="D2941" s="79" t="str">
        <f>IFERROR(__xludf.DUMMYFUNCTION("""COMPUTED_VALUE"""),"")</f>
        <v/>
      </c>
      <c r="E2941" s="69" t="b">
        <f>IFERROR(__xludf.DUMMYFUNCTION("""COMPUTED_VALUE"""),TRUE)</f>
        <v>1</v>
      </c>
    </row>
    <row r="2942" hidden="1">
      <c r="A2942" s="78"/>
      <c r="B2942" s="78"/>
      <c r="C2942" s="79" t="str">
        <f>IFERROR(__xludf.DUMMYFUNCTION("""COMPUTED_VALUE"""),"")</f>
        <v/>
      </c>
      <c r="D2942" s="79" t="str">
        <f>IFERROR(__xludf.DUMMYFUNCTION("""COMPUTED_VALUE"""),"")</f>
        <v/>
      </c>
      <c r="E2942" s="69" t="b">
        <f>IFERROR(__xludf.DUMMYFUNCTION("""COMPUTED_VALUE"""),TRUE)</f>
        <v>1</v>
      </c>
    </row>
    <row r="2943" hidden="1">
      <c r="A2943" s="78"/>
      <c r="B2943" s="78"/>
      <c r="C2943" s="79" t="str">
        <f>IFERROR(__xludf.DUMMYFUNCTION("""COMPUTED_VALUE"""),"")</f>
        <v/>
      </c>
      <c r="D2943" s="79" t="str">
        <f>IFERROR(__xludf.DUMMYFUNCTION("""COMPUTED_VALUE"""),"")</f>
        <v/>
      </c>
      <c r="E2943" s="69" t="b">
        <f>IFERROR(__xludf.DUMMYFUNCTION("""COMPUTED_VALUE"""),TRUE)</f>
        <v>1</v>
      </c>
    </row>
    <row r="2944" hidden="1">
      <c r="A2944" s="78"/>
      <c r="B2944" s="78"/>
      <c r="C2944" s="79" t="str">
        <f>IFERROR(__xludf.DUMMYFUNCTION("""COMPUTED_VALUE"""),"")</f>
        <v/>
      </c>
      <c r="D2944" s="79" t="str">
        <f>IFERROR(__xludf.DUMMYFUNCTION("""COMPUTED_VALUE"""),"")</f>
        <v/>
      </c>
      <c r="E2944" s="69" t="b">
        <f>IFERROR(__xludf.DUMMYFUNCTION("""COMPUTED_VALUE"""),TRUE)</f>
        <v>1</v>
      </c>
    </row>
    <row r="2945" hidden="1">
      <c r="A2945" s="78"/>
      <c r="B2945" s="78"/>
      <c r="C2945" s="79" t="str">
        <f>IFERROR(__xludf.DUMMYFUNCTION("""COMPUTED_VALUE"""),"")</f>
        <v/>
      </c>
      <c r="D2945" s="79" t="str">
        <f>IFERROR(__xludf.DUMMYFUNCTION("""COMPUTED_VALUE"""),"")</f>
        <v/>
      </c>
      <c r="E2945" s="69" t="b">
        <f>IFERROR(__xludf.DUMMYFUNCTION("""COMPUTED_VALUE"""),TRUE)</f>
        <v>1</v>
      </c>
    </row>
    <row r="2946" hidden="1">
      <c r="A2946" s="78"/>
      <c r="B2946" s="78"/>
      <c r="C2946" s="79" t="str">
        <f>IFERROR(__xludf.DUMMYFUNCTION("""COMPUTED_VALUE"""),"")</f>
        <v/>
      </c>
      <c r="D2946" s="79" t="str">
        <f>IFERROR(__xludf.DUMMYFUNCTION("""COMPUTED_VALUE"""),"")</f>
        <v/>
      </c>
      <c r="E2946" s="69" t="b">
        <f>IFERROR(__xludf.DUMMYFUNCTION("""COMPUTED_VALUE"""),TRUE)</f>
        <v>1</v>
      </c>
    </row>
    <row r="2947" hidden="1">
      <c r="A2947" s="78"/>
      <c r="B2947" s="78"/>
      <c r="C2947" s="79" t="str">
        <f>IFERROR(__xludf.DUMMYFUNCTION("""COMPUTED_VALUE"""),"")</f>
        <v/>
      </c>
      <c r="D2947" s="79" t="str">
        <f>IFERROR(__xludf.DUMMYFUNCTION("""COMPUTED_VALUE"""),"")</f>
        <v/>
      </c>
      <c r="E2947" s="69" t="b">
        <f>IFERROR(__xludf.DUMMYFUNCTION("""COMPUTED_VALUE"""),TRUE)</f>
        <v>1</v>
      </c>
    </row>
    <row r="2948" hidden="1">
      <c r="A2948" s="78"/>
      <c r="B2948" s="78"/>
      <c r="C2948" s="79" t="str">
        <f>IFERROR(__xludf.DUMMYFUNCTION("""COMPUTED_VALUE"""),"")</f>
        <v/>
      </c>
      <c r="D2948" s="79" t="str">
        <f>IFERROR(__xludf.DUMMYFUNCTION("""COMPUTED_VALUE"""),"")</f>
        <v/>
      </c>
      <c r="E2948" s="69" t="b">
        <f>IFERROR(__xludf.DUMMYFUNCTION("""COMPUTED_VALUE"""),TRUE)</f>
        <v>1</v>
      </c>
    </row>
    <row r="2949" hidden="1">
      <c r="A2949" s="78"/>
      <c r="B2949" s="78"/>
      <c r="C2949" s="79" t="str">
        <f>IFERROR(__xludf.DUMMYFUNCTION("""COMPUTED_VALUE"""),"")</f>
        <v/>
      </c>
      <c r="D2949" s="79" t="str">
        <f>IFERROR(__xludf.DUMMYFUNCTION("""COMPUTED_VALUE"""),"")</f>
        <v/>
      </c>
      <c r="E2949" s="69" t="b">
        <f>IFERROR(__xludf.DUMMYFUNCTION("""COMPUTED_VALUE"""),TRUE)</f>
        <v>1</v>
      </c>
    </row>
    <row r="2950" hidden="1">
      <c r="A2950" s="78"/>
      <c r="B2950" s="78"/>
      <c r="C2950" s="79" t="str">
        <f>IFERROR(__xludf.DUMMYFUNCTION("""COMPUTED_VALUE"""),"")</f>
        <v/>
      </c>
      <c r="D2950" s="79" t="str">
        <f>IFERROR(__xludf.DUMMYFUNCTION("""COMPUTED_VALUE"""),"")</f>
        <v/>
      </c>
      <c r="E2950" s="69" t="b">
        <f>IFERROR(__xludf.DUMMYFUNCTION("""COMPUTED_VALUE"""),TRUE)</f>
        <v>1</v>
      </c>
    </row>
    <row r="2951" hidden="1">
      <c r="A2951" s="78"/>
      <c r="B2951" s="78"/>
      <c r="C2951" s="79" t="str">
        <f>IFERROR(__xludf.DUMMYFUNCTION("""COMPUTED_VALUE"""),"")</f>
        <v/>
      </c>
      <c r="D2951" s="79" t="str">
        <f>IFERROR(__xludf.DUMMYFUNCTION("""COMPUTED_VALUE"""),"")</f>
        <v/>
      </c>
      <c r="E2951" s="69" t="b">
        <f>IFERROR(__xludf.DUMMYFUNCTION("""COMPUTED_VALUE"""),TRUE)</f>
        <v>1</v>
      </c>
    </row>
    <row r="2952" hidden="1">
      <c r="A2952" s="78"/>
      <c r="B2952" s="78"/>
      <c r="C2952" s="79" t="str">
        <f>IFERROR(__xludf.DUMMYFUNCTION("""COMPUTED_VALUE"""),"")</f>
        <v/>
      </c>
      <c r="D2952" s="79" t="str">
        <f>IFERROR(__xludf.DUMMYFUNCTION("""COMPUTED_VALUE"""),"")</f>
        <v/>
      </c>
      <c r="E2952" s="69" t="b">
        <f>IFERROR(__xludf.DUMMYFUNCTION("""COMPUTED_VALUE"""),TRUE)</f>
        <v>1</v>
      </c>
    </row>
    <row r="2953" hidden="1">
      <c r="A2953" s="78"/>
      <c r="B2953" s="78"/>
      <c r="C2953" s="79" t="str">
        <f>IFERROR(__xludf.DUMMYFUNCTION("""COMPUTED_VALUE"""),"")</f>
        <v/>
      </c>
      <c r="D2953" s="79" t="str">
        <f>IFERROR(__xludf.DUMMYFUNCTION("""COMPUTED_VALUE"""),"")</f>
        <v/>
      </c>
      <c r="E2953" s="69" t="b">
        <f>IFERROR(__xludf.DUMMYFUNCTION("""COMPUTED_VALUE"""),TRUE)</f>
        <v>1</v>
      </c>
    </row>
    <row r="2954" hidden="1">
      <c r="A2954" s="78"/>
      <c r="B2954" s="78"/>
      <c r="C2954" s="79" t="str">
        <f>IFERROR(__xludf.DUMMYFUNCTION("""COMPUTED_VALUE"""),"")</f>
        <v/>
      </c>
      <c r="D2954" s="79" t="str">
        <f>IFERROR(__xludf.DUMMYFUNCTION("""COMPUTED_VALUE"""),"")</f>
        <v/>
      </c>
      <c r="E2954" s="69" t="b">
        <f>IFERROR(__xludf.DUMMYFUNCTION("""COMPUTED_VALUE"""),TRUE)</f>
        <v>1</v>
      </c>
    </row>
    <row r="2955" hidden="1">
      <c r="A2955" s="78"/>
      <c r="B2955" s="78"/>
      <c r="C2955" s="79" t="str">
        <f>IFERROR(__xludf.DUMMYFUNCTION("""COMPUTED_VALUE"""),"")</f>
        <v/>
      </c>
      <c r="D2955" s="79" t="str">
        <f>IFERROR(__xludf.DUMMYFUNCTION("""COMPUTED_VALUE"""),"")</f>
        <v/>
      </c>
      <c r="E2955" s="69" t="b">
        <f>IFERROR(__xludf.DUMMYFUNCTION("""COMPUTED_VALUE"""),TRUE)</f>
        <v>1</v>
      </c>
    </row>
    <row r="2956" hidden="1">
      <c r="A2956" s="78"/>
      <c r="B2956" s="78"/>
      <c r="C2956" s="79" t="str">
        <f>IFERROR(__xludf.DUMMYFUNCTION("""COMPUTED_VALUE"""),"")</f>
        <v/>
      </c>
      <c r="D2956" s="79" t="str">
        <f>IFERROR(__xludf.DUMMYFUNCTION("""COMPUTED_VALUE"""),"")</f>
        <v/>
      </c>
      <c r="E2956" s="69" t="b">
        <f>IFERROR(__xludf.DUMMYFUNCTION("""COMPUTED_VALUE"""),TRUE)</f>
        <v>1</v>
      </c>
    </row>
    <row r="2957" hidden="1">
      <c r="A2957" s="78"/>
      <c r="B2957" s="78"/>
      <c r="C2957" s="79" t="str">
        <f>IFERROR(__xludf.DUMMYFUNCTION("""COMPUTED_VALUE"""),"")</f>
        <v/>
      </c>
      <c r="D2957" s="79" t="str">
        <f>IFERROR(__xludf.DUMMYFUNCTION("""COMPUTED_VALUE"""),"")</f>
        <v/>
      </c>
      <c r="E2957" s="69" t="b">
        <f>IFERROR(__xludf.DUMMYFUNCTION("""COMPUTED_VALUE"""),TRUE)</f>
        <v>1</v>
      </c>
    </row>
    <row r="2958" hidden="1">
      <c r="A2958" s="78"/>
      <c r="B2958" s="78"/>
      <c r="C2958" s="79" t="str">
        <f>IFERROR(__xludf.DUMMYFUNCTION("""COMPUTED_VALUE"""),"")</f>
        <v/>
      </c>
      <c r="D2958" s="79" t="str">
        <f>IFERROR(__xludf.DUMMYFUNCTION("""COMPUTED_VALUE"""),"")</f>
        <v/>
      </c>
      <c r="E2958" s="69" t="b">
        <f>IFERROR(__xludf.DUMMYFUNCTION("""COMPUTED_VALUE"""),TRUE)</f>
        <v>1</v>
      </c>
    </row>
    <row r="2959" hidden="1">
      <c r="A2959" s="78"/>
      <c r="B2959" s="78"/>
      <c r="C2959" s="79" t="str">
        <f>IFERROR(__xludf.DUMMYFUNCTION("""COMPUTED_VALUE"""),"")</f>
        <v/>
      </c>
      <c r="D2959" s="79" t="str">
        <f>IFERROR(__xludf.DUMMYFUNCTION("""COMPUTED_VALUE"""),"")</f>
        <v/>
      </c>
      <c r="E2959" s="69" t="b">
        <f>IFERROR(__xludf.DUMMYFUNCTION("""COMPUTED_VALUE"""),TRUE)</f>
        <v>1</v>
      </c>
    </row>
    <row r="2960" hidden="1">
      <c r="A2960" s="78"/>
      <c r="B2960" s="78"/>
      <c r="C2960" s="79" t="str">
        <f>IFERROR(__xludf.DUMMYFUNCTION("""COMPUTED_VALUE"""),"")</f>
        <v/>
      </c>
      <c r="D2960" s="79" t="str">
        <f>IFERROR(__xludf.DUMMYFUNCTION("""COMPUTED_VALUE"""),"")</f>
        <v/>
      </c>
      <c r="E2960" s="69" t="b">
        <f>IFERROR(__xludf.DUMMYFUNCTION("""COMPUTED_VALUE"""),TRUE)</f>
        <v>1</v>
      </c>
    </row>
    <row r="2961" hidden="1">
      <c r="A2961" s="78"/>
      <c r="B2961" s="78"/>
      <c r="C2961" s="79" t="str">
        <f>IFERROR(__xludf.DUMMYFUNCTION("""COMPUTED_VALUE"""),"")</f>
        <v/>
      </c>
      <c r="D2961" s="79" t="str">
        <f>IFERROR(__xludf.DUMMYFUNCTION("""COMPUTED_VALUE"""),"")</f>
        <v/>
      </c>
      <c r="E2961" s="69" t="b">
        <f>IFERROR(__xludf.DUMMYFUNCTION("""COMPUTED_VALUE"""),TRUE)</f>
        <v>1</v>
      </c>
    </row>
    <row r="2962" hidden="1">
      <c r="A2962" s="78"/>
      <c r="B2962" s="78"/>
      <c r="C2962" s="79" t="str">
        <f>IFERROR(__xludf.DUMMYFUNCTION("""COMPUTED_VALUE"""),"")</f>
        <v/>
      </c>
      <c r="D2962" s="79" t="str">
        <f>IFERROR(__xludf.DUMMYFUNCTION("""COMPUTED_VALUE"""),"")</f>
        <v/>
      </c>
      <c r="E2962" s="69" t="b">
        <f>IFERROR(__xludf.DUMMYFUNCTION("""COMPUTED_VALUE"""),TRUE)</f>
        <v>1</v>
      </c>
    </row>
    <row r="2963" hidden="1">
      <c r="A2963" s="78"/>
      <c r="B2963" s="78"/>
      <c r="C2963" s="79" t="str">
        <f>IFERROR(__xludf.DUMMYFUNCTION("""COMPUTED_VALUE"""),"")</f>
        <v/>
      </c>
      <c r="D2963" s="79" t="str">
        <f>IFERROR(__xludf.DUMMYFUNCTION("""COMPUTED_VALUE"""),"")</f>
        <v/>
      </c>
      <c r="E2963" s="69" t="b">
        <f>IFERROR(__xludf.DUMMYFUNCTION("""COMPUTED_VALUE"""),TRUE)</f>
        <v>1</v>
      </c>
    </row>
    <row r="2964" hidden="1">
      <c r="A2964" s="78"/>
      <c r="B2964" s="78"/>
      <c r="C2964" s="79" t="str">
        <f>IFERROR(__xludf.DUMMYFUNCTION("""COMPUTED_VALUE"""),"")</f>
        <v/>
      </c>
      <c r="D2964" s="79" t="str">
        <f>IFERROR(__xludf.DUMMYFUNCTION("""COMPUTED_VALUE"""),"")</f>
        <v/>
      </c>
      <c r="E2964" s="69" t="b">
        <f>IFERROR(__xludf.DUMMYFUNCTION("""COMPUTED_VALUE"""),TRUE)</f>
        <v>1</v>
      </c>
    </row>
    <row r="2965" hidden="1">
      <c r="A2965" s="78"/>
      <c r="B2965" s="78"/>
      <c r="C2965" s="79" t="str">
        <f>IFERROR(__xludf.DUMMYFUNCTION("""COMPUTED_VALUE"""),"")</f>
        <v/>
      </c>
      <c r="D2965" s="79" t="str">
        <f>IFERROR(__xludf.DUMMYFUNCTION("""COMPUTED_VALUE"""),"")</f>
        <v/>
      </c>
      <c r="E2965" s="69" t="b">
        <f>IFERROR(__xludf.DUMMYFUNCTION("""COMPUTED_VALUE"""),TRUE)</f>
        <v>1</v>
      </c>
    </row>
    <row r="2966" hidden="1">
      <c r="A2966" s="78"/>
      <c r="B2966" s="78"/>
      <c r="C2966" s="79" t="str">
        <f>IFERROR(__xludf.DUMMYFUNCTION("""COMPUTED_VALUE"""),"")</f>
        <v/>
      </c>
      <c r="D2966" s="79" t="str">
        <f>IFERROR(__xludf.DUMMYFUNCTION("""COMPUTED_VALUE"""),"")</f>
        <v/>
      </c>
      <c r="E2966" s="69" t="b">
        <f>IFERROR(__xludf.DUMMYFUNCTION("""COMPUTED_VALUE"""),TRUE)</f>
        <v>1</v>
      </c>
    </row>
    <row r="2967" hidden="1">
      <c r="A2967" s="78"/>
      <c r="B2967" s="78"/>
      <c r="C2967" s="79" t="str">
        <f>IFERROR(__xludf.DUMMYFUNCTION("""COMPUTED_VALUE"""),"")</f>
        <v/>
      </c>
      <c r="D2967" s="79" t="str">
        <f>IFERROR(__xludf.DUMMYFUNCTION("""COMPUTED_VALUE"""),"")</f>
        <v/>
      </c>
      <c r="E2967" s="69" t="b">
        <f>IFERROR(__xludf.DUMMYFUNCTION("""COMPUTED_VALUE"""),TRUE)</f>
        <v>1</v>
      </c>
    </row>
    <row r="2968" hidden="1">
      <c r="A2968" s="78"/>
      <c r="B2968" s="78"/>
      <c r="C2968" s="79" t="str">
        <f>IFERROR(__xludf.DUMMYFUNCTION("""COMPUTED_VALUE"""),"")</f>
        <v/>
      </c>
      <c r="D2968" s="79" t="str">
        <f>IFERROR(__xludf.DUMMYFUNCTION("""COMPUTED_VALUE"""),"")</f>
        <v/>
      </c>
      <c r="E2968" s="69" t="b">
        <f>IFERROR(__xludf.DUMMYFUNCTION("""COMPUTED_VALUE"""),TRUE)</f>
        <v>1</v>
      </c>
    </row>
    <row r="2969" hidden="1">
      <c r="A2969" s="78"/>
      <c r="B2969" s="78"/>
      <c r="C2969" s="79" t="str">
        <f>IFERROR(__xludf.DUMMYFUNCTION("""COMPUTED_VALUE"""),"")</f>
        <v/>
      </c>
      <c r="D2969" s="79" t="str">
        <f>IFERROR(__xludf.DUMMYFUNCTION("""COMPUTED_VALUE"""),"")</f>
        <v/>
      </c>
      <c r="E2969" s="69" t="b">
        <f>IFERROR(__xludf.DUMMYFUNCTION("""COMPUTED_VALUE"""),TRUE)</f>
        <v>1</v>
      </c>
    </row>
    <row r="2970" hidden="1">
      <c r="A2970" s="78"/>
      <c r="B2970" s="78"/>
      <c r="C2970" s="79" t="str">
        <f>IFERROR(__xludf.DUMMYFUNCTION("""COMPUTED_VALUE"""),"")</f>
        <v/>
      </c>
      <c r="D2970" s="79" t="str">
        <f>IFERROR(__xludf.DUMMYFUNCTION("""COMPUTED_VALUE"""),"")</f>
        <v/>
      </c>
      <c r="E2970" s="69" t="b">
        <f>IFERROR(__xludf.DUMMYFUNCTION("""COMPUTED_VALUE"""),TRUE)</f>
        <v>1</v>
      </c>
    </row>
    <row r="2971" hidden="1">
      <c r="A2971" s="78"/>
      <c r="B2971" s="78"/>
      <c r="C2971" s="79" t="str">
        <f>IFERROR(__xludf.DUMMYFUNCTION("""COMPUTED_VALUE"""),"")</f>
        <v/>
      </c>
      <c r="D2971" s="79" t="str">
        <f>IFERROR(__xludf.DUMMYFUNCTION("""COMPUTED_VALUE"""),"")</f>
        <v/>
      </c>
      <c r="E2971" s="69" t="b">
        <f>IFERROR(__xludf.DUMMYFUNCTION("""COMPUTED_VALUE"""),TRUE)</f>
        <v>1</v>
      </c>
    </row>
    <row r="2972" hidden="1">
      <c r="A2972" s="78"/>
      <c r="B2972" s="78"/>
      <c r="C2972" s="79" t="str">
        <f>IFERROR(__xludf.DUMMYFUNCTION("""COMPUTED_VALUE"""),"")</f>
        <v/>
      </c>
      <c r="D2972" s="79" t="str">
        <f>IFERROR(__xludf.DUMMYFUNCTION("""COMPUTED_VALUE"""),"")</f>
        <v/>
      </c>
      <c r="E2972" s="69" t="b">
        <f>IFERROR(__xludf.DUMMYFUNCTION("""COMPUTED_VALUE"""),TRUE)</f>
        <v>1</v>
      </c>
    </row>
    <row r="2973" hidden="1">
      <c r="A2973" s="78"/>
      <c r="B2973" s="78"/>
      <c r="C2973" s="79" t="str">
        <f>IFERROR(__xludf.DUMMYFUNCTION("""COMPUTED_VALUE"""),"")</f>
        <v/>
      </c>
      <c r="D2973" s="79" t="str">
        <f>IFERROR(__xludf.DUMMYFUNCTION("""COMPUTED_VALUE"""),"")</f>
        <v/>
      </c>
      <c r="E2973" s="69" t="b">
        <f>IFERROR(__xludf.DUMMYFUNCTION("""COMPUTED_VALUE"""),TRUE)</f>
        <v>1</v>
      </c>
    </row>
    <row r="2974" hidden="1">
      <c r="A2974" s="78"/>
      <c r="B2974" s="78"/>
      <c r="C2974" s="79" t="str">
        <f>IFERROR(__xludf.DUMMYFUNCTION("""COMPUTED_VALUE"""),"")</f>
        <v/>
      </c>
      <c r="D2974" s="79" t="str">
        <f>IFERROR(__xludf.DUMMYFUNCTION("""COMPUTED_VALUE"""),"")</f>
        <v/>
      </c>
      <c r="E2974" s="69" t="b">
        <f>IFERROR(__xludf.DUMMYFUNCTION("""COMPUTED_VALUE"""),TRUE)</f>
        <v>1</v>
      </c>
    </row>
    <row r="2975" hidden="1">
      <c r="A2975" s="78"/>
      <c r="B2975" s="78"/>
      <c r="C2975" s="79" t="str">
        <f>IFERROR(__xludf.DUMMYFUNCTION("""COMPUTED_VALUE"""),"")</f>
        <v/>
      </c>
      <c r="D2975" s="79" t="str">
        <f>IFERROR(__xludf.DUMMYFUNCTION("""COMPUTED_VALUE"""),"")</f>
        <v/>
      </c>
      <c r="E2975" s="69" t="b">
        <f>IFERROR(__xludf.DUMMYFUNCTION("""COMPUTED_VALUE"""),TRUE)</f>
        <v>1</v>
      </c>
    </row>
    <row r="2976" hidden="1">
      <c r="A2976" s="78"/>
      <c r="B2976" s="78"/>
      <c r="C2976" s="79" t="str">
        <f>IFERROR(__xludf.DUMMYFUNCTION("""COMPUTED_VALUE"""),"")</f>
        <v/>
      </c>
      <c r="D2976" s="79" t="str">
        <f>IFERROR(__xludf.DUMMYFUNCTION("""COMPUTED_VALUE"""),"")</f>
        <v/>
      </c>
      <c r="E2976" s="69" t="b">
        <f>IFERROR(__xludf.DUMMYFUNCTION("""COMPUTED_VALUE"""),TRUE)</f>
        <v>1</v>
      </c>
    </row>
    <row r="2977" hidden="1">
      <c r="A2977" s="78"/>
      <c r="B2977" s="78"/>
      <c r="C2977" s="79" t="str">
        <f>IFERROR(__xludf.DUMMYFUNCTION("""COMPUTED_VALUE"""),"")</f>
        <v/>
      </c>
      <c r="D2977" s="79" t="str">
        <f>IFERROR(__xludf.DUMMYFUNCTION("""COMPUTED_VALUE"""),"")</f>
        <v/>
      </c>
      <c r="E2977" s="69" t="b">
        <f>IFERROR(__xludf.DUMMYFUNCTION("""COMPUTED_VALUE"""),TRUE)</f>
        <v>1</v>
      </c>
    </row>
    <row r="2978" hidden="1">
      <c r="A2978" s="78"/>
      <c r="B2978" s="78"/>
      <c r="C2978" s="79" t="str">
        <f>IFERROR(__xludf.DUMMYFUNCTION("""COMPUTED_VALUE"""),"")</f>
        <v/>
      </c>
      <c r="D2978" s="79" t="str">
        <f>IFERROR(__xludf.DUMMYFUNCTION("""COMPUTED_VALUE"""),"")</f>
        <v/>
      </c>
      <c r="E2978" s="69" t="b">
        <f>IFERROR(__xludf.DUMMYFUNCTION("""COMPUTED_VALUE"""),TRUE)</f>
        <v>1</v>
      </c>
    </row>
    <row r="2979" hidden="1">
      <c r="A2979" s="78"/>
      <c r="B2979" s="78"/>
      <c r="C2979" s="79" t="str">
        <f>IFERROR(__xludf.DUMMYFUNCTION("""COMPUTED_VALUE"""),"")</f>
        <v/>
      </c>
      <c r="D2979" s="79" t="str">
        <f>IFERROR(__xludf.DUMMYFUNCTION("""COMPUTED_VALUE"""),"")</f>
        <v/>
      </c>
      <c r="E2979" s="69" t="b">
        <f>IFERROR(__xludf.DUMMYFUNCTION("""COMPUTED_VALUE"""),TRUE)</f>
        <v>1</v>
      </c>
    </row>
    <row r="2980" hidden="1">
      <c r="A2980" s="78"/>
      <c r="B2980" s="78"/>
      <c r="C2980" s="79" t="str">
        <f>IFERROR(__xludf.DUMMYFUNCTION("""COMPUTED_VALUE"""),"")</f>
        <v/>
      </c>
      <c r="D2980" s="79" t="str">
        <f>IFERROR(__xludf.DUMMYFUNCTION("""COMPUTED_VALUE"""),"")</f>
        <v/>
      </c>
      <c r="E2980" s="69" t="b">
        <f>IFERROR(__xludf.DUMMYFUNCTION("""COMPUTED_VALUE"""),TRUE)</f>
        <v>1</v>
      </c>
    </row>
    <row r="2981" hidden="1">
      <c r="A2981" s="78"/>
      <c r="B2981" s="78"/>
      <c r="C2981" s="79" t="str">
        <f>IFERROR(__xludf.DUMMYFUNCTION("""COMPUTED_VALUE"""),"")</f>
        <v/>
      </c>
      <c r="D2981" s="79" t="str">
        <f>IFERROR(__xludf.DUMMYFUNCTION("""COMPUTED_VALUE"""),"")</f>
        <v/>
      </c>
      <c r="E2981" s="69" t="b">
        <f>IFERROR(__xludf.DUMMYFUNCTION("""COMPUTED_VALUE"""),TRUE)</f>
        <v>1</v>
      </c>
    </row>
    <row r="2982" hidden="1">
      <c r="A2982" s="78"/>
      <c r="B2982" s="78"/>
      <c r="C2982" s="79" t="str">
        <f>IFERROR(__xludf.DUMMYFUNCTION("""COMPUTED_VALUE"""),"")</f>
        <v/>
      </c>
      <c r="D2982" s="79" t="str">
        <f>IFERROR(__xludf.DUMMYFUNCTION("""COMPUTED_VALUE"""),"")</f>
        <v/>
      </c>
      <c r="E2982" s="69" t="b">
        <f>IFERROR(__xludf.DUMMYFUNCTION("""COMPUTED_VALUE"""),TRUE)</f>
        <v>1</v>
      </c>
    </row>
    <row r="2983" hidden="1">
      <c r="A2983" s="78"/>
      <c r="B2983" s="78"/>
      <c r="C2983" s="79" t="str">
        <f>IFERROR(__xludf.DUMMYFUNCTION("""COMPUTED_VALUE"""),"")</f>
        <v/>
      </c>
      <c r="D2983" s="79" t="str">
        <f>IFERROR(__xludf.DUMMYFUNCTION("""COMPUTED_VALUE"""),"")</f>
        <v/>
      </c>
      <c r="E2983" s="69" t="b">
        <f>IFERROR(__xludf.DUMMYFUNCTION("""COMPUTED_VALUE"""),TRUE)</f>
        <v>1</v>
      </c>
    </row>
    <row r="2984" hidden="1">
      <c r="A2984" s="78"/>
      <c r="B2984" s="78"/>
      <c r="C2984" s="79" t="str">
        <f>IFERROR(__xludf.DUMMYFUNCTION("""COMPUTED_VALUE"""),"")</f>
        <v/>
      </c>
      <c r="D2984" s="79" t="str">
        <f>IFERROR(__xludf.DUMMYFUNCTION("""COMPUTED_VALUE"""),"")</f>
        <v/>
      </c>
      <c r="E2984" s="69" t="b">
        <f>IFERROR(__xludf.DUMMYFUNCTION("""COMPUTED_VALUE"""),TRUE)</f>
        <v>1</v>
      </c>
    </row>
    <row r="2985" hidden="1">
      <c r="A2985" s="78"/>
      <c r="B2985" s="78"/>
      <c r="C2985" s="79" t="str">
        <f>IFERROR(__xludf.DUMMYFUNCTION("""COMPUTED_VALUE"""),"")</f>
        <v/>
      </c>
      <c r="D2985" s="79" t="str">
        <f>IFERROR(__xludf.DUMMYFUNCTION("""COMPUTED_VALUE"""),"")</f>
        <v/>
      </c>
      <c r="E2985" s="69" t="b">
        <f>IFERROR(__xludf.DUMMYFUNCTION("""COMPUTED_VALUE"""),TRUE)</f>
        <v>1</v>
      </c>
    </row>
    <row r="2986" hidden="1">
      <c r="A2986" s="78"/>
      <c r="B2986" s="78"/>
      <c r="C2986" s="79" t="str">
        <f>IFERROR(__xludf.DUMMYFUNCTION("""COMPUTED_VALUE"""),"")</f>
        <v/>
      </c>
      <c r="D2986" s="79" t="str">
        <f>IFERROR(__xludf.DUMMYFUNCTION("""COMPUTED_VALUE"""),"")</f>
        <v/>
      </c>
      <c r="E2986" s="69" t="b">
        <f>IFERROR(__xludf.DUMMYFUNCTION("""COMPUTED_VALUE"""),TRUE)</f>
        <v>1</v>
      </c>
    </row>
    <row r="2987" hidden="1">
      <c r="A2987" s="78"/>
      <c r="B2987" s="78"/>
      <c r="C2987" s="79" t="str">
        <f>IFERROR(__xludf.DUMMYFUNCTION("""COMPUTED_VALUE"""),"")</f>
        <v/>
      </c>
      <c r="D2987" s="79" t="str">
        <f>IFERROR(__xludf.DUMMYFUNCTION("""COMPUTED_VALUE"""),"")</f>
        <v/>
      </c>
      <c r="E2987" s="69" t="b">
        <f>IFERROR(__xludf.DUMMYFUNCTION("""COMPUTED_VALUE"""),TRUE)</f>
        <v>1</v>
      </c>
    </row>
    <row r="2988" hidden="1">
      <c r="A2988" s="78"/>
      <c r="B2988" s="78"/>
      <c r="C2988" s="79" t="str">
        <f>IFERROR(__xludf.DUMMYFUNCTION("""COMPUTED_VALUE"""),"")</f>
        <v/>
      </c>
      <c r="D2988" s="79" t="str">
        <f>IFERROR(__xludf.DUMMYFUNCTION("""COMPUTED_VALUE"""),"")</f>
        <v/>
      </c>
      <c r="E2988" s="69" t="b">
        <f>IFERROR(__xludf.DUMMYFUNCTION("""COMPUTED_VALUE"""),TRUE)</f>
        <v>1</v>
      </c>
    </row>
    <row r="2989" hidden="1">
      <c r="A2989" s="78"/>
      <c r="B2989" s="78"/>
      <c r="C2989" s="79" t="str">
        <f>IFERROR(__xludf.DUMMYFUNCTION("""COMPUTED_VALUE"""),"")</f>
        <v/>
      </c>
      <c r="D2989" s="79" t="str">
        <f>IFERROR(__xludf.DUMMYFUNCTION("""COMPUTED_VALUE"""),"")</f>
        <v/>
      </c>
      <c r="E2989" s="69" t="b">
        <f>IFERROR(__xludf.DUMMYFUNCTION("""COMPUTED_VALUE"""),TRUE)</f>
        <v>1</v>
      </c>
    </row>
    <row r="2990" hidden="1">
      <c r="A2990" s="78"/>
      <c r="B2990" s="78"/>
      <c r="C2990" s="79" t="str">
        <f>IFERROR(__xludf.DUMMYFUNCTION("""COMPUTED_VALUE"""),"")</f>
        <v/>
      </c>
      <c r="D2990" s="79" t="str">
        <f>IFERROR(__xludf.DUMMYFUNCTION("""COMPUTED_VALUE"""),"")</f>
        <v/>
      </c>
      <c r="E2990" s="69" t="b">
        <f>IFERROR(__xludf.DUMMYFUNCTION("""COMPUTED_VALUE"""),TRUE)</f>
        <v>1</v>
      </c>
    </row>
    <row r="2991" hidden="1">
      <c r="A2991" s="78"/>
      <c r="B2991" s="78"/>
      <c r="C2991" s="79" t="str">
        <f>IFERROR(__xludf.DUMMYFUNCTION("""COMPUTED_VALUE"""),"")</f>
        <v/>
      </c>
      <c r="D2991" s="79" t="str">
        <f>IFERROR(__xludf.DUMMYFUNCTION("""COMPUTED_VALUE"""),"")</f>
        <v/>
      </c>
      <c r="E2991" s="69" t="b">
        <f>IFERROR(__xludf.DUMMYFUNCTION("""COMPUTED_VALUE"""),TRUE)</f>
        <v>1</v>
      </c>
    </row>
    <row r="2992" hidden="1">
      <c r="A2992" s="78"/>
      <c r="B2992" s="78"/>
      <c r="C2992" s="79" t="str">
        <f>IFERROR(__xludf.DUMMYFUNCTION("""COMPUTED_VALUE"""),"")</f>
        <v/>
      </c>
      <c r="D2992" s="79" t="str">
        <f>IFERROR(__xludf.DUMMYFUNCTION("""COMPUTED_VALUE"""),"")</f>
        <v/>
      </c>
      <c r="E2992" s="69" t="b">
        <f>IFERROR(__xludf.DUMMYFUNCTION("""COMPUTED_VALUE"""),TRUE)</f>
        <v>1</v>
      </c>
    </row>
    <row r="2993" hidden="1">
      <c r="A2993" s="78"/>
      <c r="B2993" s="78"/>
      <c r="C2993" s="79" t="str">
        <f>IFERROR(__xludf.DUMMYFUNCTION("""COMPUTED_VALUE"""),"")</f>
        <v/>
      </c>
      <c r="D2993" s="79" t="str">
        <f>IFERROR(__xludf.DUMMYFUNCTION("""COMPUTED_VALUE"""),"")</f>
        <v/>
      </c>
      <c r="E2993" s="69" t="b">
        <f>IFERROR(__xludf.DUMMYFUNCTION("""COMPUTED_VALUE"""),TRUE)</f>
        <v>1</v>
      </c>
    </row>
    <row r="2994" hidden="1">
      <c r="A2994" s="78"/>
      <c r="B2994" s="78"/>
      <c r="C2994" s="79" t="str">
        <f>IFERROR(__xludf.DUMMYFUNCTION("""COMPUTED_VALUE"""),"")</f>
        <v/>
      </c>
      <c r="D2994" s="79" t="str">
        <f>IFERROR(__xludf.DUMMYFUNCTION("""COMPUTED_VALUE"""),"")</f>
        <v/>
      </c>
      <c r="E2994" s="69" t="b">
        <f>IFERROR(__xludf.DUMMYFUNCTION("""COMPUTED_VALUE"""),TRUE)</f>
        <v>1</v>
      </c>
    </row>
    <row r="2995" hidden="1">
      <c r="A2995" s="78"/>
      <c r="B2995" s="78"/>
      <c r="C2995" s="79" t="str">
        <f>IFERROR(__xludf.DUMMYFUNCTION("""COMPUTED_VALUE"""),"")</f>
        <v/>
      </c>
      <c r="D2995" s="79" t="str">
        <f>IFERROR(__xludf.DUMMYFUNCTION("""COMPUTED_VALUE"""),"")</f>
        <v/>
      </c>
      <c r="E2995" s="69" t="b">
        <f>IFERROR(__xludf.DUMMYFUNCTION("""COMPUTED_VALUE"""),TRUE)</f>
        <v>1</v>
      </c>
    </row>
    <row r="2996" hidden="1">
      <c r="A2996" s="78"/>
      <c r="B2996" s="78"/>
      <c r="C2996" s="79" t="str">
        <f>IFERROR(__xludf.DUMMYFUNCTION("""COMPUTED_VALUE"""),"")</f>
        <v/>
      </c>
      <c r="D2996" s="79" t="str">
        <f>IFERROR(__xludf.DUMMYFUNCTION("""COMPUTED_VALUE"""),"")</f>
        <v/>
      </c>
      <c r="E2996" s="69" t="b">
        <f>IFERROR(__xludf.DUMMYFUNCTION("""COMPUTED_VALUE"""),TRUE)</f>
        <v>1</v>
      </c>
    </row>
    <row r="2997" hidden="1">
      <c r="A2997" s="78"/>
      <c r="B2997" s="78"/>
      <c r="C2997" s="79" t="str">
        <f>IFERROR(__xludf.DUMMYFUNCTION("""COMPUTED_VALUE"""),"")</f>
        <v/>
      </c>
      <c r="D2997" s="79" t="str">
        <f>IFERROR(__xludf.DUMMYFUNCTION("""COMPUTED_VALUE"""),"")</f>
        <v/>
      </c>
      <c r="E2997" s="69" t="b">
        <f>IFERROR(__xludf.DUMMYFUNCTION("""COMPUTED_VALUE"""),TRUE)</f>
        <v>1</v>
      </c>
    </row>
    <row r="2998" hidden="1">
      <c r="A2998" s="78"/>
      <c r="B2998" s="78"/>
      <c r="C2998" s="79" t="str">
        <f>IFERROR(__xludf.DUMMYFUNCTION("""COMPUTED_VALUE"""),"")</f>
        <v/>
      </c>
      <c r="D2998" s="79" t="str">
        <f>IFERROR(__xludf.DUMMYFUNCTION("""COMPUTED_VALUE"""),"")</f>
        <v/>
      </c>
      <c r="E2998" s="69" t="b">
        <f>IFERROR(__xludf.DUMMYFUNCTION("""COMPUTED_VALUE"""),TRUE)</f>
        <v>1</v>
      </c>
    </row>
    <row r="2999" hidden="1">
      <c r="A2999" s="78"/>
      <c r="B2999" s="78"/>
      <c r="C2999" s="79" t="str">
        <f>IFERROR(__xludf.DUMMYFUNCTION("""COMPUTED_VALUE"""),"")</f>
        <v/>
      </c>
      <c r="D2999" s="79" t="str">
        <f>IFERROR(__xludf.DUMMYFUNCTION("""COMPUTED_VALUE"""),"")</f>
        <v/>
      </c>
      <c r="E2999" s="69" t="b">
        <f>IFERROR(__xludf.DUMMYFUNCTION("""COMPUTED_VALUE"""),TRUE)</f>
        <v>1</v>
      </c>
    </row>
    <row r="3000" hidden="1">
      <c r="A3000" s="78"/>
      <c r="B3000" s="78"/>
      <c r="C3000" s="79" t="str">
        <f>IFERROR(__xludf.DUMMYFUNCTION("""COMPUTED_VALUE"""),"")</f>
        <v/>
      </c>
      <c r="D3000" s="79" t="str">
        <f>IFERROR(__xludf.DUMMYFUNCTION("""COMPUTED_VALUE"""),"")</f>
        <v/>
      </c>
      <c r="E3000" s="69" t="b">
        <f>IFERROR(__xludf.DUMMYFUNCTION("""COMPUTED_VALUE"""),TRUE)</f>
        <v>1</v>
      </c>
    </row>
    <row r="3001" hidden="1">
      <c r="A3001" s="78"/>
      <c r="B3001" s="78"/>
      <c r="C3001" s="79" t="str">
        <f>IFERROR(__xludf.DUMMYFUNCTION("""COMPUTED_VALUE"""),"")</f>
        <v/>
      </c>
      <c r="D3001" s="79" t="str">
        <f>IFERROR(__xludf.DUMMYFUNCTION("""COMPUTED_VALUE"""),"")</f>
        <v/>
      </c>
      <c r="E3001" s="69" t="b">
        <f>IFERROR(__xludf.DUMMYFUNCTION("""COMPUTED_VALUE"""),TRUE)</f>
        <v>1</v>
      </c>
    </row>
    <row r="3002" hidden="1">
      <c r="A3002" s="78"/>
      <c r="B3002" s="78"/>
      <c r="C3002" s="79" t="str">
        <f>IFERROR(__xludf.DUMMYFUNCTION("""COMPUTED_VALUE"""),"")</f>
        <v/>
      </c>
      <c r="D3002" s="79" t="str">
        <f>IFERROR(__xludf.DUMMYFUNCTION("""COMPUTED_VALUE"""),"")</f>
        <v/>
      </c>
      <c r="E3002" s="69" t="b">
        <f>IFERROR(__xludf.DUMMYFUNCTION("""COMPUTED_VALUE"""),TRUE)</f>
        <v>1</v>
      </c>
    </row>
    <row r="3003" hidden="1">
      <c r="A3003" s="78"/>
      <c r="B3003" s="78"/>
      <c r="C3003" s="79" t="str">
        <f>IFERROR(__xludf.DUMMYFUNCTION("""COMPUTED_VALUE"""),"")</f>
        <v/>
      </c>
      <c r="D3003" s="79" t="str">
        <f>IFERROR(__xludf.DUMMYFUNCTION("""COMPUTED_VALUE"""),"")</f>
        <v/>
      </c>
      <c r="E3003" s="69" t="b">
        <f>IFERROR(__xludf.DUMMYFUNCTION("""COMPUTED_VALUE"""),TRUE)</f>
        <v>1</v>
      </c>
    </row>
    <row r="3004" hidden="1">
      <c r="A3004" s="78"/>
      <c r="B3004" s="78"/>
      <c r="C3004" s="79" t="str">
        <f>IFERROR(__xludf.DUMMYFUNCTION("""COMPUTED_VALUE"""),"")</f>
        <v/>
      </c>
      <c r="D3004" s="79" t="str">
        <f>IFERROR(__xludf.DUMMYFUNCTION("""COMPUTED_VALUE"""),"")</f>
        <v/>
      </c>
      <c r="E3004" s="69" t="b">
        <f>IFERROR(__xludf.DUMMYFUNCTION("""COMPUTED_VALUE"""),TRUE)</f>
        <v>1</v>
      </c>
    </row>
    <row r="3005" hidden="1">
      <c r="A3005" s="78"/>
      <c r="B3005" s="78"/>
      <c r="C3005" s="79" t="str">
        <f>IFERROR(__xludf.DUMMYFUNCTION("""COMPUTED_VALUE"""),"")</f>
        <v/>
      </c>
      <c r="D3005" s="79" t="str">
        <f>IFERROR(__xludf.DUMMYFUNCTION("""COMPUTED_VALUE"""),"")</f>
        <v/>
      </c>
      <c r="E3005" s="69" t="b">
        <f>IFERROR(__xludf.DUMMYFUNCTION("""COMPUTED_VALUE"""),TRUE)</f>
        <v>1</v>
      </c>
    </row>
    <row r="3006" hidden="1">
      <c r="A3006" s="78"/>
      <c r="B3006" s="78"/>
      <c r="C3006" s="79" t="str">
        <f>IFERROR(__xludf.DUMMYFUNCTION("""COMPUTED_VALUE"""),"")</f>
        <v/>
      </c>
      <c r="D3006" s="79" t="str">
        <f>IFERROR(__xludf.DUMMYFUNCTION("""COMPUTED_VALUE"""),"")</f>
        <v/>
      </c>
      <c r="E3006" s="69" t="b">
        <f>IFERROR(__xludf.DUMMYFUNCTION("""COMPUTED_VALUE"""),TRUE)</f>
        <v>1</v>
      </c>
    </row>
    <row r="3007" hidden="1">
      <c r="A3007" s="78"/>
      <c r="B3007" s="78"/>
      <c r="C3007" s="79" t="str">
        <f>IFERROR(__xludf.DUMMYFUNCTION("""COMPUTED_VALUE"""),"")</f>
        <v/>
      </c>
      <c r="D3007" s="79" t="str">
        <f>IFERROR(__xludf.DUMMYFUNCTION("""COMPUTED_VALUE"""),"")</f>
        <v/>
      </c>
      <c r="E3007" s="69" t="b">
        <f>IFERROR(__xludf.DUMMYFUNCTION("""COMPUTED_VALUE"""),TRUE)</f>
        <v>1</v>
      </c>
    </row>
    <row r="3008" hidden="1">
      <c r="A3008" s="78"/>
      <c r="B3008" s="78"/>
      <c r="C3008" s="79" t="str">
        <f>IFERROR(__xludf.DUMMYFUNCTION("""COMPUTED_VALUE"""),"")</f>
        <v/>
      </c>
      <c r="D3008" s="79" t="str">
        <f>IFERROR(__xludf.DUMMYFUNCTION("""COMPUTED_VALUE"""),"")</f>
        <v/>
      </c>
      <c r="E3008" s="69" t="b">
        <f>IFERROR(__xludf.DUMMYFUNCTION("""COMPUTED_VALUE"""),TRUE)</f>
        <v>1</v>
      </c>
    </row>
    <row r="3009" hidden="1">
      <c r="A3009" s="78"/>
      <c r="B3009" s="78"/>
      <c r="C3009" s="79" t="str">
        <f>IFERROR(__xludf.DUMMYFUNCTION("""COMPUTED_VALUE"""),"")</f>
        <v/>
      </c>
      <c r="D3009" s="79" t="str">
        <f>IFERROR(__xludf.DUMMYFUNCTION("""COMPUTED_VALUE"""),"")</f>
        <v/>
      </c>
      <c r="E3009" s="69" t="b">
        <f>IFERROR(__xludf.DUMMYFUNCTION("""COMPUTED_VALUE"""),TRUE)</f>
        <v>1</v>
      </c>
    </row>
    <row r="3010" hidden="1">
      <c r="A3010" s="78"/>
      <c r="B3010" s="78"/>
      <c r="C3010" s="79" t="str">
        <f>IFERROR(__xludf.DUMMYFUNCTION("""COMPUTED_VALUE"""),"")</f>
        <v/>
      </c>
      <c r="D3010" s="79" t="str">
        <f>IFERROR(__xludf.DUMMYFUNCTION("""COMPUTED_VALUE"""),"")</f>
        <v/>
      </c>
      <c r="E3010" s="69" t="b">
        <f>IFERROR(__xludf.DUMMYFUNCTION("""COMPUTED_VALUE"""),TRUE)</f>
        <v>1</v>
      </c>
    </row>
    <row r="3011" hidden="1">
      <c r="A3011" s="78"/>
      <c r="B3011" s="78"/>
      <c r="C3011" s="79" t="str">
        <f>IFERROR(__xludf.DUMMYFUNCTION("""COMPUTED_VALUE"""),"")</f>
        <v/>
      </c>
      <c r="D3011" s="79" t="str">
        <f>IFERROR(__xludf.DUMMYFUNCTION("""COMPUTED_VALUE"""),"")</f>
        <v/>
      </c>
      <c r="E3011" s="69" t="b">
        <f>IFERROR(__xludf.DUMMYFUNCTION("""COMPUTED_VALUE"""),TRUE)</f>
        <v>1</v>
      </c>
    </row>
    <row r="3012" hidden="1">
      <c r="A3012" s="78"/>
      <c r="B3012" s="78"/>
      <c r="C3012" s="79" t="str">
        <f>IFERROR(__xludf.DUMMYFUNCTION("""COMPUTED_VALUE"""),"")</f>
        <v/>
      </c>
      <c r="D3012" s="79" t="str">
        <f>IFERROR(__xludf.DUMMYFUNCTION("""COMPUTED_VALUE"""),"")</f>
        <v/>
      </c>
      <c r="E3012" s="69" t="b">
        <f>IFERROR(__xludf.DUMMYFUNCTION("""COMPUTED_VALUE"""),TRUE)</f>
        <v>1</v>
      </c>
    </row>
    <row r="3013" hidden="1">
      <c r="A3013" s="78"/>
      <c r="B3013" s="78"/>
      <c r="C3013" s="79" t="str">
        <f>IFERROR(__xludf.DUMMYFUNCTION("""COMPUTED_VALUE"""),"")</f>
        <v/>
      </c>
      <c r="D3013" s="79" t="str">
        <f>IFERROR(__xludf.DUMMYFUNCTION("""COMPUTED_VALUE"""),"")</f>
        <v/>
      </c>
      <c r="E3013" s="69" t="b">
        <f>IFERROR(__xludf.DUMMYFUNCTION("""COMPUTED_VALUE"""),TRUE)</f>
        <v>1</v>
      </c>
    </row>
    <row r="3014" hidden="1">
      <c r="A3014" s="78"/>
      <c r="B3014" s="78"/>
      <c r="C3014" s="79" t="str">
        <f>IFERROR(__xludf.DUMMYFUNCTION("""COMPUTED_VALUE"""),"")</f>
        <v/>
      </c>
      <c r="D3014" s="79" t="str">
        <f>IFERROR(__xludf.DUMMYFUNCTION("""COMPUTED_VALUE"""),"")</f>
        <v/>
      </c>
      <c r="E3014" s="69" t="b">
        <f>IFERROR(__xludf.DUMMYFUNCTION("""COMPUTED_VALUE"""),TRUE)</f>
        <v>1</v>
      </c>
    </row>
    <row r="3015" hidden="1">
      <c r="A3015" s="78"/>
      <c r="B3015" s="78"/>
      <c r="C3015" s="79" t="str">
        <f>IFERROR(__xludf.DUMMYFUNCTION("""COMPUTED_VALUE"""),"")</f>
        <v/>
      </c>
      <c r="D3015" s="79" t="str">
        <f>IFERROR(__xludf.DUMMYFUNCTION("""COMPUTED_VALUE"""),"")</f>
        <v/>
      </c>
      <c r="E3015" s="69" t="b">
        <f>IFERROR(__xludf.DUMMYFUNCTION("""COMPUTED_VALUE"""),TRUE)</f>
        <v>1</v>
      </c>
    </row>
    <row r="3016" hidden="1">
      <c r="A3016" s="78"/>
      <c r="B3016" s="78"/>
      <c r="C3016" s="79" t="str">
        <f>IFERROR(__xludf.DUMMYFUNCTION("""COMPUTED_VALUE"""),"")</f>
        <v/>
      </c>
      <c r="D3016" s="79" t="str">
        <f>IFERROR(__xludf.DUMMYFUNCTION("""COMPUTED_VALUE"""),"")</f>
        <v/>
      </c>
      <c r="E3016" s="69" t="b">
        <f>IFERROR(__xludf.DUMMYFUNCTION("""COMPUTED_VALUE"""),TRUE)</f>
        <v>1</v>
      </c>
    </row>
    <row r="3017" hidden="1">
      <c r="A3017" s="78"/>
      <c r="B3017" s="78"/>
      <c r="C3017" s="79" t="str">
        <f>IFERROR(__xludf.DUMMYFUNCTION("""COMPUTED_VALUE"""),"")</f>
        <v/>
      </c>
      <c r="D3017" s="79" t="str">
        <f>IFERROR(__xludf.DUMMYFUNCTION("""COMPUTED_VALUE"""),"")</f>
        <v/>
      </c>
      <c r="E3017" s="69" t="b">
        <f>IFERROR(__xludf.DUMMYFUNCTION("""COMPUTED_VALUE"""),TRUE)</f>
        <v>1</v>
      </c>
    </row>
    <row r="3018" hidden="1">
      <c r="A3018" s="78"/>
      <c r="B3018" s="78"/>
      <c r="C3018" s="79" t="str">
        <f>IFERROR(__xludf.DUMMYFUNCTION("""COMPUTED_VALUE"""),"")</f>
        <v/>
      </c>
      <c r="D3018" s="79" t="str">
        <f>IFERROR(__xludf.DUMMYFUNCTION("""COMPUTED_VALUE"""),"")</f>
        <v/>
      </c>
      <c r="E3018" s="69" t="b">
        <f>IFERROR(__xludf.DUMMYFUNCTION("""COMPUTED_VALUE"""),TRUE)</f>
        <v>1</v>
      </c>
    </row>
    <row r="3019" hidden="1">
      <c r="A3019" s="78"/>
      <c r="B3019" s="78"/>
      <c r="C3019" s="79" t="str">
        <f>IFERROR(__xludf.DUMMYFUNCTION("""COMPUTED_VALUE"""),"")</f>
        <v/>
      </c>
      <c r="D3019" s="79" t="str">
        <f>IFERROR(__xludf.DUMMYFUNCTION("""COMPUTED_VALUE"""),"")</f>
        <v/>
      </c>
      <c r="E3019" s="69" t="b">
        <f>IFERROR(__xludf.DUMMYFUNCTION("""COMPUTED_VALUE"""),TRUE)</f>
        <v>1</v>
      </c>
    </row>
    <row r="3020" hidden="1">
      <c r="A3020" s="78"/>
      <c r="B3020" s="78"/>
      <c r="C3020" s="79" t="str">
        <f>IFERROR(__xludf.DUMMYFUNCTION("""COMPUTED_VALUE"""),"")</f>
        <v/>
      </c>
      <c r="D3020" s="79" t="str">
        <f>IFERROR(__xludf.DUMMYFUNCTION("""COMPUTED_VALUE"""),"")</f>
        <v/>
      </c>
      <c r="E3020" s="69" t="b">
        <f>IFERROR(__xludf.DUMMYFUNCTION("""COMPUTED_VALUE"""),TRUE)</f>
        <v>1</v>
      </c>
    </row>
    <row r="3021" hidden="1">
      <c r="A3021" s="78"/>
      <c r="B3021" s="78"/>
      <c r="C3021" s="79" t="str">
        <f>IFERROR(__xludf.DUMMYFUNCTION("""COMPUTED_VALUE"""),"")</f>
        <v/>
      </c>
      <c r="D3021" s="79" t="str">
        <f>IFERROR(__xludf.DUMMYFUNCTION("""COMPUTED_VALUE"""),"")</f>
        <v/>
      </c>
      <c r="E3021" s="69" t="b">
        <f>IFERROR(__xludf.DUMMYFUNCTION("""COMPUTED_VALUE"""),TRUE)</f>
        <v>1</v>
      </c>
    </row>
    <row r="3022" hidden="1">
      <c r="A3022" s="78"/>
      <c r="B3022" s="78"/>
      <c r="C3022" s="79" t="str">
        <f>IFERROR(__xludf.DUMMYFUNCTION("""COMPUTED_VALUE"""),"")</f>
        <v/>
      </c>
      <c r="D3022" s="79" t="str">
        <f>IFERROR(__xludf.DUMMYFUNCTION("""COMPUTED_VALUE"""),"")</f>
        <v/>
      </c>
      <c r="E3022" s="69" t="b">
        <f>IFERROR(__xludf.DUMMYFUNCTION("""COMPUTED_VALUE"""),TRUE)</f>
        <v>1</v>
      </c>
    </row>
    <row r="3023" hidden="1">
      <c r="A3023" s="78"/>
      <c r="B3023" s="78"/>
      <c r="C3023" s="79" t="str">
        <f>IFERROR(__xludf.DUMMYFUNCTION("""COMPUTED_VALUE"""),"")</f>
        <v/>
      </c>
      <c r="D3023" s="79" t="str">
        <f>IFERROR(__xludf.DUMMYFUNCTION("""COMPUTED_VALUE"""),"")</f>
        <v/>
      </c>
      <c r="E3023" s="69" t="b">
        <f>IFERROR(__xludf.DUMMYFUNCTION("""COMPUTED_VALUE"""),TRUE)</f>
        <v>1</v>
      </c>
    </row>
    <row r="3024" hidden="1">
      <c r="A3024" s="78"/>
      <c r="B3024" s="78"/>
      <c r="C3024" s="79" t="str">
        <f>IFERROR(__xludf.DUMMYFUNCTION("""COMPUTED_VALUE"""),"")</f>
        <v/>
      </c>
      <c r="D3024" s="79" t="str">
        <f>IFERROR(__xludf.DUMMYFUNCTION("""COMPUTED_VALUE"""),"")</f>
        <v/>
      </c>
      <c r="E3024" s="69" t="b">
        <f>IFERROR(__xludf.DUMMYFUNCTION("""COMPUTED_VALUE"""),TRUE)</f>
        <v>1</v>
      </c>
    </row>
    <row r="3025" hidden="1">
      <c r="A3025" s="78"/>
      <c r="B3025" s="78"/>
      <c r="C3025" s="79" t="str">
        <f>IFERROR(__xludf.DUMMYFUNCTION("""COMPUTED_VALUE"""),"")</f>
        <v/>
      </c>
      <c r="D3025" s="79" t="str">
        <f>IFERROR(__xludf.DUMMYFUNCTION("""COMPUTED_VALUE"""),"")</f>
        <v/>
      </c>
      <c r="E3025" s="69" t="b">
        <f>IFERROR(__xludf.DUMMYFUNCTION("""COMPUTED_VALUE"""),TRUE)</f>
        <v>1</v>
      </c>
    </row>
    <row r="3026" hidden="1">
      <c r="A3026" s="78"/>
      <c r="B3026" s="78"/>
      <c r="C3026" s="79" t="str">
        <f>IFERROR(__xludf.DUMMYFUNCTION("""COMPUTED_VALUE"""),"")</f>
        <v/>
      </c>
      <c r="D3026" s="79" t="str">
        <f>IFERROR(__xludf.DUMMYFUNCTION("""COMPUTED_VALUE"""),"")</f>
        <v/>
      </c>
      <c r="E3026" s="69" t="b">
        <f>IFERROR(__xludf.DUMMYFUNCTION("""COMPUTED_VALUE"""),TRUE)</f>
        <v>1</v>
      </c>
    </row>
    <row r="3027" hidden="1">
      <c r="A3027" s="78"/>
      <c r="B3027" s="78"/>
      <c r="C3027" s="79" t="str">
        <f>IFERROR(__xludf.DUMMYFUNCTION("""COMPUTED_VALUE"""),"")</f>
        <v/>
      </c>
      <c r="D3027" s="79" t="str">
        <f>IFERROR(__xludf.DUMMYFUNCTION("""COMPUTED_VALUE"""),"")</f>
        <v/>
      </c>
      <c r="E3027" s="69" t="b">
        <f>IFERROR(__xludf.DUMMYFUNCTION("""COMPUTED_VALUE"""),TRUE)</f>
        <v>1</v>
      </c>
    </row>
    <row r="3028" hidden="1">
      <c r="A3028" s="78"/>
      <c r="B3028" s="78"/>
      <c r="C3028" s="79" t="str">
        <f>IFERROR(__xludf.DUMMYFUNCTION("""COMPUTED_VALUE"""),"")</f>
        <v/>
      </c>
      <c r="D3028" s="79" t="str">
        <f>IFERROR(__xludf.DUMMYFUNCTION("""COMPUTED_VALUE"""),"")</f>
        <v/>
      </c>
      <c r="E3028" s="69" t="b">
        <f>IFERROR(__xludf.DUMMYFUNCTION("""COMPUTED_VALUE"""),TRUE)</f>
        <v>1</v>
      </c>
    </row>
    <row r="3029" hidden="1">
      <c r="A3029" s="78"/>
      <c r="B3029" s="78"/>
      <c r="C3029" s="79" t="str">
        <f>IFERROR(__xludf.DUMMYFUNCTION("""COMPUTED_VALUE"""),"")</f>
        <v/>
      </c>
      <c r="D3029" s="79" t="str">
        <f>IFERROR(__xludf.DUMMYFUNCTION("""COMPUTED_VALUE"""),"")</f>
        <v/>
      </c>
      <c r="E3029" s="69" t="b">
        <f>IFERROR(__xludf.DUMMYFUNCTION("""COMPUTED_VALUE"""),TRUE)</f>
        <v>1</v>
      </c>
    </row>
    <row r="3030" hidden="1">
      <c r="A3030" s="78"/>
      <c r="B3030" s="78"/>
      <c r="C3030" s="79" t="str">
        <f>IFERROR(__xludf.DUMMYFUNCTION("""COMPUTED_VALUE"""),"")</f>
        <v/>
      </c>
      <c r="D3030" s="79" t="str">
        <f>IFERROR(__xludf.DUMMYFUNCTION("""COMPUTED_VALUE"""),"")</f>
        <v/>
      </c>
      <c r="E3030" s="69" t="b">
        <f>IFERROR(__xludf.DUMMYFUNCTION("""COMPUTED_VALUE"""),TRUE)</f>
        <v>1</v>
      </c>
    </row>
    <row r="3031" hidden="1">
      <c r="A3031" s="78"/>
      <c r="B3031" s="78"/>
      <c r="C3031" s="79" t="str">
        <f>IFERROR(__xludf.DUMMYFUNCTION("""COMPUTED_VALUE"""),"")</f>
        <v/>
      </c>
      <c r="D3031" s="79" t="str">
        <f>IFERROR(__xludf.DUMMYFUNCTION("""COMPUTED_VALUE"""),"")</f>
        <v/>
      </c>
      <c r="E3031" s="69" t="b">
        <f>IFERROR(__xludf.DUMMYFUNCTION("""COMPUTED_VALUE"""),TRUE)</f>
        <v>1</v>
      </c>
    </row>
    <row r="3032" hidden="1">
      <c r="A3032" s="78"/>
      <c r="B3032" s="78"/>
      <c r="C3032" s="79" t="str">
        <f>IFERROR(__xludf.DUMMYFUNCTION("""COMPUTED_VALUE"""),"")</f>
        <v/>
      </c>
      <c r="D3032" s="79" t="str">
        <f>IFERROR(__xludf.DUMMYFUNCTION("""COMPUTED_VALUE"""),"")</f>
        <v/>
      </c>
      <c r="E3032" s="69" t="b">
        <f>IFERROR(__xludf.DUMMYFUNCTION("""COMPUTED_VALUE"""),TRUE)</f>
        <v>1</v>
      </c>
    </row>
    <row r="3033" hidden="1">
      <c r="A3033" s="78"/>
      <c r="B3033" s="78"/>
      <c r="C3033" s="79" t="str">
        <f>IFERROR(__xludf.DUMMYFUNCTION("""COMPUTED_VALUE"""),"")</f>
        <v/>
      </c>
      <c r="D3033" s="79" t="str">
        <f>IFERROR(__xludf.DUMMYFUNCTION("""COMPUTED_VALUE"""),"")</f>
        <v/>
      </c>
      <c r="E3033" s="69" t="b">
        <f>IFERROR(__xludf.DUMMYFUNCTION("""COMPUTED_VALUE"""),TRUE)</f>
        <v>1</v>
      </c>
    </row>
    <row r="3034" hidden="1">
      <c r="A3034" s="78"/>
      <c r="B3034" s="78"/>
      <c r="C3034" s="79" t="str">
        <f>IFERROR(__xludf.DUMMYFUNCTION("""COMPUTED_VALUE"""),"")</f>
        <v/>
      </c>
      <c r="D3034" s="79" t="str">
        <f>IFERROR(__xludf.DUMMYFUNCTION("""COMPUTED_VALUE"""),"")</f>
        <v/>
      </c>
      <c r="E3034" s="69" t="b">
        <f>IFERROR(__xludf.DUMMYFUNCTION("""COMPUTED_VALUE"""),TRUE)</f>
        <v>1</v>
      </c>
    </row>
    <row r="3035" hidden="1">
      <c r="A3035" s="78"/>
      <c r="B3035" s="78"/>
      <c r="C3035" s="79" t="str">
        <f>IFERROR(__xludf.DUMMYFUNCTION("""COMPUTED_VALUE"""),"")</f>
        <v/>
      </c>
      <c r="D3035" s="79" t="str">
        <f>IFERROR(__xludf.DUMMYFUNCTION("""COMPUTED_VALUE"""),"")</f>
        <v/>
      </c>
      <c r="E3035" s="69" t="b">
        <f>IFERROR(__xludf.DUMMYFUNCTION("""COMPUTED_VALUE"""),TRUE)</f>
        <v>1</v>
      </c>
    </row>
    <row r="3036" hidden="1">
      <c r="A3036" s="78"/>
      <c r="B3036" s="78"/>
      <c r="C3036" s="79" t="str">
        <f>IFERROR(__xludf.DUMMYFUNCTION("""COMPUTED_VALUE"""),"")</f>
        <v/>
      </c>
      <c r="D3036" s="79" t="str">
        <f>IFERROR(__xludf.DUMMYFUNCTION("""COMPUTED_VALUE"""),"")</f>
        <v/>
      </c>
      <c r="E3036" s="69" t="b">
        <f>IFERROR(__xludf.DUMMYFUNCTION("""COMPUTED_VALUE"""),TRUE)</f>
        <v>1</v>
      </c>
    </row>
    <row r="3037" hidden="1">
      <c r="A3037" s="78"/>
      <c r="B3037" s="78"/>
      <c r="C3037" s="79" t="str">
        <f>IFERROR(__xludf.DUMMYFUNCTION("""COMPUTED_VALUE"""),"")</f>
        <v/>
      </c>
      <c r="D3037" s="79" t="str">
        <f>IFERROR(__xludf.DUMMYFUNCTION("""COMPUTED_VALUE"""),"")</f>
        <v/>
      </c>
      <c r="E3037" s="69" t="b">
        <f>IFERROR(__xludf.DUMMYFUNCTION("""COMPUTED_VALUE"""),TRUE)</f>
        <v>1</v>
      </c>
    </row>
    <row r="3038" hidden="1">
      <c r="A3038" s="78"/>
      <c r="B3038" s="78"/>
      <c r="C3038" s="79" t="str">
        <f>IFERROR(__xludf.DUMMYFUNCTION("""COMPUTED_VALUE"""),"")</f>
        <v/>
      </c>
      <c r="D3038" s="79" t="str">
        <f>IFERROR(__xludf.DUMMYFUNCTION("""COMPUTED_VALUE"""),"")</f>
        <v/>
      </c>
      <c r="E3038" s="69" t="b">
        <f>IFERROR(__xludf.DUMMYFUNCTION("""COMPUTED_VALUE"""),TRUE)</f>
        <v>1</v>
      </c>
    </row>
    <row r="3039" hidden="1">
      <c r="A3039" s="78"/>
      <c r="B3039" s="78"/>
      <c r="C3039" s="79" t="str">
        <f>IFERROR(__xludf.DUMMYFUNCTION("""COMPUTED_VALUE"""),"")</f>
        <v/>
      </c>
      <c r="D3039" s="79" t="str">
        <f>IFERROR(__xludf.DUMMYFUNCTION("""COMPUTED_VALUE"""),"")</f>
        <v/>
      </c>
      <c r="E3039" s="69" t="b">
        <f>IFERROR(__xludf.DUMMYFUNCTION("""COMPUTED_VALUE"""),TRUE)</f>
        <v>1</v>
      </c>
    </row>
    <row r="3040" hidden="1">
      <c r="A3040" s="78"/>
      <c r="B3040" s="78"/>
      <c r="C3040" s="79" t="str">
        <f>IFERROR(__xludf.DUMMYFUNCTION("""COMPUTED_VALUE"""),"")</f>
        <v/>
      </c>
      <c r="D3040" s="79" t="str">
        <f>IFERROR(__xludf.DUMMYFUNCTION("""COMPUTED_VALUE"""),"")</f>
        <v/>
      </c>
      <c r="E3040" s="69" t="b">
        <f>IFERROR(__xludf.DUMMYFUNCTION("""COMPUTED_VALUE"""),TRUE)</f>
        <v>1</v>
      </c>
    </row>
    <row r="3041" hidden="1">
      <c r="A3041" s="78"/>
      <c r="B3041" s="78"/>
      <c r="C3041" s="79" t="str">
        <f>IFERROR(__xludf.DUMMYFUNCTION("""COMPUTED_VALUE"""),"")</f>
        <v/>
      </c>
      <c r="D3041" s="79" t="str">
        <f>IFERROR(__xludf.DUMMYFUNCTION("""COMPUTED_VALUE"""),"")</f>
        <v/>
      </c>
      <c r="E3041" s="69" t="b">
        <f>IFERROR(__xludf.DUMMYFUNCTION("""COMPUTED_VALUE"""),TRUE)</f>
        <v>1</v>
      </c>
    </row>
    <row r="3042" hidden="1">
      <c r="A3042" s="78"/>
      <c r="B3042" s="78"/>
      <c r="C3042" s="79" t="str">
        <f>IFERROR(__xludf.DUMMYFUNCTION("""COMPUTED_VALUE"""),"")</f>
        <v/>
      </c>
      <c r="D3042" s="79" t="str">
        <f>IFERROR(__xludf.DUMMYFUNCTION("""COMPUTED_VALUE"""),"")</f>
        <v/>
      </c>
      <c r="E3042" s="69" t="b">
        <f>IFERROR(__xludf.DUMMYFUNCTION("""COMPUTED_VALUE"""),TRUE)</f>
        <v>1</v>
      </c>
    </row>
    <row r="3043" hidden="1">
      <c r="A3043" s="78"/>
      <c r="B3043" s="78"/>
      <c r="C3043" s="79" t="str">
        <f>IFERROR(__xludf.DUMMYFUNCTION("""COMPUTED_VALUE"""),"")</f>
        <v/>
      </c>
      <c r="D3043" s="79" t="str">
        <f>IFERROR(__xludf.DUMMYFUNCTION("""COMPUTED_VALUE"""),"")</f>
        <v/>
      </c>
      <c r="E3043" s="69" t="b">
        <f>IFERROR(__xludf.DUMMYFUNCTION("""COMPUTED_VALUE"""),TRUE)</f>
        <v>1</v>
      </c>
    </row>
    <row r="3044" hidden="1">
      <c r="A3044" s="78"/>
      <c r="B3044" s="78"/>
      <c r="C3044" s="79" t="str">
        <f>IFERROR(__xludf.DUMMYFUNCTION("""COMPUTED_VALUE"""),"")</f>
        <v/>
      </c>
      <c r="D3044" s="79" t="str">
        <f>IFERROR(__xludf.DUMMYFUNCTION("""COMPUTED_VALUE"""),"")</f>
        <v/>
      </c>
      <c r="E3044" s="69" t="b">
        <f>IFERROR(__xludf.DUMMYFUNCTION("""COMPUTED_VALUE"""),TRUE)</f>
        <v>1</v>
      </c>
    </row>
    <row r="3045" hidden="1">
      <c r="A3045" s="78"/>
      <c r="B3045" s="78"/>
      <c r="C3045" s="79" t="str">
        <f>IFERROR(__xludf.DUMMYFUNCTION("""COMPUTED_VALUE"""),"")</f>
        <v/>
      </c>
      <c r="D3045" s="79" t="str">
        <f>IFERROR(__xludf.DUMMYFUNCTION("""COMPUTED_VALUE"""),"")</f>
        <v/>
      </c>
      <c r="E3045" s="69" t="b">
        <f>IFERROR(__xludf.DUMMYFUNCTION("""COMPUTED_VALUE"""),TRUE)</f>
        <v>1</v>
      </c>
    </row>
    <row r="3046" hidden="1">
      <c r="A3046" s="78"/>
      <c r="B3046" s="78"/>
      <c r="C3046" s="79" t="str">
        <f>IFERROR(__xludf.DUMMYFUNCTION("""COMPUTED_VALUE"""),"")</f>
        <v/>
      </c>
      <c r="D3046" s="79" t="str">
        <f>IFERROR(__xludf.DUMMYFUNCTION("""COMPUTED_VALUE"""),"")</f>
        <v/>
      </c>
      <c r="E3046" s="69" t="b">
        <f>IFERROR(__xludf.DUMMYFUNCTION("""COMPUTED_VALUE"""),TRUE)</f>
        <v>1</v>
      </c>
    </row>
    <row r="3047" hidden="1">
      <c r="A3047" s="78"/>
      <c r="B3047" s="78"/>
      <c r="C3047" s="79" t="str">
        <f>IFERROR(__xludf.DUMMYFUNCTION("""COMPUTED_VALUE"""),"")</f>
        <v/>
      </c>
      <c r="D3047" s="79" t="str">
        <f>IFERROR(__xludf.DUMMYFUNCTION("""COMPUTED_VALUE"""),"")</f>
        <v/>
      </c>
      <c r="E3047" s="69" t="b">
        <f>IFERROR(__xludf.DUMMYFUNCTION("""COMPUTED_VALUE"""),TRUE)</f>
        <v>1</v>
      </c>
    </row>
    <row r="3048" hidden="1">
      <c r="A3048" s="78"/>
      <c r="B3048" s="78"/>
      <c r="C3048" s="79" t="str">
        <f>IFERROR(__xludf.DUMMYFUNCTION("""COMPUTED_VALUE"""),"")</f>
        <v/>
      </c>
      <c r="D3048" s="79" t="str">
        <f>IFERROR(__xludf.DUMMYFUNCTION("""COMPUTED_VALUE"""),"")</f>
        <v/>
      </c>
      <c r="E3048" s="69" t="b">
        <f>IFERROR(__xludf.DUMMYFUNCTION("""COMPUTED_VALUE"""),TRUE)</f>
        <v>1</v>
      </c>
    </row>
    <row r="3049" hidden="1">
      <c r="A3049" s="78"/>
      <c r="B3049" s="78"/>
      <c r="C3049" s="79" t="str">
        <f>IFERROR(__xludf.DUMMYFUNCTION("""COMPUTED_VALUE"""),"")</f>
        <v/>
      </c>
      <c r="D3049" s="79" t="str">
        <f>IFERROR(__xludf.DUMMYFUNCTION("""COMPUTED_VALUE"""),"")</f>
        <v/>
      </c>
      <c r="E3049" s="69" t="b">
        <f>IFERROR(__xludf.DUMMYFUNCTION("""COMPUTED_VALUE"""),TRUE)</f>
        <v>1</v>
      </c>
    </row>
    <row r="3050" hidden="1">
      <c r="A3050" s="78"/>
      <c r="B3050" s="78"/>
      <c r="C3050" s="79" t="str">
        <f>IFERROR(__xludf.DUMMYFUNCTION("""COMPUTED_VALUE"""),"")</f>
        <v/>
      </c>
      <c r="D3050" s="79" t="str">
        <f>IFERROR(__xludf.DUMMYFUNCTION("""COMPUTED_VALUE"""),"")</f>
        <v/>
      </c>
      <c r="E3050" s="69" t="b">
        <f>IFERROR(__xludf.DUMMYFUNCTION("""COMPUTED_VALUE"""),TRUE)</f>
        <v>1</v>
      </c>
    </row>
    <row r="3051" hidden="1">
      <c r="A3051" s="78"/>
      <c r="B3051" s="78"/>
      <c r="C3051" s="79" t="str">
        <f>IFERROR(__xludf.DUMMYFUNCTION("""COMPUTED_VALUE"""),"")</f>
        <v/>
      </c>
      <c r="D3051" s="79" t="str">
        <f>IFERROR(__xludf.DUMMYFUNCTION("""COMPUTED_VALUE"""),"")</f>
        <v/>
      </c>
      <c r="E3051" s="69" t="b">
        <f>IFERROR(__xludf.DUMMYFUNCTION("""COMPUTED_VALUE"""),TRUE)</f>
        <v>1</v>
      </c>
    </row>
    <row r="3052" hidden="1">
      <c r="A3052" s="78"/>
      <c r="B3052" s="78"/>
      <c r="C3052" s="79" t="str">
        <f>IFERROR(__xludf.DUMMYFUNCTION("""COMPUTED_VALUE"""),"")</f>
        <v/>
      </c>
      <c r="D3052" s="79" t="str">
        <f>IFERROR(__xludf.DUMMYFUNCTION("""COMPUTED_VALUE"""),"")</f>
        <v/>
      </c>
      <c r="E3052" s="69" t="b">
        <f>IFERROR(__xludf.DUMMYFUNCTION("""COMPUTED_VALUE"""),TRUE)</f>
        <v>1</v>
      </c>
    </row>
    <row r="3053" hidden="1">
      <c r="A3053" s="78"/>
      <c r="B3053" s="78"/>
      <c r="C3053" s="79" t="str">
        <f>IFERROR(__xludf.DUMMYFUNCTION("""COMPUTED_VALUE"""),"")</f>
        <v/>
      </c>
      <c r="D3053" s="79" t="str">
        <f>IFERROR(__xludf.DUMMYFUNCTION("""COMPUTED_VALUE"""),"")</f>
        <v/>
      </c>
      <c r="E3053" s="69" t="b">
        <f>IFERROR(__xludf.DUMMYFUNCTION("""COMPUTED_VALUE"""),TRUE)</f>
        <v>1</v>
      </c>
    </row>
    <row r="3054" hidden="1">
      <c r="A3054" s="78"/>
      <c r="B3054" s="78"/>
      <c r="C3054" s="79" t="str">
        <f>IFERROR(__xludf.DUMMYFUNCTION("""COMPUTED_VALUE"""),"")</f>
        <v/>
      </c>
      <c r="D3054" s="79" t="str">
        <f>IFERROR(__xludf.DUMMYFUNCTION("""COMPUTED_VALUE"""),"")</f>
        <v/>
      </c>
      <c r="E3054" s="69" t="b">
        <f>IFERROR(__xludf.DUMMYFUNCTION("""COMPUTED_VALUE"""),TRUE)</f>
        <v>1</v>
      </c>
    </row>
    <row r="3055" hidden="1">
      <c r="A3055" s="78"/>
      <c r="B3055" s="78"/>
      <c r="C3055" s="79" t="str">
        <f>IFERROR(__xludf.DUMMYFUNCTION("""COMPUTED_VALUE"""),"")</f>
        <v/>
      </c>
      <c r="D3055" s="79" t="str">
        <f>IFERROR(__xludf.DUMMYFUNCTION("""COMPUTED_VALUE"""),"")</f>
        <v/>
      </c>
      <c r="E3055" s="69" t="b">
        <f>IFERROR(__xludf.DUMMYFUNCTION("""COMPUTED_VALUE"""),TRUE)</f>
        <v>1</v>
      </c>
    </row>
    <row r="3056" hidden="1">
      <c r="A3056" s="78"/>
      <c r="B3056" s="78"/>
      <c r="C3056" s="79" t="str">
        <f>IFERROR(__xludf.DUMMYFUNCTION("""COMPUTED_VALUE"""),"")</f>
        <v/>
      </c>
      <c r="D3056" s="79" t="str">
        <f>IFERROR(__xludf.DUMMYFUNCTION("""COMPUTED_VALUE"""),"")</f>
        <v/>
      </c>
      <c r="E3056" s="69" t="b">
        <f>IFERROR(__xludf.DUMMYFUNCTION("""COMPUTED_VALUE"""),TRUE)</f>
        <v>1</v>
      </c>
    </row>
    <row r="3057" hidden="1">
      <c r="A3057" s="78"/>
      <c r="B3057" s="78"/>
      <c r="C3057" s="79" t="str">
        <f>IFERROR(__xludf.DUMMYFUNCTION("""COMPUTED_VALUE"""),"")</f>
        <v/>
      </c>
      <c r="D3057" s="79" t="str">
        <f>IFERROR(__xludf.DUMMYFUNCTION("""COMPUTED_VALUE"""),"")</f>
        <v/>
      </c>
      <c r="E3057" s="69" t="b">
        <f>IFERROR(__xludf.DUMMYFUNCTION("""COMPUTED_VALUE"""),TRUE)</f>
        <v>1</v>
      </c>
    </row>
    <row r="3058" hidden="1">
      <c r="A3058" s="78"/>
      <c r="B3058" s="78"/>
      <c r="C3058" s="79" t="str">
        <f>IFERROR(__xludf.DUMMYFUNCTION("""COMPUTED_VALUE"""),"")</f>
        <v/>
      </c>
      <c r="D3058" s="79" t="str">
        <f>IFERROR(__xludf.DUMMYFUNCTION("""COMPUTED_VALUE"""),"")</f>
        <v/>
      </c>
      <c r="E3058" s="69" t="b">
        <f>IFERROR(__xludf.DUMMYFUNCTION("""COMPUTED_VALUE"""),TRUE)</f>
        <v>1</v>
      </c>
    </row>
    <row r="3059" hidden="1">
      <c r="A3059" s="78"/>
      <c r="B3059" s="78"/>
      <c r="C3059" s="79" t="str">
        <f>IFERROR(__xludf.DUMMYFUNCTION("""COMPUTED_VALUE"""),"")</f>
        <v/>
      </c>
      <c r="D3059" s="79" t="str">
        <f>IFERROR(__xludf.DUMMYFUNCTION("""COMPUTED_VALUE"""),"")</f>
        <v/>
      </c>
      <c r="E3059" s="69" t="b">
        <f>IFERROR(__xludf.DUMMYFUNCTION("""COMPUTED_VALUE"""),TRUE)</f>
        <v>1</v>
      </c>
    </row>
    <row r="3060" hidden="1">
      <c r="A3060" s="78"/>
      <c r="B3060" s="78"/>
      <c r="C3060" s="79" t="str">
        <f>IFERROR(__xludf.DUMMYFUNCTION("""COMPUTED_VALUE"""),"")</f>
        <v/>
      </c>
      <c r="D3060" s="79" t="str">
        <f>IFERROR(__xludf.DUMMYFUNCTION("""COMPUTED_VALUE"""),"")</f>
        <v/>
      </c>
      <c r="E3060" s="69" t="b">
        <f>IFERROR(__xludf.DUMMYFUNCTION("""COMPUTED_VALUE"""),TRUE)</f>
        <v>1</v>
      </c>
    </row>
    <row r="3061" hidden="1">
      <c r="A3061" s="78"/>
      <c r="B3061" s="78"/>
      <c r="C3061" s="79" t="str">
        <f>IFERROR(__xludf.DUMMYFUNCTION("""COMPUTED_VALUE"""),"")</f>
        <v/>
      </c>
      <c r="D3061" s="79" t="str">
        <f>IFERROR(__xludf.DUMMYFUNCTION("""COMPUTED_VALUE"""),"")</f>
        <v/>
      </c>
      <c r="E3061" s="69" t="b">
        <f>IFERROR(__xludf.DUMMYFUNCTION("""COMPUTED_VALUE"""),TRUE)</f>
        <v>1</v>
      </c>
    </row>
    <row r="3062" hidden="1">
      <c r="A3062" s="78"/>
      <c r="B3062" s="78"/>
      <c r="C3062" s="79" t="str">
        <f>IFERROR(__xludf.DUMMYFUNCTION("""COMPUTED_VALUE"""),"")</f>
        <v/>
      </c>
      <c r="D3062" s="79" t="str">
        <f>IFERROR(__xludf.DUMMYFUNCTION("""COMPUTED_VALUE"""),"")</f>
        <v/>
      </c>
      <c r="E3062" s="69" t="b">
        <f>IFERROR(__xludf.DUMMYFUNCTION("""COMPUTED_VALUE"""),TRUE)</f>
        <v>1</v>
      </c>
    </row>
    <row r="3063" hidden="1">
      <c r="A3063" s="78"/>
      <c r="B3063" s="78"/>
      <c r="C3063" s="79" t="str">
        <f>IFERROR(__xludf.DUMMYFUNCTION("""COMPUTED_VALUE"""),"")</f>
        <v/>
      </c>
      <c r="D3063" s="79" t="str">
        <f>IFERROR(__xludf.DUMMYFUNCTION("""COMPUTED_VALUE"""),"")</f>
        <v/>
      </c>
      <c r="E3063" s="69" t="b">
        <f>IFERROR(__xludf.DUMMYFUNCTION("""COMPUTED_VALUE"""),TRUE)</f>
        <v>1</v>
      </c>
    </row>
    <row r="3064" hidden="1">
      <c r="A3064" s="78"/>
      <c r="B3064" s="78"/>
      <c r="C3064" s="79" t="str">
        <f>IFERROR(__xludf.DUMMYFUNCTION("""COMPUTED_VALUE"""),"")</f>
        <v/>
      </c>
      <c r="D3064" s="79" t="str">
        <f>IFERROR(__xludf.DUMMYFUNCTION("""COMPUTED_VALUE"""),"")</f>
        <v/>
      </c>
      <c r="E3064" s="69" t="b">
        <f>IFERROR(__xludf.DUMMYFUNCTION("""COMPUTED_VALUE"""),TRUE)</f>
        <v>1</v>
      </c>
    </row>
    <row r="3065" hidden="1">
      <c r="A3065" s="78"/>
      <c r="B3065" s="78"/>
      <c r="C3065" s="79" t="str">
        <f>IFERROR(__xludf.DUMMYFUNCTION("""COMPUTED_VALUE"""),"")</f>
        <v/>
      </c>
      <c r="D3065" s="79" t="str">
        <f>IFERROR(__xludf.DUMMYFUNCTION("""COMPUTED_VALUE"""),"")</f>
        <v/>
      </c>
      <c r="E3065" s="69" t="b">
        <f>IFERROR(__xludf.DUMMYFUNCTION("""COMPUTED_VALUE"""),TRUE)</f>
        <v>1</v>
      </c>
    </row>
    <row r="3066" hidden="1">
      <c r="A3066" s="78"/>
      <c r="B3066" s="78"/>
      <c r="C3066" s="79" t="str">
        <f>IFERROR(__xludf.DUMMYFUNCTION("""COMPUTED_VALUE"""),"")</f>
        <v/>
      </c>
      <c r="D3066" s="79" t="str">
        <f>IFERROR(__xludf.DUMMYFUNCTION("""COMPUTED_VALUE"""),"")</f>
        <v/>
      </c>
      <c r="E3066" s="69" t="b">
        <f>IFERROR(__xludf.DUMMYFUNCTION("""COMPUTED_VALUE"""),TRUE)</f>
        <v>1</v>
      </c>
    </row>
    <row r="3067" hidden="1">
      <c r="A3067" s="78"/>
      <c r="B3067" s="78"/>
      <c r="C3067" s="79" t="str">
        <f>IFERROR(__xludf.DUMMYFUNCTION("""COMPUTED_VALUE"""),"")</f>
        <v/>
      </c>
      <c r="D3067" s="79" t="str">
        <f>IFERROR(__xludf.DUMMYFUNCTION("""COMPUTED_VALUE"""),"")</f>
        <v/>
      </c>
      <c r="E3067" s="69" t="b">
        <f>IFERROR(__xludf.DUMMYFUNCTION("""COMPUTED_VALUE"""),TRUE)</f>
        <v>1</v>
      </c>
    </row>
    <row r="3068" hidden="1">
      <c r="A3068" s="78"/>
      <c r="B3068" s="78"/>
      <c r="C3068" s="79" t="str">
        <f>IFERROR(__xludf.DUMMYFUNCTION("""COMPUTED_VALUE"""),"")</f>
        <v/>
      </c>
      <c r="D3068" s="79" t="str">
        <f>IFERROR(__xludf.DUMMYFUNCTION("""COMPUTED_VALUE"""),"")</f>
        <v/>
      </c>
      <c r="E3068" s="69" t="b">
        <f>IFERROR(__xludf.DUMMYFUNCTION("""COMPUTED_VALUE"""),TRUE)</f>
        <v>1</v>
      </c>
    </row>
    <row r="3069" hidden="1">
      <c r="A3069" s="78"/>
      <c r="B3069" s="78"/>
      <c r="C3069" s="79" t="str">
        <f>IFERROR(__xludf.DUMMYFUNCTION("""COMPUTED_VALUE"""),"")</f>
        <v/>
      </c>
      <c r="D3069" s="79" t="str">
        <f>IFERROR(__xludf.DUMMYFUNCTION("""COMPUTED_VALUE"""),"")</f>
        <v/>
      </c>
      <c r="E3069" s="69" t="b">
        <f>IFERROR(__xludf.DUMMYFUNCTION("""COMPUTED_VALUE"""),TRUE)</f>
        <v>1</v>
      </c>
    </row>
    <row r="3070" hidden="1">
      <c r="A3070" s="78"/>
      <c r="B3070" s="78"/>
      <c r="C3070" s="79" t="str">
        <f>IFERROR(__xludf.DUMMYFUNCTION("""COMPUTED_VALUE"""),"")</f>
        <v/>
      </c>
      <c r="D3070" s="79" t="str">
        <f>IFERROR(__xludf.DUMMYFUNCTION("""COMPUTED_VALUE"""),"")</f>
        <v/>
      </c>
      <c r="E3070" s="69" t="b">
        <f>IFERROR(__xludf.DUMMYFUNCTION("""COMPUTED_VALUE"""),TRUE)</f>
        <v>1</v>
      </c>
    </row>
    <row r="3071" hidden="1">
      <c r="A3071" s="78"/>
      <c r="B3071" s="78"/>
      <c r="C3071" s="79" t="str">
        <f>IFERROR(__xludf.DUMMYFUNCTION("""COMPUTED_VALUE"""),"")</f>
        <v/>
      </c>
      <c r="D3071" s="79" t="str">
        <f>IFERROR(__xludf.DUMMYFUNCTION("""COMPUTED_VALUE"""),"")</f>
        <v/>
      </c>
      <c r="E3071" s="69" t="b">
        <f>IFERROR(__xludf.DUMMYFUNCTION("""COMPUTED_VALUE"""),TRUE)</f>
        <v>1</v>
      </c>
    </row>
    <row r="3072" hidden="1">
      <c r="A3072" s="78"/>
      <c r="B3072" s="78"/>
      <c r="C3072" s="79" t="str">
        <f>IFERROR(__xludf.DUMMYFUNCTION("""COMPUTED_VALUE"""),"")</f>
        <v/>
      </c>
      <c r="D3072" s="79" t="str">
        <f>IFERROR(__xludf.DUMMYFUNCTION("""COMPUTED_VALUE"""),"")</f>
        <v/>
      </c>
      <c r="E3072" s="69" t="b">
        <f>IFERROR(__xludf.DUMMYFUNCTION("""COMPUTED_VALUE"""),TRUE)</f>
        <v>1</v>
      </c>
    </row>
    <row r="3073" hidden="1">
      <c r="A3073" s="78"/>
      <c r="B3073" s="78"/>
      <c r="C3073" s="79" t="str">
        <f>IFERROR(__xludf.DUMMYFUNCTION("""COMPUTED_VALUE"""),"")</f>
        <v/>
      </c>
      <c r="D3073" s="79" t="str">
        <f>IFERROR(__xludf.DUMMYFUNCTION("""COMPUTED_VALUE"""),"")</f>
        <v/>
      </c>
      <c r="E3073" s="69" t="b">
        <f>IFERROR(__xludf.DUMMYFUNCTION("""COMPUTED_VALUE"""),TRUE)</f>
        <v>1</v>
      </c>
    </row>
    <row r="3074" hidden="1">
      <c r="A3074" s="78"/>
      <c r="B3074" s="78"/>
      <c r="C3074" s="79" t="str">
        <f>IFERROR(__xludf.DUMMYFUNCTION("""COMPUTED_VALUE"""),"")</f>
        <v/>
      </c>
      <c r="D3074" s="79" t="str">
        <f>IFERROR(__xludf.DUMMYFUNCTION("""COMPUTED_VALUE"""),"")</f>
        <v/>
      </c>
      <c r="E3074" s="69" t="b">
        <f>IFERROR(__xludf.DUMMYFUNCTION("""COMPUTED_VALUE"""),TRUE)</f>
        <v>1</v>
      </c>
    </row>
    <row r="3075" hidden="1">
      <c r="A3075" s="78"/>
      <c r="B3075" s="78"/>
      <c r="C3075" s="79" t="str">
        <f>IFERROR(__xludf.DUMMYFUNCTION("""COMPUTED_VALUE"""),"")</f>
        <v/>
      </c>
      <c r="D3075" s="79" t="str">
        <f>IFERROR(__xludf.DUMMYFUNCTION("""COMPUTED_VALUE"""),"")</f>
        <v/>
      </c>
      <c r="E3075" s="69" t="b">
        <f>IFERROR(__xludf.DUMMYFUNCTION("""COMPUTED_VALUE"""),TRUE)</f>
        <v>1</v>
      </c>
    </row>
    <row r="3076" hidden="1">
      <c r="A3076" s="78"/>
      <c r="B3076" s="78"/>
      <c r="C3076" s="79" t="str">
        <f>IFERROR(__xludf.DUMMYFUNCTION("""COMPUTED_VALUE"""),"")</f>
        <v/>
      </c>
      <c r="D3076" s="79" t="str">
        <f>IFERROR(__xludf.DUMMYFUNCTION("""COMPUTED_VALUE"""),"")</f>
        <v/>
      </c>
      <c r="E3076" s="69" t="b">
        <f>IFERROR(__xludf.DUMMYFUNCTION("""COMPUTED_VALUE"""),TRUE)</f>
        <v>1</v>
      </c>
    </row>
    <row r="3077" hidden="1">
      <c r="A3077" s="78"/>
      <c r="B3077" s="78"/>
      <c r="C3077" s="79" t="str">
        <f>IFERROR(__xludf.DUMMYFUNCTION("""COMPUTED_VALUE"""),"")</f>
        <v/>
      </c>
      <c r="D3077" s="79" t="str">
        <f>IFERROR(__xludf.DUMMYFUNCTION("""COMPUTED_VALUE"""),"")</f>
        <v/>
      </c>
      <c r="E3077" s="69" t="b">
        <f>IFERROR(__xludf.DUMMYFUNCTION("""COMPUTED_VALUE"""),TRUE)</f>
        <v>1</v>
      </c>
    </row>
    <row r="3078" hidden="1">
      <c r="A3078" s="78"/>
      <c r="B3078" s="78"/>
      <c r="C3078" s="79" t="str">
        <f>IFERROR(__xludf.DUMMYFUNCTION("""COMPUTED_VALUE"""),"")</f>
        <v/>
      </c>
      <c r="D3078" s="79" t="str">
        <f>IFERROR(__xludf.DUMMYFUNCTION("""COMPUTED_VALUE"""),"")</f>
        <v/>
      </c>
      <c r="E3078" s="69" t="b">
        <f>IFERROR(__xludf.DUMMYFUNCTION("""COMPUTED_VALUE"""),TRUE)</f>
        <v>1</v>
      </c>
    </row>
    <row r="3079" hidden="1">
      <c r="A3079" s="78"/>
      <c r="B3079" s="78"/>
      <c r="C3079" s="79" t="str">
        <f>IFERROR(__xludf.DUMMYFUNCTION("""COMPUTED_VALUE"""),"")</f>
        <v/>
      </c>
      <c r="D3079" s="79" t="str">
        <f>IFERROR(__xludf.DUMMYFUNCTION("""COMPUTED_VALUE"""),"")</f>
        <v/>
      </c>
      <c r="E3079" s="69" t="b">
        <f>IFERROR(__xludf.DUMMYFUNCTION("""COMPUTED_VALUE"""),TRUE)</f>
        <v>1</v>
      </c>
    </row>
    <row r="3080" hidden="1">
      <c r="A3080" s="78"/>
      <c r="B3080" s="78"/>
      <c r="C3080" s="79" t="str">
        <f>IFERROR(__xludf.DUMMYFUNCTION("""COMPUTED_VALUE"""),"")</f>
        <v/>
      </c>
      <c r="D3080" s="79" t="str">
        <f>IFERROR(__xludf.DUMMYFUNCTION("""COMPUTED_VALUE"""),"")</f>
        <v/>
      </c>
      <c r="E3080" s="69" t="b">
        <f>IFERROR(__xludf.DUMMYFUNCTION("""COMPUTED_VALUE"""),TRUE)</f>
        <v>1</v>
      </c>
    </row>
    <row r="3081" hidden="1">
      <c r="A3081" s="78"/>
      <c r="B3081" s="78"/>
      <c r="C3081" s="79" t="str">
        <f>IFERROR(__xludf.DUMMYFUNCTION("""COMPUTED_VALUE"""),"")</f>
        <v/>
      </c>
      <c r="D3081" s="79" t="str">
        <f>IFERROR(__xludf.DUMMYFUNCTION("""COMPUTED_VALUE"""),"")</f>
        <v/>
      </c>
      <c r="E3081" s="69" t="b">
        <f>IFERROR(__xludf.DUMMYFUNCTION("""COMPUTED_VALUE"""),TRUE)</f>
        <v>1</v>
      </c>
    </row>
    <row r="3082" hidden="1">
      <c r="A3082" s="78"/>
      <c r="B3082" s="78"/>
      <c r="C3082" s="79" t="str">
        <f>IFERROR(__xludf.DUMMYFUNCTION("""COMPUTED_VALUE"""),"")</f>
        <v/>
      </c>
      <c r="D3082" s="79" t="str">
        <f>IFERROR(__xludf.DUMMYFUNCTION("""COMPUTED_VALUE"""),"")</f>
        <v/>
      </c>
      <c r="E3082" s="69" t="b">
        <f>IFERROR(__xludf.DUMMYFUNCTION("""COMPUTED_VALUE"""),TRUE)</f>
        <v>1</v>
      </c>
    </row>
    <row r="3083" hidden="1">
      <c r="A3083" s="78"/>
      <c r="B3083" s="78"/>
      <c r="C3083" s="79" t="str">
        <f>IFERROR(__xludf.DUMMYFUNCTION("""COMPUTED_VALUE"""),"")</f>
        <v/>
      </c>
      <c r="D3083" s="79" t="str">
        <f>IFERROR(__xludf.DUMMYFUNCTION("""COMPUTED_VALUE"""),"")</f>
        <v/>
      </c>
      <c r="E3083" s="69" t="b">
        <f>IFERROR(__xludf.DUMMYFUNCTION("""COMPUTED_VALUE"""),TRUE)</f>
        <v>1</v>
      </c>
    </row>
    <row r="3084" hidden="1">
      <c r="A3084" s="78"/>
      <c r="B3084" s="78"/>
      <c r="C3084" s="79" t="str">
        <f>IFERROR(__xludf.DUMMYFUNCTION("""COMPUTED_VALUE"""),"")</f>
        <v/>
      </c>
      <c r="D3084" s="79" t="str">
        <f>IFERROR(__xludf.DUMMYFUNCTION("""COMPUTED_VALUE"""),"")</f>
        <v/>
      </c>
      <c r="E3084" s="69" t="b">
        <f>IFERROR(__xludf.DUMMYFUNCTION("""COMPUTED_VALUE"""),TRUE)</f>
        <v>1</v>
      </c>
    </row>
    <row r="3085" hidden="1">
      <c r="A3085" s="78"/>
      <c r="B3085" s="78"/>
      <c r="C3085" s="79" t="str">
        <f>IFERROR(__xludf.DUMMYFUNCTION("""COMPUTED_VALUE"""),"")</f>
        <v/>
      </c>
      <c r="D3085" s="79" t="str">
        <f>IFERROR(__xludf.DUMMYFUNCTION("""COMPUTED_VALUE"""),"")</f>
        <v/>
      </c>
      <c r="E3085" s="69" t="b">
        <f>IFERROR(__xludf.DUMMYFUNCTION("""COMPUTED_VALUE"""),TRUE)</f>
        <v>1</v>
      </c>
    </row>
    <row r="3086" hidden="1">
      <c r="A3086" s="78"/>
      <c r="B3086" s="78"/>
      <c r="C3086" s="79" t="str">
        <f>IFERROR(__xludf.DUMMYFUNCTION("""COMPUTED_VALUE"""),"")</f>
        <v/>
      </c>
      <c r="D3086" s="79" t="str">
        <f>IFERROR(__xludf.DUMMYFUNCTION("""COMPUTED_VALUE"""),"")</f>
        <v/>
      </c>
      <c r="E3086" s="69" t="b">
        <f>IFERROR(__xludf.DUMMYFUNCTION("""COMPUTED_VALUE"""),TRUE)</f>
        <v>1</v>
      </c>
    </row>
    <row r="3087" hidden="1">
      <c r="A3087" s="78"/>
      <c r="B3087" s="78"/>
      <c r="C3087" s="79" t="str">
        <f>IFERROR(__xludf.DUMMYFUNCTION("""COMPUTED_VALUE"""),"")</f>
        <v/>
      </c>
      <c r="D3087" s="79" t="str">
        <f>IFERROR(__xludf.DUMMYFUNCTION("""COMPUTED_VALUE"""),"")</f>
        <v/>
      </c>
      <c r="E3087" s="69" t="b">
        <f>IFERROR(__xludf.DUMMYFUNCTION("""COMPUTED_VALUE"""),TRUE)</f>
        <v>1</v>
      </c>
    </row>
    <row r="3088" hidden="1">
      <c r="A3088" s="78"/>
      <c r="B3088" s="78"/>
      <c r="C3088" s="79" t="str">
        <f>IFERROR(__xludf.DUMMYFUNCTION("""COMPUTED_VALUE"""),"")</f>
        <v/>
      </c>
      <c r="D3088" s="79" t="str">
        <f>IFERROR(__xludf.DUMMYFUNCTION("""COMPUTED_VALUE"""),"")</f>
        <v/>
      </c>
      <c r="E3088" s="69" t="b">
        <f>IFERROR(__xludf.DUMMYFUNCTION("""COMPUTED_VALUE"""),TRUE)</f>
        <v>1</v>
      </c>
    </row>
    <row r="3089" hidden="1">
      <c r="A3089" s="78"/>
      <c r="B3089" s="78"/>
      <c r="C3089" s="79" t="str">
        <f>IFERROR(__xludf.DUMMYFUNCTION("""COMPUTED_VALUE"""),"")</f>
        <v/>
      </c>
      <c r="D3089" s="79" t="str">
        <f>IFERROR(__xludf.DUMMYFUNCTION("""COMPUTED_VALUE"""),"")</f>
        <v/>
      </c>
      <c r="E3089" s="69" t="b">
        <f>IFERROR(__xludf.DUMMYFUNCTION("""COMPUTED_VALUE"""),TRUE)</f>
        <v>1</v>
      </c>
    </row>
    <row r="3090" hidden="1">
      <c r="A3090" s="78"/>
      <c r="B3090" s="78"/>
      <c r="C3090" s="79" t="str">
        <f>IFERROR(__xludf.DUMMYFUNCTION("""COMPUTED_VALUE"""),"")</f>
        <v/>
      </c>
      <c r="D3090" s="79" t="str">
        <f>IFERROR(__xludf.DUMMYFUNCTION("""COMPUTED_VALUE"""),"")</f>
        <v/>
      </c>
      <c r="E3090" s="69" t="b">
        <f>IFERROR(__xludf.DUMMYFUNCTION("""COMPUTED_VALUE"""),TRUE)</f>
        <v>1</v>
      </c>
    </row>
    <row r="3091" hidden="1">
      <c r="A3091" s="78"/>
      <c r="B3091" s="78"/>
      <c r="C3091" s="79" t="str">
        <f>IFERROR(__xludf.DUMMYFUNCTION("""COMPUTED_VALUE"""),"")</f>
        <v/>
      </c>
      <c r="D3091" s="79" t="str">
        <f>IFERROR(__xludf.DUMMYFUNCTION("""COMPUTED_VALUE"""),"")</f>
        <v/>
      </c>
      <c r="E3091" s="69" t="b">
        <f>IFERROR(__xludf.DUMMYFUNCTION("""COMPUTED_VALUE"""),TRUE)</f>
        <v>1</v>
      </c>
    </row>
    <row r="3092" hidden="1">
      <c r="A3092" s="78"/>
      <c r="B3092" s="78"/>
      <c r="C3092" s="79" t="str">
        <f>IFERROR(__xludf.DUMMYFUNCTION("""COMPUTED_VALUE"""),"")</f>
        <v/>
      </c>
      <c r="D3092" s="79" t="str">
        <f>IFERROR(__xludf.DUMMYFUNCTION("""COMPUTED_VALUE"""),"")</f>
        <v/>
      </c>
      <c r="E3092" s="69" t="b">
        <f>IFERROR(__xludf.DUMMYFUNCTION("""COMPUTED_VALUE"""),TRUE)</f>
        <v>1</v>
      </c>
    </row>
    <row r="3093" hidden="1">
      <c r="A3093" s="78"/>
      <c r="B3093" s="78"/>
      <c r="C3093" s="79" t="str">
        <f>IFERROR(__xludf.DUMMYFUNCTION("""COMPUTED_VALUE"""),"")</f>
        <v/>
      </c>
      <c r="D3093" s="79" t="str">
        <f>IFERROR(__xludf.DUMMYFUNCTION("""COMPUTED_VALUE"""),"")</f>
        <v/>
      </c>
      <c r="E3093" s="69" t="b">
        <f>IFERROR(__xludf.DUMMYFUNCTION("""COMPUTED_VALUE"""),TRUE)</f>
        <v>1</v>
      </c>
    </row>
    <row r="3094" hidden="1">
      <c r="A3094" s="78"/>
      <c r="B3094" s="78"/>
      <c r="C3094" s="79" t="str">
        <f>IFERROR(__xludf.DUMMYFUNCTION("""COMPUTED_VALUE"""),"")</f>
        <v/>
      </c>
      <c r="D3094" s="79" t="str">
        <f>IFERROR(__xludf.DUMMYFUNCTION("""COMPUTED_VALUE"""),"")</f>
        <v/>
      </c>
      <c r="E3094" s="69" t="b">
        <f>IFERROR(__xludf.DUMMYFUNCTION("""COMPUTED_VALUE"""),TRUE)</f>
        <v>1</v>
      </c>
    </row>
    <row r="3095" hidden="1">
      <c r="A3095" s="78"/>
      <c r="B3095" s="78"/>
      <c r="C3095" s="79" t="str">
        <f>IFERROR(__xludf.DUMMYFUNCTION("""COMPUTED_VALUE"""),"")</f>
        <v/>
      </c>
      <c r="D3095" s="79" t="str">
        <f>IFERROR(__xludf.DUMMYFUNCTION("""COMPUTED_VALUE"""),"")</f>
        <v/>
      </c>
      <c r="E3095" s="69" t="b">
        <f>IFERROR(__xludf.DUMMYFUNCTION("""COMPUTED_VALUE"""),TRUE)</f>
        <v>1</v>
      </c>
    </row>
    <row r="3096" hidden="1">
      <c r="A3096" s="78"/>
      <c r="B3096" s="78"/>
      <c r="C3096" s="79" t="str">
        <f>IFERROR(__xludf.DUMMYFUNCTION("""COMPUTED_VALUE"""),"")</f>
        <v/>
      </c>
      <c r="D3096" s="79" t="str">
        <f>IFERROR(__xludf.DUMMYFUNCTION("""COMPUTED_VALUE"""),"")</f>
        <v/>
      </c>
      <c r="E3096" s="69" t="b">
        <f>IFERROR(__xludf.DUMMYFUNCTION("""COMPUTED_VALUE"""),TRUE)</f>
        <v>1</v>
      </c>
    </row>
    <row r="3097" hidden="1">
      <c r="A3097" s="78"/>
      <c r="B3097" s="78"/>
      <c r="C3097" s="79" t="str">
        <f>IFERROR(__xludf.DUMMYFUNCTION("""COMPUTED_VALUE"""),"")</f>
        <v/>
      </c>
      <c r="D3097" s="79" t="str">
        <f>IFERROR(__xludf.DUMMYFUNCTION("""COMPUTED_VALUE"""),"")</f>
        <v/>
      </c>
      <c r="E3097" s="69" t="b">
        <f>IFERROR(__xludf.DUMMYFUNCTION("""COMPUTED_VALUE"""),TRUE)</f>
        <v>1</v>
      </c>
    </row>
    <row r="3098" hidden="1">
      <c r="A3098" s="78"/>
      <c r="B3098" s="78"/>
      <c r="C3098" s="79" t="str">
        <f>IFERROR(__xludf.DUMMYFUNCTION("""COMPUTED_VALUE"""),"")</f>
        <v/>
      </c>
      <c r="D3098" s="79" t="str">
        <f>IFERROR(__xludf.DUMMYFUNCTION("""COMPUTED_VALUE"""),"")</f>
        <v/>
      </c>
      <c r="E3098" s="69" t="b">
        <f>IFERROR(__xludf.DUMMYFUNCTION("""COMPUTED_VALUE"""),TRUE)</f>
        <v>1</v>
      </c>
    </row>
    <row r="3099" hidden="1">
      <c r="A3099" s="78"/>
      <c r="B3099" s="78"/>
      <c r="C3099" s="79" t="str">
        <f>IFERROR(__xludf.DUMMYFUNCTION("""COMPUTED_VALUE"""),"")</f>
        <v/>
      </c>
      <c r="D3099" s="79" t="str">
        <f>IFERROR(__xludf.DUMMYFUNCTION("""COMPUTED_VALUE"""),"")</f>
        <v/>
      </c>
      <c r="E3099" s="69" t="b">
        <f>IFERROR(__xludf.DUMMYFUNCTION("""COMPUTED_VALUE"""),TRUE)</f>
        <v>1</v>
      </c>
    </row>
    <row r="3100" hidden="1">
      <c r="A3100" s="78"/>
      <c r="B3100" s="78"/>
      <c r="C3100" s="79" t="str">
        <f>IFERROR(__xludf.DUMMYFUNCTION("""COMPUTED_VALUE"""),"")</f>
        <v/>
      </c>
      <c r="D3100" s="79" t="str">
        <f>IFERROR(__xludf.DUMMYFUNCTION("""COMPUTED_VALUE"""),"")</f>
        <v/>
      </c>
      <c r="E3100" s="69" t="b">
        <f>IFERROR(__xludf.DUMMYFUNCTION("""COMPUTED_VALUE"""),TRUE)</f>
        <v>1</v>
      </c>
    </row>
    <row r="3101" hidden="1">
      <c r="A3101" s="78"/>
      <c r="B3101" s="78"/>
      <c r="C3101" s="79" t="str">
        <f>IFERROR(__xludf.DUMMYFUNCTION("""COMPUTED_VALUE"""),"")</f>
        <v/>
      </c>
      <c r="D3101" s="79" t="str">
        <f>IFERROR(__xludf.DUMMYFUNCTION("""COMPUTED_VALUE"""),"")</f>
        <v/>
      </c>
      <c r="E3101" s="69" t="b">
        <f>IFERROR(__xludf.DUMMYFUNCTION("""COMPUTED_VALUE"""),TRUE)</f>
        <v>1</v>
      </c>
    </row>
    <row r="3102" hidden="1">
      <c r="A3102" s="78"/>
      <c r="B3102" s="78"/>
      <c r="C3102" s="79" t="str">
        <f>IFERROR(__xludf.DUMMYFUNCTION("""COMPUTED_VALUE"""),"")</f>
        <v/>
      </c>
      <c r="D3102" s="79" t="str">
        <f>IFERROR(__xludf.DUMMYFUNCTION("""COMPUTED_VALUE"""),"")</f>
        <v/>
      </c>
      <c r="E3102" s="69" t="b">
        <f>IFERROR(__xludf.DUMMYFUNCTION("""COMPUTED_VALUE"""),TRUE)</f>
        <v>1</v>
      </c>
    </row>
    <row r="3103" hidden="1">
      <c r="A3103" s="78"/>
      <c r="B3103" s="78"/>
      <c r="C3103" s="79" t="str">
        <f>IFERROR(__xludf.DUMMYFUNCTION("""COMPUTED_VALUE"""),"")</f>
        <v/>
      </c>
      <c r="D3103" s="79" t="str">
        <f>IFERROR(__xludf.DUMMYFUNCTION("""COMPUTED_VALUE"""),"")</f>
        <v/>
      </c>
      <c r="E3103" s="69" t="b">
        <f>IFERROR(__xludf.DUMMYFUNCTION("""COMPUTED_VALUE"""),TRUE)</f>
        <v>1</v>
      </c>
    </row>
    <row r="3104" hidden="1">
      <c r="A3104" s="78"/>
      <c r="B3104" s="78"/>
      <c r="C3104" s="79" t="str">
        <f>IFERROR(__xludf.DUMMYFUNCTION("""COMPUTED_VALUE"""),"")</f>
        <v/>
      </c>
      <c r="D3104" s="79" t="str">
        <f>IFERROR(__xludf.DUMMYFUNCTION("""COMPUTED_VALUE"""),"")</f>
        <v/>
      </c>
      <c r="E3104" s="69" t="b">
        <f>IFERROR(__xludf.DUMMYFUNCTION("""COMPUTED_VALUE"""),TRUE)</f>
        <v>1</v>
      </c>
    </row>
    <row r="3105" hidden="1">
      <c r="A3105" s="78"/>
      <c r="B3105" s="78"/>
      <c r="C3105" s="79" t="str">
        <f>IFERROR(__xludf.DUMMYFUNCTION("""COMPUTED_VALUE"""),"")</f>
        <v/>
      </c>
      <c r="D3105" s="79" t="str">
        <f>IFERROR(__xludf.DUMMYFUNCTION("""COMPUTED_VALUE"""),"")</f>
        <v/>
      </c>
      <c r="E3105" s="69" t="b">
        <f>IFERROR(__xludf.DUMMYFUNCTION("""COMPUTED_VALUE"""),TRUE)</f>
        <v>1</v>
      </c>
    </row>
    <row r="3106" hidden="1">
      <c r="A3106" s="78"/>
      <c r="B3106" s="78"/>
      <c r="C3106" s="79" t="str">
        <f>IFERROR(__xludf.DUMMYFUNCTION("""COMPUTED_VALUE"""),"")</f>
        <v/>
      </c>
      <c r="D3106" s="79" t="str">
        <f>IFERROR(__xludf.DUMMYFUNCTION("""COMPUTED_VALUE"""),"")</f>
        <v/>
      </c>
      <c r="E3106" s="69" t="b">
        <f>IFERROR(__xludf.DUMMYFUNCTION("""COMPUTED_VALUE"""),TRUE)</f>
        <v>1</v>
      </c>
    </row>
    <row r="3107" hidden="1">
      <c r="A3107" s="78"/>
      <c r="B3107" s="78"/>
      <c r="C3107" s="79" t="str">
        <f>IFERROR(__xludf.DUMMYFUNCTION("""COMPUTED_VALUE"""),"")</f>
        <v/>
      </c>
      <c r="D3107" s="79" t="str">
        <f>IFERROR(__xludf.DUMMYFUNCTION("""COMPUTED_VALUE"""),"")</f>
        <v/>
      </c>
      <c r="E3107" s="69" t="b">
        <f>IFERROR(__xludf.DUMMYFUNCTION("""COMPUTED_VALUE"""),TRUE)</f>
        <v>1</v>
      </c>
    </row>
    <row r="3108" hidden="1">
      <c r="A3108" s="78"/>
      <c r="B3108" s="78"/>
      <c r="C3108" s="79" t="str">
        <f>IFERROR(__xludf.DUMMYFUNCTION("""COMPUTED_VALUE"""),"")</f>
        <v/>
      </c>
      <c r="D3108" s="79" t="str">
        <f>IFERROR(__xludf.DUMMYFUNCTION("""COMPUTED_VALUE"""),"")</f>
        <v/>
      </c>
      <c r="E3108" s="69" t="b">
        <f>IFERROR(__xludf.DUMMYFUNCTION("""COMPUTED_VALUE"""),TRUE)</f>
        <v>1</v>
      </c>
    </row>
    <row r="3109" hidden="1">
      <c r="A3109" s="78"/>
      <c r="B3109" s="78"/>
      <c r="C3109" s="79" t="str">
        <f>IFERROR(__xludf.DUMMYFUNCTION("""COMPUTED_VALUE"""),"")</f>
        <v/>
      </c>
      <c r="D3109" s="79" t="str">
        <f>IFERROR(__xludf.DUMMYFUNCTION("""COMPUTED_VALUE"""),"")</f>
        <v/>
      </c>
      <c r="E3109" s="69" t="b">
        <f>IFERROR(__xludf.DUMMYFUNCTION("""COMPUTED_VALUE"""),TRUE)</f>
        <v>1</v>
      </c>
    </row>
    <row r="3110" hidden="1">
      <c r="A3110" s="78"/>
      <c r="B3110" s="78"/>
      <c r="C3110" s="79" t="str">
        <f>IFERROR(__xludf.DUMMYFUNCTION("""COMPUTED_VALUE"""),"")</f>
        <v/>
      </c>
      <c r="D3110" s="79" t="str">
        <f>IFERROR(__xludf.DUMMYFUNCTION("""COMPUTED_VALUE"""),"")</f>
        <v/>
      </c>
      <c r="E3110" s="69" t="b">
        <f>IFERROR(__xludf.DUMMYFUNCTION("""COMPUTED_VALUE"""),TRUE)</f>
        <v>1</v>
      </c>
    </row>
    <row r="3111" hidden="1">
      <c r="A3111" s="78"/>
      <c r="B3111" s="78"/>
      <c r="C3111" s="79" t="str">
        <f>IFERROR(__xludf.DUMMYFUNCTION("""COMPUTED_VALUE"""),"")</f>
        <v/>
      </c>
      <c r="D3111" s="79" t="str">
        <f>IFERROR(__xludf.DUMMYFUNCTION("""COMPUTED_VALUE"""),"")</f>
        <v/>
      </c>
      <c r="E3111" s="69" t="b">
        <f>IFERROR(__xludf.DUMMYFUNCTION("""COMPUTED_VALUE"""),TRUE)</f>
        <v>1</v>
      </c>
    </row>
    <row r="3112" hidden="1">
      <c r="A3112" s="78"/>
      <c r="B3112" s="78"/>
      <c r="C3112" s="79" t="str">
        <f>IFERROR(__xludf.DUMMYFUNCTION("""COMPUTED_VALUE"""),"")</f>
        <v/>
      </c>
      <c r="D3112" s="79" t="str">
        <f>IFERROR(__xludf.DUMMYFUNCTION("""COMPUTED_VALUE"""),"")</f>
        <v/>
      </c>
      <c r="E3112" s="69" t="b">
        <f>IFERROR(__xludf.DUMMYFUNCTION("""COMPUTED_VALUE"""),TRUE)</f>
        <v>1</v>
      </c>
    </row>
    <row r="3113" hidden="1">
      <c r="A3113" s="78"/>
      <c r="B3113" s="78"/>
      <c r="C3113" s="79" t="str">
        <f>IFERROR(__xludf.DUMMYFUNCTION("""COMPUTED_VALUE"""),"")</f>
        <v/>
      </c>
      <c r="D3113" s="79" t="str">
        <f>IFERROR(__xludf.DUMMYFUNCTION("""COMPUTED_VALUE"""),"")</f>
        <v/>
      </c>
      <c r="E3113" s="69" t="b">
        <f>IFERROR(__xludf.DUMMYFUNCTION("""COMPUTED_VALUE"""),TRUE)</f>
        <v>1</v>
      </c>
    </row>
    <row r="3114" hidden="1">
      <c r="A3114" s="78"/>
      <c r="B3114" s="78"/>
      <c r="C3114" s="79" t="str">
        <f>IFERROR(__xludf.DUMMYFUNCTION("""COMPUTED_VALUE"""),"")</f>
        <v/>
      </c>
      <c r="D3114" s="79" t="str">
        <f>IFERROR(__xludf.DUMMYFUNCTION("""COMPUTED_VALUE"""),"")</f>
        <v/>
      </c>
      <c r="E3114" s="69" t="b">
        <f>IFERROR(__xludf.DUMMYFUNCTION("""COMPUTED_VALUE"""),TRUE)</f>
        <v>1</v>
      </c>
    </row>
    <row r="3115" hidden="1">
      <c r="A3115" s="78"/>
      <c r="B3115" s="78"/>
      <c r="C3115" s="79" t="str">
        <f>IFERROR(__xludf.DUMMYFUNCTION("""COMPUTED_VALUE"""),"")</f>
        <v/>
      </c>
      <c r="D3115" s="79" t="str">
        <f>IFERROR(__xludf.DUMMYFUNCTION("""COMPUTED_VALUE"""),"")</f>
        <v/>
      </c>
      <c r="E3115" s="69" t="b">
        <f>IFERROR(__xludf.DUMMYFUNCTION("""COMPUTED_VALUE"""),TRUE)</f>
        <v>1</v>
      </c>
    </row>
    <row r="3116" hidden="1">
      <c r="A3116" s="78"/>
      <c r="B3116" s="78"/>
      <c r="C3116" s="79" t="str">
        <f>IFERROR(__xludf.DUMMYFUNCTION("""COMPUTED_VALUE"""),"")</f>
        <v/>
      </c>
      <c r="D3116" s="79" t="str">
        <f>IFERROR(__xludf.DUMMYFUNCTION("""COMPUTED_VALUE"""),"")</f>
        <v/>
      </c>
      <c r="E3116" s="69" t="b">
        <f>IFERROR(__xludf.DUMMYFUNCTION("""COMPUTED_VALUE"""),TRUE)</f>
        <v>1</v>
      </c>
    </row>
    <row r="3117" hidden="1">
      <c r="A3117" s="78"/>
      <c r="B3117" s="78"/>
      <c r="C3117" s="79" t="str">
        <f>IFERROR(__xludf.DUMMYFUNCTION("""COMPUTED_VALUE"""),"")</f>
        <v/>
      </c>
      <c r="D3117" s="79" t="str">
        <f>IFERROR(__xludf.DUMMYFUNCTION("""COMPUTED_VALUE"""),"")</f>
        <v/>
      </c>
      <c r="E3117" s="69" t="b">
        <f>IFERROR(__xludf.DUMMYFUNCTION("""COMPUTED_VALUE"""),TRUE)</f>
        <v>1</v>
      </c>
    </row>
    <row r="3118" hidden="1">
      <c r="A3118" s="78"/>
      <c r="B3118" s="78"/>
      <c r="C3118" s="79" t="str">
        <f>IFERROR(__xludf.DUMMYFUNCTION("""COMPUTED_VALUE"""),"")</f>
        <v/>
      </c>
      <c r="D3118" s="79" t="str">
        <f>IFERROR(__xludf.DUMMYFUNCTION("""COMPUTED_VALUE"""),"")</f>
        <v/>
      </c>
      <c r="E3118" s="69" t="b">
        <f>IFERROR(__xludf.DUMMYFUNCTION("""COMPUTED_VALUE"""),TRUE)</f>
        <v>1</v>
      </c>
    </row>
    <row r="3119" hidden="1">
      <c r="A3119" s="78"/>
      <c r="B3119" s="78"/>
      <c r="C3119" s="79" t="str">
        <f>IFERROR(__xludf.DUMMYFUNCTION("""COMPUTED_VALUE"""),"")</f>
        <v/>
      </c>
      <c r="D3119" s="79" t="str">
        <f>IFERROR(__xludf.DUMMYFUNCTION("""COMPUTED_VALUE"""),"")</f>
        <v/>
      </c>
      <c r="E3119" s="69" t="b">
        <f>IFERROR(__xludf.DUMMYFUNCTION("""COMPUTED_VALUE"""),TRUE)</f>
        <v>1</v>
      </c>
    </row>
    <row r="3120" hidden="1">
      <c r="A3120" s="78"/>
      <c r="B3120" s="78"/>
      <c r="C3120" s="79" t="str">
        <f>IFERROR(__xludf.DUMMYFUNCTION("""COMPUTED_VALUE"""),"")</f>
        <v/>
      </c>
      <c r="D3120" s="79" t="str">
        <f>IFERROR(__xludf.DUMMYFUNCTION("""COMPUTED_VALUE"""),"")</f>
        <v/>
      </c>
      <c r="E3120" s="69" t="b">
        <f>IFERROR(__xludf.DUMMYFUNCTION("""COMPUTED_VALUE"""),TRUE)</f>
        <v>1</v>
      </c>
    </row>
    <row r="3121" hidden="1">
      <c r="A3121" s="78"/>
      <c r="B3121" s="78"/>
      <c r="C3121" s="79" t="str">
        <f>IFERROR(__xludf.DUMMYFUNCTION("""COMPUTED_VALUE"""),"")</f>
        <v/>
      </c>
      <c r="D3121" s="79" t="str">
        <f>IFERROR(__xludf.DUMMYFUNCTION("""COMPUTED_VALUE"""),"")</f>
        <v/>
      </c>
      <c r="E3121" s="69" t="b">
        <f>IFERROR(__xludf.DUMMYFUNCTION("""COMPUTED_VALUE"""),TRUE)</f>
        <v>1</v>
      </c>
    </row>
    <row r="3122" hidden="1">
      <c r="A3122" s="78"/>
      <c r="B3122" s="78"/>
      <c r="C3122" s="79" t="str">
        <f>IFERROR(__xludf.DUMMYFUNCTION("""COMPUTED_VALUE"""),"")</f>
        <v/>
      </c>
      <c r="D3122" s="79" t="str">
        <f>IFERROR(__xludf.DUMMYFUNCTION("""COMPUTED_VALUE"""),"")</f>
        <v/>
      </c>
      <c r="E3122" s="69" t="b">
        <f>IFERROR(__xludf.DUMMYFUNCTION("""COMPUTED_VALUE"""),TRUE)</f>
        <v>1</v>
      </c>
    </row>
    <row r="3123" hidden="1">
      <c r="A3123" s="78"/>
      <c r="B3123" s="78"/>
      <c r="C3123" s="79" t="str">
        <f>IFERROR(__xludf.DUMMYFUNCTION("""COMPUTED_VALUE"""),"")</f>
        <v/>
      </c>
      <c r="D3123" s="79" t="str">
        <f>IFERROR(__xludf.DUMMYFUNCTION("""COMPUTED_VALUE"""),"")</f>
        <v/>
      </c>
      <c r="E3123" s="69" t="b">
        <f>IFERROR(__xludf.DUMMYFUNCTION("""COMPUTED_VALUE"""),TRUE)</f>
        <v>1</v>
      </c>
    </row>
    <row r="3124" hidden="1">
      <c r="A3124" s="78"/>
      <c r="B3124" s="78"/>
      <c r="C3124" s="79" t="str">
        <f>IFERROR(__xludf.DUMMYFUNCTION("""COMPUTED_VALUE"""),"")</f>
        <v/>
      </c>
      <c r="D3124" s="79" t="str">
        <f>IFERROR(__xludf.DUMMYFUNCTION("""COMPUTED_VALUE"""),"")</f>
        <v/>
      </c>
      <c r="E3124" s="69" t="b">
        <f>IFERROR(__xludf.DUMMYFUNCTION("""COMPUTED_VALUE"""),TRUE)</f>
        <v>1</v>
      </c>
    </row>
    <row r="3125" hidden="1">
      <c r="A3125" s="78"/>
      <c r="B3125" s="78"/>
      <c r="C3125" s="79" t="str">
        <f>IFERROR(__xludf.DUMMYFUNCTION("""COMPUTED_VALUE"""),"")</f>
        <v/>
      </c>
      <c r="D3125" s="79" t="str">
        <f>IFERROR(__xludf.DUMMYFUNCTION("""COMPUTED_VALUE"""),"")</f>
        <v/>
      </c>
      <c r="E3125" s="69" t="b">
        <f>IFERROR(__xludf.DUMMYFUNCTION("""COMPUTED_VALUE"""),TRUE)</f>
        <v>1</v>
      </c>
    </row>
    <row r="3126" hidden="1">
      <c r="A3126" s="78"/>
      <c r="B3126" s="78"/>
      <c r="C3126" s="79" t="str">
        <f>IFERROR(__xludf.DUMMYFUNCTION("""COMPUTED_VALUE"""),"")</f>
        <v/>
      </c>
      <c r="D3126" s="79" t="str">
        <f>IFERROR(__xludf.DUMMYFUNCTION("""COMPUTED_VALUE"""),"")</f>
        <v/>
      </c>
      <c r="E3126" s="69" t="b">
        <f>IFERROR(__xludf.DUMMYFUNCTION("""COMPUTED_VALUE"""),TRUE)</f>
        <v>1</v>
      </c>
    </row>
    <row r="3127" hidden="1">
      <c r="A3127" s="78"/>
      <c r="B3127" s="78"/>
      <c r="C3127" s="79" t="str">
        <f>IFERROR(__xludf.DUMMYFUNCTION("""COMPUTED_VALUE"""),"")</f>
        <v/>
      </c>
      <c r="D3127" s="79" t="str">
        <f>IFERROR(__xludf.DUMMYFUNCTION("""COMPUTED_VALUE"""),"")</f>
        <v/>
      </c>
      <c r="E3127" s="69" t="b">
        <f>IFERROR(__xludf.DUMMYFUNCTION("""COMPUTED_VALUE"""),TRUE)</f>
        <v>1</v>
      </c>
    </row>
    <row r="3128" hidden="1">
      <c r="A3128" s="78"/>
      <c r="B3128" s="78"/>
      <c r="C3128" s="79" t="str">
        <f>IFERROR(__xludf.DUMMYFUNCTION("""COMPUTED_VALUE"""),"")</f>
        <v/>
      </c>
      <c r="D3128" s="79" t="str">
        <f>IFERROR(__xludf.DUMMYFUNCTION("""COMPUTED_VALUE"""),"")</f>
        <v/>
      </c>
      <c r="E3128" s="69" t="b">
        <f>IFERROR(__xludf.DUMMYFUNCTION("""COMPUTED_VALUE"""),TRUE)</f>
        <v>1</v>
      </c>
    </row>
    <row r="3129" hidden="1">
      <c r="A3129" s="78"/>
      <c r="B3129" s="78"/>
      <c r="C3129" s="79" t="str">
        <f>IFERROR(__xludf.DUMMYFUNCTION("""COMPUTED_VALUE"""),"")</f>
        <v/>
      </c>
      <c r="D3129" s="79" t="str">
        <f>IFERROR(__xludf.DUMMYFUNCTION("""COMPUTED_VALUE"""),"")</f>
        <v/>
      </c>
      <c r="E3129" s="69" t="b">
        <f>IFERROR(__xludf.DUMMYFUNCTION("""COMPUTED_VALUE"""),TRUE)</f>
        <v>1</v>
      </c>
    </row>
    <row r="3130" hidden="1">
      <c r="A3130" s="78"/>
      <c r="B3130" s="78"/>
      <c r="C3130" s="79" t="str">
        <f>IFERROR(__xludf.DUMMYFUNCTION("""COMPUTED_VALUE"""),"")</f>
        <v/>
      </c>
      <c r="D3130" s="79" t="str">
        <f>IFERROR(__xludf.DUMMYFUNCTION("""COMPUTED_VALUE"""),"")</f>
        <v/>
      </c>
      <c r="E3130" s="69" t="b">
        <f>IFERROR(__xludf.DUMMYFUNCTION("""COMPUTED_VALUE"""),TRUE)</f>
        <v>1</v>
      </c>
    </row>
    <row r="3131" hidden="1">
      <c r="A3131" s="78"/>
      <c r="B3131" s="78"/>
      <c r="C3131" s="79" t="str">
        <f>IFERROR(__xludf.DUMMYFUNCTION("""COMPUTED_VALUE"""),"")</f>
        <v/>
      </c>
      <c r="D3131" s="79" t="str">
        <f>IFERROR(__xludf.DUMMYFUNCTION("""COMPUTED_VALUE"""),"")</f>
        <v/>
      </c>
      <c r="E3131" s="69" t="b">
        <f>IFERROR(__xludf.DUMMYFUNCTION("""COMPUTED_VALUE"""),TRUE)</f>
        <v>1</v>
      </c>
    </row>
    <row r="3132" hidden="1">
      <c r="A3132" s="78"/>
      <c r="B3132" s="78"/>
      <c r="C3132" s="79" t="str">
        <f>IFERROR(__xludf.DUMMYFUNCTION("""COMPUTED_VALUE"""),"")</f>
        <v/>
      </c>
      <c r="D3132" s="79" t="str">
        <f>IFERROR(__xludf.DUMMYFUNCTION("""COMPUTED_VALUE"""),"")</f>
        <v/>
      </c>
      <c r="E3132" s="69" t="b">
        <f>IFERROR(__xludf.DUMMYFUNCTION("""COMPUTED_VALUE"""),TRUE)</f>
        <v>1</v>
      </c>
    </row>
    <row r="3133" hidden="1">
      <c r="A3133" s="78"/>
      <c r="B3133" s="78"/>
      <c r="C3133" s="79" t="str">
        <f>IFERROR(__xludf.DUMMYFUNCTION("""COMPUTED_VALUE"""),"")</f>
        <v/>
      </c>
      <c r="D3133" s="79" t="str">
        <f>IFERROR(__xludf.DUMMYFUNCTION("""COMPUTED_VALUE"""),"")</f>
        <v/>
      </c>
      <c r="E3133" s="69" t="b">
        <f>IFERROR(__xludf.DUMMYFUNCTION("""COMPUTED_VALUE"""),TRUE)</f>
        <v>1</v>
      </c>
    </row>
    <row r="3134" hidden="1">
      <c r="A3134" s="78"/>
      <c r="B3134" s="78"/>
      <c r="C3134" s="79" t="str">
        <f>IFERROR(__xludf.DUMMYFUNCTION("""COMPUTED_VALUE"""),"")</f>
        <v/>
      </c>
      <c r="D3134" s="79" t="str">
        <f>IFERROR(__xludf.DUMMYFUNCTION("""COMPUTED_VALUE"""),"")</f>
        <v/>
      </c>
      <c r="E3134" s="69" t="b">
        <f>IFERROR(__xludf.DUMMYFUNCTION("""COMPUTED_VALUE"""),TRUE)</f>
        <v>1</v>
      </c>
    </row>
    <row r="3135" hidden="1">
      <c r="A3135" s="78"/>
      <c r="B3135" s="78"/>
      <c r="C3135" s="79" t="str">
        <f>IFERROR(__xludf.DUMMYFUNCTION("""COMPUTED_VALUE"""),"")</f>
        <v/>
      </c>
      <c r="D3135" s="79" t="str">
        <f>IFERROR(__xludf.DUMMYFUNCTION("""COMPUTED_VALUE"""),"")</f>
        <v/>
      </c>
      <c r="E3135" s="69" t="b">
        <f>IFERROR(__xludf.DUMMYFUNCTION("""COMPUTED_VALUE"""),TRUE)</f>
        <v>1</v>
      </c>
    </row>
    <row r="3136" hidden="1">
      <c r="A3136" s="78"/>
      <c r="B3136" s="78"/>
      <c r="C3136" s="79" t="str">
        <f>IFERROR(__xludf.DUMMYFUNCTION("""COMPUTED_VALUE"""),"")</f>
        <v/>
      </c>
      <c r="D3136" s="79" t="str">
        <f>IFERROR(__xludf.DUMMYFUNCTION("""COMPUTED_VALUE"""),"")</f>
        <v/>
      </c>
      <c r="E3136" s="69" t="b">
        <f>IFERROR(__xludf.DUMMYFUNCTION("""COMPUTED_VALUE"""),TRUE)</f>
        <v>1</v>
      </c>
    </row>
    <row r="3137" hidden="1">
      <c r="A3137" s="78"/>
      <c r="B3137" s="78"/>
      <c r="C3137" s="79" t="str">
        <f>IFERROR(__xludf.DUMMYFUNCTION("""COMPUTED_VALUE"""),"")</f>
        <v/>
      </c>
      <c r="D3137" s="79" t="str">
        <f>IFERROR(__xludf.DUMMYFUNCTION("""COMPUTED_VALUE"""),"")</f>
        <v/>
      </c>
      <c r="E3137" s="69" t="b">
        <f>IFERROR(__xludf.DUMMYFUNCTION("""COMPUTED_VALUE"""),TRUE)</f>
        <v>1</v>
      </c>
    </row>
    <row r="3138" hidden="1">
      <c r="A3138" s="78"/>
      <c r="B3138" s="78"/>
      <c r="C3138" s="79" t="str">
        <f>IFERROR(__xludf.DUMMYFUNCTION("""COMPUTED_VALUE"""),"")</f>
        <v/>
      </c>
      <c r="D3138" s="79" t="str">
        <f>IFERROR(__xludf.DUMMYFUNCTION("""COMPUTED_VALUE"""),"")</f>
        <v/>
      </c>
      <c r="E3138" s="69" t="b">
        <f>IFERROR(__xludf.DUMMYFUNCTION("""COMPUTED_VALUE"""),TRUE)</f>
        <v>1</v>
      </c>
    </row>
    <row r="3139" hidden="1">
      <c r="A3139" s="78"/>
      <c r="B3139" s="78"/>
      <c r="C3139" s="79" t="str">
        <f>IFERROR(__xludf.DUMMYFUNCTION("""COMPUTED_VALUE"""),"")</f>
        <v/>
      </c>
      <c r="D3139" s="79" t="str">
        <f>IFERROR(__xludf.DUMMYFUNCTION("""COMPUTED_VALUE"""),"")</f>
        <v/>
      </c>
      <c r="E3139" s="69" t="b">
        <f>IFERROR(__xludf.DUMMYFUNCTION("""COMPUTED_VALUE"""),TRUE)</f>
        <v>1</v>
      </c>
    </row>
    <row r="3140" hidden="1">
      <c r="A3140" s="78"/>
      <c r="B3140" s="78"/>
      <c r="C3140" s="79" t="str">
        <f>IFERROR(__xludf.DUMMYFUNCTION("""COMPUTED_VALUE"""),"")</f>
        <v/>
      </c>
      <c r="D3140" s="79" t="str">
        <f>IFERROR(__xludf.DUMMYFUNCTION("""COMPUTED_VALUE"""),"")</f>
        <v/>
      </c>
      <c r="E3140" s="69" t="b">
        <f>IFERROR(__xludf.DUMMYFUNCTION("""COMPUTED_VALUE"""),TRUE)</f>
        <v>1</v>
      </c>
    </row>
    <row r="3141" hidden="1">
      <c r="A3141" s="78"/>
      <c r="B3141" s="78"/>
      <c r="C3141" s="79" t="str">
        <f>IFERROR(__xludf.DUMMYFUNCTION("""COMPUTED_VALUE"""),"")</f>
        <v/>
      </c>
      <c r="D3141" s="79" t="str">
        <f>IFERROR(__xludf.DUMMYFUNCTION("""COMPUTED_VALUE"""),"")</f>
        <v/>
      </c>
      <c r="E3141" s="69" t="b">
        <f>IFERROR(__xludf.DUMMYFUNCTION("""COMPUTED_VALUE"""),TRUE)</f>
        <v>1</v>
      </c>
    </row>
    <row r="3142" hidden="1">
      <c r="A3142" s="78"/>
      <c r="B3142" s="78"/>
      <c r="C3142" s="79" t="str">
        <f>IFERROR(__xludf.DUMMYFUNCTION("""COMPUTED_VALUE"""),"")</f>
        <v/>
      </c>
      <c r="D3142" s="79" t="str">
        <f>IFERROR(__xludf.DUMMYFUNCTION("""COMPUTED_VALUE"""),"")</f>
        <v/>
      </c>
      <c r="E3142" s="69" t="b">
        <f>IFERROR(__xludf.DUMMYFUNCTION("""COMPUTED_VALUE"""),TRUE)</f>
        <v>1</v>
      </c>
    </row>
    <row r="3143" hidden="1">
      <c r="A3143" s="78"/>
      <c r="B3143" s="78"/>
      <c r="C3143" s="79" t="str">
        <f>IFERROR(__xludf.DUMMYFUNCTION("""COMPUTED_VALUE"""),"")</f>
        <v/>
      </c>
      <c r="D3143" s="79" t="str">
        <f>IFERROR(__xludf.DUMMYFUNCTION("""COMPUTED_VALUE"""),"")</f>
        <v/>
      </c>
      <c r="E3143" s="69" t="b">
        <f>IFERROR(__xludf.DUMMYFUNCTION("""COMPUTED_VALUE"""),TRUE)</f>
        <v>1</v>
      </c>
    </row>
    <row r="3144" hidden="1">
      <c r="A3144" s="78"/>
      <c r="B3144" s="78"/>
      <c r="C3144" s="79" t="str">
        <f>IFERROR(__xludf.DUMMYFUNCTION("""COMPUTED_VALUE"""),"")</f>
        <v/>
      </c>
      <c r="D3144" s="79" t="str">
        <f>IFERROR(__xludf.DUMMYFUNCTION("""COMPUTED_VALUE"""),"")</f>
        <v/>
      </c>
      <c r="E3144" s="69" t="b">
        <f>IFERROR(__xludf.DUMMYFUNCTION("""COMPUTED_VALUE"""),TRUE)</f>
        <v>1</v>
      </c>
    </row>
    <row r="3145" hidden="1">
      <c r="A3145" s="78"/>
      <c r="B3145" s="78"/>
      <c r="C3145" s="79" t="str">
        <f>IFERROR(__xludf.DUMMYFUNCTION("""COMPUTED_VALUE"""),"")</f>
        <v/>
      </c>
      <c r="D3145" s="79" t="str">
        <f>IFERROR(__xludf.DUMMYFUNCTION("""COMPUTED_VALUE"""),"")</f>
        <v/>
      </c>
      <c r="E3145" s="69" t="b">
        <f>IFERROR(__xludf.DUMMYFUNCTION("""COMPUTED_VALUE"""),TRUE)</f>
        <v>1</v>
      </c>
    </row>
    <row r="3146" hidden="1">
      <c r="A3146" s="78"/>
      <c r="B3146" s="78"/>
      <c r="C3146" s="79" t="str">
        <f>IFERROR(__xludf.DUMMYFUNCTION("""COMPUTED_VALUE"""),"")</f>
        <v/>
      </c>
      <c r="D3146" s="79" t="str">
        <f>IFERROR(__xludf.DUMMYFUNCTION("""COMPUTED_VALUE"""),"")</f>
        <v/>
      </c>
      <c r="E3146" s="69" t="b">
        <f>IFERROR(__xludf.DUMMYFUNCTION("""COMPUTED_VALUE"""),TRUE)</f>
        <v>1</v>
      </c>
    </row>
    <row r="3147" hidden="1">
      <c r="A3147" s="78"/>
      <c r="B3147" s="78"/>
      <c r="C3147" s="79" t="str">
        <f>IFERROR(__xludf.DUMMYFUNCTION("""COMPUTED_VALUE"""),"")</f>
        <v/>
      </c>
      <c r="D3147" s="79" t="str">
        <f>IFERROR(__xludf.DUMMYFUNCTION("""COMPUTED_VALUE"""),"")</f>
        <v/>
      </c>
      <c r="E3147" s="69" t="b">
        <f>IFERROR(__xludf.DUMMYFUNCTION("""COMPUTED_VALUE"""),TRUE)</f>
        <v>1</v>
      </c>
    </row>
    <row r="3148" hidden="1">
      <c r="A3148" s="78"/>
      <c r="B3148" s="78"/>
      <c r="C3148" s="79" t="str">
        <f>IFERROR(__xludf.DUMMYFUNCTION("""COMPUTED_VALUE"""),"")</f>
        <v/>
      </c>
      <c r="D3148" s="79" t="str">
        <f>IFERROR(__xludf.DUMMYFUNCTION("""COMPUTED_VALUE"""),"")</f>
        <v/>
      </c>
      <c r="E3148" s="69" t="b">
        <f>IFERROR(__xludf.DUMMYFUNCTION("""COMPUTED_VALUE"""),TRUE)</f>
        <v>1</v>
      </c>
    </row>
    <row r="3149" hidden="1">
      <c r="A3149" s="78"/>
      <c r="B3149" s="78"/>
      <c r="C3149" s="79" t="str">
        <f>IFERROR(__xludf.DUMMYFUNCTION("""COMPUTED_VALUE"""),"")</f>
        <v/>
      </c>
      <c r="D3149" s="79" t="str">
        <f>IFERROR(__xludf.DUMMYFUNCTION("""COMPUTED_VALUE"""),"")</f>
        <v/>
      </c>
      <c r="E3149" s="69" t="b">
        <f>IFERROR(__xludf.DUMMYFUNCTION("""COMPUTED_VALUE"""),TRUE)</f>
        <v>1</v>
      </c>
    </row>
    <row r="3150" hidden="1">
      <c r="A3150" s="78"/>
      <c r="B3150" s="78"/>
      <c r="C3150" s="79" t="str">
        <f>IFERROR(__xludf.DUMMYFUNCTION("""COMPUTED_VALUE"""),"")</f>
        <v/>
      </c>
      <c r="D3150" s="79" t="str">
        <f>IFERROR(__xludf.DUMMYFUNCTION("""COMPUTED_VALUE"""),"")</f>
        <v/>
      </c>
      <c r="E3150" s="69" t="b">
        <f>IFERROR(__xludf.DUMMYFUNCTION("""COMPUTED_VALUE"""),TRUE)</f>
        <v>1</v>
      </c>
    </row>
    <row r="3151" hidden="1">
      <c r="A3151" s="78"/>
      <c r="B3151" s="78"/>
      <c r="C3151" s="79" t="str">
        <f>IFERROR(__xludf.DUMMYFUNCTION("""COMPUTED_VALUE"""),"")</f>
        <v/>
      </c>
      <c r="D3151" s="79" t="str">
        <f>IFERROR(__xludf.DUMMYFUNCTION("""COMPUTED_VALUE"""),"")</f>
        <v/>
      </c>
      <c r="E3151" s="69" t="b">
        <f>IFERROR(__xludf.DUMMYFUNCTION("""COMPUTED_VALUE"""),TRUE)</f>
        <v>1</v>
      </c>
    </row>
    <row r="3152" hidden="1">
      <c r="A3152" s="78"/>
      <c r="B3152" s="78"/>
      <c r="C3152" s="79" t="str">
        <f>IFERROR(__xludf.DUMMYFUNCTION("""COMPUTED_VALUE"""),"")</f>
        <v/>
      </c>
      <c r="D3152" s="79" t="str">
        <f>IFERROR(__xludf.DUMMYFUNCTION("""COMPUTED_VALUE"""),"")</f>
        <v/>
      </c>
      <c r="E3152" s="69" t="b">
        <f>IFERROR(__xludf.DUMMYFUNCTION("""COMPUTED_VALUE"""),TRUE)</f>
        <v>1</v>
      </c>
    </row>
    <row r="3153" hidden="1">
      <c r="A3153" s="78"/>
      <c r="B3153" s="78"/>
      <c r="C3153" s="79" t="str">
        <f>IFERROR(__xludf.DUMMYFUNCTION("""COMPUTED_VALUE"""),"")</f>
        <v/>
      </c>
      <c r="D3153" s="79" t="str">
        <f>IFERROR(__xludf.DUMMYFUNCTION("""COMPUTED_VALUE"""),"")</f>
        <v/>
      </c>
      <c r="E3153" s="69" t="b">
        <f>IFERROR(__xludf.DUMMYFUNCTION("""COMPUTED_VALUE"""),TRUE)</f>
        <v>1</v>
      </c>
    </row>
    <row r="3154" hidden="1">
      <c r="A3154" s="78"/>
      <c r="B3154" s="78"/>
      <c r="C3154" s="79" t="str">
        <f>IFERROR(__xludf.DUMMYFUNCTION("""COMPUTED_VALUE"""),"")</f>
        <v/>
      </c>
      <c r="D3154" s="79" t="str">
        <f>IFERROR(__xludf.DUMMYFUNCTION("""COMPUTED_VALUE"""),"")</f>
        <v/>
      </c>
      <c r="E3154" s="69" t="b">
        <f>IFERROR(__xludf.DUMMYFUNCTION("""COMPUTED_VALUE"""),TRUE)</f>
        <v>1</v>
      </c>
    </row>
    <row r="3155" hidden="1">
      <c r="A3155" s="78"/>
      <c r="B3155" s="78"/>
      <c r="C3155" s="79" t="str">
        <f>IFERROR(__xludf.DUMMYFUNCTION("""COMPUTED_VALUE"""),"")</f>
        <v/>
      </c>
      <c r="D3155" s="79" t="str">
        <f>IFERROR(__xludf.DUMMYFUNCTION("""COMPUTED_VALUE"""),"")</f>
        <v/>
      </c>
      <c r="E3155" s="69" t="b">
        <f>IFERROR(__xludf.DUMMYFUNCTION("""COMPUTED_VALUE"""),TRUE)</f>
        <v>1</v>
      </c>
    </row>
    <row r="3156" hidden="1">
      <c r="A3156" s="78"/>
      <c r="B3156" s="78"/>
      <c r="C3156" s="79" t="str">
        <f>IFERROR(__xludf.DUMMYFUNCTION("""COMPUTED_VALUE"""),"")</f>
        <v/>
      </c>
      <c r="D3156" s="79" t="str">
        <f>IFERROR(__xludf.DUMMYFUNCTION("""COMPUTED_VALUE"""),"")</f>
        <v/>
      </c>
      <c r="E3156" s="69" t="b">
        <f>IFERROR(__xludf.DUMMYFUNCTION("""COMPUTED_VALUE"""),TRUE)</f>
        <v>1</v>
      </c>
    </row>
    <row r="3157" hidden="1">
      <c r="A3157" s="78"/>
      <c r="B3157" s="78"/>
      <c r="C3157" s="79" t="str">
        <f>IFERROR(__xludf.DUMMYFUNCTION("""COMPUTED_VALUE"""),"")</f>
        <v/>
      </c>
      <c r="D3157" s="79" t="str">
        <f>IFERROR(__xludf.DUMMYFUNCTION("""COMPUTED_VALUE"""),"")</f>
        <v/>
      </c>
      <c r="E3157" s="69" t="b">
        <f>IFERROR(__xludf.DUMMYFUNCTION("""COMPUTED_VALUE"""),TRUE)</f>
        <v>1</v>
      </c>
    </row>
    <row r="3158" hidden="1">
      <c r="A3158" s="78"/>
      <c r="B3158" s="78"/>
      <c r="C3158" s="79" t="str">
        <f>IFERROR(__xludf.DUMMYFUNCTION("""COMPUTED_VALUE"""),"")</f>
        <v/>
      </c>
      <c r="D3158" s="79" t="str">
        <f>IFERROR(__xludf.DUMMYFUNCTION("""COMPUTED_VALUE"""),"")</f>
        <v/>
      </c>
      <c r="E3158" s="69" t="b">
        <f>IFERROR(__xludf.DUMMYFUNCTION("""COMPUTED_VALUE"""),TRUE)</f>
        <v>1</v>
      </c>
    </row>
    <row r="3159" hidden="1">
      <c r="A3159" s="78"/>
      <c r="B3159" s="78"/>
      <c r="C3159" s="79" t="str">
        <f>IFERROR(__xludf.DUMMYFUNCTION("""COMPUTED_VALUE"""),"")</f>
        <v/>
      </c>
      <c r="D3159" s="79" t="str">
        <f>IFERROR(__xludf.DUMMYFUNCTION("""COMPUTED_VALUE"""),"")</f>
        <v/>
      </c>
      <c r="E3159" s="69" t="b">
        <f>IFERROR(__xludf.DUMMYFUNCTION("""COMPUTED_VALUE"""),TRUE)</f>
        <v>1</v>
      </c>
    </row>
    <row r="3160" hidden="1">
      <c r="A3160" s="78"/>
      <c r="B3160" s="78"/>
      <c r="C3160" s="79" t="str">
        <f>IFERROR(__xludf.DUMMYFUNCTION("""COMPUTED_VALUE"""),"")</f>
        <v/>
      </c>
      <c r="D3160" s="79" t="str">
        <f>IFERROR(__xludf.DUMMYFUNCTION("""COMPUTED_VALUE"""),"")</f>
        <v/>
      </c>
      <c r="E3160" s="69" t="b">
        <f>IFERROR(__xludf.DUMMYFUNCTION("""COMPUTED_VALUE"""),TRUE)</f>
        <v>1</v>
      </c>
    </row>
    <row r="3161" hidden="1">
      <c r="A3161" s="78"/>
      <c r="B3161" s="78"/>
      <c r="C3161" s="79" t="str">
        <f>IFERROR(__xludf.DUMMYFUNCTION("""COMPUTED_VALUE"""),"")</f>
        <v/>
      </c>
      <c r="D3161" s="79" t="str">
        <f>IFERROR(__xludf.DUMMYFUNCTION("""COMPUTED_VALUE"""),"")</f>
        <v/>
      </c>
      <c r="E3161" s="69" t="b">
        <f>IFERROR(__xludf.DUMMYFUNCTION("""COMPUTED_VALUE"""),TRUE)</f>
        <v>1</v>
      </c>
    </row>
    <row r="3162" hidden="1">
      <c r="A3162" s="78"/>
      <c r="B3162" s="78"/>
      <c r="C3162" s="79" t="str">
        <f>IFERROR(__xludf.DUMMYFUNCTION("""COMPUTED_VALUE"""),"")</f>
        <v/>
      </c>
      <c r="D3162" s="79" t="str">
        <f>IFERROR(__xludf.DUMMYFUNCTION("""COMPUTED_VALUE"""),"")</f>
        <v/>
      </c>
      <c r="E3162" s="69" t="b">
        <f>IFERROR(__xludf.DUMMYFUNCTION("""COMPUTED_VALUE"""),TRUE)</f>
        <v>1</v>
      </c>
    </row>
    <row r="3163" hidden="1">
      <c r="A3163" s="78"/>
      <c r="B3163" s="78"/>
      <c r="C3163" s="79" t="str">
        <f>IFERROR(__xludf.DUMMYFUNCTION("""COMPUTED_VALUE"""),"")</f>
        <v/>
      </c>
      <c r="D3163" s="79" t="str">
        <f>IFERROR(__xludf.DUMMYFUNCTION("""COMPUTED_VALUE"""),"")</f>
        <v/>
      </c>
      <c r="E3163" s="69" t="b">
        <f>IFERROR(__xludf.DUMMYFUNCTION("""COMPUTED_VALUE"""),TRUE)</f>
        <v>1</v>
      </c>
    </row>
    <row r="3164" hidden="1">
      <c r="A3164" s="78"/>
      <c r="B3164" s="78"/>
      <c r="C3164" s="79" t="str">
        <f>IFERROR(__xludf.DUMMYFUNCTION("""COMPUTED_VALUE"""),"")</f>
        <v/>
      </c>
      <c r="D3164" s="79" t="str">
        <f>IFERROR(__xludf.DUMMYFUNCTION("""COMPUTED_VALUE"""),"")</f>
        <v/>
      </c>
      <c r="E3164" s="69" t="b">
        <f>IFERROR(__xludf.DUMMYFUNCTION("""COMPUTED_VALUE"""),TRUE)</f>
        <v>1</v>
      </c>
    </row>
    <row r="3165" hidden="1">
      <c r="A3165" s="78"/>
      <c r="B3165" s="78"/>
      <c r="C3165" s="79" t="str">
        <f>IFERROR(__xludf.DUMMYFUNCTION("""COMPUTED_VALUE"""),"")</f>
        <v/>
      </c>
      <c r="D3165" s="79" t="str">
        <f>IFERROR(__xludf.DUMMYFUNCTION("""COMPUTED_VALUE"""),"")</f>
        <v/>
      </c>
      <c r="E3165" s="69" t="b">
        <f>IFERROR(__xludf.DUMMYFUNCTION("""COMPUTED_VALUE"""),TRUE)</f>
        <v>1</v>
      </c>
    </row>
    <row r="3166" hidden="1">
      <c r="A3166" s="78"/>
      <c r="B3166" s="78"/>
      <c r="C3166" s="79" t="str">
        <f>IFERROR(__xludf.DUMMYFUNCTION("""COMPUTED_VALUE"""),"")</f>
        <v/>
      </c>
      <c r="D3166" s="79" t="str">
        <f>IFERROR(__xludf.DUMMYFUNCTION("""COMPUTED_VALUE"""),"")</f>
        <v/>
      </c>
      <c r="E3166" s="69" t="b">
        <f>IFERROR(__xludf.DUMMYFUNCTION("""COMPUTED_VALUE"""),TRUE)</f>
        <v>1</v>
      </c>
    </row>
    <row r="3167" hidden="1">
      <c r="A3167" s="78"/>
      <c r="B3167" s="78"/>
      <c r="C3167" s="79" t="str">
        <f>IFERROR(__xludf.DUMMYFUNCTION("""COMPUTED_VALUE"""),"")</f>
        <v/>
      </c>
      <c r="D3167" s="79" t="str">
        <f>IFERROR(__xludf.DUMMYFUNCTION("""COMPUTED_VALUE"""),"")</f>
        <v/>
      </c>
      <c r="E3167" s="69" t="b">
        <f>IFERROR(__xludf.DUMMYFUNCTION("""COMPUTED_VALUE"""),TRUE)</f>
        <v>1</v>
      </c>
    </row>
    <row r="3168" hidden="1">
      <c r="A3168" s="78"/>
      <c r="B3168" s="78"/>
      <c r="C3168" s="79" t="str">
        <f>IFERROR(__xludf.DUMMYFUNCTION("""COMPUTED_VALUE"""),"")</f>
        <v/>
      </c>
      <c r="D3168" s="79" t="str">
        <f>IFERROR(__xludf.DUMMYFUNCTION("""COMPUTED_VALUE"""),"")</f>
        <v/>
      </c>
      <c r="E3168" s="69" t="b">
        <f>IFERROR(__xludf.DUMMYFUNCTION("""COMPUTED_VALUE"""),TRUE)</f>
        <v>1</v>
      </c>
    </row>
    <row r="3169" hidden="1">
      <c r="A3169" s="78"/>
      <c r="B3169" s="78"/>
      <c r="C3169" s="79" t="str">
        <f>IFERROR(__xludf.DUMMYFUNCTION("""COMPUTED_VALUE"""),"")</f>
        <v/>
      </c>
      <c r="D3169" s="79" t="str">
        <f>IFERROR(__xludf.DUMMYFUNCTION("""COMPUTED_VALUE"""),"")</f>
        <v/>
      </c>
      <c r="E3169" s="69" t="b">
        <f>IFERROR(__xludf.DUMMYFUNCTION("""COMPUTED_VALUE"""),TRUE)</f>
        <v>1</v>
      </c>
    </row>
    <row r="3170" hidden="1">
      <c r="A3170" s="78"/>
      <c r="B3170" s="78"/>
      <c r="C3170" s="79" t="str">
        <f>IFERROR(__xludf.DUMMYFUNCTION("""COMPUTED_VALUE"""),"")</f>
        <v/>
      </c>
      <c r="D3170" s="79" t="str">
        <f>IFERROR(__xludf.DUMMYFUNCTION("""COMPUTED_VALUE"""),"")</f>
        <v/>
      </c>
      <c r="E3170" s="69" t="b">
        <f>IFERROR(__xludf.DUMMYFUNCTION("""COMPUTED_VALUE"""),TRUE)</f>
        <v>1</v>
      </c>
    </row>
    <row r="3171" hidden="1">
      <c r="A3171" s="78"/>
      <c r="B3171" s="78"/>
      <c r="C3171" s="79" t="str">
        <f>IFERROR(__xludf.DUMMYFUNCTION("""COMPUTED_VALUE"""),"")</f>
        <v/>
      </c>
      <c r="D3171" s="79" t="str">
        <f>IFERROR(__xludf.DUMMYFUNCTION("""COMPUTED_VALUE"""),"")</f>
        <v/>
      </c>
      <c r="E3171" s="69" t="b">
        <f>IFERROR(__xludf.DUMMYFUNCTION("""COMPUTED_VALUE"""),TRUE)</f>
        <v>1</v>
      </c>
    </row>
    <row r="3172" hidden="1">
      <c r="A3172" s="78"/>
      <c r="B3172" s="78"/>
      <c r="C3172" s="79" t="str">
        <f>IFERROR(__xludf.DUMMYFUNCTION("""COMPUTED_VALUE"""),"")</f>
        <v/>
      </c>
      <c r="D3172" s="79" t="str">
        <f>IFERROR(__xludf.DUMMYFUNCTION("""COMPUTED_VALUE"""),"")</f>
        <v/>
      </c>
      <c r="E3172" s="69" t="b">
        <f>IFERROR(__xludf.DUMMYFUNCTION("""COMPUTED_VALUE"""),TRUE)</f>
        <v>1</v>
      </c>
    </row>
    <row r="3173" hidden="1">
      <c r="A3173" s="78"/>
      <c r="B3173" s="78"/>
      <c r="C3173" s="79" t="str">
        <f>IFERROR(__xludf.DUMMYFUNCTION("""COMPUTED_VALUE"""),"")</f>
        <v/>
      </c>
      <c r="D3173" s="79" t="str">
        <f>IFERROR(__xludf.DUMMYFUNCTION("""COMPUTED_VALUE"""),"")</f>
        <v/>
      </c>
      <c r="E3173" s="69" t="b">
        <f>IFERROR(__xludf.DUMMYFUNCTION("""COMPUTED_VALUE"""),TRUE)</f>
        <v>1</v>
      </c>
    </row>
    <row r="3174" hidden="1">
      <c r="A3174" s="78"/>
      <c r="B3174" s="78"/>
      <c r="C3174" s="79" t="str">
        <f>IFERROR(__xludf.DUMMYFUNCTION("""COMPUTED_VALUE"""),"")</f>
        <v/>
      </c>
      <c r="D3174" s="79" t="str">
        <f>IFERROR(__xludf.DUMMYFUNCTION("""COMPUTED_VALUE"""),"")</f>
        <v/>
      </c>
      <c r="E3174" s="69" t="b">
        <f>IFERROR(__xludf.DUMMYFUNCTION("""COMPUTED_VALUE"""),TRUE)</f>
        <v>1</v>
      </c>
    </row>
    <row r="3175" hidden="1">
      <c r="A3175" s="78"/>
      <c r="B3175" s="78"/>
      <c r="C3175" s="79" t="str">
        <f>IFERROR(__xludf.DUMMYFUNCTION("""COMPUTED_VALUE"""),"")</f>
        <v/>
      </c>
      <c r="D3175" s="79" t="str">
        <f>IFERROR(__xludf.DUMMYFUNCTION("""COMPUTED_VALUE"""),"")</f>
        <v/>
      </c>
      <c r="E3175" s="69" t="b">
        <f>IFERROR(__xludf.DUMMYFUNCTION("""COMPUTED_VALUE"""),TRUE)</f>
        <v>1</v>
      </c>
    </row>
    <row r="3176" hidden="1">
      <c r="A3176" s="78"/>
      <c r="B3176" s="78"/>
      <c r="C3176" s="79" t="str">
        <f>IFERROR(__xludf.DUMMYFUNCTION("""COMPUTED_VALUE"""),"")</f>
        <v/>
      </c>
      <c r="D3176" s="79" t="str">
        <f>IFERROR(__xludf.DUMMYFUNCTION("""COMPUTED_VALUE"""),"")</f>
        <v/>
      </c>
      <c r="E3176" s="69" t="b">
        <f>IFERROR(__xludf.DUMMYFUNCTION("""COMPUTED_VALUE"""),TRUE)</f>
        <v>1</v>
      </c>
    </row>
    <row r="3177" hidden="1">
      <c r="A3177" s="78"/>
      <c r="B3177" s="78"/>
      <c r="C3177" s="79" t="str">
        <f>IFERROR(__xludf.DUMMYFUNCTION("""COMPUTED_VALUE"""),"")</f>
        <v/>
      </c>
      <c r="D3177" s="79" t="str">
        <f>IFERROR(__xludf.DUMMYFUNCTION("""COMPUTED_VALUE"""),"")</f>
        <v/>
      </c>
      <c r="E3177" s="69" t="b">
        <f>IFERROR(__xludf.DUMMYFUNCTION("""COMPUTED_VALUE"""),TRUE)</f>
        <v>1</v>
      </c>
    </row>
    <row r="3178" hidden="1">
      <c r="A3178" s="78"/>
      <c r="B3178" s="78"/>
      <c r="C3178" s="79" t="str">
        <f>IFERROR(__xludf.DUMMYFUNCTION("""COMPUTED_VALUE"""),"")</f>
        <v/>
      </c>
      <c r="D3178" s="79" t="str">
        <f>IFERROR(__xludf.DUMMYFUNCTION("""COMPUTED_VALUE"""),"")</f>
        <v/>
      </c>
      <c r="E3178" s="69" t="b">
        <f>IFERROR(__xludf.DUMMYFUNCTION("""COMPUTED_VALUE"""),TRUE)</f>
        <v>1</v>
      </c>
    </row>
    <row r="3179" hidden="1">
      <c r="A3179" s="78"/>
      <c r="B3179" s="78"/>
      <c r="C3179" s="79" t="str">
        <f>IFERROR(__xludf.DUMMYFUNCTION("""COMPUTED_VALUE"""),"")</f>
        <v/>
      </c>
      <c r="D3179" s="79" t="str">
        <f>IFERROR(__xludf.DUMMYFUNCTION("""COMPUTED_VALUE"""),"")</f>
        <v/>
      </c>
      <c r="E3179" s="69" t="b">
        <f>IFERROR(__xludf.DUMMYFUNCTION("""COMPUTED_VALUE"""),TRUE)</f>
        <v>1</v>
      </c>
    </row>
    <row r="3180" hidden="1">
      <c r="A3180" s="78"/>
      <c r="B3180" s="78"/>
      <c r="C3180" s="79" t="str">
        <f>IFERROR(__xludf.DUMMYFUNCTION("""COMPUTED_VALUE"""),"")</f>
        <v/>
      </c>
      <c r="D3180" s="79" t="str">
        <f>IFERROR(__xludf.DUMMYFUNCTION("""COMPUTED_VALUE"""),"")</f>
        <v/>
      </c>
      <c r="E3180" s="69" t="b">
        <f>IFERROR(__xludf.DUMMYFUNCTION("""COMPUTED_VALUE"""),TRUE)</f>
        <v>1</v>
      </c>
    </row>
    <row r="3181" hidden="1">
      <c r="A3181" s="78"/>
      <c r="B3181" s="78"/>
      <c r="C3181" s="79" t="str">
        <f>IFERROR(__xludf.DUMMYFUNCTION("""COMPUTED_VALUE"""),"")</f>
        <v/>
      </c>
      <c r="D3181" s="79" t="str">
        <f>IFERROR(__xludf.DUMMYFUNCTION("""COMPUTED_VALUE"""),"")</f>
        <v/>
      </c>
      <c r="E3181" s="69" t="b">
        <f>IFERROR(__xludf.DUMMYFUNCTION("""COMPUTED_VALUE"""),TRUE)</f>
        <v>1</v>
      </c>
    </row>
    <row r="3182" hidden="1">
      <c r="A3182" s="78"/>
      <c r="B3182" s="78"/>
      <c r="C3182" s="79" t="str">
        <f>IFERROR(__xludf.DUMMYFUNCTION("""COMPUTED_VALUE"""),"")</f>
        <v/>
      </c>
      <c r="D3182" s="79" t="str">
        <f>IFERROR(__xludf.DUMMYFUNCTION("""COMPUTED_VALUE"""),"")</f>
        <v/>
      </c>
      <c r="E3182" s="69" t="b">
        <f>IFERROR(__xludf.DUMMYFUNCTION("""COMPUTED_VALUE"""),TRUE)</f>
        <v>1</v>
      </c>
    </row>
    <row r="3183" hidden="1">
      <c r="A3183" s="78"/>
      <c r="B3183" s="78"/>
      <c r="C3183" s="79" t="str">
        <f>IFERROR(__xludf.DUMMYFUNCTION("""COMPUTED_VALUE"""),"")</f>
        <v/>
      </c>
      <c r="D3183" s="79" t="str">
        <f>IFERROR(__xludf.DUMMYFUNCTION("""COMPUTED_VALUE"""),"")</f>
        <v/>
      </c>
      <c r="E3183" s="69" t="b">
        <f>IFERROR(__xludf.DUMMYFUNCTION("""COMPUTED_VALUE"""),TRUE)</f>
        <v>1</v>
      </c>
    </row>
    <row r="3184" hidden="1">
      <c r="A3184" s="78"/>
      <c r="B3184" s="78"/>
      <c r="C3184" s="79" t="str">
        <f>IFERROR(__xludf.DUMMYFUNCTION("""COMPUTED_VALUE"""),"")</f>
        <v/>
      </c>
      <c r="D3184" s="79" t="str">
        <f>IFERROR(__xludf.DUMMYFUNCTION("""COMPUTED_VALUE"""),"")</f>
        <v/>
      </c>
      <c r="E3184" s="69" t="b">
        <f>IFERROR(__xludf.DUMMYFUNCTION("""COMPUTED_VALUE"""),TRUE)</f>
        <v>1</v>
      </c>
    </row>
    <row r="3185" hidden="1">
      <c r="A3185" s="78"/>
      <c r="B3185" s="78"/>
      <c r="C3185" s="79" t="str">
        <f>IFERROR(__xludf.DUMMYFUNCTION("""COMPUTED_VALUE"""),"")</f>
        <v/>
      </c>
      <c r="D3185" s="79" t="str">
        <f>IFERROR(__xludf.DUMMYFUNCTION("""COMPUTED_VALUE"""),"")</f>
        <v/>
      </c>
      <c r="E3185" s="69" t="b">
        <f>IFERROR(__xludf.DUMMYFUNCTION("""COMPUTED_VALUE"""),TRUE)</f>
        <v>1</v>
      </c>
    </row>
    <row r="3186" hidden="1">
      <c r="A3186" s="78"/>
      <c r="B3186" s="78"/>
      <c r="C3186" s="79" t="str">
        <f>IFERROR(__xludf.DUMMYFUNCTION("""COMPUTED_VALUE"""),"")</f>
        <v/>
      </c>
      <c r="D3186" s="79" t="str">
        <f>IFERROR(__xludf.DUMMYFUNCTION("""COMPUTED_VALUE"""),"")</f>
        <v/>
      </c>
      <c r="E3186" s="69" t="b">
        <f>IFERROR(__xludf.DUMMYFUNCTION("""COMPUTED_VALUE"""),TRUE)</f>
        <v>1</v>
      </c>
    </row>
    <row r="3187" hidden="1">
      <c r="A3187" s="78"/>
      <c r="B3187" s="78"/>
      <c r="C3187" s="79" t="str">
        <f>IFERROR(__xludf.DUMMYFUNCTION("""COMPUTED_VALUE"""),"")</f>
        <v/>
      </c>
      <c r="D3187" s="79" t="str">
        <f>IFERROR(__xludf.DUMMYFUNCTION("""COMPUTED_VALUE"""),"")</f>
        <v/>
      </c>
      <c r="E3187" s="69" t="b">
        <f>IFERROR(__xludf.DUMMYFUNCTION("""COMPUTED_VALUE"""),TRUE)</f>
        <v>1</v>
      </c>
    </row>
    <row r="3188" hidden="1">
      <c r="A3188" s="78"/>
      <c r="B3188" s="78"/>
      <c r="C3188" s="79" t="str">
        <f>IFERROR(__xludf.DUMMYFUNCTION("""COMPUTED_VALUE"""),"")</f>
        <v/>
      </c>
      <c r="D3188" s="79" t="str">
        <f>IFERROR(__xludf.DUMMYFUNCTION("""COMPUTED_VALUE"""),"")</f>
        <v/>
      </c>
      <c r="E3188" s="69" t="b">
        <f>IFERROR(__xludf.DUMMYFUNCTION("""COMPUTED_VALUE"""),TRUE)</f>
        <v>1</v>
      </c>
    </row>
    <row r="3189" hidden="1">
      <c r="A3189" s="78"/>
      <c r="B3189" s="78"/>
      <c r="C3189" s="79" t="str">
        <f>IFERROR(__xludf.DUMMYFUNCTION("""COMPUTED_VALUE"""),"")</f>
        <v/>
      </c>
      <c r="D3189" s="79" t="str">
        <f>IFERROR(__xludf.DUMMYFUNCTION("""COMPUTED_VALUE"""),"")</f>
        <v/>
      </c>
      <c r="E3189" s="69" t="b">
        <f>IFERROR(__xludf.DUMMYFUNCTION("""COMPUTED_VALUE"""),TRUE)</f>
        <v>1</v>
      </c>
    </row>
    <row r="3190" hidden="1">
      <c r="A3190" s="78"/>
      <c r="B3190" s="78"/>
      <c r="C3190" s="79" t="str">
        <f>IFERROR(__xludf.DUMMYFUNCTION("""COMPUTED_VALUE"""),"")</f>
        <v/>
      </c>
      <c r="D3190" s="79" t="str">
        <f>IFERROR(__xludf.DUMMYFUNCTION("""COMPUTED_VALUE"""),"")</f>
        <v/>
      </c>
      <c r="E3190" s="69" t="b">
        <f>IFERROR(__xludf.DUMMYFUNCTION("""COMPUTED_VALUE"""),TRUE)</f>
        <v>1</v>
      </c>
    </row>
    <row r="3191" hidden="1">
      <c r="A3191" s="78"/>
      <c r="B3191" s="78"/>
      <c r="C3191" s="79" t="str">
        <f>IFERROR(__xludf.DUMMYFUNCTION("""COMPUTED_VALUE"""),"")</f>
        <v/>
      </c>
      <c r="D3191" s="79" t="str">
        <f>IFERROR(__xludf.DUMMYFUNCTION("""COMPUTED_VALUE"""),"")</f>
        <v/>
      </c>
      <c r="E3191" s="69" t="b">
        <f>IFERROR(__xludf.DUMMYFUNCTION("""COMPUTED_VALUE"""),TRUE)</f>
        <v>1</v>
      </c>
    </row>
    <row r="3192" hidden="1">
      <c r="A3192" s="78"/>
      <c r="B3192" s="78"/>
      <c r="C3192" s="79" t="str">
        <f>IFERROR(__xludf.DUMMYFUNCTION("""COMPUTED_VALUE"""),"")</f>
        <v/>
      </c>
      <c r="D3192" s="79" t="str">
        <f>IFERROR(__xludf.DUMMYFUNCTION("""COMPUTED_VALUE"""),"")</f>
        <v/>
      </c>
      <c r="E3192" s="69" t="b">
        <f>IFERROR(__xludf.DUMMYFUNCTION("""COMPUTED_VALUE"""),TRUE)</f>
        <v>1</v>
      </c>
    </row>
    <row r="3193" hidden="1">
      <c r="A3193" s="78"/>
      <c r="B3193" s="78"/>
      <c r="C3193" s="79" t="str">
        <f>IFERROR(__xludf.DUMMYFUNCTION("""COMPUTED_VALUE"""),"")</f>
        <v/>
      </c>
      <c r="D3193" s="79" t="str">
        <f>IFERROR(__xludf.DUMMYFUNCTION("""COMPUTED_VALUE"""),"")</f>
        <v/>
      </c>
      <c r="E3193" s="69" t="b">
        <f>IFERROR(__xludf.DUMMYFUNCTION("""COMPUTED_VALUE"""),TRUE)</f>
        <v>1</v>
      </c>
    </row>
    <row r="3194" hidden="1">
      <c r="A3194" s="78"/>
      <c r="B3194" s="78"/>
      <c r="C3194" s="79" t="str">
        <f>IFERROR(__xludf.DUMMYFUNCTION("""COMPUTED_VALUE"""),"")</f>
        <v/>
      </c>
      <c r="D3194" s="79" t="str">
        <f>IFERROR(__xludf.DUMMYFUNCTION("""COMPUTED_VALUE"""),"")</f>
        <v/>
      </c>
      <c r="E3194" s="69" t="b">
        <f>IFERROR(__xludf.DUMMYFUNCTION("""COMPUTED_VALUE"""),TRUE)</f>
        <v>1</v>
      </c>
    </row>
    <row r="3195" hidden="1">
      <c r="A3195" s="78"/>
      <c r="B3195" s="78"/>
      <c r="C3195" s="79" t="str">
        <f>IFERROR(__xludf.DUMMYFUNCTION("""COMPUTED_VALUE"""),"")</f>
        <v/>
      </c>
      <c r="D3195" s="79" t="str">
        <f>IFERROR(__xludf.DUMMYFUNCTION("""COMPUTED_VALUE"""),"")</f>
        <v/>
      </c>
      <c r="E3195" s="69" t="b">
        <f>IFERROR(__xludf.DUMMYFUNCTION("""COMPUTED_VALUE"""),TRUE)</f>
        <v>1</v>
      </c>
    </row>
    <row r="3196" hidden="1">
      <c r="A3196" s="78"/>
      <c r="B3196" s="78"/>
      <c r="C3196" s="79" t="str">
        <f>IFERROR(__xludf.DUMMYFUNCTION("""COMPUTED_VALUE"""),"")</f>
        <v/>
      </c>
      <c r="D3196" s="79" t="str">
        <f>IFERROR(__xludf.DUMMYFUNCTION("""COMPUTED_VALUE"""),"")</f>
        <v/>
      </c>
      <c r="E3196" s="69" t="b">
        <f>IFERROR(__xludf.DUMMYFUNCTION("""COMPUTED_VALUE"""),TRUE)</f>
        <v>1</v>
      </c>
    </row>
    <row r="3197" hidden="1">
      <c r="A3197" s="78"/>
      <c r="B3197" s="78"/>
      <c r="C3197" s="79" t="str">
        <f>IFERROR(__xludf.DUMMYFUNCTION("""COMPUTED_VALUE"""),"")</f>
        <v/>
      </c>
      <c r="D3197" s="79" t="str">
        <f>IFERROR(__xludf.DUMMYFUNCTION("""COMPUTED_VALUE"""),"")</f>
        <v/>
      </c>
      <c r="E3197" s="69" t="b">
        <f>IFERROR(__xludf.DUMMYFUNCTION("""COMPUTED_VALUE"""),TRUE)</f>
        <v>1</v>
      </c>
    </row>
    <row r="3198" hidden="1">
      <c r="A3198" s="78"/>
      <c r="B3198" s="78"/>
      <c r="C3198" s="79" t="str">
        <f>IFERROR(__xludf.DUMMYFUNCTION("""COMPUTED_VALUE"""),"")</f>
        <v/>
      </c>
      <c r="D3198" s="79" t="str">
        <f>IFERROR(__xludf.DUMMYFUNCTION("""COMPUTED_VALUE"""),"")</f>
        <v/>
      </c>
      <c r="E3198" s="69" t="b">
        <f>IFERROR(__xludf.DUMMYFUNCTION("""COMPUTED_VALUE"""),TRUE)</f>
        <v>1</v>
      </c>
    </row>
    <row r="3199" hidden="1">
      <c r="A3199" s="78"/>
      <c r="B3199" s="78"/>
      <c r="C3199" s="79" t="str">
        <f>IFERROR(__xludf.DUMMYFUNCTION("""COMPUTED_VALUE"""),"")</f>
        <v/>
      </c>
      <c r="D3199" s="79" t="str">
        <f>IFERROR(__xludf.DUMMYFUNCTION("""COMPUTED_VALUE"""),"")</f>
        <v/>
      </c>
      <c r="E3199" s="69" t="b">
        <f>IFERROR(__xludf.DUMMYFUNCTION("""COMPUTED_VALUE"""),TRUE)</f>
        <v>1</v>
      </c>
    </row>
    <row r="3200" hidden="1">
      <c r="A3200" s="78"/>
      <c r="B3200" s="78"/>
      <c r="C3200" s="79" t="str">
        <f>IFERROR(__xludf.DUMMYFUNCTION("""COMPUTED_VALUE"""),"")</f>
        <v/>
      </c>
      <c r="D3200" s="79" t="str">
        <f>IFERROR(__xludf.DUMMYFUNCTION("""COMPUTED_VALUE"""),"")</f>
        <v/>
      </c>
      <c r="E3200" s="69" t="b">
        <f>IFERROR(__xludf.DUMMYFUNCTION("""COMPUTED_VALUE"""),TRUE)</f>
        <v>1</v>
      </c>
    </row>
    <row r="3201" hidden="1">
      <c r="A3201" s="78"/>
      <c r="B3201" s="78"/>
      <c r="C3201" s="79" t="str">
        <f>IFERROR(__xludf.DUMMYFUNCTION("""COMPUTED_VALUE"""),"")</f>
        <v/>
      </c>
      <c r="D3201" s="79" t="str">
        <f>IFERROR(__xludf.DUMMYFUNCTION("""COMPUTED_VALUE"""),"")</f>
        <v/>
      </c>
      <c r="E3201" s="69" t="b">
        <f>IFERROR(__xludf.DUMMYFUNCTION("""COMPUTED_VALUE"""),TRUE)</f>
        <v>1</v>
      </c>
    </row>
    <row r="3202" hidden="1">
      <c r="A3202" s="78"/>
      <c r="B3202" s="78"/>
      <c r="C3202" s="79" t="str">
        <f>IFERROR(__xludf.DUMMYFUNCTION("""COMPUTED_VALUE"""),"")</f>
        <v/>
      </c>
      <c r="D3202" s="79" t="str">
        <f>IFERROR(__xludf.DUMMYFUNCTION("""COMPUTED_VALUE"""),"")</f>
        <v/>
      </c>
      <c r="E3202" s="69" t="b">
        <f>IFERROR(__xludf.DUMMYFUNCTION("""COMPUTED_VALUE"""),TRUE)</f>
        <v>1</v>
      </c>
    </row>
    <row r="3203" hidden="1">
      <c r="A3203" s="78"/>
      <c r="B3203" s="78"/>
      <c r="C3203" s="79" t="str">
        <f>IFERROR(__xludf.DUMMYFUNCTION("""COMPUTED_VALUE"""),"")</f>
        <v/>
      </c>
      <c r="D3203" s="79" t="str">
        <f>IFERROR(__xludf.DUMMYFUNCTION("""COMPUTED_VALUE"""),"")</f>
        <v/>
      </c>
      <c r="E3203" s="69" t="b">
        <f>IFERROR(__xludf.DUMMYFUNCTION("""COMPUTED_VALUE"""),TRUE)</f>
        <v>1</v>
      </c>
    </row>
    <row r="3204" hidden="1">
      <c r="A3204" s="78"/>
      <c r="B3204" s="78"/>
      <c r="C3204" s="79" t="str">
        <f>IFERROR(__xludf.DUMMYFUNCTION("""COMPUTED_VALUE"""),"")</f>
        <v/>
      </c>
      <c r="D3204" s="79" t="str">
        <f>IFERROR(__xludf.DUMMYFUNCTION("""COMPUTED_VALUE"""),"")</f>
        <v/>
      </c>
      <c r="E3204" s="69" t="b">
        <f>IFERROR(__xludf.DUMMYFUNCTION("""COMPUTED_VALUE"""),TRUE)</f>
        <v>1</v>
      </c>
    </row>
    <row r="3205" hidden="1">
      <c r="A3205" s="78"/>
      <c r="B3205" s="78"/>
      <c r="C3205" s="79" t="str">
        <f>IFERROR(__xludf.DUMMYFUNCTION("""COMPUTED_VALUE"""),"")</f>
        <v/>
      </c>
      <c r="D3205" s="79" t="str">
        <f>IFERROR(__xludf.DUMMYFUNCTION("""COMPUTED_VALUE"""),"")</f>
        <v/>
      </c>
      <c r="E3205" s="69" t="b">
        <f>IFERROR(__xludf.DUMMYFUNCTION("""COMPUTED_VALUE"""),TRUE)</f>
        <v>1</v>
      </c>
    </row>
    <row r="3206" hidden="1">
      <c r="A3206" s="78"/>
      <c r="B3206" s="78"/>
      <c r="C3206" s="79" t="str">
        <f>IFERROR(__xludf.DUMMYFUNCTION("""COMPUTED_VALUE"""),"")</f>
        <v/>
      </c>
      <c r="D3206" s="79" t="str">
        <f>IFERROR(__xludf.DUMMYFUNCTION("""COMPUTED_VALUE"""),"")</f>
        <v/>
      </c>
      <c r="E3206" s="69" t="b">
        <f>IFERROR(__xludf.DUMMYFUNCTION("""COMPUTED_VALUE"""),TRUE)</f>
        <v>1</v>
      </c>
    </row>
    <row r="3207" hidden="1">
      <c r="A3207" s="78"/>
      <c r="B3207" s="78"/>
      <c r="C3207" s="79" t="str">
        <f>IFERROR(__xludf.DUMMYFUNCTION("""COMPUTED_VALUE"""),"")</f>
        <v/>
      </c>
      <c r="D3207" s="79" t="str">
        <f>IFERROR(__xludf.DUMMYFUNCTION("""COMPUTED_VALUE"""),"")</f>
        <v/>
      </c>
      <c r="E3207" s="69" t="b">
        <f>IFERROR(__xludf.DUMMYFUNCTION("""COMPUTED_VALUE"""),TRUE)</f>
        <v>1</v>
      </c>
    </row>
    <row r="3208" hidden="1">
      <c r="A3208" s="78"/>
      <c r="B3208" s="78"/>
      <c r="C3208" s="79" t="str">
        <f>IFERROR(__xludf.DUMMYFUNCTION("""COMPUTED_VALUE"""),"")</f>
        <v/>
      </c>
      <c r="D3208" s="79" t="str">
        <f>IFERROR(__xludf.DUMMYFUNCTION("""COMPUTED_VALUE"""),"")</f>
        <v/>
      </c>
      <c r="E3208" s="69" t="b">
        <f>IFERROR(__xludf.DUMMYFUNCTION("""COMPUTED_VALUE"""),TRUE)</f>
        <v>1</v>
      </c>
    </row>
    <row r="3209" hidden="1">
      <c r="A3209" s="78"/>
      <c r="B3209" s="78"/>
      <c r="C3209" s="79" t="str">
        <f>IFERROR(__xludf.DUMMYFUNCTION("""COMPUTED_VALUE"""),"")</f>
        <v/>
      </c>
      <c r="D3209" s="79" t="str">
        <f>IFERROR(__xludf.DUMMYFUNCTION("""COMPUTED_VALUE"""),"")</f>
        <v/>
      </c>
      <c r="E3209" s="69" t="b">
        <f>IFERROR(__xludf.DUMMYFUNCTION("""COMPUTED_VALUE"""),TRUE)</f>
        <v>1</v>
      </c>
    </row>
    <row r="3210" hidden="1">
      <c r="A3210" s="78"/>
      <c r="B3210" s="78"/>
      <c r="C3210" s="79" t="str">
        <f>IFERROR(__xludf.DUMMYFUNCTION("""COMPUTED_VALUE"""),"")</f>
        <v/>
      </c>
      <c r="D3210" s="79" t="str">
        <f>IFERROR(__xludf.DUMMYFUNCTION("""COMPUTED_VALUE"""),"")</f>
        <v/>
      </c>
      <c r="E3210" s="69" t="b">
        <f>IFERROR(__xludf.DUMMYFUNCTION("""COMPUTED_VALUE"""),TRUE)</f>
        <v>1</v>
      </c>
    </row>
    <row r="3211" hidden="1">
      <c r="A3211" s="78"/>
      <c r="B3211" s="78"/>
      <c r="C3211" s="79" t="str">
        <f>IFERROR(__xludf.DUMMYFUNCTION("""COMPUTED_VALUE"""),"")</f>
        <v/>
      </c>
      <c r="D3211" s="79" t="str">
        <f>IFERROR(__xludf.DUMMYFUNCTION("""COMPUTED_VALUE"""),"")</f>
        <v/>
      </c>
      <c r="E3211" s="69" t="b">
        <f>IFERROR(__xludf.DUMMYFUNCTION("""COMPUTED_VALUE"""),TRUE)</f>
        <v>1</v>
      </c>
    </row>
    <row r="3212" hidden="1">
      <c r="A3212" s="78"/>
      <c r="B3212" s="78"/>
      <c r="C3212" s="79" t="str">
        <f>IFERROR(__xludf.DUMMYFUNCTION("""COMPUTED_VALUE"""),"")</f>
        <v/>
      </c>
      <c r="D3212" s="79" t="str">
        <f>IFERROR(__xludf.DUMMYFUNCTION("""COMPUTED_VALUE"""),"")</f>
        <v/>
      </c>
      <c r="E3212" s="69" t="b">
        <f>IFERROR(__xludf.DUMMYFUNCTION("""COMPUTED_VALUE"""),TRUE)</f>
        <v>1</v>
      </c>
    </row>
    <row r="3213" hidden="1">
      <c r="A3213" s="78"/>
      <c r="B3213" s="78"/>
      <c r="C3213" s="79" t="str">
        <f>IFERROR(__xludf.DUMMYFUNCTION("""COMPUTED_VALUE"""),"")</f>
        <v/>
      </c>
      <c r="D3213" s="79" t="str">
        <f>IFERROR(__xludf.DUMMYFUNCTION("""COMPUTED_VALUE"""),"")</f>
        <v/>
      </c>
      <c r="E3213" s="69" t="b">
        <f>IFERROR(__xludf.DUMMYFUNCTION("""COMPUTED_VALUE"""),TRUE)</f>
        <v>1</v>
      </c>
    </row>
    <row r="3214" hidden="1">
      <c r="A3214" s="78"/>
      <c r="B3214" s="78"/>
      <c r="C3214" s="79" t="str">
        <f>IFERROR(__xludf.DUMMYFUNCTION("""COMPUTED_VALUE"""),"")</f>
        <v/>
      </c>
      <c r="D3214" s="79" t="str">
        <f>IFERROR(__xludf.DUMMYFUNCTION("""COMPUTED_VALUE"""),"")</f>
        <v/>
      </c>
      <c r="E3214" s="69" t="b">
        <f>IFERROR(__xludf.DUMMYFUNCTION("""COMPUTED_VALUE"""),TRUE)</f>
        <v>1</v>
      </c>
    </row>
    <row r="3215" hidden="1">
      <c r="A3215" s="78"/>
      <c r="B3215" s="78"/>
      <c r="C3215" s="79" t="str">
        <f>IFERROR(__xludf.DUMMYFUNCTION("""COMPUTED_VALUE"""),"")</f>
        <v/>
      </c>
      <c r="D3215" s="79" t="str">
        <f>IFERROR(__xludf.DUMMYFUNCTION("""COMPUTED_VALUE"""),"")</f>
        <v/>
      </c>
      <c r="E3215" s="69" t="b">
        <f>IFERROR(__xludf.DUMMYFUNCTION("""COMPUTED_VALUE"""),TRUE)</f>
        <v>1</v>
      </c>
    </row>
    <row r="3216" hidden="1">
      <c r="A3216" s="78"/>
      <c r="B3216" s="78"/>
      <c r="C3216" s="79" t="str">
        <f>IFERROR(__xludf.DUMMYFUNCTION("""COMPUTED_VALUE"""),"")</f>
        <v/>
      </c>
      <c r="D3216" s="79" t="str">
        <f>IFERROR(__xludf.DUMMYFUNCTION("""COMPUTED_VALUE"""),"")</f>
        <v/>
      </c>
      <c r="E3216" s="69" t="b">
        <f>IFERROR(__xludf.DUMMYFUNCTION("""COMPUTED_VALUE"""),TRUE)</f>
        <v>1</v>
      </c>
    </row>
    <row r="3217" hidden="1">
      <c r="A3217" s="78"/>
      <c r="B3217" s="78"/>
      <c r="C3217" s="79" t="str">
        <f>IFERROR(__xludf.DUMMYFUNCTION("""COMPUTED_VALUE"""),"")</f>
        <v/>
      </c>
      <c r="D3217" s="79" t="str">
        <f>IFERROR(__xludf.DUMMYFUNCTION("""COMPUTED_VALUE"""),"")</f>
        <v/>
      </c>
      <c r="E3217" s="69" t="b">
        <f>IFERROR(__xludf.DUMMYFUNCTION("""COMPUTED_VALUE"""),TRUE)</f>
        <v>1</v>
      </c>
    </row>
    <row r="3218" hidden="1">
      <c r="A3218" s="78"/>
      <c r="B3218" s="78"/>
      <c r="C3218" s="79" t="str">
        <f>IFERROR(__xludf.DUMMYFUNCTION("""COMPUTED_VALUE"""),"")</f>
        <v/>
      </c>
      <c r="D3218" s="79" t="str">
        <f>IFERROR(__xludf.DUMMYFUNCTION("""COMPUTED_VALUE"""),"")</f>
        <v/>
      </c>
      <c r="E3218" s="69" t="b">
        <f>IFERROR(__xludf.DUMMYFUNCTION("""COMPUTED_VALUE"""),TRUE)</f>
        <v>1</v>
      </c>
    </row>
    <row r="3219" hidden="1">
      <c r="A3219" s="78"/>
      <c r="B3219" s="78"/>
      <c r="C3219" s="79" t="str">
        <f>IFERROR(__xludf.DUMMYFUNCTION("""COMPUTED_VALUE"""),"")</f>
        <v/>
      </c>
      <c r="D3219" s="79" t="str">
        <f>IFERROR(__xludf.DUMMYFUNCTION("""COMPUTED_VALUE"""),"")</f>
        <v/>
      </c>
      <c r="E3219" s="69" t="b">
        <f>IFERROR(__xludf.DUMMYFUNCTION("""COMPUTED_VALUE"""),TRUE)</f>
        <v>1</v>
      </c>
    </row>
    <row r="3220" hidden="1">
      <c r="A3220" s="78"/>
      <c r="B3220" s="78"/>
      <c r="C3220" s="79" t="str">
        <f>IFERROR(__xludf.DUMMYFUNCTION("""COMPUTED_VALUE"""),"")</f>
        <v/>
      </c>
      <c r="D3220" s="79" t="str">
        <f>IFERROR(__xludf.DUMMYFUNCTION("""COMPUTED_VALUE"""),"")</f>
        <v/>
      </c>
      <c r="E3220" s="69" t="b">
        <f>IFERROR(__xludf.DUMMYFUNCTION("""COMPUTED_VALUE"""),TRUE)</f>
        <v>1</v>
      </c>
    </row>
    <row r="3221" hidden="1">
      <c r="A3221" s="78"/>
      <c r="B3221" s="78"/>
      <c r="C3221" s="79" t="str">
        <f>IFERROR(__xludf.DUMMYFUNCTION("""COMPUTED_VALUE"""),"")</f>
        <v/>
      </c>
      <c r="D3221" s="79" t="str">
        <f>IFERROR(__xludf.DUMMYFUNCTION("""COMPUTED_VALUE"""),"")</f>
        <v/>
      </c>
      <c r="E3221" s="69" t="b">
        <f>IFERROR(__xludf.DUMMYFUNCTION("""COMPUTED_VALUE"""),TRUE)</f>
        <v>1</v>
      </c>
    </row>
    <row r="3222" hidden="1">
      <c r="A3222" s="78"/>
      <c r="B3222" s="78"/>
      <c r="C3222" s="79" t="str">
        <f>IFERROR(__xludf.DUMMYFUNCTION("""COMPUTED_VALUE"""),"")</f>
        <v/>
      </c>
      <c r="D3222" s="79" t="str">
        <f>IFERROR(__xludf.DUMMYFUNCTION("""COMPUTED_VALUE"""),"")</f>
        <v/>
      </c>
      <c r="E3222" s="69" t="b">
        <f>IFERROR(__xludf.DUMMYFUNCTION("""COMPUTED_VALUE"""),TRUE)</f>
        <v>1</v>
      </c>
    </row>
    <row r="3223" hidden="1">
      <c r="A3223" s="78"/>
      <c r="B3223" s="78"/>
      <c r="C3223" s="79" t="str">
        <f>IFERROR(__xludf.DUMMYFUNCTION("""COMPUTED_VALUE"""),"")</f>
        <v/>
      </c>
      <c r="D3223" s="79" t="str">
        <f>IFERROR(__xludf.DUMMYFUNCTION("""COMPUTED_VALUE"""),"")</f>
        <v/>
      </c>
      <c r="E3223" s="69" t="b">
        <f>IFERROR(__xludf.DUMMYFUNCTION("""COMPUTED_VALUE"""),TRUE)</f>
        <v>1</v>
      </c>
    </row>
    <row r="3224" hidden="1">
      <c r="A3224" s="78"/>
      <c r="B3224" s="78"/>
      <c r="C3224" s="79" t="str">
        <f>IFERROR(__xludf.DUMMYFUNCTION("""COMPUTED_VALUE"""),"")</f>
        <v/>
      </c>
      <c r="D3224" s="79" t="str">
        <f>IFERROR(__xludf.DUMMYFUNCTION("""COMPUTED_VALUE"""),"")</f>
        <v/>
      </c>
      <c r="E3224" s="69" t="b">
        <f>IFERROR(__xludf.DUMMYFUNCTION("""COMPUTED_VALUE"""),TRUE)</f>
        <v>1</v>
      </c>
    </row>
    <row r="3225" hidden="1">
      <c r="A3225" s="78"/>
      <c r="B3225" s="78"/>
      <c r="C3225" s="79" t="str">
        <f>IFERROR(__xludf.DUMMYFUNCTION("""COMPUTED_VALUE"""),"")</f>
        <v/>
      </c>
      <c r="D3225" s="79" t="str">
        <f>IFERROR(__xludf.DUMMYFUNCTION("""COMPUTED_VALUE"""),"")</f>
        <v/>
      </c>
      <c r="E3225" s="69" t="b">
        <f>IFERROR(__xludf.DUMMYFUNCTION("""COMPUTED_VALUE"""),TRUE)</f>
        <v>1</v>
      </c>
    </row>
    <row r="3226" hidden="1">
      <c r="A3226" s="78"/>
      <c r="B3226" s="78"/>
      <c r="C3226" s="79" t="str">
        <f>IFERROR(__xludf.DUMMYFUNCTION("""COMPUTED_VALUE"""),"")</f>
        <v/>
      </c>
      <c r="D3226" s="79" t="str">
        <f>IFERROR(__xludf.DUMMYFUNCTION("""COMPUTED_VALUE"""),"")</f>
        <v/>
      </c>
      <c r="E3226" s="69" t="b">
        <f>IFERROR(__xludf.DUMMYFUNCTION("""COMPUTED_VALUE"""),TRUE)</f>
        <v>1</v>
      </c>
    </row>
    <row r="3227" hidden="1">
      <c r="A3227" s="78"/>
      <c r="B3227" s="78"/>
      <c r="C3227" s="79" t="str">
        <f>IFERROR(__xludf.DUMMYFUNCTION("""COMPUTED_VALUE"""),"")</f>
        <v/>
      </c>
      <c r="D3227" s="79" t="str">
        <f>IFERROR(__xludf.DUMMYFUNCTION("""COMPUTED_VALUE"""),"")</f>
        <v/>
      </c>
      <c r="E3227" s="69" t="b">
        <f>IFERROR(__xludf.DUMMYFUNCTION("""COMPUTED_VALUE"""),TRUE)</f>
        <v>1</v>
      </c>
    </row>
    <row r="3228" hidden="1">
      <c r="A3228" s="78"/>
      <c r="B3228" s="78"/>
      <c r="C3228" s="79" t="str">
        <f>IFERROR(__xludf.DUMMYFUNCTION("""COMPUTED_VALUE"""),"")</f>
        <v/>
      </c>
      <c r="D3228" s="79" t="str">
        <f>IFERROR(__xludf.DUMMYFUNCTION("""COMPUTED_VALUE"""),"")</f>
        <v/>
      </c>
      <c r="E3228" s="69" t="b">
        <f>IFERROR(__xludf.DUMMYFUNCTION("""COMPUTED_VALUE"""),TRUE)</f>
        <v>1</v>
      </c>
    </row>
    <row r="3229" hidden="1">
      <c r="A3229" s="78"/>
      <c r="B3229" s="78"/>
      <c r="C3229" s="79" t="str">
        <f>IFERROR(__xludf.DUMMYFUNCTION("""COMPUTED_VALUE"""),"")</f>
        <v/>
      </c>
      <c r="D3229" s="79" t="str">
        <f>IFERROR(__xludf.DUMMYFUNCTION("""COMPUTED_VALUE"""),"")</f>
        <v/>
      </c>
      <c r="E3229" s="69" t="b">
        <f>IFERROR(__xludf.DUMMYFUNCTION("""COMPUTED_VALUE"""),TRUE)</f>
        <v>1</v>
      </c>
    </row>
    <row r="3230" hidden="1">
      <c r="A3230" s="78"/>
      <c r="B3230" s="78"/>
      <c r="C3230" s="79" t="str">
        <f>IFERROR(__xludf.DUMMYFUNCTION("""COMPUTED_VALUE"""),"")</f>
        <v/>
      </c>
      <c r="D3230" s="79" t="str">
        <f>IFERROR(__xludf.DUMMYFUNCTION("""COMPUTED_VALUE"""),"")</f>
        <v/>
      </c>
      <c r="E3230" s="69" t="b">
        <f>IFERROR(__xludf.DUMMYFUNCTION("""COMPUTED_VALUE"""),TRUE)</f>
        <v>1</v>
      </c>
    </row>
    <row r="3231" hidden="1">
      <c r="A3231" s="78"/>
      <c r="B3231" s="78"/>
      <c r="C3231" s="79" t="str">
        <f>IFERROR(__xludf.DUMMYFUNCTION("""COMPUTED_VALUE"""),"")</f>
        <v/>
      </c>
      <c r="D3231" s="79" t="str">
        <f>IFERROR(__xludf.DUMMYFUNCTION("""COMPUTED_VALUE"""),"")</f>
        <v/>
      </c>
      <c r="E3231" s="69" t="b">
        <f>IFERROR(__xludf.DUMMYFUNCTION("""COMPUTED_VALUE"""),TRUE)</f>
        <v>1</v>
      </c>
    </row>
    <row r="3232" hidden="1">
      <c r="A3232" s="78"/>
      <c r="B3232" s="78"/>
      <c r="C3232" s="79" t="str">
        <f>IFERROR(__xludf.DUMMYFUNCTION("""COMPUTED_VALUE"""),"")</f>
        <v/>
      </c>
      <c r="D3232" s="79" t="str">
        <f>IFERROR(__xludf.DUMMYFUNCTION("""COMPUTED_VALUE"""),"")</f>
        <v/>
      </c>
      <c r="E3232" s="69" t="b">
        <f>IFERROR(__xludf.DUMMYFUNCTION("""COMPUTED_VALUE"""),TRUE)</f>
        <v>1</v>
      </c>
    </row>
    <row r="3233" hidden="1">
      <c r="A3233" s="78"/>
      <c r="B3233" s="78"/>
      <c r="C3233" s="79" t="str">
        <f>IFERROR(__xludf.DUMMYFUNCTION("""COMPUTED_VALUE"""),"")</f>
        <v/>
      </c>
      <c r="D3233" s="79" t="str">
        <f>IFERROR(__xludf.DUMMYFUNCTION("""COMPUTED_VALUE"""),"")</f>
        <v/>
      </c>
      <c r="E3233" s="69" t="b">
        <f>IFERROR(__xludf.DUMMYFUNCTION("""COMPUTED_VALUE"""),TRUE)</f>
        <v>1</v>
      </c>
    </row>
    <row r="3234" hidden="1">
      <c r="A3234" s="78"/>
      <c r="B3234" s="78"/>
      <c r="C3234" s="79" t="str">
        <f>IFERROR(__xludf.DUMMYFUNCTION("""COMPUTED_VALUE"""),"")</f>
        <v/>
      </c>
      <c r="D3234" s="79" t="str">
        <f>IFERROR(__xludf.DUMMYFUNCTION("""COMPUTED_VALUE"""),"")</f>
        <v/>
      </c>
      <c r="E3234" s="69" t="b">
        <f>IFERROR(__xludf.DUMMYFUNCTION("""COMPUTED_VALUE"""),TRUE)</f>
        <v>1</v>
      </c>
    </row>
    <row r="3235" hidden="1">
      <c r="A3235" s="78"/>
      <c r="B3235" s="78"/>
      <c r="C3235" s="79" t="str">
        <f>IFERROR(__xludf.DUMMYFUNCTION("""COMPUTED_VALUE"""),"")</f>
        <v/>
      </c>
      <c r="D3235" s="79" t="str">
        <f>IFERROR(__xludf.DUMMYFUNCTION("""COMPUTED_VALUE"""),"")</f>
        <v/>
      </c>
      <c r="E3235" s="69" t="b">
        <f>IFERROR(__xludf.DUMMYFUNCTION("""COMPUTED_VALUE"""),TRUE)</f>
        <v>1</v>
      </c>
    </row>
    <row r="3236" hidden="1">
      <c r="A3236" s="78"/>
      <c r="B3236" s="78"/>
      <c r="C3236" s="79" t="str">
        <f>IFERROR(__xludf.DUMMYFUNCTION("""COMPUTED_VALUE"""),"")</f>
        <v/>
      </c>
      <c r="D3236" s="79" t="str">
        <f>IFERROR(__xludf.DUMMYFUNCTION("""COMPUTED_VALUE"""),"")</f>
        <v/>
      </c>
      <c r="E3236" s="69" t="b">
        <f>IFERROR(__xludf.DUMMYFUNCTION("""COMPUTED_VALUE"""),TRUE)</f>
        <v>1</v>
      </c>
    </row>
    <row r="3237" hidden="1">
      <c r="A3237" s="78"/>
      <c r="B3237" s="78"/>
      <c r="C3237" s="79" t="str">
        <f>IFERROR(__xludf.DUMMYFUNCTION("""COMPUTED_VALUE"""),"")</f>
        <v/>
      </c>
      <c r="D3237" s="79" t="str">
        <f>IFERROR(__xludf.DUMMYFUNCTION("""COMPUTED_VALUE"""),"")</f>
        <v/>
      </c>
      <c r="E3237" s="69" t="b">
        <f>IFERROR(__xludf.DUMMYFUNCTION("""COMPUTED_VALUE"""),TRUE)</f>
        <v>1</v>
      </c>
    </row>
    <row r="3238" hidden="1">
      <c r="A3238" s="78"/>
      <c r="B3238" s="78"/>
      <c r="C3238" s="79" t="str">
        <f>IFERROR(__xludf.DUMMYFUNCTION("""COMPUTED_VALUE"""),"")</f>
        <v/>
      </c>
      <c r="D3238" s="79" t="str">
        <f>IFERROR(__xludf.DUMMYFUNCTION("""COMPUTED_VALUE"""),"")</f>
        <v/>
      </c>
      <c r="E3238" s="69" t="b">
        <f>IFERROR(__xludf.DUMMYFUNCTION("""COMPUTED_VALUE"""),TRUE)</f>
        <v>1</v>
      </c>
    </row>
    <row r="3239" hidden="1">
      <c r="A3239" s="78"/>
      <c r="B3239" s="78"/>
      <c r="C3239" s="79" t="str">
        <f>IFERROR(__xludf.DUMMYFUNCTION("""COMPUTED_VALUE"""),"")</f>
        <v/>
      </c>
      <c r="D3239" s="79" t="str">
        <f>IFERROR(__xludf.DUMMYFUNCTION("""COMPUTED_VALUE"""),"")</f>
        <v/>
      </c>
      <c r="E3239" s="69" t="b">
        <f>IFERROR(__xludf.DUMMYFUNCTION("""COMPUTED_VALUE"""),TRUE)</f>
        <v>1</v>
      </c>
    </row>
    <row r="3240" hidden="1">
      <c r="A3240" s="78"/>
      <c r="B3240" s="78"/>
      <c r="C3240" s="79" t="str">
        <f>IFERROR(__xludf.DUMMYFUNCTION("""COMPUTED_VALUE"""),"")</f>
        <v/>
      </c>
      <c r="D3240" s="79" t="str">
        <f>IFERROR(__xludf.DUMMYFUNCTION("""COMPUTED_VALUE"""),"")</f>
        <v/>
      </c>
      <c r="E3240" s="69" t="b">
        <f>IFERROR(__xludf.DUMMYFUNCTION("""COMPUTED_VALUE"""),TRUE)</f>
        <v>1</v>
      </c>
    </row>
    <row r="3241" hidden="1">
      <c r="A3241" s="78"/>
      <c r="B3241" s="78"/>
      <c r="C3241" s="79" t="str">
        <f>IFERROR(__xludf.DUMMYFUNCTION("""COMPUTED_VALUE"""),"")</f>
        <v/>
      </c>
      <c r="D3241" s="79" t="str">
        <f>IFERROR(__xludf.DUMMYFUNCTION("""COMPUTED_VALUE"""),"")</f>
        <v/>
      </c>
      <c r="E3241" s="69" t="b">
        <f>IFERROR(__xludf.DUMMYFUNCTION("""COMPUTED_VALUE"""),TRUE)</f>
        <v>1</v>
      </c>
    </row>
    <row r="3242" hidden="1">
      <c r="A3242" s="78"/>
      <c r="B3242" s="78"/>
      <c r="C3242" s="79" t="str">
        <f>IFERROR(__xludf.DUMMYFUNCTION("""COMPUTED_VALUE"""),"")</f>
        <v/>
      </c>
      <c r="D3242" s="79" t="str">
        <f>IFERROR(__xludf.DUMMYFUNCTION("""COMPUTED_VALUE"""),"")</f>
        <v/>
      </c>
      <c r="E3242" s="69" t="b">
        <f>IFERROR(__xludf.DUMMYFUNCTION("""COMPUTED_VALUE"""),TRUE)</f>
        <v>1</v>
      </c>
    </row>
    <row r="3243" hidden="1">
      <c r="A3243" s="78"/>
      <c r="B3243" s="78"/>
      <c r="C3243" s="79" t="str">
        <f>IFERROR(__xludf.DUMMYFUNCTION("""COMPUTED_VALUE"""),"")</f>
        <v/>
      </c>
      <c r="D3243" s="79" t="str">
        <f>IFERROR(__xludf.DUMMYFUNCTION("""COMPUTED_VALUE"""),"")</f>
        <v/>
      </c>
      <c r="E3243" s="69" t="b">
        <f>IFERROR(__xludf.DUMMYFUNCTION("""COMPUTED_VALUE"""),TRUE)</f>
        <v>1</v>
      </c>
    </row>
    <row r="3244" hidden="1">
      <c r="A3244" s="78"/>
      <c r="B3244" s="78"/>
      <c r="C3244" s="79" t="str">
        <f>IFERROR(__xludf.DUMMYFUNCTION("""COMPUTED_VALUE"""),"")</f>
        <v/>
      </c>
      <c r="D3244" s="79" t="str">
        <f>IFERROR(__xludf.DUMMYFUNCTION("""COMPUTED_VALUE"""),"")</f>
        <v/>
      </c>
      <c r="E3244" s="69" t="b">
        <f>IFERROR(__xludf.DUMMYFUNCTION("""COMPUTED_VALUE"""),TRUE)</f>
        <v>1</v>
      </c>
    </row>
    <row r="3245" hidden="1">
      <c r="A3245" s="78"/>
      <c r="B3245" s="78"/>
      <c r="C3245" s="79" t="str">
        <f>IFERROR(__xludf.DUMMYFUNCTION("""COMPUTED_VALUE"""),"")</f>
        <v/>
      </c>
      <c r="D3245" s="79" t="str">
        <f>IFERROR(__xludf.DUMMYFUNCTION("""COMPUTED_VALUE"""),"")</f>
        <v/>
      </c>
      <c r="E3245" s="69" t="b">
        <f>IFERROR(__xludf.DUMMYFUNCTION("""COMPUTED_VALUE"""),TRUE)</f>
        <v>1</v>
      </c>
    </row>
    <row r="3246" hidden="1">
      <c r="A3246" s="78"/>
      <c r="B3246" s="78"/>
      <c r="C3246" s="79" t="str">
        <f>IFERROR(__xludf.DUMMYFUNCTION("""COMPUTED_VALUE"""),"")</f>
        <v/>
      </c>
      <c r="D3246" s="79" t="str">
        <f>IFERROR(__xludf.DUMMYFUNCTION("""COMPUTED_VALUE"""),"")</f>
        <v/>
      </c>
      <c r="E3246" s="69" t="b">
        <f>IFERROR(__xludf.DUMMYFUNCTION("""COMPUTED_VALUE"""),TRUE)</f>
        <v>1</v>
      </c>
    </row>
    <row r="3247" hidden="1">
      <c r="A3247" s="78"/>
      <c r="B3247" s="78"/>
      <c r="C3247" s="79" t="str">
        <f>IFERROR(__xludf.DUMMYFUNCTION("""COMPUTED_VALUE"""),"")</f>
        <v/>
      </c>
      <c r="D3247" s="79" t="str">
        <f>IFERROR(__xludf.DUMMYFUNCTION("""COMPUTED_VALUE"""),"")</f>
        <v/>
      </c>
      <c r="E3247" s="69" t="b">
        <f>IFERROR(__xludf.DUMMYFUNCTION("""COMPUTED_VALUE"""),TRUE)</f>
        <v>1</v>
      </c>
    </row>
    <row r="3248" hidden="1">
      <c r="A3248" s="78"/>
      <c r="B3248" s="78"/>
      <c r="C3248" s="79" t="str">
        <f>IFERROR(__xludf.DUMMYFUNCTION("""COMPUTED_VALUE"""),"")</f>
        <v/>
      </c>
      <c r="D3248" s="79" t="str">
        <f>IFERROR(__xludf.DUMMYFUNCTION("""COMPUTED_VALUE"""),"")</f>
        <v/>
      </c>
      <c r="E3248" s="69" t="b">
        <f>IFERROR(__xludf.DUMMYFUNCTION("""COMPUTED_VALUE"""),TRUE)</f>
        <v>1</v>
      </c>
    </row>
    <row r="3249" hidden="1">
      <c r="A3249" s="78"/>
      <c r="B3249" s="78"/>
      <c r="C3249" s="79" t="str">
        <f>IFERROR(__xludf.DUMMYFUNCTION("""COMPUTED_VALUE"""),"")</f>
        <v/>
      </c>
      <c r="D3249" s="79" t="str">
        <f>IFERROR(__xludf.DUMMYFUNCTION("""COMPUTED_VALUE"""),"")</f>
        <v/>
      </c>
      <c r="E3249" s="69" t="b">
        <f>IFERROR(__xludf.DUMMYFUNCTION("""COMPUTED_VALUE"""),TRUE)</f>
        <v>1</v>
      </c>
    </row>
    <row r="3250" hidden="1">
      <c r="A3250" s="78"/>
      <c r="B3250" s="78"/>
      <c r="C3250" s="79" t="str">
        <f>IFERROR(__xludf.DUMMYFUNCTION("""COMPUTED_VALUE"""),"")</f>
        <v/>
      </c>
      <c r="D3250" s="79" t="str">
        <f>IFERROR(__xludf.DUMMYFUNCTION("""COMPUTED_VALUE"""),"")</f>
        <v/>
      </c>
      <c r="E3250" s="69" t="b">
        <f>IFERROR(__xludf.DUMMYFUNCTION("""COMPUTED_VALUE"""),TRUE)</f>
        <v>1</v>
      </c>
    </row>
    <row r="3251" hidden="1">
      <c r="A3251" s="78"/>
      <c r="B3251" s="78"/>
      <c r="C3251" s="79" t="str">
        <f>IFERROR(__xludf.DUMMYFUNCTION("""COMPUTED_VALUE"""),"")</f>
        <v/>
      </c>
      <c r="D3251" s="79" t="str">
        <f>IFERROR(__xludf.DUMMYFUNCTION("""COMPUTED_VALUE"""),"")</f>
        <v/>
      </c>
      <c r="E3251" s="69" t="b">
        <f>IFERROR(__xludf.DUMMYFUNCTION("""COMPUTED_VALUE"""),TRUE)</f>
        <v>1</v>
      </c>
    </row>
    <row r="3252" hidden="1">
      <c r="A3252" s="78"/>
      <c r="B3252" s="78"/>
      <c r="C3252" s="79" t="str">
        <f>IFERROR(__xludf.DUMMYFUNCTION("""COMPUTED_VALUE"""),"")</f>
        <v/>
      </c>
      <c r="D3252" s="79" t="str">
        <f>IFERROR(__xludf.DUMMYFUNCTION("""COMPUTED_VALUE"""),"")</f>
        <v/>
      </c>
      <c r="E3252" s="69" t="b">
        <f>IFERROR(__xludf.DUMMYFUNCTION("""COMPUTED_VALUE"""),TRUE)</f>
        <v>1</v>
      </c>
    </row>
    <row r="3253" hidden="1">
      <c r="A3253" s="78"/>
      <c r="B3253" s="78"/>
      <c r="C3253" s="79" t="str">
        <f>IFERROR(__xludf.DUMMYFUNCTION("""COMPUTED_VALUE"""),"")</f>
        <v/>
      </c>
      <c r="D3253" s="79" t="str">
        <f>IFERROR(__xludf.DUMMYFUNCTION("""COMPUTED_VALUE"""),"")</f>
        <v/>
      </c>
      <c r="E3253" s="69" t="b">
        <f>IFERROR(__xludf.DUMMYFUNCTION("""COMPUTED_VALUE"""),TRUE)</f>
        <v>1</v>
      </c>
    </row>
    <row r="3254" hidden="1">
      <c r="A3254" s="78"/>
      <c r="B3254" s="78"/>
      <c r="C3254" s="79" t="str">
        <f>IFERROR(__xludf.DUMMYFUNCTION("""COMPUTED_VALUE"""),"")</f>
        <v/>
      </c>
      <c r="D3254" s="79" t="str">
        <f>IFERROR(__xludf.DUMMYFUNCTION("""COMPUTED_VALUE"""),"")</f>
        <v/>
      </c>
      <c r="E3254" s="69" t="b">
        <f>IFERROR(__xludf.DUMMYFUNCTION("""COMPUTED_VALUE"""),TRUE)</f>
        <v>1</v>
      </c>
    </row>
    <row r="3255" hidden="1">
      <c r="A3255" s="78"/>
      <c r="B3255" s="78"/>
      <c r="C3255" s="79" t="str">
        <f>IFERROR(__xludf.DUMMYFUNCTION("""COMPUTED_VALUE"""),"")</f>
        <v/>
      </c>
      <c r="D3255" s="79" t="str">
        <f>IFERROR(__xludf.DUMMYFUNCTION("""COMPUTED_VALUE"""),"")</f>
        <v/>
      </c>
      <c r="E3255" s="69" t="b">
        <f>IFERROR(__xludf.DUMMYFUNCTION("""COMPUTED_VALUE"""),TRUE)</f>
        <v>1</v>
      </c>
    </row>
    <row r="3256" hidden="1">
      <c r="A3256" s="78"/>
      <c r="B3256" s="78"/>
      <c r="C3256" s="79" t="str">
        <f>IFERROR(__xludf.DUMMYFUNCTION("""COMPUTED_VALUE"""),"")</f>
        <v/>
      </c>
      <c r="D3256" s="79" t="str">
        <f>IFERROR(__xludf.DUMMYFUNCTION("""COMPUTED_VALUE"""),"")</f>
        <v/>
      </c>
      <c r="E3256" s="69" t="b">
        <f>IFERROR(__xludf.DUMMYFUNCTION("""COMPUTED_VALUE"""),TRUE)</f>
        <v>1</v>
      </c>
    </row>
    <row r="3257" hidden="1">
      <c r="A3257" s="78"/>
      <c r="B3257" s="78"/>
      <c r="C3257" s="79" t="str">
        <f>IFERROR(__xludf.DUMMYFUNCTION("""COMPUTED_VALUE"""),"")</f>
        <v/>
      </c>
      <c r="D3257" s="79" t="str">
        <f>IFERROR(__xludf.DUMMYFUNCTION("""COMPUTED_VALUE"""),"")</f>
        <v/>
      </c>
      <c r="E3257" s="69" t="b">
        <f>IFERROR(__xludf.DUMMYFUNCTION("""COMPUTED_VALUE"""),TRUE)</f>
        <v>1</v>
      </c>
    </row>
    <row r="3258" hidden="1">
      <c r="A3258" s="78"/>
      <c r="B3258" s="78"/>
      <c r="C3258" s="79" t="str">
        <f>IFERROR(__xludf.DUMMYFUNCTION("""COMPUTED_VALUE"""),"")</f>
        <v/>
      </c>
      <c r="D3258" s="79" t="str">
        <f>IFERROR(__xludf.DUMMYFUNCTION("""COMPUTED_VALUE"""),"")</f>
        <v/>
      </c>
      <c r="E3258" s="69" t="b">
        <f>IFERROR(__xludf.DUMMYFUNCTION("""COMPUTED_VALUE"""),TRUE)</f>
        <v>1</v>
      </c>
    </row>
    <row r="3259" hidden="1">
      <c r="A3259" s="78"/>
      <c r="B3259" s="78"/>
      <c r="C3259" s="79" t="str">
        <f>IFERROR(__xludf.DUMMYFUNCTION("""COMPUTED_VALUE"""),"")</f>
        <v/>
      </c>
      <c r="D3259" s="79" t="str">
        <f>IFERROR(__xludf.DUMMYFUNCTION("""COMPUTED_VALUE"""),"")</f>
        <v/>
      </c>
      <c r="E3259" s="69" t="b">
        <f>IFERROR(__xludf.DUMMYFUNCTION("""COMPUTED_VALUE"""),TRUE)</f>
        <v>1</v>
      </c>
    </row>
    <row r="3260" hidden="1">
      <c r="A3260" s="78"/>
      <c r="B3260" s="78"/>
      <c r="C3260" s="79" t="str">
        <f>IFERROR(__xludf.DUMMYFUNCTION("""COMPUTED_VALUE"""),"")</f>
        <v/>
      </c>
      <c r="D3260" s="79" t="str">
        <f>IFERROR(__xludf.DUMMYFUNCTION("""COMPUTED_VALUE"""),"")</f>
        <v/>
      </c>
      <c r="E3260" s="69" t="b">
        <f>IFERROR(__xludf.DUMMYFUNCTION("""COMPUTED_VALUE"""),TRUE)</f>
        <v>1</v>
      </c>
    </row>
    <row r="3261" hidden="1">
      <c r="A3261" s="78"/>
      <c r="B3261" s="78"/>
      <c r="C3261" s="79" t="str">
        <f>IFERROR(__xludf.DUMMYFUNCTION("""COMPUTED_VALUE"""),"")</f>
        <v/>
      </c>
      <c r="D3261" s="79" t="str">
        <f>IFERROR(__xludf.DUMMYFUNCTION("""COMPUTED_VALUE"""),"")</f>
        <v/>
      </c>
      <c r="E3261" s="69" t="b">
        <f>IFERROR(__xludf.DUMMYFUNCTION("""COMPUTED_VALUE"""),TRUE)</f>
        <v>1</v>
      </c>
    </row>
    <row r="3262" hidden="1">
      <c r="A3262" s="78"/>
      <c r="B3262" s="78"/>
      <c r="C3262" s="79" t="str">
        <f>IFERROR(__xludf.DUMMYFUNCTION("""COMPUTED_VALUE"""),"")</f>
        <v/>
      </c>
      <c r="D3262" s="79" t="str">
        <f>IFERROR(__xludf.DUMMYFUNCTION("""COMPUTED_VALUE"""),"")</f>
        <v/>
      </c>
      <c r="E3262" s="69" t="b">
        <f>IFERROR(__xludf.DUMMYFUNCTION("""COMPUTED_VALUE"""),TRUE)</f>
        <v>1</v>
      </c>
    </row>
    <row r="3263" hidden="1">
      <c r="A3263" s="78"/>
      <c r="B3263" s="78"/>
      <c r="C3263" s="79" t="str">
        <f>IFERROR(__xludf.DUMMYFUNCTION("""COMPUTED_VALUE"""),"")</f>
        <v/>
      </c>
      <c r="D3263" s="79" t="str">
        <f>IFERROR(__xludf.DUMMYFUNCTION("""COMPUTED_VALUE"""),"")</f>
        <v/>
      </c>
      <c r="E3263" s="69" t="b">
        <f>IFERROR(__xludf.DUMMYFUNCTION("""COMPUTED_VALUE"""),TRUE)</f>
        <v>1</v>
      </c>
    </row>
    <row r="3264" hidden="1">
      <c r="A3264" s="78"/>
      <c r="B3264" s="78"/>
      <c r="C3264" s="79" t="str">
        <f>IFERROR(__xludf.DUMMYFUNCTION("""COMPUTED_VALUE"""),"")</f>
        <v/>
      </c>
      <c r="D3264" s="79" t="str">
        <f>IFERROR(__xludf.DUMMYFUNCTION("""COMPUTED_VALUE"""),"")</f>
        <v/>
      </c>
      <c r="E3264" s="69" t="b">
        <f>IFERROR(__xludf.DUMMYFUNCTION("""COMPUTED_VALUE"""),TRUE)</f>
        <v>1</v>
      </c>
    </row>
    <row r="3265" hidden="1">
      <c r="A3265" s="78"/>
      <c r="B3265" s="78"/>
      <c r="C3265" s="79" t="str">
        <f>IFERROR(__xludf.DUMMYFUNCTION("""COMPUTED_VALUE"""),"")</f>
        <v/>
      </c>
      <c r="D3265" s="79" t="str">
        <f>IFERROR(__xludf.DUMMYFUNCTION("""COMPUTED_VALUE"""),"")</f>
        <v/>
      </c>
      <c r="E3265" s="69" t="b">
        <f>IFERROR(__xludf.DUMMYFUNCTION("""COMPUTED_VALUE"""),TRUE)</f>
        <v>1</v>
      </c>
    </row>
    <row r="3266" hidden="1">
      <c r="A3266" s="78"/>
      <c r="B3266" s="78"/>
      <c r="C3266" s="79" t="str">
        <f>IFERROR(__xludf.DUMMYFUNCTION("""COMPUTED_VALUE"""),"")</f>
        <v/>
      </c>
      <c r="D3266" s="79" t="str">
        <f>IFERROR(__xludf.DUMMYFUNCTION("""COMPUTED_VALUE"""),"")</f>
        <v/>
      </c>
      <c r="E3266" s="69" t="b">
        <f>IFERROR(__xludf.DUMMYFUNCTION("""COMPUTED_VALUE"""),TRUE)</f>
        <v>1</v>
      </c>
    </row>
    <row r="3267" hidden="1">
      <c r="A3267" s="78"/>
      <c r="B3267" s="78"/>
      <c r="C3267" s="79" t="str">
        <f>IFERROR(__xludf.DUMMYFUNCTION("""COMPUTED_VALUE"""),"")</f>
        <v/>
      </c>
      <c r="D3267" s="79" t="str">
        <f>IFERROR(__xludf.DUMMYFUNCTION("""COMPUTED_VALUE"""),"")</f>
        <v/>
      </c>
      <c r="E3267" s="69" t="b">
        <f>IFERROR(__xludf.DUMMYFUNCTION("""COMPUTED_VALUE"""),TRUE)</f>
        <v>1</v>
      </c>
    </row>
    <row r="3268" hidden="1">
      <c r="A3268" s="78"/>
      <c r="B3268" s="78"/>
      <c r="C3268" s="79" t="str">
        <f>IFERROR(__xludf.DUMMYFUNCTION("""COMPUTED_VALUE"""),"")</f>
        <v/>
      </c>
      <c r="D3268" s="79" t="str">
        <f>IFERROR(__xludf.DUMMYFUNCTION("""COMPUTED_VALUE"""),"")</f>
        <v/>
      </c>
      <c r="E3268" s="69" t="b">
        <f>IFERROR(__xludf.DUMMYFUNCTION("""COMPUTED_VALUE"""),TRUE)</f>
        <v>1</v>
      </c>
    </row>
    <row r="3269" hidden="1">
      <c r="A3269" s="78"/>
      <c r="B3269" s="78"/>
      <c r="C3269" s="79" t="str">
        <f>IFERROR(__xludf.DUMMYFUNCTION("""COMPUTED_VALUE"""),"")</f>
        <v/>
      </c>
      <c r="D3269" s="79" t="str">
        <f>IFERROR(__xludf.DUMMYFUNCTION("""COMPUTED_VALUE"""),"")</f>
        <v/>
      </c>
      <c r="E3269" s="69" t="b">
        <f>IFERROR(__xludf.DUMMYFUNCTION("""COMPUTED_VALUE"""),TRUE)</f>
        <v>1</v>
      </c>
    </row>
    <row r="3270" hidden="1">
      <c r="A3270" s="78"/>
      <c r="B3270" s="78"/>
      <c r="C3270" s="79" t="str">
        <f>IFERROR(__xludf.DUMMYFUNCTION("""COMPUTED_VALUE"""),"")</f>
        <v/>
      </c>
      <c r="D3270" s="79" t="str">
        <f>IFERROR(__xludf.DUMMYFUNCTION("""COMPUTED_VALUE"""),"")</f>
        <v/>
      </c>
      <c r="E3270" s="69" t="b">
        <f>IFERROR(__xludf.DUMMYFUNCTION("""COMPUTED_VALUE"""),TRUE)</f>
        <v>1</v>
      </c>
    </row>
    <row r="3271" hidden="1">
      <c r="A3271" s="78"/>
      <c r="B3271" s="78"/>
      <c r="C3271" s="79" t="str">
        <f>IFERROR(__xludf.DUMMYFUNCTION("""COMPUTED_VALUE"""),"")</f>
        <v/>
      </c>
      <c r="D3271" s="79" t="str">
        <f>IFERROR(__xludf.DUMMYFUNCTION("""COMPUTED_VALUE"""),"")</f>
        <v/>
      </c>
      <c r="E3271" s="69" t="b">
        <f>IFERROR(__xludf.DUMMYFUNCTION("""COMPUTED_VALUE"""),TRUE)</f>
        <v>1</v>
      </c>
    </row>
    <row r="3272" hidden="1">
      <c r="A3272" s="78"/>
      <c r="B3272" s="78"/>
      <c r="C3272" s="79" t="str">
        <f>IFERROR(__xludf.DUMMYFUNCTION("""COMPUTED_VALUE"""),"")</f>
        <v/>
      </c>
      <c r="D3272" s="79" t="str">
        <f>IFERROR(__xludf.DUMMYFUNCTION("""COMPUTED_VALUE"""),"")</f>
        <v/>
      </c>
      <c r="E3272" s="69" t="b">
        <f>IFERROR(__xludf.DUMMYFUNCTION("""COMPUTED_VALUE"""),TRUE)</f>
        <v>1</v>
      </c>
    </row>
    <row r="3273" hidden="1">
      <c r="A3273" s="78"/>
      <c r="B3273" s="78"/>
      <c r="C3273" s="79" t="str">
        <f>IFERROR(__xludf.DUMMYFUNCTION("""COMPUTED_VALUE"""),"")</f>
        <v/>
      </c>
      <c r="D3273" s="79" t="str">
        <f>IFERROR(__xludf.DUMMYFUNCTION("""COMPUTED_VALUE"""),"")</f>
        <v/>
      </c>
      <c r="E3273" s="69" t="b">
        <f>IFERROR(__xludf.DUMMYFUNCTION("""COMPUTED_VALUE"""),TRUE)</f>
        <v>1</v>
      </c>
    </row>
    <row r="3274" hidden="1">
      <c r="A3274" s="78"/>
      <c r="B3274" s="78"/>
      <c r="C3274" s="79" t="str">
        <f>IFERROR(__xludf.DUMMYFUNCTION("""COMPUTED_VALUE"""),"")</f>
        <v/>
      </c>
      <c r="D3274" s="79" t="str">
        <f>IFERROR(__xludf.DUMMYFUNCTION("""COMPUTED_VALUE"""),"")</f>
        <v/>
      </c>
      <c r="E3274" s="69" t="b">
        <f>IFERROR(__xludf.DUMMYFUNCTION("""COMPUTED_VALUE"""),TRUE)</f>
        <v>1</v>
      </c>
    </row>
    <row r="3275" hidden="1">
      <c r="A3275" s="78"/>
      <c r="B3275" s="78"/>
      <c r="C3275" s="79" t="str">
        <f>IFERROR(__xludf.DUMMYFUNCTION("""COMPUTED_VALUE"""),"")</f>
        <v/>
      </c>
      <c r="D3275" s="79" t="str">
        <f>IFERROR(__xludf.DUMMYFUNCTION("""COMPUTED_VALUE"""),"")</f>
        <v/>
      </c>
      <c r="E3275" s="69" t="b">
        <f>IFERROR(__xludf.DUMMYFUNCTION("""COMPUTED_VALUE"""),TRUE)</f>
        <v>1</v>
      </c>
    </row>
    <row r="3276" hidden="1">
      <c r="A3276" s="78"/>
      <c r="B3276" s="78"/>
      <c r="C3276" s="79" t="str">
        <f>IFERROR(__xludf.DUMMYFUNCTION("""COMPUTED_VALUE"""),"")</f>
        <v/>
      </c>
      <c r="D3276" s="79" t="str">
        <f>IFERROR(__xludf.DUMMYFUNCTION("""COMPUTED_VALUE"""),"")</f>
        <v/>
      </c>
      <c r="E3276" s="69" t="b">
        <f>IFERROR(__xludf.DUMMYFUNCTION("""COMPUTED_VALUE"""),TRUE)</f>
        <v>1</v>
      </c>
    </row>
    <row r="3277" hidden="1">
      <c r="A3277" s="78"/>
      <c r="B3277" s="78"/>
      <c r="C3277" s="79" t="str">
        <f>IFERROR(__xludf.DUMMYFUNCTION("""COMPUTED_VALUE"""),"")</f>
        <v/>
      </c>
      <c r="D3277" s="79" t="str">
        <f>IFERROR(__xludf.DUMMYFUNCTION("""COMPUTED_VALUE"""),"")</f>
        <v/>
      </c>
      <c r="E3277" s="69" t="b">
        <f>IFERROR(__xludf.DUMMYFUNCTION("""COMPUTED_VALUE"""),TRUE)</f>
        <v>1</v>
      </c>
    </row>
    <row r="3278" hidden="1">
      <c r="A3278" s="78"/>
      <c r="B3278" s="78"/>
      <c r="C3278" s="79" t="str">
        <f>IFERROR(__xludf.DUMMYFUNCTION("""COMPUTED_VALUE"""),"")</f>
        <v/>
      </c>
      <c r="D3278" s="79" t="str">
        <f>IFERROR(__xludf.DUMMYFUNCTION("""COMPUTED_VALUE"""),"")</f>
        <v/>
      </c>
      <c r="E3278" s="69" t="b">
        <f>IFERROR(__xludf.DUMMYFUNCTION("""COMPUTED_VALUE"""),TRUE)</f>
        <v>1</v>
      </c>
    </row>
    <row r="3279" hidden="1">
      <c r="A3279" s="78"/>
      <c r="B3279" s="78"/>
      <c r="C3279" s="79" t="str">
        <f>IFERROR(__xludf.DUMMYFUNCTION("""COMPUTED_VALUE"""),"")</f>
        <v/>
      </c>
      <c r="D3279" s="79" t="str">
        <f>IFERROR(__xludf.DUMMYFUNCTION("""COMPUTED_VALUE"""),"")</f>
        <v/>
      </c>
      <c r="E3279" s="69" t="b">
        <f>IFERROR(__xludf.DUMMYFUNCTION("""COMPUTED_VALUE"""),TRUE)</f>
        <v>1</v>
      </c>
    </row>
    <row r="3280" hidden="1">
      <c r="A3280" s="78"/>
      <c r="B3280" s="78"/>
      <c r="C3280" s="79" t="str">
        <f>IFERROR(__xludf.DUMMYFUNCTION("""COMPUTED_VALUE"""),"")</f>
        <v/>
      </c>
      <c r="D3280" s="79" t="str">
        <f>IFERROR(__xludf.DUMMYFUNCTION("""COMPUTED_VALUE"""),"")</f>
        <v/>
      </c>
      <c r="E3280" s="69" t="b">
        <f>IFERROR(__xludf.DUMMYFUNCTION("""COMPUTED_VALUE"""),TRUE)</f>
        <v>1</v>
      </c>
    </row>
    <row r="3281" hidden="1">
      <c r="A3281" s="78"/>
      <c r="B3281" s="78"/>
      <c r="C3281" s="79" t="str">
        <f>IFERROR(__xludf.DUMMYFUNCTION("""COMPUTED_VALUE"""),"")</f>
        <v/>
      </c>
      <c r="D3281" s="79" t="str">
        <f>IFERROR(__xludf.DUMMYFUNCTION("""COMPUTED_VALUE"""),"")</f>
        <v/>
      </c>
      <c r="E3281" s="69" t="b">
        <f>IFERROR(__xludf.DUMMYFUNCTION("""COMPUTED_VALUE"""),TRUE)</f>
        <v>1</v>
      </c>
    </row>
    <row r="3282" hidden="1">
      <c r="A3282" s="78"/>
      <c r="B3282" s="78"/>
      <c r="C3282" s="79" t="str">
        <f>IFERROR(__xludf.DUMMYFUNCTION("""COMPUTED_VALUE"""),"")</f>
        <v/>
      </c>
      <c r="D3282" s="79" t="str">
        <f>IFERROR(__xludf.DUMMYFUNCTION("""COMPUTED_VALUE"""),"")</f>
        <v/>
      </c>
      <c r="E3282" s="69" t="b">
        <f>IFERROR(__xludf.DUMMYFUNCTION("""COMPUTED_VALUE"""),TRUE)</f>
        <v>1</v>
      </c>
    </row>
    <row r="3283" hidden="1">
      <c r="A3283" s="78"/>
      <c r="B3283" s="78"/>
      <c r="C3283" s="79" t="str">
        <f>IFERROR(__xludf.DUMMYFUNCTION("""COMPUTED_VALUE"""),"")</f>
        <v/>
      </c>
      <c r="D3283" s="79" t="str">
        <f>IFERROR(__xludf.DUMMYFUNCTION("""COMPUTED_VALUE"""),"")</f>
        <v/>
      </c>
      <c r="E3283" s="69" t="b">
        <f>IFERROR(__xludf.DUMMYFUNCTION("""COMPUTED_VALUE"""),TRUE)</f>
        <v>1</v>
      </c>
    </row>
    <row r="3284" hidden="1">
      <c r="A3284" s="78"/>
      <c r="B3284" s="78"/>
      <c r="C3284" s="79" t="str">
        <f>IFERROR(__xludf.DUMMYFUNCTION("""COMPUTED_VALUE"""),"")</f>
        <v/>
      </c>
      <c r="D3284" s="79" t="str">
        <f>IFERROR(__xludf.DUMMYFUNCTION("""COMPUTED_VALUE"""),"")</f>
        <v/>
      </c>
      <c r="E3284" s="69" t="b">
        <f>IFERROR(__xludf.DUMMYFUNCTION("""COMPUTED_VALUE"""),TRUE)</f>
        <v>1</v>
      </c>
    </row>
    <row r="3285" hidden="1">
      <c r="A3285" s="78"/>
      <c r="B3285" s="78"/>
      <c r="C3285" s="79" t="str">
        <f>IFERROR(__xludf.DUMMYFUNCTION("""COMPUTED_VALUE"""),"")</f>
        <v/>
      </c>
      <c r="D3285" s="79" t="str">
        <f>IFERROR(__xludf.DUMMYFUNCTION("""COMPUTED_VALUE"""),"")</f>
        <v/>
      </c>
      <c r="E3285" s="69" t="b">
        <f>IFERROR(__xludf.DUMMYFUNCTION("""COMPUTED_VALUE"""),TRUE)</f>
        <v>1</v>
      </c>
    </row>
    <row r="3286" hidden="1">
      <c r="A3286" s="78"/>
      <c r="B3286" s="78"/>
      <c r="C3286" s="79" t="str">
        <f>IFERROR(__xludf.DUMMYFUNCTION("""COMPUTED_VALUE"""),"")</f>
        <v/>
      </c>
      <c r="D3286" s="79" t="str">
        <f>IFERROR(__xludf.DUMMYFUNCTION("""COMPUTED_VALUE"""),"")</f>
        <v/>
      </c>
      <c r="E3286" s="69" t="b">
        <f>IFERROR(__xludf.DUMMYFUNCTION("""COMPUTED_VALUE"""),TRUE)</f>
        <v>1</v>
      </c>
    </row>
    <row r="3287" hidden="1">
      <c r="A3287" s="78"/>
      <c r="B3287" s="78"/>
      <c r="C3287" s="79" t="str">
        <f>IFERROR(__xludf.DUMMYFUNCTION("""COMPUTED_VALUE"""),"")</f>
        <v/>
      </c>
      <c r="D3287" s="79" t="str">
        <f>IFERROR(__xludf.DUMMYFUNCTION("""COMPUTED_VALUE"""),"")</f>
        <v/>
      </c>
      <c r="E3287" s="69" t="b">
        <f>IFERROR(__xludf.DUMMYFUNCTION("""COMPUTED_VALUE"""),TRUE)</f>
        <v>1</v>
      </c>
    </row>
    <row r="3288" hidden="1">
      <c r="A3288" s="78"/>
      <c r="B3288" s="78"/>
      <c r="C3288" s="79" t="str">
        <f>IFERROR(__xludf.DUMMYFUNCTION("""COMPUTED_VALUE"""),"")</f>
        <v/>
      </c>
      <c r="D3288" s="79" t="str">
        <f>IFERROR(__xludf.DUMMYFUNCTION("""COMPUTED_VALUE"""),"")</f>
        <v/>
      </c>
      <c r="E3288" s="69" t="b">
        <f>IFERROR(__xludf.DUMMYFUNCTION("""COMPUTED_VALUE"""),TRUE)</f>
        <v>1</v>
      </c>
    </row>
    <row r="3289" hidden="1">
      <c r="A3289" s="78"/>
      <c r="B3289" s="78"/>
      <c r="C3289" s="79" t="str">
        <f>IFERROR(__xludf.DUMMYFUNCTION("""COMPUTED_VALUE"""),"")</f>
        <v/>
      </c>
      <c r="D3289" s="79" t="str">
        <f>IFERROR(__xludf.DUMMYFUNCTION("""COMPUTED_VALUE"""),"")</f>
        <v/>
      </c>
      <c r="E3289" s="69" t="b">
        <f>IFERROR(__xludf.DUMMYFUNCTION("""COMPUTED_VALUE"""),TRUE)</f>
        <v>1</v>
      </c>
    </row>
    <row r="3290" hidden="1">
      <c r="A3290" s="78"/>
      <c r="B3290" s="78"/>
      <c r="C3290" s="79" t="str">
        <f>IFERROR(__xludf.DUMMYFUNCTION("""COMPUTED_VALUE"""),"")</f>
        <v/>
      </c>
      <c r="D3290" s="79" t="str">
        <f>IFERROR(__xludf.DUMMYFUNCTION("""COMPUTED_VALUE"""),"")</f>
        <v/>
      </c>
      <c r="E3290" s="69" t="b">
        <f>IFERROR(__xludf.DUMMYFUNCTION("""COMPUTED_VALUE"""),TRUE)</f>
        <v>1</v>
      </c>
    </row>
    <row r="3291" hidden="1">
      <c r="A3291" s="78"/>
      <c r="B3291" s="78"/>
      <c r="C3291" s="79" t="str">
        <f>IFERROR(__xludf.DUMMYFUNCTION("""COMPUTED_VALUE"""),"")</f>
        <v/>
      </c>
      <c r="D3291" s="79" t="str">
        <f>IFERROR(__xludf.DUMMYFUNCTION("""COMPUTED_VALUE"""),"")</f>
        <v/>
      </c>
      <c r="E3291" s="69" t="b">
        <f>IFERROR(__xludf.DUMMYFUNCTION("""COMPUTED_VALUE"""),TRUE)</f>
        <v>1</v>
      </c>
    </row>
    <row r="3292" hidden="1">
      <c r="A3292" s="78"/>
      <c r="B3292" s="78"/>
      <c r="C3292" s="79" t="str">
        <f>IFERROR(__xludf.DUMMYFUNCTION("""COMPUTED_VALUE"""),"")</f>
        <v/>
      </c>
      <c r="D3292" s="79" t="str">
        <f>IFERROR(__xludf.DUMMYFUNCTION("""COMPUTED_VALUE"""),"")</f>
        <v/>
      </c>
      <c r="E3292" s="69" t="b">
        <f>IFERROR(__xludf.DUMMYFUNCTION("""COMPUTED_VALUE"""),TRUE)</f>
        <v>1</v>
      </c>
    </row>
    <row r="3293" hidden="1">
      <c r="A3293" s="78"/>
      <c r="B3293" s="78"/>
      <c r="C3293" s="79" t="str">
        <f>IFERROR(__xludf.DUMMYFUNCTION("""COMPUTED_VALUE"""),"")</f>
        <v/>
      </c>
      <c r="D3293" s="79" t="str">
        <f>IFERROR(__xludf.DUMMYFUNCTION("""COMPUTED_VALUE"""),"")</f>
        <v/>
      </c>
      <c r="E3293" s="69" t="b">
        <f>IFERROR(__xludf.DUMMYFUNCTION("""COMPUTED_VALUE"""),TRUE)</f>
        <v>1</v>
      </c>
    </row>
    <row r="3294" hidden="1">
      <c r="A3294" s="78"/>
      <c r="B3294" s="78"/>
      <c r="C3294" s="79" t="str">
        <f>IFERROR(__xludf.DUMMYFUNCTION("""COMPUTED_VALUE"""),"")</f>
        <v/>
      </c>
      <c r="D3294" s="79" t="str">
        <f>IFERROR(__xludf.DUMMYFUNCTION("""COMPUTED_VALUE"""),"")</f>
        <v/>
      </c>
      <c r="E3294" s="69" t="b">
        <f>IFERROR(__xludf.DUMMYFUNCTION("""COMPUTED_VALUE"""),TRUE)</f>
        <v>1</v>
      </c>
    </row>
    <row r="3295" hidden="1">
      <c r="A3295" s="78"/>
      <c r="B3295" s="78"/>
      <c r="C3295" s="79" t="str">
        <f>IFERROR(__xludf.DUMMYFUNCTION("""COMPUTED_VALUE"""),"")</f>
        <v/>
      </c>
      <c r="D3295" s="79" t="str">
        <f>IFERROR(__xludf.DUMMYFUNCTION("""COMPUTED_VALUE"""),"")</f>
        <v/>
      </c>
      <c r="E3295" s="69" t="b">
        <f>IFERROR(__xludf.DUMMYFUNCTION("""COMPUTED_VALUE"""),TRUE)</f>
        <v>1</v>
      </c>
    </row>
    <row r="3296" hidden="1">
      <c r="A3296" s="78"/>
      <c r="B3296" s="78"/>
      <c r="C3296" s="79" t="str">
        <f>IFERROR(__xludf.DUMMYFUNCTION("""COMPUTED_VALUE"""),"")</f>
        <v/>
      </c>
      <c r="D3296" s="79" t="str">
        <f>IFERROR(__xludf.DUMMYFUNCTION("""COMPUTED_VALUE"""),"")</f>
        <v/>
      </c>
      <c r="E3296" s="69" t="b">
        <f>IFERROR(__xludf.DUMMYFUNCTION("""COMPUTED_VALUE"""),TRUE)</f>
        <v>1</v>
      </c>
    </row>
    <row r="3297" hidden="1">
      <c r="A3297" s="78"/>
      <c r="B3297" s="78"/>
      <c r="C3297" s="79" t="str">
        <f>IFERROR(__xludf.DUMMYFUNCTION("""COMPUTED_VALUE"""),"")</f>
        <v/>
      </c>
      <c r="D3297" s="79" t="str">
        <f>IFERROR(__xludf.DUMMYFUNCTION("""COMPUTED_VALUE"""),"")</f>
        <v/>
      </c>
      <c r="E3297" s="69" t="b">
        <f>IFERROR(__xludf.DUMMYFUNCTION("""COMPUTED_VALUE"""),TRUE)</f>
        <v>1</v>
      </c>
    </row>
    <row r="3298" hidden="1">
      <c r="A3298" s="78"/>
      <c r="B3298" s="78"/>
      <c r="C3298" s="79" t="str">
        <f>IFERROR(__xludf.DUMMYFUNCTION("""COMPUTED_VALUE"""),"")</f>
        <v/>
      </c>
      <c r="D3298" s="79" t="str">
        <f>IFERROR(__xludf.DUMMYFUNCTION("""COMPUTED_VALUE"""),"")</f>
        <v/>
      </c>
      <c r="E3298" s="69" t="b">
        <f>IFERROR(__xludf.DUMMYFUNCTION("""COMPUTED_VALUE"""),TRUE)</f>
        <v>1</v>
      </c>
    </row>
    <row r="3299" hidden="1">
      <c r="A3299" s="78"/>
      <c r="B3299" s="78"/>
      <c r="C3299" s="79" t="str">
        <f>IFERROR(__xludf.DUMMYFUNCTION("""COMPUTED_VALUE"""),"")</f>
        <v/>
      </c>
      <c r="D3299" s="79" t="str">
        <f>IFERROR(__xludf.DUMMYFUNCTION("""COMPUTED_VALUE"""),"")</f>
        <v/>
      </c>
      <c r="E3299" s="69" t="b">
        <f>IFERROR(__xludf.DUMMYFUNCTION("""COMPUTED_VALUE"""),TRUE)</f>
        <v>1</v>
      </c>
    </row>
    <row r="3300" hidden="1">
      <c r="A3300" s="78"/>
      <c r="B3300" s="78"/>
      <c r="C3300" s="79" t="str">
        <f>IFERROR(__xludf.DUMMYFUNCTION("""COMPUTED_VALUE"""),"")</f>
        <v/>
      </c>
      <c r="D3300" s="79" t="str">
        <f>IFERROR(__xludf.DUMMYFUNCTION("""COMPUTED_VALUE"""),"")</f>
        <v/>
      </c>
      <c r="E3300" s="69" t="b">
        <f>IFERROR(__xludf.DUMMYFUNCTION("""COMPUTED_VALUE"""),TRUE)</f>
        <v>1</v>
      </c>
    </row>
    <row r="3301" hidden="1">
      <c r="A3301" s="78"/>
      <c r="B3301" s="78"/>
      <c r="C3301" s="79" t="str">
        <f>IFERROR(__xludf.DUMMYFUNCTION("""COMPUTED_VALUE"""),"")</f>
        <v/>
      </c>
      <c r="D3301" s="79" t="str">
        <f>IFERROR(__xludf.DUMMYFUNCTION("""COMPUTED_VALUE"""),"")</f>
        <v/>
      </c>
      <c r="E3301" s="69" t="b">
        <f>IFERROR(__xludf.DUMMYFUNCTION("""COMPUTED_VALUE"""),TRUE)</f>
        <v>1</v>
      </c>
    </row>
    <row r="3302" hidden="1">
      <c r="A3302" s="78"/>
      <c r="B3302" s="78"/>
      <c r="C3302" s="79" t="str">
        <f>IFERROR(__xludf.DUMMYFUNCTION("""COMPUTED_VALUE"""),"")</f>
        <v/>
      </c>
      <c r="D3302" s="79" t="str">
        <f>IFERROR(__xludf.DUMMYFUNCTION("""COMPUTED_VALUE"""),"")</f>
        <v/>
      </c>
      <c r="E3302" s="69" t="b">
        <f>IFERROR(__xludf.DUMMYFUNCTION("""COMPUTED_VALUE"""),TRUE)</f>
        <v>1</v>
      </c>
    </row>
    <row r="3303" hidden="1">
      <c r="A3303" s="78"/>
      <c r="B3303" s="78"/>
      <c r="C3303" s="79" t="str">
        <f>IFERROR(__xludf.DUMMYFUNCTION("""COMPUTED_VALUE"""),"")</f>
        <v/>
      </c>
      <c r="D3303" s="79" t="str">
        <f>IFERROR(__xludf.DUMMYFUNCTION("""COMPUTED_VALUE"""),"")</f>
        <v/>
      </c>
      <c r="E3303" s="69" t="b">
        <f>IFERROR(__xludf.DUMMYFUNCTION("""COMPUTED_VALUE"""),TRUE)</f>
        <v>1</v>
      </c>
    </row>
    <row r="3304" hidden="1">
      <c r="A3304" s="78"/>
      <c r="B3304" s="78"/>
      <c r="C3304" s="79" t="str">
        <f>IFERROR(__xludf.DUMMYFUNCTION("""COMPUTED_VALUE"""),"")</f>
        <v/>
      </c>
      <c r="D3304" s="79" t="str">
        <f>IFERROR(__xludf.DUMMYFUNCTION("""COMPUTED_VALUE"""),"")</f>
        <v/>
      </c>
      <c r="E3304" s="69" t="b">
        <f>IFERROR(__xludf.DUMMYFUNCTION("""COMPUTED_VALUE"""),TRUE)</f>
        <v>1</v>
      </c>
    </row>
    <row r="3305" hidden="1">
      <c r="A3305" s="78"/>
      <c r="B3305" s="78"/>
      <c r="C3305" s="79" t="str">
        <f>IFERROR(__xludf.DUMMYFUNCTION("""COMPUTED_VALUE"""),"")</f>
        <v/>
      </c>
      <c r="D3305" s="79" t="str">
        <f>IFERROR(__xludf.DUMMYFUNCTION("""COMPUTED_VALUE"""),"")</f>
        <v/>
      </c>
      <c r="E3305" s="69" t="b">
        <f>IFERROR(__xludf.DUMMYFUNCTION("""COMPUTED_VALUE"""),TRUE)</f>
        <v>1</v>
      </c>
    </row>
    <row r="3306" hidden="1">
      <c r="A3306" s="78"/>
      <c r="B3306" s="78"/>
      <c r="C3306" s="79" t="str">
        <f>IFERROR(__xludf.DUMMYFUNCTION("""COMPUTED_VALUE"""),"")</f>
        <v/>
      </c>
      <c r="D3306" s="79" t="str">
        <f>IFERROR(__xludf.DUMMYFUNCTION("""COMPUTED_VALUE"""),"")</f>
        <v/>
      </c>
      <c r="E3306" s="69" t="b">
        <f>IFERROR(__xludf.DUMMYFUNCTION("""COMPUTED_VALUE"""),TRUE)</f>
        <v>1</v>
      </c>
    </row>
    <row r="3307" hidden="1">
      <c r="A3307" s="78"/>
      <c r="B3307" s="78"/>
      <c r="C3307" s="79" t="str">
        <f>IFERROR(__xludf.DUMMYFUNCTION("""COMPUTED_VALUE"""),"")</f>
        <v/>
      </c>
      <c r="D3307" s="79" t="str">
        <f>IFERROR(__xludf.DUMMYFUNCTION("""COMPUTED_VALUE"""),"")</f>
        <v/>
      </c>
      <c r="E3307" s="69" t="b">
        <f>IFERROR(__xludf.DUMMYFUNCTION("""COMPUTED_VALUE"""),TRUE)</f>
        <v>1</v>
      </c>
    </row>
    <row r="3308" hidden="1">
      <c r="A3308" s="78"/>
      <c r="B3308" s="78"/>
      <c r="C3308" s="79" t="str">
        <f>IFERROR(__xludf.DUMMYFUNCTION("""COMPUTED_VALUE"""),"")</f>
        <v/>
      </c>
      <c r="D3308" s="79" t="str">
        <f>IFERROR(__xludf.DUMMYFUNCTION("""COMPUTED_VALUE"""),"")</f>
        <v/>
      </c>
      <c r="E3308" s="69" t="b">
        <f>IFERROR(__xludf.DUMMYFUNCTION("""COMPUTED_VALUE"""),TRUE)</f>
        <v>1</v>
      </c>
    </row>
    <row r="3309" hidden="1">
      <c r="A3309" s="78"/>
      <c r="B3309" s="78"/>
      <c r="C3309" s="79" t="str">
        <f>IFERROR(__xludf.DUMMYFUNCTION("""COMPUTED_VALUE"""),"")</f>
        <v/>
      </c>
      <c r="D3309" s="79" t="str">
        <f>IFERROR(__xludf.DUMMYFUNCTION("""COMPUTED_VALUE"""),"")</f>
        <v/>
      </c>
      <c r="E3309" s="69" t="b">
        <f>IFERROR(__xludf.DUMMYFUNCTION("""COMPUTED_VALUE"""),TRUE)</f>
        <v>1</v>
      </c>
    </row>
    <row r="3310" hidden="1">
      <c r="A3310" s="78"/>
      <c r="B3310" s="78"/>
      <c r="C3310" s="79" t="str">
        <f>IFERROR(__xludf.DUMMYFUNCTION("""COMPUTED_VALUE"""),"")</f>
        <v/>
      </c>
      <c r="D3310" s="79" t="str">
        <f>IFERROR(__xludf.DUMMYFUNCTION("""COMPUTED_VALUE"""),"")</f>
        <v/>
      </c>
      <c r="E3310" s="69" t="b">
        <f>IFERROR(__xludf.DUMMYFUNCTION("""COMPUTED_VALUE"""),TRUE)</f>
        <v>1</v>
      </c>
    </row>
    <row r="3311" hidden="1">
      <c r="A3311" s="78"/>
      <c r="B3311" s="78"/>
      <c r="C3311" s="79" t="str">
        <f>IFERROR(__xludf.DUMMYFUNCTION("""COMPUTED_VALUE"""),"")</f>
        <v/>
      </c>
      <c r="D3311" s="79" t="str">
        <f>IFERROR(__xludf.DUMMYFUNCTION("""COMPUTED_VALUE"""),"")</f>
        <v/>
      </c>
      <c r="E3311" s="69" t="b">
        <f>IFERROR(__xludf.DUMMYFUNCTION("""COMPUTED_VALUE"""),TRUE)</f>
        <v>1</v>
      </c>
    </row>
    <row r="3312" hidden="1">
      <c r="A3312" s="78"/>
      <c r="B3312" s="78"/>
      <c r="C3312" s="79" t="str">
        <f>IFERROR(__xludf.DUMMYFUNCTION("""COMPUTED_VALUE"""),"")</f>
        <v/>
      </c>
      <c r="D3312" s="79" t="str">
        <f>IFERROR(__xludf.DUMMYFUNCTION("""COMPUTED_VALUE"""),"")</f>
        <v/>
      </c>
      <c r="E3312" s="69" t="b">
        <f>IFERROR(__xludf.DUMMYFUNCTION("""COMPUTED_VALUE"""),TRUE)</f>
        <v>1</v>
      </c>
    </row>
    <row r="3313" hidden="1">
      <c r="A3313" s="78"/>
      <c r="B3313" s="78"/>
      <c r="C3313" s="79" t="str">
        <f>IFERROR(__xludf.DUMMYFUNCTION("""COMPUTED_VALUE"""),"")</f>
        <v/>
      </c>
      <c r="D3313" s="79" t="str">
        <f>IFERROR(__xludf.DUMMYFUNCTION("""COMPUTED_VALUE"""),"")</f>
        <v/>
      </c>
      <c r="E3313" s="69" t="b">
        <f>IFERROR(__xludf.DUMMYFUNCTION("""COMPUTED_VALUE"""),TRUE)</f>
        <v>1</v>
      </c>
    </row>
    <row r="3314" hidden="1">
      <c r="A3314" s="78"/>
      <c r="B3314" s="78"/>
      <c r="C3314" s="79" t="str">
        <f>IFERROR(__xludf.DUMMYFUNCTION("""COMPUTED_VALUE"""),"")</f>
        <v/>
      </c>
      <c r="D3314" s="79" t="str">
        <f>IFERROR(__xludf.DUMMYFUNCTION("""COMPUTED_VALUE"""),"")</f>
        <v/>
      </c>
      <c r="E3314" s="69" t="b">
        <f>IFERROR(__xludf.DUMMYFUNCTION("""COMPUTED_VALUE"""),TRUE)</f>
        <v>1</v>
      </c>
    </row>
    <row r="3315" hidden="1">
      <c r="A3315" s="78"/>
      <c r="B3315" s="78"/>
      <c r="C3315" s="79" t="str">
        <f>IFERROR(__xludf.DUMMYFUNCTION("""COMPUTED_VALUE"""),"")</f>
        <v/>
      </c>
      <c r="D3315" s="79" t="str">
        <f>IFERROR(__xludf.DUMMYFUNCTION("""COMPUTED_VALUE"""),"")</f>
        <v/>
      </c>
      <c r="E3315" s="69" t="b">
        <f>IFERROR(__xludf.DUMMYFUNCTION("""COMPUTED_VALUE"""),TRUE)</f>
        <v>1</v>
      </c>
    </row>
    <row r="3316" hidden="1">
      <c r="A3316" s="78"/>
      <c r="B3316" s="78"/>
      <c r="C3316" s="79" t="str">
        <f>IFERROR(__xludf.DUMMYFUNCTION("""COMPUTED_VALUE"""),"")</f>
        <v/>
      </c>
      <c r="D3316" s="79" t="str">
        <f>IFERROR(__xludf.DUMMYFUNCTION("""COMPUTED_VALUE"""),"")</f>
        <v/>
      </c>
      <c r="E3316" s="69" t="b">
        <f>IFERROR(__xludf.DUMMYFUNCTION("""COMPUTED_VALUE"""),TRUE)</f>
        <v>1</v>
      </c>
    </row>
    <row r="3317" hidden="1">
      <c r="A3317" s="78"/>
      <c r="B3317" s="78"/>
      <c r="C3317" s="79" t="str">
        <f>IFERROR(__xludf.DUMMYFUNCTION("""COMPUTED_VALUE"""),"")</f>
        <v/>
      </c>
      <c r="D3317" s="79" t="str">
        <f>IFERROR(__xludf.DUMMYFUNCTION("""COMPUTED_VALUE"""),"")</f>
        <v/>
      </c>
      <c r="E3317" s="69" t="b">
        <f>IFERROR(__xludf.DUMMYFUNCTION("""COMPUTED_VALUE"""),TRUE)</f>
        <v>1</v>
      </c>
    </row>
    <row r="3318" hidden="1">
      <c r="A3318" s="78"/>
      <c r="B3318" s="78"/>
      <c r="C3318" s="79" t="str">
        <f>IFERROR(__xludf.DUMMYFUNCTION("""COMPUTED_VALUE"""),"")</f>
        <v/>
      </c>
      <c r="D3318" s="79" t="str">
        <f>IFERROR(__xludf.DUMMYFUNCTION("""COMPUTED_VALUE"""),"")</f>
        <v/>
      </c>
      <c r="E3318" s="69" t="b">
        <f>IFERROR(__xludf.DUMMYFUNCTION("""COMPUTED_VALUE"""),TRUE)</f>
        <v>1</v>
      </c>
    </row>
    <row r="3319" hidden="1">
      <c r="A3319" s="78"/>
      <c r="B3319" s="78"/>
      <c r="C3319" s="79" t="str">
        <f>IFERROR(__xludf.DUMMYFUNCTION("""COMPUTED_VALUE"""),"")</f>
        <v/>
      </c>
      <c r="D3319" s="79" t="str">
        <f>IFERROR(__xludf.DUMMYFUNCTION("""COMPUTED_VALUE"""),"")</f>
        <v/>
      </c>
      <c r="E3319" s="69" t="b">
        <f>IFERROR(__xludf.DUMMYFUNCTION("""COMPUTED_VALUE"""),TRUE)</f>
        <v>1</v>
      </c>
    </row>
    <row r="3320" hidden="1">
      <c r="A3320" s="78"/>
      <c r="B3320" s="78"/>
      <c r="C3320" s="79" t="str">
        <f>IFERROR(__xludf.DUMMYFUNCTION("""COMPUTED_VALUE"""),"")</f>
        <v/>
      </c>
      <c r="D3320" s="79" t="str">
        <f>IFERROR(__xludf.DUMMYFUNCTION("""COMPUTED_VALUE"""),"")</f>
        <v/>
      </c>
      <c r="E3320" s="69" t="b">
        <f>IFERROR(__xludf.DUMMYFUNCTION("""COMPUTED_VALUE"""),TRUE)</f>
        <v>1</v>
      </c>
    </row>
    <row r="3321" hidden="1">
      <c r="A3321" s="78"/>
      <c r="B3321" s="78"/>
      <c r="C3321" s="79" t="str">
        <f>IFERROR(__xludf.DUMMYFUNCTION("""COMPUTED_VALUE"""),"")</f>
        <v/>
      </c>
      <c r="D3321" s="79" t="str">
        <f>IFERROR(__xludf.DUMMYFUNCTION("""COMPUTED_VALUE"""),"")</f>
        <v/>
      </c>
      <c r="E3321" s="69" t="b">
        <f>IFERROR(__xludf.DUMMYFUNCTION("""COMPUTED_VALUE"""),TRUE)</f>
        <v>1</v>
      </c>
    </row>
    <row r="3322" hidden="1">
      <c r="A3322" s="78"/>
      <c r="B3322" s="78"/>
      <c r="C3322" s="79" t="str">
        <f>IFERROR(__xludf.DUMMYFUNCTION("""COMPUTED_VALUE"""),"")</f>
        <v/>
      </c>
      <c r="D3322" s="79" t="str">
        <f>IFERROR(__xludf.DUMMYFUNCTION("""COMPUTED_VALUE"""),"")</f>
        <v/>
      </c>
      <c r="E3322" s="69" t="b">
        <f>IFERROR(__xludf.DUMMYFUNCTION("""COMPUTED_VALUE"""),TRUE)</f>
        <v>1</v>
      </c>
    </row>
    <row r="3323" hidden="1">
      <c r="A3323" s="78"/>
      <c r="B3323" s="78"/>
      <c r="C3323" s="79" t="str">
        <f>IFERROR(__xludf.DUMMYFUNCTION("""COMPUTED_VALUE"""),"")</f>
        <v/>
      </c>
      <c r="D3323" s="79" t="str">
        <f>IFERROR(__xludf.DUMMYFUNCTION("""COMPUTED_VALUE"""),"")</f>
        <v/>
      </c>
      <c r="E3323" s="69" t="b">
        <f>IFERROR(__xludf.DUMMYFUNCTION("""COMPUTED_VALUE"""),TRUE)</f>
        <v>1</v>
      </c>
    </row>
    <row r="3324" hidden="1">
      <c r="A3324" s="78"/>
      <c r="B3324" s="78"/>
      <c r="C3324" s="79" t="str">
        <f>IFERROR(__xludf.DUMMYFUNCTION("""COMPUTED_VALUE"""),"")</f>
        <v/>
      </c>
      <c r="D3324" s="79" t="str">
        <f>IFERROR(__xludf.DUMMYFUNCTION("""COMPUTED_VALUE"""),"")</f>
        <v/>
      </c>
      <c r="E3324" s="69" t="b">
        <f>IFERROR(__xludf.DUMMYFUNCTION("""COMPUTED_VALUE"""),TRUE)</f>
        <v>1</v>
      </c>
    </row>
    <row r="3325" hidden="1">
      <c r="A3325" s="78"/>
      <c r="B3325" s="78"/>
      <c r="C3325" s="79" t="str">
        <f>IFERROR(__xludf.DUMMYFUNCTION("""COMPUTED_VALUE"""),"")</f>
        <v/>
      </c>
      <c r="D3325" s="79" t="str">
        <f>IFERROR(__xludf.DUMMYFUNCTION("""COMPUTED_VALUE"""),"")</f>
        <v/>
      </c>
      <c r="E3325" s="69" t="b">
        <f>IFERROR(__xludf.DUMMYFUNCTION("""COMPUTED_VALUE"""),TRUE)</f>
        <v>1</v>
      </c>
    </row>
    <row r="3326" hidden="1">
      <c r="A3326" s="78"/>
      <c r="B3326" s="78"/>
      <c r="C3326" s="79" t="str">
        <f>IFERROR(__xludf.DUMMYFUNCTION("""COMPUTED_VALUE"""),"")</f>
        <v/>
      </c>
      <c r="D3326" s="79" t="str">
        <f>IFERROR(__xludf.DUMMYFUNCTION("""COMPUTED_VALUE"""),"")</f>
        <v/>
      </c>
      <c r="E3326" s="69" t="b">
        <f>IFERROR(__xludf.DUMMYFUNCTION("""COMPUTED_VALUE"""),TRUE)</f>
        <v>1</v>
      </c>
    </row>
    <row r="3327" hidden="1">
      <c r="A3327" s="78"/>
      <c r="B3327" s="78"/>
      <c r="C3327" s="79" t="str">
        <f>IFERROR(__xludf.DUMMYFUNCTION("""COMPUTED_VALUE"""),"")</f>
        <v/>
      </c>
      <c r="D3327" s="79" t="str">
        <f>IFERROR(__xludf.DUMMYFUNCTION("""COMPUTED_VALUE"""),"")</f>
        <v/>
      </c>
      <c r="E3327" s="69" t="b">
        <f>IFERROR(__xludf.DUMMYFUNCTION("""COMPUTED_VALUE"""),TRUE)</f>
        <v>1</v>
      </c>
    </row>
    <row r="3328" hidden="1">
      <c r="A3328" s="78"/>
      <c r="B3328" s="78"/>
      <c r="C3328" s="79" t="str">
        <f>IFERROR(__xludf.DUMMYFUNCTION("""COMPUTED_VALUE"""),"")</f>
        <v/>
      </c>
      <c r="D3328" s="79" t="str">
        <f>IFERROR(__xludf.DUMMYFUNCTION("""COMPUTED_VALUE"""),"")</f>
        <v/>
      </c>
      <c r="E3328" s="69" t="b">
        <f>IFERROR(__xludf.DUMMYFUNCTION("""COMPUTED_VALUE"""),TRUE)</f>
        <v>1</v>
      </c>
    </row>
    <row r="3329" hidden="1">
      <c r="A3329" s="78"/>
      <c r="B3329" s="78"/>
      <c r="C3329" s="79" t="str">
        <f>IFERROR(__xludf.DUMMYFUNCTION("""COMPUTED_VALUE"""),"")</f>
        <v/>
      </c>
      <c r="D3329" s="79" t="str">
        <f>IFERROR(__xludf.DUMMYFUNCTION("""COMPUTED_VALUE"""),"")</f>
        <v/>
      </c>
      <c r="E3329" s="69" t="b">
        <f>IFERROR(__xludf.DUMMYFUNCTION("""COMPUTED_VALUE"""),TRUE)</f>
        <v>1</v>
      </c>
    </row>
    <row r="3330" hidden="1">
      <c r="A3330" s="78"/>
      <c r="B3330" s="78"/>
      <c r="C3330" s="79" t="str">
        <f>IFERROR(__xludf.DUMMYFUNCTION("""COMPUTED_VALUE"""),"")</f>
        <v/>
      </c>
      <c r="D3330" s="79" t="str">
        <f>IFERROR(__xludf.DUMMYFUNCTION("""COMPUTED_VALUE"""),"")</f>
        <v/>
      </c>
      <c r="E3330" s="69" t="b">
        <f>IFERROR(__xludf.DUMMYFUNCTION("""COMPUTED_VALUE"""),TRUE)</f>
        <v>1</v>
      </c>
    </row>
    <row r="3331" hidden="1">
      <c r="A3331" s="78"/>
      <c r="B3331" s="78"/>
      <c r="C3331" s="79" t="str">
        <f>IFERROR(__xludf.DUMMYFUNCTION("""COMPUTED_VALUE"""),"")</f>
        <v/>
      </c>
      <c r="D3331" s="79" t="str">
        <f>IFERROR(__xludf.DUMMYFUNCTION("""COMPUTED_VALUE"""),"")</f>
        <v/>
      </c>
      <c r="E3331" s="69" t="b">
        <f>IFERROR(__xludf.DUMMYFUNCTION("""COMPUTED_VALUE"""),TRUE)</f>
        <v>1</v>
      </c>
    </row>
    <row r="3332" hidden="1">
      <c r="A3332" s="78"/>
      <c r="B3332" s="78"/>
      <c r="C3332" s="79" t="str">
        <f>IFERROR(__xludf.DUMMYFUNCTION("""COMPUTED_VALUE"""),"")</f>
        <v/>
      </c>
      <c r="D3332" s="79" t="str">
        <f>IFERROR(__xludf.DUMMYFUNCTION("""COMPUTED_VALUE"""),"")</f>
        <v/>
      </c>
      <c r="E3332" s="69" t="b">
        <f>IFERROR(__xludf.DUMMYFUNCTION("""COMPUTED_VALUE"""),TRUE)</f>
        <v>1</v>
      </c>
    </row>
    <row r="3333" hidden="1">
      <c r="A3333" s="78"/>
      <c r="B3333" s="78"/>
      <c r="C3333" s="79" t="str">
        <f>IFERROR(__xludf.DUMMYFUNCTION("""COMPUTED_VALUE"""),"")</f>
        <v/>
      </c>
      <c r="D3333" s="79" t="str">
        <f>IFERROR(__xludf.DUMMYFUNCTION("""COMPUTED_VALUE"""),"")</f>
        <v/>
      </c>
      <c r="E3333" s="69" t="b">
        <f>IFERROR(__xludf.DUMMYFUNCTION("""COMPUTED_VALUE"""),TRUE)</f>
        <v>1</v>
      </c>
    </row>
    <row r="3334" hidden="1">
      <c r="A3334" s="78"/>
      <c r="B3334" s="78"/>
      <c r="C3334" s="79" t="str">
        <f>IFERROR(__xludf.DUMMYFUNCTION("""COMPUTED_VALUE"""),"")</f>
        <v/>
      </c>
      <c r="D3334" s="79" t="str">
        <f>IFERROR(__xludf.DUMMYFUNCTION("""COMPUTED_VALUE"""),"")</f>
        <v/>
      </c>
      <c r="E3334" s="69" t="b">
        <f>IFERROR(__xludf.DUMMYFUNCTION("""COMPUTED_VALUE"""),TRUE)</f>
        <v>1</v>
      </c>
    </row>
    <row r="3335" hidden="1">
      <c r="A3335" s="78"/>
      <c r="B3335" s="78"/>
      <c r="C3335" s="79" t="str">
        <f>IFERROR(__xludf.DUMMYFUNCTION("""COMPUTED_VALUE"""),"")</f>
        <v/>
      </c>
      <c r="D3335" s="79" t="str">
        <f>IFERROR(__xludf.DUMMYFUNCTION("""COMPUTED_VALUE"""),"")</f>
        <v/>
      </c>
      <c r="E3335" s="69" t="b">
        <f>IFERROR(__xludf.DUMMYFUNCTION("""COMPUTED_VALUE"""),TRUE)</f>
        <v>1</v>
      </c>
    </row>
    <row r="3336" hidden="1">
      <c r="A3336" s="78"/>
      <c r="B3336" s="78"/>
      <c r="C3336" s="79" t="str">
        <f>IFERROR(__xludf.DUMMYFUNCTION("""COMPUTED_VALUE"""),"")</f>
        <v/>
      </c>
      <c r="D3336" s="79" t="str">
        <f>IFERROR(__xludf.DUMMYFUNCTION("""COMPUTED_VALUE"""),"")</f>
        <v/>
      </c>
      <c r="E3336" s="69" t="b">
        <f>IFERROR(__xludf.DUMMYFUNCTION("""COMPUTED_VALUE"""),TRUE)</f>
        <v>1</v>
      </c>
    </row>
    <row r="3337" hidden="1">
      <c r="A3337" s="78"/>
      <c r="B3337" s="78"/>
      <c r="C3337" s="79" t="str">
        <f>IFERROR(__xludf.DUMMYFUNCTION("""COMPUTED_VALUE"""),"")</f>
        <v/>
      </c>
      <c r="D3337" s="79" t="str">
        <f>IFERROR(__xludf.DUMMYFUNCTION("""COMPUTED_VALUE"""),"")</f>
        <v/>
      </c>
      <c r="E3337" s="69" t="b">
        <f>IFERROR(__xludf.DUMMYFUNCTION("""COMPUTED_VALUE"""),TRUE)</f>
        <v>1</v>
      </c>
    </row>
    <row r="3338" hidden="1">
      <c r="A3338" s="78"/>
      <c r="B3338" s="78"/>
      <c r="C3338" s="79" t="str">
        <f>IFERROR(__xludf.DUMMYFUNCTION("""COMPUTED_VALUE"""),"")</f>
        <v/>
      </c>
      <c r="D3338" s="79" t="str">
        <f>IFERROR(__xludf.DUMMYFUNCTION("""COMPUTED_VALUE"""),"")</f>
        <v/>
      </c>
      <c r="E3338" s="69" t="b">
        <f>IFERROR(__xludf.DUMMYFUNCTION("""COMPUTED_VALUE"""),TRUE)</f>
        <v>1</v>
      </c>
    </row>
    <row r="3339" hidden="1">
      <c r="A3339" s="78"/>
      <c r="B3339" s="78"/>
      <c r="C3339" s="79" t="str">
        <f>IFERROR(__xludf.DUMMYFUNCTION("""COMPUTED_VALUE"""),"")</f>
        <v/>
      </c>
      <c r="D3339" s="79" t="str">
        <f>IFERROR(__xludf.DUMMYFUNCTION("""COMPUTED_VALUE"""),"")</f>
        <v/>
      </c>
      <c r="E3339" s="69" t="b">
        <f>IFERROR(__xludf.DUMMYFUNCTION("""COMPUTED_VALUE"""),TRUE)</f>
        <v>1</v>
      </c>
    </row>
    <row r="3340" hidden="1">
      <c r="A3340" s="78"/>
      <c r="B3340" s="78"/>
      <c r="C3340" s="79" t="str">
        <f>IFERROR(__xludf.DUMMYFUNCTION("""COMPUTED_VALUE"""),"")</f>
        <v/>
      </c>
      <c r="D3340" s="79" t="str">
        <f>IFERROR(__xludf.DUMMYFUNCTION("""COMPUTED_VALUE"""),"")</f>
        <v/>
      </c>
      <c r="E3340" s="69" t="b">
        <f>IFERROR(__xludf.DUMMYFUNCTION("""COMPUTED_VALUE"""),TRUE)</f>
        <v>1</v>
      </c>
    </row>
    <row r="3341" hidden="1">
      <c r="A3341" s="78"/>
      <c r="B3341" s="78"/>
      <c r="C3341" s="79" t="str">
        <f>IFERROR(__xludf.DUMMYFUNCTION("""COMPUTED_VALUE"""),"")</f>
        <v/>
      </c>
      <c r="D3341" s="79" t="str">
        <f>IFERROR(__xludf.DUMMYFUNCTION("""COMPUTED_VALUE"""),"")</f>
        <v/>
      </c>
      <c r="E3341" s="69" t="b">
        <f>IFERROR(__xludf.DUMMYFUNCTION("""COMPUTED_VALUE"""),TRUE)</f>
        <v>1</v>
      </c>
    </row>
    <row r="3342" hidden="1">
      <c r="A3342" s="78"/>
      <c r="B3342" s="78"/>
      <c r="C3342" s="79" t="str">
        <f>IFERROR(__xludf.DUMMYFUNCTION("""COMPUTED_VALUE"""),"")</f>
        <v/>
      </c>
      <c r="D3342" s="79" t="str">
        <f>IFERROR(__xludf.DUMMYFUNCTION("""COMPUTED_VALUE"""),"")</f>
        <v/>
      </c>
      <c r="E3342" s="69" t="b">
        <f>IFERROR(__xludf.DUMMYFUNCTION("""COMPUTED_VALUE"""),TRUE)</f>
        <v>1</v>
      </c>
    </row>
    <row r="3343" hidden="1">
      <c r="A3343" s="78"/>
      <c r="B3343" s="78"/>
      <c r="C3343" s="79" t="str">
        <f>IFERROR(__xludf.DUMMYFUNCTION("""COMPUTED_VALUE"""),"")</f>
        <v/>
      </c>
      <c r="D3343" s="79" t="str">
        <f>IFERROR(__xludf.DUMMYFUNCTION("""COMPUTED_VALUE"""),"")</f>
        <v/>
      </c>
      <c r="E3343" s="69" t="b">
        <f>IFERROR(__xludf.DUMMYFUNCTION("""COMPUTED_VALUE"""),TRUE)</f>
        <v>1</v>
      </c>
    </row>
    <row r="3344" hidden="1">
      <c r="A3344" s="78"/>
      <c r="B3344" s="78"/>
      <c r="C3344" s="79" t="str">
        <f>IFERROR(__xludf.DUMMYFUNCTION("""COMPUTED_VALUE"""),"")</f>
        <v/>
      </c>
      <c r="D3344" s="79" t="str">
        <f>IFERROR(__xludf.DUMMYFUNCTION("""COMPUTED_VALUE"""),"")</f>
        <v/>
      </c>
      <c r="E3344" s="69" t="b">
        <f>IFERROR(__xludf.DUMMYFUNCTION("""COMPUTED_VALUE"""),TRUE)</f>
        <v>1</v>
      </c>
    </row>
    <row r="3345" hidden="1">
      <c r="A3345" s="78"/>
      <c r="B3345" s="78"/>
      <c r="C3345" s="79" t="str">
        <f>IFERROR(__xludf.DUMMYFUNCTION("""COMPUTED_VALUE"""),"")</f>
        <v/>
      </c>
      <c r="D3345" s="79" t="str">
        <f>IFERROR(__xludf.DUMMYFUNCTION("""COMPUTED_VALUE"""),"")</f>
        <v/>
      </c>
      <c r="E3345" s="69" t="b">
        <f>IFERROR(__xludf.DUMMYFUNCTION("""COMPUTED_VALUE"""),TRUE)</f>
        <v>1</v>
      </c>
    </row>
    <row r="3346" hidden="1">
      <c r="A3346" s="78"/>
      <c r="B3346" s="78"/>
      <c r="C3346" s="79" t="str">
        <f>IFERROR(__xludf.DUMMYFUNCTION("""COMPUTED_VALUE"""),"")</f>
        <v/>
      </c>
      <c r="D3346" s="79" t="str">
        <f>IFERROR(__xludf.DUMMYFUNCTION("""COMPUTED_VALUE"""),"")</f>
        <v/>
      </c>
      <c r="E3346" s="69" t="b">
        <f>IFERROR(__xludf.DUMMYFUNCTION("""COMPUTED_VALUE"""),TRUE)</f>
        <v>1</v>
      </c>
    </row>
    <row r="3347" hidden="1">
      <c r="A3347" s="78"/>
      <c r="B3347" s="78"/>
      <c r="C3347" s="79" t="str">
        <f>IFERROR(__xludf.DUMMYFUNCTION("""COMPUTED_VALUE"""),"")</f>
        <v/>
      </c>
      <c r="D3347" s="79" t="str">
        <f>IFERROR(__xludf.DUMMYFUNCTION("""COMPUTED_VALUE"""),"")</f>
        <v/>
      </c>
      <c r="E3347" s="69" t="b">
        <f>IFERROR(__xludf.DUMMYFUNCTION("""COMPUTED_VALUE"""),TRUE)</f>
        <v>1</v>
      </c>
    </row>
    <row r="3348" hidden="1">
      <c r="A3348" s="78"/>
      <c r="B3348" s="78"/>
      <c r="C3348" s="79" t="str">
        <f>IFERROR(__xludf.DUMMYFUNCTION("""COMPUTED_VALUE"""),"")</f>
        <v/>
      </c>
      <c r="D3348" s="79" t="str">
        <f>IFERROR(__xludf.DUMMYFUNCTION("""COMPUTED_VALUE"""),"")</f>
        <v/>
      </c>
      <c r="E3348" s="69" t="b">
        <f>IFERROR(__xludf.DUMMYFUNCTION("""COMPUTED_VALUE"""),TRUE)</f>
        <v>1</v>
      </c>
    </row>
    <row r="3349" hidden="1">
      <c r="A3349" s="78"/>
      <c r="B3349" s="78"/>
      <c r="C3349" s="79" t="str">
        <f>IFERROR(__xludf.DUMMYFUNCTION("""COMPUTED_VALUE"""),"")</f>
        <v/>
      </c>
      <c r="D3349" s="79" t="str">
        <f>IFERROR(__xludf.DUMMYFUNCTION("""COMPUTED_VALUE"""),"")</f>
        <v/>
      </c>
      <c r="E3349" s="69" t="b">
        <f>IFERROR(__xludf.DUMMYFUNCTION("""COMPUTED_VALUE"""),TRUE)</f>
        <v>1</v>
      </c>
    </row>
    <row r="3350" hidden="1">
      <c r="A3350" s="78"/>
      <c r="B3350" s="78"/>
      <c r="C3350" s="79" t="str">
        <f>IFERROR(__xludf.DUMMYFUNCTION("""COMPUTED_VALUE"""),"")</f>
        <v/>
      </c>
      <c r="D3350" s="79" t="str">
        <f>IFERROR(__xludf.DUMMYFUNCTION("""COMPUTED_VALUE"""),"")</f>
        <v/>
      </c>
      <c r="E3350" s="69" t="b">
        <f>IFERROR(__xludf.DUMMYFUNCTION("""COMPUTED_VALUE"""),TRUE)</f>
        <v>1</v>
      </c>
    </row>
    <row r="3351" hidden="1">
      <c r="A3351" s="78"/>
      <c r="B3351" s="78"/>
      <c r="C3351" s="79" t="str">
        <f>IFERROR(__xludf.DUMMYFUNCTION("""COMPUTED_VALUE"""),"")</f>
        <v/>
      </c>
      <c r="D3351" s="79" t="str">
        <f>IFERROR(__xludf.DUMMYFUNCTION("""COMPUTED_VALUE"""),"")</f>
        <v/>
      </c>
      <c r="E3351" s="69" t="b">
        <f>IFERROR(__xludf.DUMMYFUNCTION("""COMPUTED_VALUE"""),TRUE)</f>
        <v>1</v>
      </c>
    </row>
    <row r="3352" hidden="1">
      <c r="A3352" s="78"/>
      <c r="B3352" s="78"/>
      <c r="C3352" s="79" t="str">
        <f>IFERROR(__xludf.DUMMYFUNCTION("""COMPUTED_VALUE"""),"")</f>
        <v/>
      </c>
      <c r="D3352" s="79" t="str">
        <f>IFERROR(__xludf.DUMMYFUNCTION("""COMPUTED_VALUE"""),"")</f>
        <v/>
      </c>
      <c r="E3352" s="69" t="b">
        <f>IFERROR(__xludf.DUMMYFUNCTION("""COMPUTED_VALUE"""),TRUE)</f>
        <v>1</v>
      </c>
    </row>
    <row r="3353" hidden="1">
      <c r="A3353" s="78"/>
      <c r="B3353" s="78"/>
      <c r="C3353" s="79" t="str">
        <f>IFERROR(__xludf.DUMMYFUNCTION("""COMPUTED_VALUE"""),"")</f>
        <v/>
      </c>
      <c r="D3353" s="79" t="str">
        <f>IFERROR(__xludf.DUMMYFUNCTION("""COMPUTED_VALUE"""),"")</f>
        <v/>
      </c>
      <c r="E3353" s="69" t="b">
        <f>IFERROR(__xludf.DUMMYFUNCTION("""COMPUTED_VALUE"""),TRUE)</f>
        <v>1</v>
      </c>
    </row>
    <row r="3354" hidden="1">
      <c r="A3354" s="78"/>
      <c r="B3354" s="78"/>
      <c r="C3354" s="79" t="str">
        <f>IFERROR(__xludf.DUMMYFUNCTION("""COMPUTED_VALUE"""),"")</f>
        <v/>
      </c>
      <c r="D3354" s="79" t="str">
        <f>IFERROR(__xludf.DUMMYFUNCTION("""COMPUTED_VALUE"""),"")</f>
        <v/>
      </c>
      <c r="E3354" s="69" t="b">
        <f>IFERROR(__xludf.DUMMYFUNCTION("""COMPUTED_VALUE"""),TRUE)</f>
        <v>1</v>
      </c>
    </row>
    <row r="3355" hidden="1">
      <c r="A3355" s="78"/>
      <c r="B3355" s="78"/>
      <c r="C3355" s="79" t="str">
        <f>IFERROR(__xludf.DUMMYFUNCTION("""COMPUTED_VALUE"""),"")</f>
        <v/>
      </c>
      <c r="D3355" s="79" t="str">
        <f>IFERROR(__xludf.DUMMYFUNCTION("""COMPUTED_VALUE"""),"")</f>
        <v/>
      </c>
      <c r="E3355" s="69" t="b">
        <f>IFERROR(__xludf.DUMMYFUNCTION("""COMPUTED_VALUE"""),TRUE)</f>
        <v>1</v>
      </c>
    </row>
    <row r="3356" hidden="1">
      <c r="A3356" s="78"/>
      <c r="B3356" s="78"/>
      <c r="C3356" s="79" t="str">
        <f>IFERROR(__xludf.DUMMYFUNCTION("""COMPUTED_VALUE"""),"")</f>
        <v/>
      </c>
      <c r="D3356" s="79" t="str">
        <f>IFERROR(__xludf.DUMMYFUNCTION("""COMPUTED_VALUE"""),"")</f>
        <v/>
      </c>
      <c r="E3356" s="69" t="b">
        <f>IFERROR(__xludf.DUMMYFUNCTION("""COMPUTED_VALUE"""),TRUE)</f>
        <v>1</v>
      </c>
    </row>
    <row r="3357" hidden="1">
      <c r="A3357" s="78"/>
      <c r="B3357" s="78"/>
      <c r="C3357" s="79" t="str">
        <f>IFERROR(__xludf.DUMMYFUNCTION("""COMPUTED_VALUE"""),"")</f>
        <v/>
      </c>
      <c r="D3357" s="79" t="str">
        <f>IFERROR(__xludf.DUMMYFUNCTION("""COMPUTED_VALUE"""),"")</f>
        <v/>
      </c>
      <c r="E3357" s="69" t="b">
        <f>IFERROR(__xludf.DUMMYFUNCTION("""COMPUTED_VALUE"""),TRUE)</f>
        <v>1</v>
      </c>
    </row>
    <row r="3358" hidden="1">
      <c r="A3358" s="78"/>
      <c r="B3358" s="78"/>
      <c r="C3358" s="79" t="str">
        <f>IFERROR(__xludf.DUMMYFUNCTION("""COMPUTED_VALUE"""),"")</f>
        <v/>
      </c>
      <c r="D3358" s="79" t="str">
        <f>IFERROR(__xludf.DUMMYFUNCTION("""COMPUTED_VALUE"""),"")</f>
        <v/>
      </c>
      <c r="E3358" s="69" t="b">
        <f>IFERROR(__xludf.DUMMYFUNCTION("""COMPUTED_VALUE"""),TRUE)</f>
        <v>1</v>
      </c>
    </row>
    <row r="3359" hidden="1">
      <c r="A3359" s="78"/>
      <c r="B3359" s="78"/>
      <c r="C3359" s="79" t="str">
        <f>IFERROR(__xludf.DUMMYFUNCTION("""COMPUTED_VALUE"""),"")</f>
        <v/>
      </c>
      <c r="D3359" s="79" t="str">
        <f>IFERROR(__xludf.DUMMYFUNCTION("""COMPUTED_VALUE"""),"")</f>
        <v/>
      </c>
      <c r="E3359" s="69" t="b">
        <f>IFERROR(__xludf.DUMMYFUNCTION("""COMPUTED_VALUE"""),TRUE)</f>
        <v>1</v>
      </c>
    </row>
    <row r="3360" hidden="1">
      <c r="A3360" s="78"/>
      <c r="B3360" s="78"/>
      <c r="C3360" s="79" t="str">
        <f>IFERROR(__xludf.DUMMYFUNCTION("""COMPUTED_VALUE"""),"")</f>
        <v/>
      </c>
      <c r="D3360" s="79" t="str">
        <f>IFERROR(__xludf.DUMMYFUNCTION("""COMPUTED_VALUE"""),"")</f>
        <v/>
      </c>
      <c r="E3360" s="69" t="b">
        <f>IFERROR(__xludf.DUMMYFUNCTION("""COMPUTED_VALUE"""),TRUE)</f>
        <v>1</v>
      </c>
    </row>
    <row r="3361" hidden="1">
      <c r="A3361" s="78"/>
      <c r="B3361" s="78"/>
      <c r="C3361" s="79" t="str">
        <f>IFERROR(__xludf.DUMMYFUNCTION("""COMPUTED_VALUE"""),"")</f>
        <v/>
      </c>
      <c r="D3361" s="79" t="str">
        <f>IFERROR(__xludf.DUMMYFUNCTION("""COMPUTED_VALUE"""),"")</f>
        <v/>
      </c>
      <c r="E3361" s="69" t="b">
        <f>IFERROR(__xludf.DUMMYFUNCTION("""COMPUTED_VALUE"""),TRUE)</f>
        <v>1</v>
      </c>
    </row>
    <row r="3362" hidden="1">
      <c r="A3362" s="78"/>
      <c r="B3362" s="78"/>
      <c r="C3362" s="79" t="str">
        <f>IFERROR(__xludf.DUMMYFUNCTION("""COMPUTED_VALUE"""),"")</f>
        <v/>
      </c>
      <c r="D3362" s="79" t="str">
        <f>IFERROR(__xludf.DUMMYFUNCTION("""COMPUTED_VALUE"""),"")</f>
        <v/>
      </c>
      <c r="E3362" s="69" t="b">
        <f>IFERROR(__xludf.DUMMYFUNCTION("""COMPUTED_VALUE"""),TRUE)</f>
        <v>1</v>
      </c>
    </row>
    <row r="3363" hidden="1">
      <c r="A3363" s="78"/>
      <c r="B3363" s="78"/>
      <c r="C3363" s="79" t="str">
        <f>IFERROR(__xludf.DUMMYFUNCTION("""COMPUTED_VALUE"""),"")</f>
        <v/>
      </c>
      <c r="D3363" s="79" t="str">
        <f>IFERROR(__xludf.DUMMYFUNCTION("""COMPUTED_VALUE"""),"")</f>
        <v/>
      </c>
      <c r="E3363" s="69" t="b">
        <f>IFERROR(__xludf.DUMMYFUNCTION("""COMPUTED_VALUE"""),TRUE)</f>
        <v>1</v>
      </c>
    </row>
    <row r="3364" hidden="1">
      <c r="A3364" s="78"/>
      <c r="B3364" s="78"/>
      <c r="C3364" s="79" t="str">
        <f>IFERROR(__xludf.DUMMYFUNCTION("""COMPUTED_VALUE"""),"")</f>
        <v/>
      </c>
      <c r="D3364" s="79" t="str">
        <f>IFERROR(__xludf.DUMMYFUNCTION("""COMPUTED_VALUE"""),"")</f>
        <v/>
      </c>
      <c r="E3364" s="69" t="b">
        <f>IFERROR(__xludf.DUMMYFUNCTION("""COMPUTED_VALUE"""),TRUE)</f>
        <v>1</v>
      </c>
    </row>
    <row r="3365" hidden="1">
      <c r="A3365" s="78"/>
      <c r="B3365" s="78"/>
      <c r="C3365" s="79" t="str">
        <f>IFERROR(__xludf.DUMMYFUNCTION("""COMPUTED_VALUE"""),"")</f>
        <v/>
      </c>
      <c r="D3365" s="79" t="str">
        <f>IFERROR(__xludf.DUMMYFUNCTION("""COMPUTED_VALUE"""),"")</f>
        <v/>
      </c>
      <c r="E3365" s="69" t="b">
        <f>IFERROR(__xludf.DUMMYFUNCTION("""COMPUTED_VALUE"""),TRUE)</f>
        <v>1</v>
      </c>
    </row>
    <row r="3366" hidden="1">
      <c r="A3366" s="78"/>
      <c r="B3366" s="78"/>
      <c r="C3366" s="79" t="str">
        <f>IFERROR(__xludf.DUMMYFUNCTION("""COMPUTED_VALUE"""),"")</f>
        <v/>
      </c>
      <c r="D3366" s="79" t="str">
        <f>IFERROR(__xludf.DUMMYFUNCTION("""COMPUTED_VALUE"""),"")</f>
        <v/>
      </c>
      <c r="E3366" s="69" t="b">
        <f>IFERROR(__xludf.DUMMYFUNCTION("""COMPUTED_VALUE"""),TRUE)</f>
        <v>1</v>
      </c>
    </row>
    <row r="3367" hidden="1">
      <c r="A3367" s="78"/>
      <c r="B3367" s="78"/>
      <c r="C3367" s="79" t="str">
        <f>IFERROR(__xludf.DUMMYFUNCTION("""COMPUTED_VALUE"""),"")</f>
        <v/>
      </c>
      <c r="D3367" s="79" t="str">
        <f>IFERROR(__xludf.DUMMYFUNCTION("""COMPUTED_VALUE"""),"")</f>
        <v/>
      </c>
      <c r="E3367" s="69" t="b">
        <f>IFERROR(__xludf.DUMMYFUNCTION("""COMPUTED_VALUE"""),TRUE)</f>
        <v>1</v>
      </c>
    </row>
    <row r="3368" hidden="1">
      <c r="A3368" s="78"/>
      <c r="B3368" s="78"/>
      <c r="C3368" s="79" t="str">
        <f>IFERROR(__xludf.DUMMYFUNCTION("""COMPUTED_VALUE"""),"")</f>
        <v/>
      </c>
      <c r="D3368" s="79" t="str">
        <f>IFERROR(__xludf.DUMMYFUNCTION("""COMPUTED_VALUE"""),"")</f>
        <v/>
      </c>
      <c r="E3368" s="69" t="b">
        <f>IFERROR(__xludf.DUMMYFUNCTION("""COMPUTED_VALUE"""),TRUE)</f>
        <v>1</v>
      </c>
    </row>
    <row r="3369" hidden="1">
      <c r="A3369" s="78"/>
      <c r="B3369" s="78"/>
      <c r="C3369" s="79" t="str">
        <f>IFERROR(__xludf.DUMMYFUNCTION("""COMPUTED_VALUE"""),"")</f>
        <v/>
      </c>
      <c r="D3369" s="79" t="str">
        <f>IFERROR(__xludf.DUMMYFUNCTION("""COMPUTED_VALUE"""),"")</f>
        <v/>
      </c>
      <c r="E3369" s="69" t="b">
        <f>IFERROR(__xludf.DUMMYFUNCTION("""COMPUTED_VALUE"""),TRUE)</f>
        <v>1</v>
      </c>
    </row>
    <row r="3370" hidden="1">
      <c r="A3370" s="78"/>
      <c r="B3370" s="78"/>
      <c r="C3370" s="79" t="str">
        <f>IFERROR(__xludf.DUMMYFUNCTION("""COMPUTED_VALUE"""),"")</f>
        <v/>
      </c>
      <c r="D3370" s="79" t="str">
        <f>IFERROR(__xludf.DUMMYFUNCTION("""COMPUTED_VALUE"""),"")</f>
        <v/>
      </c>
      <c r="E3370" s="69" t="b">
        <f>IFERROR(__xludf.DUMMYFUNCTION("""COMPUTED_VALUE"""),TRUE)</f>
        <v>1</v>
      </c>
    </row>
    <row r="3371" hidden="1">
      <c r="A3371" s="78"/>
      <c r="B3371" s="78"/>
      <c r="C3371" s="79" t="str">
        <f>IFERROR(__xludf.DUMMYFUNCTION("""COMPUTED_VALUE"""),"")</f>
        <v/>
      </c>
      <c r="D3371" s="79" t="str">
        <f>IFERROR(__xludf.DUMMYFUNCTION("""COMPUTED_VALUE"""),"")</f>
        <v/>
      </c>
      <c r="E3371" s="69" t="b">
        <f>IFERROR(__xludf.DUMMYFUNCTION("""COMPUTED_VALUE"""),TRUE)</f>
        <v>1</v>
      </c>
    </row>
    <row r="3372" hidden="1">
      <c r="A3372" s="78"/>
      <c r="B3372" s="78"/>
      <c r="C3372" s="79" t="str">
        <f>IFERROR(__xludf.DUMMYFUNCTION("""COMPUTED_VALUE"""),"")</f>
        <v/>
      </c>
      <c r="D3372" s="79" t="str">
        <f>IFERROR(__xludf.DUMMYFUNCTION("""COMPUTED_VALUE"""),"")</f>
        <v/>
      </c>
      <c r="E3372" s="69" t="b">
        <f>IFERROR(__xludf.DUMMYFUNCTION("""COMPUTED_VALUE"""),TRUE)</f>
        <v>1</v>
      </c>
    </row>
    <row r="3373" hidden="1">
      <c r="A3373" s="78"/>
      <c r="B3373" s="78"/>
      <c r="C3373" s="79" t="str">
        <f>IFERROR(__xludf.DUMMYFUNCTION("""COMPUTED_VALUE"""),"")</f>
        <v/>
      </c>
      <c r="D3373" s="79" t="str">
        <f>IFERROR(__xludf.DUMMYFUNCTION("""COMPUTED_VALUE"""),"")</f>
        <v/>
      </c>
      <c r="E3373" s="69" t="b">
        <f>IFERROR(__xludf.DUMMYFUNCTION("""COMPUTED_VALUE"""),TRUE)</f>
        <v>1</v>
      </c>
    </row>
    <row r="3374" hidden="1">
      <c r="A3374" s="78"/>
      <c r="B3374" s="78"/>
      <c r="C3374" s="79" t="str">
        <f>IFERROR(__xludf.DUMMYFUNCTION("""COMPUTED_VALUE"""),"")</f>
        <v/>
      </c>
      <c r="D3374" s="79" t="str">
        <f>IFERROR(__xludf.DUMMYFUNCTION("""COMPUTED_VALUE"""),"")</f>
        <v/>
      </c>
      <c r="E3374" s="69" t="b">
        <f>IFERROR(__xludf.DUMMYFUNCTION("""COMPUTED_VALUE"""),TRUE)</f>
        <v>1</v>
      </c>
    </row>
    <row r="3375" hidden="1">
      <c r="A3375" s="78"/>
      <c r="B3375" s="78"/>
      <c r="C3375" s="79" t="str">
        <f>IFERROR(__xludf.DUMMYFUNCTION("""COMPUTED_VALUE"""),"")</f>
        <v/>
      </c>
      <c r="D3375" s="79" t="str">
        <f>IFERROR(__xludf.DUMMYFUNCTION("""COMPUTED_VALUE"""),"")</f>
        <v/>
      </c>
      <c r="E3375" s="69" t="b">
        <f>IFERROR(__xludf.DUMMYFUNCTION("""COMPUTED_VALUE"""),TRUE)</f>
        <v>1</v>
      </c>
    </row>
    <row r="3376" hidden="1">
      <c r="A3376" s="78"/>
      <c r="B3376" s="78"/>
      <c r="C3376" s="79" t="str">
        <f>IFERROR(__xludf.DUMMYFUNCTION("""COMPUTED_VALUE"""),"")</f>
        <v/>
      </c>
      <c r="D3376" s="79" t="str">
        <f>IFERROR(__xludf.DUMMYFUNCTION("""COMPUTED_VALUE"""),"")</f>
        <v/>
      </c>
      <c r="E3376" s="69" t="b">
        <f>IFERROR(__xludf.DUMMYFUNCTION("""COMPUTED_VALUE"""),TRUE)</f>
        <v>1</v>
      </c>
    </row>
    <row r="3377" hidden="1">
      <c r="A3377" s="78"/>
      <c r="B3377" s="78"/>
      <c r="C3377" s="79" t="str">
        <f>IFERROR(__xludf.DUMMYFUNCTION("""COMPUTED_VALUE"""),"")</f>
        <v/>
      </c>
      <c r="D3377" s="79" t="str">
        <f>IFERROR(__xludf.DUMMYFUNCTION("""COMPUTED_VALUE"""),"")</f>
        <v/>
      </c>
      <c r="E3377" s="69" t="b">
        <f>IFERROR(__xludf.DUMMYFUNCTION("""COMPUTED_VALUE"""),TRUE)</f>
        <v>1</v>
      </c>
    </row>
    <row r="3378" hidden="1">
      <c r="A3378" s="78"/>
      <c r="B3378" s="78"/>
      <c r="C3378" s="79" t="str">
        <f>IFERROR(__xludf.DUMMYFUNCTION("""COMPUTED_VALUE"""),"")</f>
        <v/>
      </c>
      <c r="D3378" s="79" t="str">
        <f>IFERROR(__xludf.DUMMYFUNCTION("""COMPUTED_VALUE"""),"")</f>
        <v/>
      </c>
      <c r="E3378" s="69" t="b">
        <f>IFERROR(__xludf.DUMMYFUNCTION("""COMPUTED_VALUE"""),TRUE)</f>
        <v>1</v>
      </c>
    </row>
    <row r="3379" hidden="1">
      <c r="A3379" s="78"/>
      <c r="B3379" s="78"/>
      <c r="C3379" s="79" t="str">
        <f>IFERROR(__xludf.DUMMYFUNCTION("""COMPUTED_VALUE"""),"")</f>
        <v/>
      </c>
      <c r="D3379" s="79" t="str">
        <f>IFERROR(__xludf.DUMMYFUNCTION("""COMPUTED_VALUE"""),"")</f>
        <v/>
      </c>
      <c r="E3379" s="69" t="b">
        <f>IFERROR(__xludf.DUMMYFUNCTION("""COMPUTED_VALUE"""),TRUE)</f>
        <v>1</v>
      </c>
    </row>
    <row r="3380" hidden="1">
      <c r="A3380" s="78"/>
      <c r="B3380" s="78"/>
      <c r="C3380" s="79" t="str">
        <f>IFERROR(__xludf.DUMMYFUNCTION("""COMPUTED_VALUE"""),"")</f>
        <v/>
      </c>
      <c r="D3380" s="79" t="str">
        <f>IFERROR(__xludf.DUMMYFUNCTION("""COMPUTED_VALUE"""),"")</f>
        <v/>
      </c>
      <c r="E3380" s="69" t="b">
        <f>IFERROR(__xludf.DUMMYFUNCTION("""COMPUTED_VALUE"""),TRUE)</f>
        <v>1</v>
      </c>
    </row>
    <row r="3381" hidden="1">
      <c r="A3381" s="78"/>
      <c r="B3381" s="78"/>
      <c r="C3381" s="79" t="str">
        <f>IFERROR(__xludf.DUMMYFUNCTION("""COMPUTED_VALUE"""),"")</f>
        <v/>
      </c>
      <c r="D3381" s="79" t="str">
        <f>IFERROR(__xludf.DUMMYFUNCTION("""COMPUTED_VALUE"""),"")</f>
        <v/>
      </c>
      <c r="E3381" s="69" t="b">
        <f>IFERROR(__xludf.DUMMYFUNCTION("""COMPUTED_VALUE"""),TRUE)</f>
        <v>1</v>
      </c>
    </row>
    <row r="3382" hidden="1">
      <c r="A3382" s="78"/>
      <c r="B3382" s="78"/>
      <c r="C3382" s="79" t="str">
        <f>IFERROR(__xludf.DUMMYFUNCTION("""COMPUTED_VALUE"""),"")</f>
        <v/>
      </c>
      <c r="D3382" s="79" t="str">
        <f>IFERROR(__xludf.DUMMYFUNCTION("""COMPUTED_VALUE"""),"")</f>
        <v/>
      </c>
      <c r="E3382" s="69" t="b">
        <f>IFERROR(__xludf.DUMMYFUNCTION("""COMPUTED_VALUE"""),TRUE)</f>
        <v>1</v>
      </c>
    </row>
    <row r="3383" hidden="1">
      <c r="A3383" s="78"/>
      <c r="B3383" s="78"/>
      <c r="C3383" s="79" t="str">
        <f>IFERROR(__xludf.DUMMYFUNCTION("""COMPUTED_VALUE"""),"")</f>
        <v/>
      </c>
      <c r="D3383" s="79" t="str">
        <f>IFERROR(__xludf.DUMMYFUNCTION("""COMPUTED_VALUE"""),"")</f>
        <v/>
      </c>
      <c r="E3383" s="69" t="b">
        <f>IFERROR(__xludf.DUMMYFUNCTION("""COMPUTED_VALUE"""),TRUE)</f>
        <v>1</v>
      </c>
    </row>
    <row r="3384" hidden="1">
      <c r="A3384" s="78"/>
      <c r="B3384" s="78"/>
      <c r="C3384" s="79" t="str">
        <f>IFERROR(__xludf.DUMMYFUNCTION("""COMPUTED_VALUE"""),"")</f>
        <v/>
      </c>
      <c r="D3384" s="79" t="str">
        <f>IFERROR(__xludf.DUMMYFUNCTION("""COMPUTED_VALUE"""),"")</f>
        <v/>
      </c>
      <c r="E3384" s="69" t="b">
        <f>IFERROR(__xludf.DUMMYFUNCTION("""COMPUTED_VALUE"""),TRUE)</f>
        <v>1</v>
      </c>
    </row>
    <row r="3385" hidden="1">
      <c r="A3385" s="78"/>
      <c r="B3385" s="78"/>
      <c r="C3385" s="79" t="str">
        <f>IFERROR(__xludf.DUMMYFUNCTION("""COMPUTED_VALUE"""),"")</f>
        <v/>
      </c>
      <c r="D3385" s="79" t="str">
        <f>IFERROR(__xludf.DUMMYFUNCTION("""COMPUTED_VALUE"""),"")</f>
        <v/>
      </c>
      <c r="E3385" s="69" t="b">
        <f>IFERROR(__xludf.DUMMYFUNCTION("""COMPUTED_VALUE"""),TRUE)</f>
        <v>1</v>
      </c>
    </row>
    <row r="3386" hidden="1">
      <c r="A3386" s="78"/>
      <c r="B3386" s="78"/>
      <c r="C3386" s="79" t="str">
        <f>IFERROR(__xludf.DUMMYFUNCTION("""COMPUTED_VALUE"""),"")</f>
        <v/>
      </c>
      <c r="D3386" s="79" t="str">
        <f>IFERROR(__xludf.DUMMYFUNCTION("""COMPUTED_VALUE"""),"")</f>
        <v/>
      </c>
      <c r="E3386" s="69" t="b">
        <f>IFERROR(__xludf.DUMMYFUNCTION("""COMPUTED_VALUE"""),TRUE)</f>
        <v>1</v>
      </c>
    </row>
    <row r="3387" hidden="1">
      <c r="A3387" s="78"/>
      <c r="B3387" s="78"/>
      <c r="C3387" s="79" t="str">
        <f>IFERROR(__xludf.DUMMYFUNCTION("""COMPUTED_VALUE"""),"")</f>
        <v/>
      </c>
      <c r="D3387" s="79" t="str">
        <f>IFERROR(__xludf.DUMMYFUNCTION("""COMPUTED_VALUE"""),"")</f>
        <v/>
      </c>
      <c r="E3387" s="69" t="b">
        <f>IFERROR(__xludf.DUMMYFUNCTION("""COMPUTED_VALUE"""),TRUE)</f>
        <v>1</v>
      </c>
    </row>
    <row r="3388" hidden="1">
      <c r="A3388" s="78"/>
      <c r="B3388" s="78"/>
      <c r="C3388" s="79" t="str">
        <f>IFERROR(__xludf.DUMMYFUNCTION("""COMPUTED_VALUE"""),"")</f>
        <v/>
      </c>
      <c r="D3388" s="79" t="str">
        <f>IFERROR(__xludf.DUMMYFUNCTION("""COMPUTED_VALUE"""),"")</f>
        <v/>
      </c>
      <c r="E3388" s="69" t="b">
        <f>IFERROR(__xludf.DUMMYFUNCTION("""COMPUTED_VALUE"""),TRUE)</f>
        <v>1</v>
      </c>
    </row>
    <row r="3389" hidden="1">
      <c r="A3389" s="78"/>
      <c r="B3389" s="78"/>
      <c r="C3389" s="79" t="str">
        <f>IFERROR(__xludf.DUMMYFUNCTION("""COMPUTED_VALUE"""),"")</f>
        <v/>
      </c>
      <c r="D3389" s="79" t="str">
        <f>IFERROR(__xludf.DUMMYFUNCTION("""COMPUTED_VALUE"""),"")</f>
        <v/>
      </c>
      <c r="E3389" s="69" t="b">
        <f>IFERROR(__xludf.DUMMYFUNCTION("""COMPUTED_VALUE"""),TRUE)</f>
        <v>1</v>
      </c>
    </row>
    <row r="3390" hidden="1">
      <c r="A3390" s="78"/>
      <c r="B3390" s="78"/>
      <c r="C3390" s="79" t="str">
        <f>IFERROR(__xludf.DUMMYFUNCTION("""COMPUTED_VALUE"""),"")</f>
        <v/>
      </c>
      <c r="D3390" s="79" t="str">
        <f>IFERROR(__xludf.DUMMYFUNCTION("""COMPUTED_VALUE"""),"")</f>
        <v/>
      </c>
      <c r="E3390" s="69" t="b">
        <f>IFERROR(__xludf.DUMMYFUNCTION("""COMPUTED_VALUE"""),TRUE)</f>
        <v>1</v>
      </c>
    </row>
    <row r="3391" hidden="1">
      <c r="A3391" s="78"/>
      <c r="B3391" s="78"/>
      <c r="C3391" s="79" t="str">
        <f>IFERROR(__xludf.DUMMYFUNCTION("""COMPUTED_VALUE"""),"")</f>
        <v/>
      </c>
      <c r="D3391" s="79" t="str">
        <f>IFERROR(__xludf.DUMMYFUNCTION("""COMPUTED_VALUE"""),"")</f>
        <v/>
      </c>
      <c r="E3391" s="69" t="b">
        <f>IFERROR(__xludf.DUMMYFUNCTION("""COMPUTED_VALUE"""),TRUE)</f>
        <v>1</v>
      </c>
    </row>
    <row r="3392" hidden="1">
      <c r="A3392" s="78"/>
      <c r="B3392" s="78"/>
      <c r="C3392" s="79" t="str">
        <f>IFERROR(__xludf.DUMMYFUNCTION("""COMPUTED_VALUE"""),"")</f>
        <v/>
      </c>
      <c r="D3392" s="79" t="str">
        <f>IFERROR(__xludf.DUMMYFUNCTION("""COMPUTED_VALUE"""),"")</f>
        <v/>
      </c>
      <c r="E3392" s="69" t="b">
        <f>IFERROR(__xludf.DUMMYFUNCTION("""COMPUTED_VALUE"""),TRUE)</f>
        <v>1</v>
      </c>
    </row>
    <row r="3393" hidden="1">
      <c r="A3393" s="78"/>
      <c r="B3393" s="78"/>
      <c r="C3393" s="79" t="str">
        <f>IFERROR(__xludf.DUMMYFUNCTION("""COMPUTED_VALUE"""),"")</f>
        <v/>
      </c>
      <c r="D3393" s="79" t="str">
        <f>IFERROR(__xludf.DUMMYFUNCTION("""COMPUTED_VALUE"""),"")</f>
        <v/>
      </c>
      <c r="E3393" s="69" t="b">
        <f>IFERROR(__xludf.DUMMYFUNCTION("""COMPUTED_VALUE"""),TRUE)</f>
        <v>1</v>
      </c>
    </row>
    <row r="3394" hidden="1">
      <c r="A3394" s="78"/>
      <c r="B3394" s="78"/>
      <c r="C3394" s="79" t="str">
        <f>IFERROR(__xludf.DUMMYFUNCTION("""COMPUTED_VALUE"""),"")</f>
        <v/>
      </c>
      <c r="D3394" s="79" t="str">
        <f>IFERROR(__xludf.DUMMYFUNCTION("""COMPUTED_VALUE"""),"")</f>
        <v/>
      </c>
      <c r="E3394" s="69" t="b">
        <f>IFERROR(__xludf.DUMMYFUNCTION("""COMPUTED_VALUE"""),TRUE)</f>
        <v>1</v>
      </c>
    </row>
    <row r="3395" hidden="1">
      <c r="A3395" s="78"/>
      <c r="B3395" s="78"/>
      <c r="C3395" s="79" t="str">
        <f>IFERROR(__xludf.DUMMYFUNCTION("""COMPUTED_VALUE"""),"")</f>
        <v/>
      </c>
      <c r="D3395" s="79" t="str">
        <f>IFERROR(__xludf.DUMMYFUNCTION("""COMPUTED_VALUE"""),"")</f>
        <v/>
      </c>
      <c r="E3395" s="69" t="b">
        <f>IFERROR(__xludf.DUMMYFUNCTION("""COMPUTED_VALUE"""),TRUE)</f>
        <v>1</v>
      </c>
    </row>
    <row r="3396" hidden="1">
      <c r="A3396" s="78"/>
      <c r="B3396" s="78"/>
      <c r="C3396" s="79" t="str">
        <f>IFERROR(__xludf.DUMMYFUNCTION("""COMPUTED_VALUE"""),"")</f>
        <v/>
      </c>
      <c r="D3396" s="79" t="str">
        <f>IFERROR(__xludf.DUMMYFUNCTION("""COMPUTED_VALUE"""),"")</f>
        <v/>
      </c>
      <c r="E3396" s="69" t="b">
        <f>IFERROR(__xludf.DUMMYFUNCTION("""COMPUTED_VALUE"""),TRUE)</f>
        <v>1</v>
      </c>
    </row>
    <row r="3397" hidden="1">
      <c r="A3397" s="78"/>
      <c r="B3397" s="78"/>
      <c r="C3397" s="79" t="str">
        <f>IFERROR(__xludf.DUMMYFUNCTION("""COMPUTED_VALUE"""),"")</f>
        <v/>
      </c>
      <c r="D3397" s="79" t="str">
        <f>IFERROR(__xludf.DUMMYFUNCTION("""COMPUTED_VALUE"""),"")</f>
        <v/>
      </c>
      <c r="E3397" s="69" t="b">
        <f>IFERROR(__xludf.DUMMYFUNCTION("""COMPUTED_VALUE"""),TRUE)</f>
        <v>1</v>
      </c>
    </row>
    <row r="3398" hidden="1">
      <c r="A3398" s="78"/>
      <c r="B3398" s="78"/>
      <c r="C3398" s="79" t="str">
        <f>IFERROR(__xludf.DUMMYFUNCTION("""COMPUTED_VALUE"""),"")</f>
        <v/>
      </c>
      <c r="D3398" s="79" t="str">
        <f>IFERROR(__xludf.DUMMYFUNCTION("""COMPUTED_VALUE"""),"")</f>
        <v/>
      </c>
      <c r="E3398" s="69" t="b">
        <f>IFERROR(__xludf.DUMMYFUNCTION("""COMPUTED_VALUE"""),TRUE)</f>
        <v>1</v>
      </c>
    </row>
    <row r="3399" hidden="1">
      <c r="A3399" s="78"/>
      <c r="B3399" s="78"/>
      <c r="C3399" s="79" t="str">
        <f>IFERROR(__xludf.DUMMYFUNCTION("""COMPUTED_VALUE"""),"")</f>
        <v/>
      </c>
      <c r="D3399" s="79" t="str">
        <f>IFERROR(__xludf.DUMMYFUNCTION("""COMPUTED_VALUE"""),"")</f>
        <v/>
      </c>
      <c r="E3399" s="69" t="b">
        <f>IFERROR(__xludf.DUMMYFUNCTION("""COMPUTED_VALUE"""),TRUE)</f>
        <v>1</v>
      </c>
    </row>
    <row r="3400" hidden="1">
      <c r="A3400" s="78"/>
      <c r="B3400" s="78"/>
      <c r="C3400" s="79" t="str">
        <f>IFERROR(__xludf.DUMMYFUNCTION("""COMPUTED_VALUE"""),"")</f>
        <v/>
      </c>
      <c r="D3400" s="79" t="str">
        <f>IFERROR(__xludf.DUMMYFUNCTION("""COMPUTED_VALUE"""),"")</f>
        <v/>
      </c>
      <c r="E3400" s="69" t="b">
        <f>IFERROR(__xludf.DUMMYFUNCTION("""COMPUTED_VALUE"""),TRUE)</f>
        <v>1</v>
      </c>
    </row>
    <row r="3401" hidden="1">
      <c r="A3401" s="78"/>
      <c r="B3401" s="78"/>
      <c r="C3401" s="79" t="str">
        <f>IFERROR(__xludf.DUMMYFUNCTION("""COMPUTED_VALUE"""),"")</f>
        <v/>
      </c>
      <c r="D3401" s="79" t="str">
        <f>IFERROR(__xludf.DUMMYFUNCTION("""COMPUTED_VALUE"""),"")</f>
        <v/>
      </c>
      <c r="E3401" s="69" t="b">
        <f>IFERROR(__xludf.DUMMYFUNCTION("""COMPUTED_VALUE"""),TRUE)</f>
        <v>1</v>
      </c>
    </row>
    <row r="3402" hidden="1">
      <c r="A3402" s="78"/>
      <c r="B3402" s="78"/>
      <c r="C3402" s="79" t="str">
        <f>IFERROR(__xludf.DUMMYFUNCTION("""COMPUTED_VALUE"""),"")</f>
        <v/>
      </c>
      <c r="D3402" s="79" t="str">
        <f>IFERROR(__xludf.DUMMYFUNCTION("""COMPUTED_VALUE"""),"")</f>
        <v/>
      </c>
      <c r="E3402" s="69" t="b">
        <f>IFERROR(__xludf.DUMMYFUNCTION("""COMPUTED_VALUE"""),TRUE)</f>
        <v>1</v>
      </c>
    </row>
    <row r="3403" hidden="1">
      <c r="A3403" s="78"/>
      <c r="B3403" s="78"/>
      <c r="C3403" s="79" t="str">
        <f>IFERROR(__xludf.DUMMYFUNCTION("""COMPUTED_VALUE"""),"")</f>
        <v/>
      </c>
      <c r="D3403" s="79" t="str">
        <f>IFERROR(__xludf.DUMMYFUNCTION("""COMPUTED_VALUE"""),"")</f>
        <v/>
      </c>
      <c r="E3403" s="69" t="b">
        <f>IFERROR(__xludf.DUMMYFUNCTION("""COMPUTED_VALUE"""),TRUE)</f>
        <v>1</v>
      </c>
    </row>
    <row r="3404" hidden="1">
      <c r="A3404" s="78"/>
      <c r="B3404" s="78"/>
      <c r="C3404" s="79" t="str">
        <f>IFERROR(__xludf.DUMMYFUNCTION("""COMPUTED_VALUE"""),"")</f>
        <v/>
      </c>
      <c r="D3404" s="79" t="str">
        <f>IFERROR(__xludf.DUMMYFUNCTION("""COMPUTED_VALUE"""),"")</f>
        <v/>
      </c>
      <c r="E3404" s="69" t="b">
        <f>IFERROR(__xludf.DUMMYFUNCTION("""COMPUTED_VALUE"""),TRUE)</f>
        <v>1</v>
      </c>
    </row>
    <row r="3405" hidden="1">
      <c r="A3405" s="78"/>
      <c r="B3405" s="78"/>
      <c r="C3405" s="79" t="str">
        <f>IFERROR(__xludf.DUMMYFUNCTION("""COMPUTED_VALUE"""),"")</f>
        <v/>
      </c>
      <c r="D3405" s="79" t="str">
        <f>IFERROR(__xludf.DUMMYFUNCTION("""COMPUTED_VALUE"""),"")</f>
        <v/>
      </c>
      <c r="E3405" s="69" t="b">
        <f>IFERROR(__xludf.DUMMYFUNCTION("""COMPUTED_VALUE"""),TRUE)</f>
        <v>1</v>
      </c>
    </row>
    <row r="3406" hidden="1">
      <c r="A3406" s="78"/>
      <c r="B3406" s="78"/>
      <c r="C3406" s="79" t="str">
        <f>IFERROR(__xludf.DUMMYFUNCTION("""COMPUTED_VALUE"""),"")</f>
        <v/>
      </c>
      <c r="D3406" s="79" t="str">
        <f>IFERROR(__xludf.DUMMYFUNCTION("""COMPUTED_VALUE"""),"")</f>
        <v/>
      </c>
      <c r="E3406" s="69" t="b">
        <f>IFERROR(__xludf.DUMMYFUNCTION("""COMPUTED_VALUE"""),TRUE)</f>
        <v>1</v>
      </c>
    </row>
    <row r="3407" hidden="1">
      <c r="A3407" s="78"/>
      <c r="B3407" s="78"/>
      <c r="C3407" s="79" t="str">
        <f>IFERROR(__xludf.DUMMYFUNCTION("""COMPUTED_VALUE"""),"")</f>
        <v/>
      </c>
      <c r="D3407" s="79" t="str">
        <f>IFERROR(__xludf.DUMMYFUNCTION("""COMPUTED_VALUE"""),"")</f>
        <v/>
      </c>
      <c r="E3407" s="69" t="b">
        <f>IFERROR(__xludf.DUMMYFUNCTION("""COMPUTED_VALUE"""),TRUE)</f>
        <v>1</v>
      </c>
    </row>
    <row r="3408" hidden="1">
      <c r="A3408" s="78"/>
      <c r="B3408" s="78"/>
      <c r="C3408" s="79" t="str">
        <f>IFERROR(__xludf.DUMMYFUNCTION("""COMPUTED_VALUE"""),"")</f>
        <v/>
      </c>
      <c r="D3408" s="79" t="str">
        <f>IFERROR(__xludf.DUMMYFUNCTION("""COMPUTED_VALUE"""),"")</f>
        <v/>
      </c>
      <c r="E3408" s="69" t="b">
        <f>IFERROR(__xludf.DUMMYFUNCTION("""COMPUTED_VALUE"""),TRUE)</f>
        <v>1</v>
      </c>
    </row>
    <row r="3409" hidden="1">
      <c r="A3409" s="78"/>
      <c r="B3409" s="78"/>
      <c r="C3409" s="79" t="str">
        <f>IFERROR(__xludf.DUMMYFUNCTION("""COMPUTED_VALUE"""),"")</f>
        <v/>
      </c>
      <c r="D3409" s="79" t="str">
        <f>IFERROR(__xludf.DUMMYFUNCTION("""COMPUTED_VALUE"""),"")</f>
        <v/>
      </c>
      <c r="E3409" s="69" t="b">
        <f>IFERROR(__xludf.DUMMYFUNCTION("""COMPUTED_VALUE"""),TRUE)</f>
        <v>1</v>
      </c>
    </row>
    <row r="3410" hidden="1">
      <c r="A3410" s="78"/>
      <c r="B3410" s="78"/>
      <c r="C3410" s="79" t="str">
        <f>IFERROR(__xludf.DUMMYFUNCTION("""COMPUTED_VALUE"""),"")</f>
        <v/>
      </c>
      <c r="D3410" s="79" t="str">
        <f>IFERROR(__xludf.DUMMYFUNCTION("""COMPUTED_VALUE"""),"")</f>
        <v/>
      </c>
      <c r="E3410" s="69" t="b">
        <f>IFERROR(__xludf.DUMMYFUNCTION("""COMPUTED_VALUE"""),TRUE)</f>
        <v>1</v>
      </c>
    </row>
    <row r="3411" hidden="1">
      <c r="A3411" s="78"/>
      <c r="B3411" s="78"/>
      <c r="C3411" s="79" t="str">
        <f>IFERROR(__xludf.DUMMYFUNCTION("""COMPUTED_VALUE"""),"")</f>
        <v/>
      </c>
      <c r="D3411" s="79" t="str">
        <f>IFERROR(__xludf.DUMMYFUNCTION("""COMPUTED_VALUE"""),"")</f>
        <v/>
      </c>
      <c r="E3411" s="69" t="b">
        <f>IFERROR(__xludf.DUMMYFUNCTION("""COMPUTED_VALUE"""),TRUE)</f>
        <v>1</v>
      </c>
    </row>
    <row r="3412" hidden="1">
      <c r="A3412" s="78"/>
      <c r="B3412" s="78"/>
      <c r="C3412" s="79" t="str">
        <f>IFERROR(__xludf.DUMMYFUNCTION("""COMPUTED_VALUE"""),"")</f>
        <v/>
      </c>
      <c r="D3412" s="79" t="str">
        <f>IFERROR(__xludf.DUMMYFUNCTION("""COMPUTED_VALUE"""),"")</f>
        <v/>
      </c>
      <c r="E3412" s="69" t="b">
        <f>IFERROR(__xludf.DUMMYFUNCTION("""COMPUTED_VALUE"""),TRUE)</f>
        <v>1</v>
      </c>
    </row>
    <row r="3413" hidden="1">
      <c r="A3413" s="78"/>
      <c r="B3413" s="78"/>
      <c r="C3413" s="79" t="str">
        <f>IFERROR(__xludf.DUMMYFUNCTION("""COMPUTED_VALUE"""),"")</f>
        <v/>
      </c>
      <c r="D3413" s="79" t="str">
        <f>IFERROR(__xludf.DUMMYFUNCTION("""COMPUTED_VALUE"""),"")</f>
        <v/>
      </c>
      <c r="E3413" s="69" t="b">
        <f>IFERROR(__xludf.DUMMYFUNCTION("""COMPUTED_VALUE"""),TRUE)</f>
        <v>1</v>
      </c>
    </row>
    <row r="3414" hidden="1">
      <c r="A3414" s="78"/>
      <c r="B3414" s="78"/>
      <c r="C3414" s="79" t="str">
        <f>IFERROR(__xludf.DUMMYFUNCTION("""COMPUTED_VALUE"""),"")</f>
        <v/>
      </c>
      <c r="D3414" s="79" t="str">
        <f>IFERROR(__xludf.DUMMYFUNCTION("""COMPUTED_VALUE"""),"")</f>
        <v/>
      </c>
      <c r="E3414" s="69" t="b">
        <f>IFERROR(__xludf.DUMMYFUNCTION("""COMPUTED_VALUE"""),TRUE)</f>
        <v>1</v>
      </c>
    </row>
    <row r="3415" hidden="1">
      <c r="A3415" s="78"/>
      <c r="B3415" s="78"/>
      <c r="C3415" s="79" t="str">
        <f>IFERROR(__xludf.DUMMYFUNCTION("""COMPUTED_VALUE"""),"")</f>
        <v/>
      </c>
      <c r="D3415" s="79" t="str">
        <f>IFERROR(__xludf.DUMMYFUNCTION("""COMPUTED_VALUE"""),"")</f>
        <v/>
      </c>
      <c r="E3415" s="69" t="b">
        <f>IFERROR(__xludf.DUMMYFUNCTION("""COMPUTED_VALUE"""),TRUE)</f>
        <v>1</v>
      </c>
    </row>
    <row r="3416" hidden="1">
      <c r="A3416" s="78"/>
      <c r="B3416" s="78"/>
      <c r="C3416" s="79" t="str">
        <f>IFERROR(__xludf.DUMMYFUNCTION("""COMPUTED_VALUE"""),"")</f>
        <v/>
      </c>
      <c r="D3416" s="79" t="str">
        <f>IFERROR(__xludf.DUMMYFUNCTION("""COMPUTED_VALUE"""),"")</f>
        <v/>
      </c>
      <c r="E3416" s="69" t="b">
        <f>IFERROR(__xludf.DUMMYFUNCTION("""COMPUTED_VALUE"""),TRUE)</f>
        <v>1</v>
      </c>
    </row>
    <row r="3417" hidden="1">
      <c r="A3417" s="78"/>
      <c r="B3417" s="78"/>
      <c r="C3417" s="79" t="str">
        <f>IFERROR(__xludf.DUMMYFUNCTION("""COMPUTED_VALUE"""),"")</f>
        <v/>
      </c>
      <c r="D3417" s="79" t="str">
        <f>IFERROR(__xludf.DUMMYFUNCTION("""COMPUTED_VALUE"""),"")</f>
        <v/>
      </c>
      <c r="E3417" s="69" t="b">
        <f>IFERROR(__xludf.DUMMYFUNCTION("""COMPUTED_VALUE"""),TRUE)</f>
        <v>1</v>
      </c>
    </row>
  </sheetData>
  <autoFilter ref="$A$1:$E$3417">
    <filterColumn colId="4">
      <filters>
        <filter val="FALSE"/>
      </filters>
    </filterColumn>
  </autoFilter>
  <conditionalFormatting sqref="A1:D1">
    <cfRule type="expression" dxfId="6" priority="1">
      <formula>RIGHT($A:$A,5)="total"</formula>
    </cfRule>
  </conditionalFormatting>
  <conditionalFormatting sqref="C1:D3417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